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全コラム" sheetId="1" state="visible" r:id="rId1"/>
    <sheet xmlns:r="http://schemas.openxmlformats.org/officeDocument/2006/relationships" name="サービスページ→コラム" sheetId="2" state="visible" r:id="rId2"/>
    <sheet xmlns:r="http://schemas.openxmlformats.org/officeDocument/2006/relationships" name="法人コラム" sheetId="3" state="visible" r:id="rId3"/>
    <sheet xmlns:r="http://schemas.openxmlformats.org/officeDocument/2006/relationships" name="求職者コラム" sheetId="4" state="visible" r:id="rId4"/>
    <sheet xmlns:r="http://schemas.openxmlformats.org/officeDocument/2006/relationships" name="コラムCTA" sheetId="5" state="visible" r:id="rId5"/>
    <sheet xmlns:r="http://schemas.openxmlformats.org/officeDocument/2006/relationships" name="法人コラム（クリニック）" sheetId="6" state="visible" r:id="rId6"/>
    <sheet xmlns:r="http://schemas.openxmlformats.org/officeDocument/2006/relationships" name="「SEO対策」" sheetId="7" state="visible" r:id="rId7"/>
    <sheet xmlns:r="http://schemas.openxmlformats.org/officeDocument/2006/relationships" name="「アルゴリズムアップデート」" sheetId="8" state="visible" r:id="rId8"/>
    <sheet xmlns:r="http://schemas.openxmlformats.org/officeDocument/2006/relationships" name="「オウンドメディア」 " sheetId="9" state="visible" r:id="rId9"/>
    <sheet xmlns:r="http://schemas.openxmlformats.org/officeDocument/2006/relationships" name="MBTIコラム施策 " sheetId="10" state="visible" r:id="rId10"/>
    <sheet xmlns:r="http://schemas.openxmlformats.org/officeDocument/2006/relationships" name="シート9" sheetId="11" state="visible" r:id="rId11"/>
  </sheets>
  <definedNames>
    <definedName name="_xlnm._FilterDatabase" localSheetId="0" hidden="1">'全コラム'!$A$1:$K$1442</definedName>
    <definedName name="_xlnm._FilterDatabase" localSheetId="2" hidden="1">'法人コラム'!$A$3:$N$442</definedName>
    <definedName name="_xlnm._FilterDatabase" localSheetId="3" hidden="1">'求職者コラム'!$A$3:$L$280</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63">
    <font>
      <name val="Arial"/>
      <color rgb="FF000000"/>
      <sz val="10"/>
      <scheme val="minor"/>
    </font>
    <font>
      <name val="Arial"/>
      <b val="1"/>
      <color rgb="FFFFFFFF"/>
    </font>
    <font>
      <name val="Arial"/>
      <color theme="1"/>
    </font>
    <font>
      <name val="Arial"/>
      <color rgb="FF0000FF"/>
      <u val="single"/>
    </font>
    <font>
      <name val="Arial"/>
      <color rgb="FF0000FF"/>
      <u val="single"/>
    </font>
    <font>
      <name val="Arial"/>
      <color rgb="FF212529"/>
      <sz val="10"/>
    </font>
    <font>
      <name val="&quot;Hiragino Sans&quot;"/>
      <color rgb="FF212529"/>
      <sz val="10"/>
    </font>
    <font>
      <name val="Arial"/>
      <color theme="1"/>
      <sz val="10"/>
    </font>
    <font>
      <color rgb="FF0000FF"/>
      <u val="single"/>
    </font>
    <font>
      <color rgb="FF0000FF"/>
      <u val="single"/>
    </font>
    <font>
      <name val="Arial"/>
      <color rgb="FF000000"/>
    </font>
    <font>
      <name val="Arial"/>
      <color theme="1"/>
      <scheme val="minor"/>
    </font>
    <font>
      <color rgb="FF0000FF"/>
      <u val="single"/>
    </font>
    <font>
      <color rgb="FF1155CC"/>
      <u val="single"/>
    </font>
    <font>
      <name val="Arial"/>
      <color rgb="FF000000"/>
      <scheme val="minor"/>
    </font>
    <font>
      <color rgb="FF0000FF"/>
      <u val="single"/>
    </font>
    <font>
      <name val="Arial"/>
      <b val="1"/>
      <color theme="1"/>
    </font>
    <font>
      <name val="Arial"/>
      <color rgb="FFFFFFFF"/>
    </font>
    <font>
      <name val="Arial"/>
      <color rgb="FF0000FF"/>
    </font>
    <font>
      <name val="Arial"/>
      <color rgb="FF0000FF"/>
      <u val="single"/>
    </font>
    <font>
      <name val="Arial"/>
      <color rgb="FF0000FF"/>
      <u val="single"/>
    </font>
    <font>
      <name val="Arial"/>
      <color rgb="FF1155CC"/>
      <u val="single"/>
    </font>
    <font>
      <name val="&quot;Google Sans Text&quot;"/>
      <b val="1"/>
      <color rgb="FF000000"/>
    </font>
    <font>
      <b val="1"/>
      <color rgb="FF0000FF"/>
      <u val="single"/>
    </font>
    <font>
      <name val="Arial"/>
      <b val="1"/>
      <color rgb="FFFFFFFF"/>
      <scheme val="minor"/>
    </font>
    <font>
      <name val="Arial"/>
      <b val="1"/>
      <color theme="1"/>
      <scheme val="minor"/>
    </font>
    <font>
      <name val="&quot;Google Sans Text&quot;"/>
      <b val="1"/>
      <color rgb="FFFFFFFF"/>
    </font>
    <font>
      <name val="Google Sans Text"/>
      <color rgb="FF1F1F1F"/>
    </font>
    <font>
      <name val="Google Sans Text"/>
      <b val="1"/>
      <color rgb="FF1F1F1F"/>
    </font>
    <font>
      <name val="-apple-system"/>
      <color rgb="FF111111"/>
      <sz val="10"/>
    </font>
    <font>
      <name val="メイリオ"/>
      <color rgb="FF333333"/>
    </font>
    <font>
      <name val="&quot;Google Sans Text&quot;"/>
      <color rgb="FF1F1F1F"/>
    </font>
    <font>
      <color rgb="FF0000FF"/>
      <u val="single"/>
    </font>
    <font>
      <name val="&quot;Noto Sans JP&quot;"/>
      <color rgb="FF000000"/>
    </font>
    <font>
      <name val="Arial"/>
      <color rgb="FF333333"/>
      <scheme val="minor"/>
    </font>
    <font>
      <b val="1"/>
      <color rgb="FF0000FF"/>
      <sz val="11"/>
      <u val="single"/>
    </font>
    <font>
      <name val="Arial"/>
      <color rgb="FF111111"/>
      <sz val="10"/>
    </font>
    <font>
      <name val="Arial"/>
      <color rgb="FF1155CC"/>
      <u val="single"/>
    </font>
    <font>
      <color rgb="FF0000FF"/>
      <u val="single"/>
    </font>
    <font>
      <color rgb="FF000000"/>
    </font>
    <font>
      <name val="&quot;Google Sans Text&quot;"/>
      <b val="1"/>
      <color rgb="FF1F1F1F"/>
    </font>
    <font>
      <name val="&quot;Google Sans Text&quot;"/>
      <color rgb="FF1155CC"/>
      <u val="single"/>
    </font>
    <font>
      <name val="&quot;Google Sans Text&quot;"/>
      <color rgb="FF1155CC"/>
    </font>
    <font>
      <name val="&quot;Google Sans Text&quot;"/>
      <color rgb="FF1155CC"/>
      <u val="single"/>
    </font>
    <font>
      <name val="&quot;Segoe UI Historic&quot;"/>
      <color rgb="FF080809"/>
      <sz val="11"/>
    </font>
    <font>
      <name val="&quot;Google Sans Text&quot;"/>
      <color rgb="FF0000FF"/>
      <u val="single"/>
    </font>
    <font>
      <name val="&quot;Google Sans Text&quot;"/>
      <color rgb="FF1155CC"/>
      <u val="single"/>
    </font>
    <font>
      <color rgb="FF0000FF"/>
      <u val="single"/>
    </font>
    <font>
      <name val="Meiryo"/>
      <color theme="1"/>
      <sz val="9"/>
    </font>
    <font>
      <name val="Arial"/>
      <color theme="1"/>
      <sz val="20"/>
    </font>
    <font>
      <name val="ヒラギノ角ゴ ProN W3"/>
      <color theme="1"/>
    </font>
    <font>
      <name val="Meiryo"/>
      <color rgb="FFFFFFFF"/>
      <sz val="9"/>
    </font>
    <font/>
    <font>
      <name val="Meiryo"/>
      <color theme="1"/>
    </font>
    <font>
      <name val="ヒラギノ角ゴ ProN W3"/>
      <color rgb="FF0000FF"/>
      <u val="single"/>
    </font>
    <font>
      <name val="Arial"/>
      <b val="1"/>
      <color theme="1"/>
      <sz val="11"/>
    </font>
    <font>
      <name val="Arial"/>
      <color rgb="FF0000FF"/>
      <u val="single"/>
    </font>
    <font>
      <name val="Arial"/>
      <color rgb="FF0000FF"/>
      <u val="single"/>
    </font>
    <font>
      <name val="Arial"/>
      <color rgb="FF0000FF"/>
      <u val="single"/>
    </font>
    <font>
      <name val="Meiryo"/>
      <b val="1"/>
      <color theme="1"/>
      <sz val="11"/>
    </font>
    <font>
      <name val="Arial"/>
      <color rgb="FF0000FF"/>
      <u val="single"/>
    </font>
    <font>
      <name val="MS PGothic"/>
      <color theme="1"/>
      <sz val="11"/>
    </font>
    <font>
      <name val="ヒラギノ角ゴ ProN W3"/>
      <b val="1"/>
      <color theme="1"/>
    </font>
  </fonts>
  <fills count="19">
    <fill>
      <patternFill/>
    </fill>
    <fill>
      <patternFill patternType="lightGray"/>
    </fill>
    <fill>
      <patternFill patternType="solid">
        <fgColor rgb="FF0C343D"/>
        <bgColor rgb="FF0C343D"/>
      </patternFill>
    </fill>
    <fill>
      <patternFill patternType="solid">
        <fgColor rgb="FFFFFF00"/>
        <bgColor rgb="FFFFFF00"/>
      </patternFill>
    </fill>
    <fill>
      <patternFill patternType="solid">
        <fgColor rgb="FFD9D9D9"/>
        <bgColor rgb="FFD9D9D9"/>
      </patternFill>
    </fill>
    <fill>
      <patternFill patternType="solid">
        <fgColor theme="1"/>
        <bgColor theme="1"/>
      </patternFill>
    </fill>
    <fill>
      <patternFill patternType="solid">
        <fgColor rgb="FF073763"/>
        <bgColor rgb="FF073763"/>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rgb="FF366092"/>
        <bgColor rgb="FF366092"/>
      </patternFill>
    </fill>
    <fill>
      <patternFill patternType="solid">
        <fgColor rgb="FFFEF2CB"/>
        <bgColor rgb="FFFEF2CB"/>
      </patternFill>
    </fill>
    <fill>
      <patternFill patternType="solid">
        <fgColor rgb="FFD9E2F3"/>
        <bgColor rgb="FFD9E2F3"/>
      </patternFill>
    </fill>
    <fill>
      <patternFill patternType="solid">
        <fgColor rgb="FFDBE5F1"/>
        <bgColor rgb="FFDBE5F1"/>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right/>
      <top/>
      <bottom/>
    </border>
    <border>
      <left/>
      <right style="thin">
        <color rgb="FFAAAAAA"/>
      </right>
      <top/>
      <bottom/>
    </border>
    <border>
      <left style="medium">
        <color rgb="FF000000"/>
      </left>
      <right style="medium">
        <color rgb="FFFFFFFF"/>
      </right>
      <top style="thin">
        <color rgb="FF000000"/>
      </top>
      <bottom style="thin">
        <color rgb="FF000000"/>
      </bottom>
    </border>
    <border>
      <left style="medium">
        <color rgb="FFFFFFFF"/>
      </left>
      <top style="thin">
        <color rgb="FF000000"/>
      </top>
      <bottom style="thin">
        <color rgb="FF000000"/>
      </bottom>
    </border>
    <border>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top/>
      <bottom/>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AAAAAA"/>
      </left>
      <right/>
      <top style="thin">
        <color rgb="FF000000"/>
      </top>
      <bottom style="thin">
        <color rgb="FF000000"/>
      </bottom>
    </border>
    <border>
      <top style="thin">
        <color rgb="FF000000"/>
      </top>
    </border>
    <border>
      <left style="thin">
        <color rgb="FF000000"/>
      </left>
    </border>
    <border>
      <right style="thin">
        <color rgb="FF000000"/>
      </right>
    </border>
    <border>
      <left style="medium">
        <color rgb="FFFFFFFF"/>
      </left>
      <right style="thin">
        <color rgb="FFFFFFFF"/>
      </right>
      <top style="thin">
        <color rgb="FF000000"/>
      </top>
      <bottom style="thin">
        <color rgb="FF000000"/>
      </bottom>
    </border>
    <border>
      <right style="thin">
        <color rgb="FFFFFFFF"/>
      </right>
      <top style="thin">
        <color rgb="FF000000"/>
      </top>
    </border>
  </borders>
  <cellStyleXfs count="1">
    <xf numFmtId="0" fontId="0" fillId="0" borderId="0"/>
  </cellStyleXfs>
  <cellXfs count="208">
    <xf numFmtId="0" fontId="0" fillId="0" borderId="0" applyAlignment="1" pivotButton="0" quotePrefix="0" xfId="0">
      <alignment vertical="bottom"/>
    </xf>
    <xf numFmtId="0" fontId="1" fillId="2" borderId="0" applyAlignment="1" pivotButton="0" quotePrefix="0" xfId="0">
      <alignment vertical="bottom"/>
    </xf>
    <xf numFmtId="0" fontId="1" fillId="2" borderId="0" pivotButton="0" quotePrefix="0" xfId="0"/>
    <xf numFmtId="0" fontId="2" fillId="0" borderId="0" pivotButton="0" quotePrefix="0" xfId="0"/>
    <xf numFmtId="0" fontId="2" fillId="0" borderId="0" applyAlignment="1" pivotButton="0" quotePrefix="0" xfId="0">
      <alignment horizontal="right" vertical="bottom"/>
    </xf>
    <xf numFmtId="0" fontId="2" fillId="0" borderId="0" applyAlignment="1" pivotButton="0" quotePrefix="0" xfId="0">
      <alignment horizontal="left" vertical="bottom"/>
    </xf>
    <xf numFmtId="0" fontId="3" fillId="0" borderId="0" pivotButton="0" quotePrefix="0" xfId="0"/>
    <xf numFmtId="0" fontId="2" fillId="0" borderId="0" pivotButton="0" quotePrefix="0" xfId="0"/>
    <xf numFmtId="0" fontId="2" fillId="0" borderId="0" pivotButton="0" quotePrefix="0" xfId="0"/>
    <xf numFmtId="0" fontId="2" fillId="0" borderId="0" applyAlignment="1" pivotButton="0" quotePrefix="0" xfId="0">
      <alignment horizontal="left" vertical="bottom"/>
    </xf>
    <xf numFmtId="0" fontId="4" fillId="0" borderId="0" pivotButton="0" quotePrefix="0" xfId="0"/>
    <xf numFmtId="0" fontId="2" fillId="0" borderId="0" pivotButton="0" quotePrefix="0" xfId="0"/>
    <xf numFmtId="0" fontId="5" fillId="0" borderId="0" applyAlignment="1" pivotButton="0" quotePrefix="0" xfId="0">
      <alignment horizontal="left"/>
    </xf>
    <xf numFmtId="0" fontId="6" fillId="0" borderId="0" applyAlignment="1" pivotButton="0" quotePrefix="0" xfId="0">
      <alignment horizontal="left"/>
    </xf>
    <xf numFmtId="164"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7" fillId="0" borderId="0" pivotButton="0" quotePrefix="0" xfId="0"/>
    <xf numFmtId="0" fontId="2" fillId="0" borderId="0" applyAlignment="1" pivotButton="0" quotePrefix="0" xfId="0">
      <alignment vertical="bottom"/>
    </xf>
    <xf numFmtId="164" fontId="2" fillId="0" borderId="0" pivotButton="0" quotePrefix="0" xfId="0"/>
    <xf numFmtId="0" fontId="11"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1" fillId="0" borderId="0" pivotButton="0" quotePrefix="0" xfId="0"/>
    <xf numFmtId="0" fontId="14" fillId="0" borderId="0" pivotButton="0" quotePrefix="0" xfId="0"/>
    <xf numFmtId="0" fontId="11" fillId="0" borderId="0" pivotButton="0" quotePrefix="0" xfId="0"/>
    <xf numFmtId="0" fontId="15" fillId="0" borderId="0" pivotButton="0" quotePrefix="0" xfId="0"/>
    <xf numFmtId="0" fontId="16" fillId="0" borderId="0" applyAlignment="1" pivotButton="0" quotePrefix="0" xfId="0">
      <alignment vertical="bottom"/>
    </xf>
    <xf numFmtId="0" fontId="2" fillId="0" borderId="0" applyAlignment="1" pivotButton="0" quotePrefix="0" xfId="0">
      <alignment horizontal="left" vertical="center"/>
    </xf>
    <xf numFmtId="0" fontId="16" fillId="0" borderId="0" pivotButton="0" quotePrefix="0" xfId="0"/>
    <xf numFmtId="0" fontId="16" fillId="0" borderId="0" applyAlignment="1" pivotButton="0" quotePrefix="0" xfId="0">
      <alignment horizontal="right"/>
    </xf>
    <xf numFmtId="0" fontId="1" fillId="2" borderId="0" applyAlignment="1" pivotButton="0" quotePrefix="0" xfId="0">
      <alignment horizontal="right"/>
    </xf>
    <xf numFmtId="0" fontId="17" fillId="2" borderId="0" pivotButton="0" quotePrefix="0" xfId="0"/>
    <xf numFmtId="3" fontId="2" fillId="0" borderId="0" pivotButton="0" quotePrefix="0" xfId="0"/>
    <xf numFmtId="165" fontId="2" fillId="0" borderId="0" pivotButton="0" quotePrefix="0" xfId="0"/>
    <xf numFmtId="0" fontId="2" fillId="0" borderId="0" applyAlignment="1" pivotButton="0" quotePrefix="0" xfId="0">
      <alignment vertical="top"/>
    </xf>
    <xf numFmtId="0" fontId="2" fillId="3" borderId="0" pivotButton="0" quotePrefix="0" xfId="0"/>
    <xf numFmtId="0" fontId="2" fillId="0" borderId="0" applyAlignment="1" pivotButton="0" quotePrefix="0" xfId="0">
      <alignment horizontal="left"/>
    </xf>
    <xf numFmtId="0" fontId="18" fillId="0" borderId="0" pivotButton="0" quotePrefix="0" xfId="0"/>
    <xf numFmtId="0" fontId="19" fillId="0" borderId="0" pivotButton="0" quotePrefix="0" xfId="0"/>
    <xf numFmtId="0" fontId="16" fillId="0" borderId="0" applyAlignment="1" pivotButton="0" quotePrefix="0" xfId="0">
      <alignment horizontal="left" vertical="bottom"/>
    </xf>
    <xf numFmtId="0" fontId="1" fillId="2" borderId="0" applyAlignment="1" pivotButton="0" quotePrefix="0" xfId="0">
      <alignment horizontal="left" vertical="bottom"/>
    </xf>
    <xf numFmtId="0" fontId="20" fillId="0" borderId="0" applyAlignment="1" pivotButton="0" quotePrefix="0" xfId="0">
      <alignment vertical="top"/>
    </xf>
    <xf numFmtId="0" fontId="2" fillId="0" borderId="0" pivotButton="0" quotePrefix="0" xfId="0"/>
    <xf numFmtId="0" fontId="2" fillId="0" borderId="0" applyAlignment="1" pivotButton="0" quotePrefix="0" xfId="0">
      <alignment horizontal="left" vertical="bottom"/>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vertical="bottom"/>
    </xf>
    <xf numFmtId="0" fontId="16" fillId="4" borderId="0" applyAlignment="1" pivotButton="0" quotePrefix="0" xfId="0">
      <alignment vertical="bottom"/>
    </xf>
    <xf numFmtId="0" fontId="16" fillId="0" borderId="0" applyAlignment="1" pivotButton="0" quotePrefix="0" xfId="0">
      <alignment vertical="bottom"/>
    </xf>
    <xf numFmtId="0" fontId="2" fillId="0" borderId="0" applyAlignment="1" pivotButton="0" quotePrefix="0" xfId="0">
      <alignment horizontal="right" vertical="bottom"/>
    </xf>
    <xf numFmtId="0" fontId="21"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bottom"/>
    </xf>
    <xf numFmtId="0" fontId="22" fillId="0" borderId="0" pivotButton="0" quotePrefix="0" xfId="0"/>
    <xf numFmtId="0" fontId="23" fillId="0" borderId="0" pivotButton="0" quotePrefix="0" xfId="0"/>
    <xf numFmtId="0" fontId="24" fillId="0" borderId="0" pivotButton="0" quotePrefix="0" xfId="0"/>
    <xf numFmtId="0" fontId="25" fillId="0" borderId="0" pivotButton="0" quotePrefix="0" xfId="0"/>
    <xf numFmtId="0" fontId="24" fillId="5" borderId="0" pivotButton="0" quotePrefix="0" xfId="0"/>
    <xf numFmtId="0" fontId="24" fillId="5" borderId="0" pivotButton="0" quotePrefix="0" xfId="0"/>
    <xf numFmtId="0" fontId="26" fillId="6" borderId="0" pivotButton="0" quotePrefix="0" xfId="0"/>
    <xf numFmtId="0" fontId="27" fillId="7" borderId="0" applyAlignment="1" pivotButton="0" quotePrefix="0" xfId="0">
      <alignment vertical="bottom"/>
    </xf>
    <xf numFmtId="0" fontId="28" fillId="0" borderId="0" applyAlignment="1" pivotButton="0" quotePrefix="0" xfId="0">
      <alignment vertical="bottom"/>
    </xf>
    <xf numFmtId="0" fontId="27" fillId="0" borderId="0" applyAlignment="1" pivotButton="0" quotePrefix="0" xfId="0">
      <alignment vertical="bottom"/>
    </xf>
    <xf numFmtId="0" fontId="25" fillId="0" borderId="0" pivotButton="0" quotePrefix="0" xfId="0"/>
    <xf numFmtId="0" fontId="27" fillId="8" borderId="0" applyAlignment="1" pivotButton="0" quotePrefix="0" xfId="0">
      <alignment vertical="bottom"/>
    </xf>
    <xf numFmtId="0" fontId="27" fillId="0" borderId="0" applyAlignment="1" pivotButton="0" quotePrefix="0" xfId="0">
      <alignment vertical="bottom"/>
    </xf>
    <xf numFmtId="0" fontId="29" fillId="9" borderId="0" applyAlignment="1" pivotButton="0" quotePrefix="0" xfId="0">
      <alignment horizontal="left"/>
    </xf>
    <xf numFmtId="0" fontId="11" fillId="0" borderId="0" pivotButton="0" quotePrefix="0" xfId="0"/>
    <xf numFmtId="0" fontId="28" fillId="0" borderId="0" applyAlignment="1" pivotButton="0" quotePrefix="0" xfId="0">
      <alignment vertical="bottom"/>
    </xf>
    <xf numFmtId="0" fontId="11" fillId="7" borderId="0" pivotButton="0" quotePrefix="0" xfId="0"/>
    <xf numFmtId="0" fontId="11" fillId="10" borderId="0" pivotButton="0" quotePrefix="0" xfId="0"/>
    <xf numFmtId="0" fontId="27" fillId="11" borderId="0" applyAlignment="1" pivotButton="0" quotePrefix="0" xfId="0">
      <alignment vertical="bottom"/>
    </xf>
    <xf numFmtId="0" fontId="11" fillId="11" borderId="0" pivotButton="0" quotePrefix="0" xfId="0"/>
    <xf numFmtId="0" fontId="11" fillId="0" borderId="0" pivotButton="0" quotePrefix="0" xfId="0"/>
    <xf numFmtId="0" fontId="30" fillId="9" borderId="0" pivotButton="0" quotePrefix="0" xfId="0"/>
    <xf numFmtId="0" fontId="27" fillId="12" borderId="0" applyAlignment="1" pivotButton="0" quotePrefix="0" xfId="0">
      <alignment vertical="bottom"/>
    </xf>
    <xf numFmtId="0" fontId="14" fillId="9" borderId="0" pivotButton="0" quotePrefix="0" xfId="0"/>
    <xf numFmtId="0" fontId="31" fillId="0" borderId="0" pivotButton="0" quotePrefix="0" xfId="0"/>
    <xf numFmtId="0" fontId="27" fillId="0" borderId="0" applyAlignment="1" pivotButton="0" quotePrefix="0" xfId="0">
      <alignment vertical="bottom"/>
    </xf>
    <xf numFmtId="0" fontId="32" fillId="13" borderId="0" pivotButton="0" quotePrefix="0" xfId="0"/>
    <xf numFmtId="0" fontId="11" fillId="0" borderId="0" pivotButton="0" quotePrefix="0" xfId="0"/>
    <xf numFmtId="0" fontId="33" fillId="9" borderId="0" pivotButton="0" quotePrefix="0" xfId="0"/>
    <xf numFmtId="0" fontId="11" fillId="7" borderId="0" pivotButton="0" quotePrefix="0" xfId="0"/>
    <xf numFmtId="0" fontId="11" fillId="10" borderId="0" pivotButton="0" quotePrefix="0" xfId="0"/>
    <xf numFmtId="0" fontId="25" fillId="0" borderId="0" pivotButton="0" quotePrefix="0" xfId="0"/>
    <xf numFmtId="0" fontId="26" fillId="9" borderId="0" pivotButton="0" quotePrefix="0" xfId="0"/>
    <xf numFmtId="0" fontId="34" fillId="9" borderId="0" pivotButton="0" quotePrefix="0" xfId="0"/>
    <xf numFmtId="0" fontId="35" fillId="0" borderId="0" pivotButton="0" quotePrefix="0" xfId="0"/>
    <xf numFmtId="0" fontId="27" fillId="7" borderId="0" applyAlignment="1" pivotButton="0" quotePrefix="0" xfId="0">
      <alignment vertical="bottom"/>
    </xf>
    <xf numFmtId="0" fontId="28" fillId="0" borderId="0" applyAlignment="1" pivotButton="0" quotePrefix="0" xfId="0">
      <alignment horizontal="center" vertical="bottom"/>
    </xf>
    <xf numFmtId="0" fontId="25" fillId="0" borderId="0" applyAlignment="1" pivotButton="0" quotePrefix="0" xfId="0">
      <alignment horizontal="center"/>
    </xf>
    <xf numFmtId="0" fontId="27" fillId="8" borderId="0" applyAlignment="1" pivotButton="0" quotePrefix="0" xfId="0">
      <alignment vertical="bottom"/>
    </xf>
    <xf numFmtId="0" fontId="36" fillId="9" borderId="0" applyAlignment="1" pivotButton="0" quotePrefix="0" xfId="0">
      <alignment horizontal="left"/>
    </xf>
    <xf numFmtId="0" fontId="11" fillId="9" borderId="0" pivotButton="0" quotePrefix="0" xfId="0"/>
    <xf numFmtId="0" fontId="27" fillId="11" borderId="0" applyAlignment="1" pivotButton="0" quotePrefix="0" xfId="0">
      <alignment vertical="bottom"/>
    </xf>
    <xf numFmtId="0" fontId="27" fillId="11" borderId="0" applyAlignment="1" pivotButton="0" quotePrefix="0" xfId="0">
      <alignment vertical="bottom"/>
    </xf>
    <xf numFmtId="0" fontId="37" fillId="0" borderId="0" applyAlignment="1" pivotButton="0" quotePrefix="0" xfId="0">
      <alignment vertical="bottom"/>
    </xf>
    <xf numFmtId="0" fontId="38" fillId="9" borderId="0" pivotButton="0" quotePrefix="0" xfId="0"/>
    <xf numFmtId="0" fontId="39" fillId="0" borderId="0" pivotButton="0" quotePrefix="0" xfId="0"/>
    <xf numFmtId="0" fontId="27" fillId="0" borderId="0" applyAlignment="1" pivotButton="0" quotePrefix="0" xfId="0">
      <alignment vertical="bottom"/>
    </xf>
    <xf numFmtId="0" fontId="27" fillId="12" borderId="0" applyAlignment="1" pivotButton="0" quotePrefix="0" xfId="0">
      <alignment vertical="bottom"/>
    </xf>
    <xf numFmtId="0" fontId="27" fillId="12" borderId="0" applyAlignment="1" pivotButton="0" quotePrefix="0" xfId="0">
      <alignment vertical="bottom"/>
    </xf>
    <xf numFmtId="0" fontId="11" fillId="0" borderId="0" applyAlignment="1" pivotButton="0" quotePrefix="0" xfId="0">
      <alignment horizontal="center"/>
    </xf>
    <xf numFmtId="0" fontId="25" fillId="0" borderId="0" applyAlignment="1" pivotButton="0" quotePrefix="0" xfId="0">
      <alignment horizontal="center"/>
    </xf>
    <xf numFmtId="0" fontId="31" fillId="0" borderId="0" pivotButton="0" quotePrefix="0" xfId="0"/>
    <xf numFmtId="0" fontId="31" fillId="0" borderId="0" applyAlignment="1" pivotButton="0" quotePrefix="0" xfId="0">
      <alignment horizontal="center"/>
    </xf>
    <xf numFmtId="0" fontId="40" fillId="0" borderId="0" applyAlignment="1" pivotButton="0" quotePrefix="0" xfId="0">
      <alignment horizontal="center"/>
    </xf>
    <xf numFmtId="0" fontId="41" fillId="0" borderId="0" pivotButton="0" quotePrefix="0" xfId="0"/>
    <xf numFmtId="0" fontId="42" fillId="0" borderId="0" pivotButton="0" quotePrefix="0" xfId="0"/>
    <xf numFmtId="0" fontId="40" fillId="14" borderId="0" applyAlignment="1" pivotButton="0" quotePrefix="0" xfId="0">
      <alignment vertical="center"/>
    </xf>
    <xf numFmtId="0" fontId="43" fillId="14" borderId="0" applyAlignment="1" pivotButton="0" quotePrefix="0" xfId="0">
      <alignment vertical="center"/>
    </xf>
    <xf numFmtId="0" fontId="40" fillId="14" borderId="0" pivotButton="0" quotePrefix="0" xfId="0"/>
    <xf numFmtId="3" fontId="31" fillId="0" borderId="0" pivotButton="0" quotePrefix="0" xfId="0"/>
    <xf numFmtId="0" fontId="31" fillId="14" borderId="0" pivotButton="0" quotePrefix="0" xfId="0"/>
    <xf numFmtId="0" fontId="44" fillId="0" borderId="0" pivotButton="0" quotePrefix="0" xfId="0"/>
    <xf numFmtId="0" fontId="40" fillId="12" borderId="0" applyAlignment="1" pivotButton="0" quotePrefix="0" xfId="0">
      <alignment vertical="center"/>
    </xf>
    <xf numFmtId="0" fontId="45" fillId="12" borderId="0" applyAlignment="1" pivotButton="0" quotePrefix="0" xfId="0">
      <alignment vertical="center"/>
    </xf>
    <xf numFmtId="0" fontId="40" fillId="12" borderId="0" pivotButton="0" quotePrefix="0" xfId="0"/>
    <xf numFmtId="0" fontId="31" fillId="12" borderId="0" pivotButton="0" quotePrefix="0" xfId="0"/>
    <xf numFmtId="0" fontId="31" fillId="0" borderId="0" pivotButton="0" quotePrefix="0" xfId="0"/>
    <xf numFmtId="0" fontId="40" fillId="11" borderId="0" applyAlignment="1" pivotButton="0" quotePrefix="0" xfId="0">
      <alignment vertical="center"/>
    </xf>
    <xf numFmtId="0" fontId="46" fillId="11" borderId="0" applyAlignment="1" pivotButton="0" quotePrefix="0" xfId="0">
      <alignment vertical="center"/>
    </xf>
    <xf numFmtId="0" fontId="40" fillId="11" borderId="0" pivotButton="0" quotePrefix="0" xfId="0"/>
    <xf numFmtId="3" fontId="27" fillId="0" borderId="0" applyAlignment="1" pivotButton="0" quotePrefix="0" xfId="0">
      <alignment horizontal="right" vertical="bottom"/>
    </xf>
    <xf numFmtId="0" fontId="27" fillId="0" borderId="0" applyAlignment="1" pivotButton="0" quotePrefix="0" xfId="0">
      <alignment horizontal="right" vertical="bottom"/>
    </xf>
    <xf numFmtId="0" fontId="31" fillId="11" borderId="0" pivotButton="0" quotePrefix="0" xfId="0"/>
    <xf numFmtId="0" fontId="47" fillId="11" borderId="0" applyAlignment="1" pivotButton="0" quotePrefix="0" xfId="0">
      <alignment vertical="center"/>
    </xf>
    <xf numFmtId="0" fontId="27" fillId="0" borderId="0" applyAlignment="1" pivotButton="0" quotePrefix="0" xfId="0">
      <alignment horizontal="right" vertical="bottom"/>
    </xf>
    <xf numFmtId="0" fontId="40" fillId="0" borderId="0" applyAlignment="1" pivotButton="0" quotePrefix="0" xfId="0">
      <alignment vertical="center"/>
    </xf>
    <xf numFmtId="0" fontId="11" fillId="0" borderId="0" applyAlignment="1" pivotButton="0" quotePrefix="0" xfId="0">
      <alignment vertical="center"/>
    </xf>
    <xf numFmtId="49" fontId="48" fillId="9" borderId="1" applyAlignment="1" pivotButton="0" quotePrefix="0" xfId="0">
      <alignment horizontal="center" vertical="top"/>
    </xf>
    <xf numFmtId="49" fontId="49" fillId="0" borderId="2" applyAlignment="1" pivotButton="0" quotePrefix="0" xfId="0">
      <alignment vertical="top"/>
    </xf>
    <xf numFmtId="0" fontId="50" fillId="0" borderId="3" applyAlignment="1" pivotButton="0" quotePrefix="0" xfId="0">
      <alignment vertical="top"/>
    </xf>
    <xf numFmtId="0" fontId="50" fillId="9" borderId="4" applyAlignment="1" pivotButton="0" quotePrefix="0" xfId="0">
      <alignment vertical="top"/>
    </xf>
    <xf numFmtId="0" fontId="50" fillId="9" borderId="4" applyAlignment="1" pivotButton="0" quotePrefix="0" xfId="0">
      <alignment vertical="top"/>
    </xf>
    <xf numFmtId="0" fontId="50" fillId="9" borderId="5" applyAlignment="1" pivotButton="0" quotePrefix="0" xfId="0">
      <alignment vertical="top"/>
    </xf>
    <xf numFmtId="0" fontId="50" fillId="9" borderId="6" applyAlignment="1" pivotButton="0" quotePrefix="0" xfId="0">
      <alignment vertical="top"/>
    </xf>
    <xf numFmtId="49" fontId="51" fillId="15" borderId="7" applyAlignment="1" pivotButton="0" quotePrefix="0" xfId="0">
      <alignment horizontal="center" vertical="top"/>
    </xf>
    <xf numFmtId="49" fontId="51" fillId="15" borderId="8" applyAlignment="1" pivotButton="0" quotePrefix="0" xfId="0">
      <alignment horizontal="center" vertical="top"/>
    </xf>
    <xf numFmtId="0" fontId="52" fillId="0" borderId="3" pivotButton="0" quotePrefix="0" xfId="0"/>
    <xf numFmtId="0" fontId="52" fillId="0" borderId="9" pivotButton="0" quotePrefix="0" xfId="0"/>
    <xf numFmtId="49" fontId="51" fillId="15" borderId="10" applyAlignment="1" pivotButton="0" quotePrefix="0" xfId="0">
      <alignment horizontal="center" vertical="top"/>
    </xf>
    <xf numFmtId="49" fontId="51" fillId="15" borderId="10" applyAlignment="1" pivotButton="0" quotePrefix="0" xfId="0">
      <alignment horizontal="center" vertical="top"/>
    </xf>
    <xf numFmtId="49" fontId="2" fillId="16" borderId="11" applyAlignment="1" pivotButton="0" quotePrefix="0" xfId="0">
      <alignment vertical="top" wrapText="1"/>
    </xf>
    <xf numFmtId="49" fontId="53" fillId="17" borderId="2" applyAlignment="1" pivotButton="0" quotePrefix="0" xfId="0">
      <alignment horizontal="center" vertical="top"/>
    </xf>
    <xf numFmtId="0" fontId="52" fillId="0" borderId="12" pivotButton="0" quotePrefix="0" xfId="0"/>
    <xf numFmtId="49" fontId="53" fillId="16" borderId="2" applyAlignment="1" pivotButton="0" quotePrefix="0" xfId="0">
      <alignment vertical="top" wrapText="1"/>
    </xf>
    <xf numFmtId="49" fontId="54" fillId="16" borderId="1" applyAlignment="1" pivotButton="0" quotePrefix="0" xfId="0">
      <alignment vertical="top"/>
    </xf>
    <xf numFmtId="0" fontId="50" fillId="16" borderId="1" applyAlignment="1" pivotButton="0" quotePrefix="0" xfId="0">
      <alignment vertical="top"/>
    </xf>
    <xf numFmtId="0" fontId="50" fillId="16" borderId="1" applyAlignment="1" pivotButton="0" quotePrefix="0" xfId="0">
      <alignment vertical="top"/>
    </xf>
    <xf numFmtId="0" fontId="52" fillId="0" borderId="13" pivotButton="0" quotePrefix="0" xfId="0"/>
    <xf numFmtId="49" fontId="53" fillId="17" borderId="14" applyAlignment="1" pivotButton="0" quotePrefix="0" xfId="0">
      <alignment horizontal="center" vertical="top"/>
    </xf>
    <xf numFmtId="0" fontId="52" fillId="0" borderId="15" pivotButton="0" quotePrefix="0" xfId="0"/>
    <xf numFmtId="49" fontId="55" fillId="16" borderId="2" applyAlignment="1" pivotButton="0" quotePrefix="0" xfId="0">
      <alignment vertical="top" wrapText="1"/>
    </xf>
    <xf numFmtId="49" fontId="53" fillId="16" borderId="11" applyAlignment="1" pivotButton="0" quotePrefix="0" xfId="0">
      <alignment vertical="top" wrapText="1"/>
    </xf>
    <xf numFmtId="49" fontId="56" fillId="16" borderId="11" applyAlignment="1" pivotButton="0" quotePrefix="0" xfId="0">
      <alignment vertical="top" wrapText="1"/>
    </xf>
    <xf numFmtId="0" fontId="57" fillId="16" borderId="11" applyAlignment="1" pivotButton="0" quotePrefix="0" xfId="0">
      <alignment vertical="top" wrapText="1"/>
    </xf>
    <xf numFmtId="0" fontId="58" fillId="16" borderId="11" applyAlignment="1" pivotButton="0" quotePrefix="0" xfId="0">
      <alignment vertical="top" wrapText="1"/>
    </xf>
    <xf numFmtId="0" fontId="50" fillId="16" borderId="11" applyAlignment="1" pivotButton="0" quotePrefix="0" xfId="0">
      <alignment vertical="top"/>
    </xf>
    <xf numFmtId="0" fontId="52" fillId="0" borderId="16" pivotButton="0" quotePrefix="0" xfId="0"/>
    <xf numFmtId="0" fontId="52" fillId="0" borderId="17" pivotButton="0" quotePrefix="0" xfId="0"/>
    <xf numFmtId="49" fontId="53" fillId="16" borderId="1" applyAlignment="1" pivotButton="0" quotePrefix="0" xfId="0">
      <alignment horizontal="center" vertical="top" wrapText="1"/>
    </xf>
    <xf numFmtId="0" fontId="52" fillId="0" borderId="18" pivotButton="0" quotePrefix="0" xfId="0"/>
    <xf numFmtId="49" fontId="59" fillId="16" borderId="2" applyAlignment="1" pivotButton="0" quotePrefix="0" xfId="0">
      <alignment vertical="top" wrapText="1"/>
    </xf>
    <xf numFmtId="0" fontId="50" fillId="16" borderId="11" applyAlignment="1" pivotButton="0" quotePrefix="0" xfId="0">
      <alignment vertical="top"/>
    </xf>
    <xf numFmtId="49" fontId="53" fillId="16" borderId="1" applyAlignment="1" pivotButton="0" quotePrefix="0" xfId="0">
      <alignment vertical="top" wrapText="1"/>
    </xf>
    <xf numFmtId="49" fontId="53" fillId="18" borderId="14" applyAlignment="1" pivotButton="0" quotePrefix="0" xfId="0">
      <alignment horizontal="center" vertical="top"/>
    </xf>
    <xf numFmtId="49" fontId="60" fillId="16" borderId="11" applyAlignment="1" pivotButton="0" quotePrefix="0" xfId="0">
      <alignment vertical="top" wrapText="1"/>
    </xf>
    <xf numFmtId="49" fontId="53" fillId="18" borderId="14" applyAlignment="1" pivotButton="0" quotePrefix="0" xfId="0">
      <alignment horizontal="center" vertical="top"/>
    </xf>
    <xf numFmtId="0" fontId="50" fillId="9" borderId="19" applyAlignment="1" pivotButton="0" quotePrefix="0" xfId="0">
      <alignment vertical="top"/>
    </xf>
    <xf numFmtId="0" fontId="59" fillId="16" borderId="2" applyAlignment="1" pivotButton="0" quotePrefix="0" xfId="0">
      <alignment vertical="top" wrapText="1"/>
    </xf>
    <xf numFmtId="49" fontId="53" fillId="17" borderId="2" applyAlignment="1" pivotButton="0" quotePrefix="0" xfId="0">
      <alignment horizontal="center" vertical="top"/>
    </xf>
    <xf numFmtId="49" fontId="61" fillId="16" borderId="2" applyAlignment="1" pivotButton="0" quotePrefix="0" xfId="0">
      <alignment vertical="top" wrapText="1"/>
    </xf>
    <xf numFmtId="49" fontId="50" fillId="16" borderId="1" applyAlignment="1" pivotButton="0" quotePrefix="0" xfId="0">
      <alignment vertical="top"/>
    </xf>
    <xf numFmtId="0" fontId="50" fillId="9" borderId="20" applyAlignment="1" pivotButton="0" quotePrefix="0" xfId="0">
      <alignment vertical="top"/>
    </xf>
    <xf numFmtId="0" fontId="50" fillId="9" borderId="21" applyAlignment="1" pivotButton="0" quotePrefix="0" xfId="0">
      <alignment vertical="top"/>
    </xf>
    <xf numFmtId="0" fontId="50" fillId="9" borderId="22" applyAlignment="1" pivotButton="0" quotePrefix="0" xfId="0">
      <alignment vertical="top"/>
    </xf>
    <xf numFmtId="0" fontId="62" fillId="9" borderId="5" applyAlignment="1" pivotButton="0" quotePrefix="0" xfId="0">
      <alignment vertical="top"/>
    </xf>
    <xf numFmtId="0" fontId="11" fillId="0" borderId="0" applyAlignment="1" pivotButton="0" quotePrefix="0" xfId="0">
      <alignment vertical="top"/>
    </xf>
    <xf numFmtId="0" fontId="11" fillId="0" borderId="0" applyAlignment="1" pivotButton="0" quotePrefix="0" xfId="0">
      <alignment vertical="top"/>
    </xf>
    <xf numFmtId="0" fontId="50" fillId="9" borderId="23" applyAlignment="1" pivotButton="0" quotePrefix="0" xfId="0">
      <alignment vertical="top"/>
    </xf>
    <xf numFmtId="0" fontId="0" fillId="0" borderId="0" pivotButton="0" quotePrefix="0" xfId="0"/>
    <xf numFmtId="0" fontId="0" fillId="0" borderId="0" applyAlignment="1" pivotButton="0" quotePrefix="0" xfId="0">
      <alignment vertical="top" wrapText="1"/>
    </xf>
    <xf numFmtId="0" fontId="11" fillId="0" borderId="0" applyAlignment="1" pivotButton="0" quotePrefix="0" xfId="0">
      <alignment vertical="top" wrapText="1"/>
    </xf>
    <xf numFmtId="49" fontId="51" fillId="15" borderId="27" applyAlignment="1" pivotButton="0" quotePrefix="0" xfId="0">
      <alignment horizontal="center" vertical="top"/>
    </xf>
    <xf numFmtId="0" fontId="0" fillId="0" borderId="3" pivotButton="0" quotePrefix="0" xfId="0"/>
    <xf numFmtId="0" fontId="0" fillId="0" borderId="9" pivotButton="0" quotePrefix="0" xfId="0"/>
    <xf numFmtId="49" fontId="2" fillId="16" borderId="1" applyAlignment="1" pivotButton="0" quotePrefix="0" xfId="0">
      <alignment vertical="top" wrapText="1"/>
    </xf>
    <xf numFmtId="49" fontId="53" fillId="17" borderId="1" applyAlignment="1" pivotButton="0" quotePrefix="0" xfId="0">
      <alignment horizontal="center" vertical="top"/>
    </xf>
    <xf numFmtId="0" fontId="0" fillId="0" borderId="12" pivotButton="0" quotePrefix="0" xfId="0"/>
    <xf numFmtId="0" fontId="0" fillId="0" borderId="13" pivotButton="0" quotePrefix="0" xfId="0"/>
    <xf numFmtId="0" fontId="0" fillId="0" borderId="15" pivotButton="0" quotePrefix="0" xfId="0"/>
    <xf numFmtId="49" fontId="55" fillId="16" borderId="1" applyAlignment="1" pivotButton="0" quotePrefix="0" xfId="0">
      <alignment vertical="top" wrapText="1"/>
    </xf>
    <xf numFmtId="49" fontId="56" fillId="16" borderId="1" applyAlignment="1" pivotButton="0" quotePrefix="0" xfId="0">
      <alignment vertical="top" wrapText="1"/>
    </xf>
    <xf numFmtId="0" fontId="57" fillId="16" borderId="1" applyAlignment="1" pivotButton="0" quotePrefix="0" xfId="0">
      <alignment vertical="top" wrapText="1"/>
    </xf>
    <xf numFmtId="0" fontId="58" fillId="16" borderId="1" applyAlignment="1" pivotButton="0" quotePrefix="0" xfId="0">
      <alignment vertical="top" wrapText="1"/>
    </xf>
    <xf numFmtId="0" fontId="0" fillId="0" borderId="16" pivotButton="0" quotePrefix="0" xfId="0"/>
    <xf numFmtId="0" fontId="0" fillId="0" borderId="17" pivotButton="0" quotePrefix="0" xfId="0"/>
    <xf numFmtId="0" fontId="0" fillId="0" borderId="18" pivotButton="0" quotePrefix="0" xfId="0"/>
    <xf numFmtId="49" fontId="59" fillId="16" borderId="1" applyAlignment="1" pivotButton="0" quotePrefix="0" xfId="0">
      <alignment vertical="top" wrapText="1"/>
    </xf>
    <xf numFmtId="49" fontId="53" fillId="18" borderId="1" applyAlignment="1" pivotButton="0" quotePrefix="0" xfId="0">
      <alignment horizontal="center" vertical="top"/>
    </xf>
    <xf numFmtId="49" fontId="60" fillId="16" borderId="1" applyAlignment="1" pivotButton="0" quotePrefix="0" xfId="0">
      <alignment vertical="top" wrapText="1"/>
    </xf>
    <xf numFmtId="0" fontId="59" fillId="16" borderId="1" applyAlignment="1" pivotButton="0" quotePrefix="0" xfId="0">
      <alignment vertical="top" wrapText="1"/>
    </xf>
    <xf numFmtId="49" fontId="61" fillId="16"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tc={cae6c588-23c0-4fcf-875b-6c14c607f324}</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労働時間での管理は偽装請負とみなされる可能性があるため、「業務遂行」等をご検討ください。
</t>
      </text>
    </comment>
  </commentList>
</comments>
</file>

<file path=xl/comments/comment2.xml><?xml version="1.0" encoding="utf-8"?>
<comments xmlns="http://schemas.openxmlformats.org/spreadsheetml/2006/main">
  <authors>
    <author>tc={5c8862cd-c373-4eec-a681-42d3e16ae711}</author>
    <author>tc={90f57eee-bc6e-46b0-be31-504d26cc1d9f}</author>
    <author>tc={1bdb8a21-7ced-4ae8-b5a1-ae191140e8cb}</author>
    <author>tc={5dd386b8-b3f9-44b6-8e35-06bb174d72b8}</author>
    <author>tc={40e0e6ef-feca-4b00-8395-6e01fab37783}</author>
    <author>tc={287cc7ea-6884-4bcb-9234-ea4fdc6e8ef6}</author>
    <author>tc={85a0c822-685a-4fc0-8148-70cf95d0cd61}</author>
    <author>tc={4a4b3928-b18f-4590-9b3a-36f1b0e6da5d}</author>
    <author>tc={b600f1de-1f85-4da0-b845-4ee10027c7cb}</author>
    <author>tc={e3461591-f87f-4196-b29b-483ca7f8808c}</author>
    <author>tc={9bdec4dd-20e9-41be-b368-c06e38c1459c}</author>
    <author>tc={d9b353bc-f196-47f0-b7c5-c92ad5a0d181}</author>
    <author>tc={92516042-5505-4717-86de-1316e5ebff2a}</author>
    <author>tc={017148db-9aaa-4506-80bd-813e41f07488}</author>
    <author>tc={9c64fbc9-cafb-4eda-8851-50637684761d}</author>
    <author>tc={2f8c4c91-2990-4c4c-93dd-634b20175538}</author>
    <author>tc={cfce620b-a000-4a46-b9ad-0d2d114980b1}</author>
    <author>tc={ff241020-505a-4729-8beb-bf7aac7452d9}</author>
    <author>tc={c385da72-bbd2-4d02-a7b3-6849fd59a28e}</author>
    <author>tc={8da811b1-99d3-4d7f-bfef-086c24c40260}</author>
    <author>tc={4e45e972-c923-4fed-815d-6cc4b414ae69}</author>
    <author>tc={b10e2e14-9dfa-431b-9143-a8cb1da62a15}</author>
    <author>tc={d77a4426-5eb4-4888-88fe-ba4b413473cf}</author>
    <author>tc={a3d7a9ad-1d59-4156-abef-71fa43a3eba7}</author>
    <author>tc={4396f5c5-0fdc-48d0-a25c-f48a517bda48}</author>
    <author>tc={1f9e18cf-087f-40d5-bb63-9ff356d78c76}</author>
    <author>tc={3231d84d-a33c-4a4f-9629-2aee29bc5c61}</author>
    <author>tc={50ba80f0-7338-402f-a5ff-8c7ce18b19f6}</author>
    <author>tc={db9b9ef0-4456-450d-aa07-93a4dd64f8b7}</author>
    <author>tc={d94b6468-1659-4357-a0f0-cda95c6acf74}</author>
    <author>tc={a80622a2-e9b5-4d6e-9d3f-ca8e0d5ed127}</author>
    <author>tc={a0d98001-e338-4052-be50-a398564f0449}</author>
    <author>tc={e737f1b9-979b-4513-ae48-673494b4acca}</author>
    <author>tc={4bbb62de-dca0-4fdd-b24d-b3e0b9a3cf97}</author>
    <author>tc={44a2a56f-6442-40d6-8e13-171149a0b8da}</author>
    <author>tc={1270de91-1097-4dc5-924d-6cf339cc1eef}</author>
    <author>tc={525fa4fe-3723-4286-b28a-e948abdcb78c}</author>
    <author>tc={de299ddd-8131-4eba-9472-693a4be85bdf}</author>
    <author>tc={b8b5b88c-f9c4-4e3d-9b63-13805a2add87}</author>
    <author>tc={35b586a6-4d8f-4310-ba6f-3540d206a115}</author>
    <author>tc={721b4e3a-855c-4829-be3d-86292dbb80a6}</author>
    <author>tc={6a8898a2-2cb8-4f23-8482-6138c8d72346}</author>
    <author>tc={7c90e9a4-84fc-45ed-a1ac-c88b8870e9e4}</author>
    <author>tc={d77a146d-9b97-4d64-bbeb-9dee3e9a2538}</author>
    <author>tc={91deccfa-8b69-46de-a103-e7a43bdc677c}</author>
    <author>tc={3fae45ef-95ee-4faa-a6cb-664d5306a876}</author>
    <author>tc={c43fc1b2-c33c-4f3f-be0f-82071550ab26}</author>
    <author>tc={7eb4b128-f079-4544-bf9d-266cef1b0884}</author>
    <author>tc={47ebc858-1577-41d3-afef-76f84c747f98}</author>
    <author>tc={9b259b93-a4a5-4021-8b0f-bc60926b4bfb}</author>
    <author>tc={8acbbd36-bce5-4b5f-a30e-206665268be5}</author>
    <author>tc={fda069f1-e89d-4610-b363-0bb7a8257c02}</author>
    <author>tc={2bb315b3-e5ad-4be5-8a1c-78000b838c7c}</author>
    <author>tc={5e9b4515-82a8-4ce8-8b67-ce4f8fabba28}</author>
    <author>tc={404d4714-aade-4694-9eb5-543b1ea46ba9}</author>
    <author>tc={f7e4a4c2-3272-485a-abaf-0494ec51dbac}</author>
    <author>tc={2a24b3c0-4f1f-44a5-bd16-1fcf305b6ab7}</author>
    <author>tc={d51dae2b-7c50-44b9-9e31-f2a1dc0d0340}</author>
    <author>tc={d3eb016c-8d73-4463-9082-ddd564b39624}</author>
    <author>tc={203e0291-dafe-44c8-8ac5-bca4686aa6bd}</author>
    <author>tc={a880b259-b171-4976-8a46-1fdc691abe85}</author>
    <author>tc={66585d4a-cb85-4012-af67-3b5ca929c553}</author>
    <author>tc={46260995-0ba2-4b80-96cb-3e665901e757}</author>
    <author>tc={3e700535-5f05-4c55-88df-4c4de60a4bba}</author>
    <author>tc={c5447108-8ab5-4a0d-9475-de60b634fea6}</author>
    <author>tc={804705a7-4864-4d04-af80-a0bf828d1af3}</author>
    <author>tc={9645563c-e93f-46de-8996-aed419c1d962}</author>
    <author>tc={4a370562-1afe-4416-9b39-2f2bdb9b7baa}</author>
    <author>tc={aae3ebcd-21d4-4f1a-929a-fc356bf78d79}</author>
    <author>tc={91602df4-c60f-45b6-91e4-c9d2d94c706a}</author>
    <author>tc={7bc23fc1-4202-4da4-becf-526e0a48f0f1}</author>
    <author>tc={8cf87c51-513a-48fe-889b-e5981c4b5f6b}</author>
    <author>tc={d08abd1b-856c-4e6d-8e6c-e7e0e766aa1a}</author>
    <author>tc={d5fadaca-13f3-4213-94f4-e436d7baa95b}</author>
    <author>tc={02b1615c-41ec-43a2-b3a8-0cfe21ac3faf}</author>
    <author>tc={6aff0c9d-e9eb-4e5d-b9b2-8121512eba69}</author>
    <author>tc={bd8e4103-5e20-4f64-982e-774dd77b9a6a}</author>
    <author>tc={c987e5f3-706a-4491-bf22-a3ef618d8166}</author>
    <author>tc={5ae6340d-ed0f-4ac0-85d7-746897d2115d}</author>
    <author>tc={fb454dd9-7e05-4f59-ae1d-8475b12b3d0f}</author>
    <author>tc={7629687d-284e-4a43-a85a-dff214e02fa6}</author>
    <author>tc={759dd6cd-a682-4f0a-9b19-05d7a33439e6}</author>
    <author>tc={ee7772e1-b1c7-4fe7-8388-f58be5c2160b}</author>
    <author>tc={57a77530-f4e7-47a4-a84c-77ed11772b98}</author>
    <author>tc={b6b66ae2-d0fe-4b52-a116-e8fba7c4d19c}</author>
    <author>tc={fa9d5e8a-f5f4-4db8-85fc-4c8bc9e38be3}</author>
    <author>tc={d8e57fa9-fb98-456a-8e2f-b0256e8dd9ef}</author>
    <author>tc={9cf72581-a099-4dfd-bfd7-59652739ceb4}</author>
    <author>tc={722aa8da-292c-45b1-a4d3-48c58bfd1fa3}</author>
    <author>tc={f74ff514-69b3-4110-a2b5-d1d78b01229d}</author>
    <author>tc={26dfcf07-317c-4a5b-be9d-08803b4b0310}</author>
    <author>tc={bc4cafeb-3b28-47eb-b9ca-6aa152465cc7}</author>
    <author>tc={91408fce-515e-424f-bd1e-e88d85cbf65e}</author>
    <author>tc={bf6a0312-4087-4a4c-a0e2-15b7c9bc1031}</author>
    <author>tc={972cfd82-5d3e-40f3-9eb6-ff34a8984098}</author>
    <author>tc={5ba7a21b-1d5d-41a1-873d-2b77ffcc999e}</author>
    <author>tc={db4ee784-1792-4ec0-a33b-19553f3ae50b}</author>
    <author>tc={4217bcc3-b397-492e-b0a9-c293badaf75b}</author>
    <author>tc={e8df237c-34f9-4c04-befb-0d7e86a77549}</author>
    <author>tc={0842f713-3e72-4699-b0fd-25968932a8b1}</author>
    <author>tc={c55c3c05-b6c7-45c1-a2d9-6f75975806e3}</author>
    <author>tc={cff5dbc5-c74d-454b-9cb1-ac1a638dd6ca}</author>
    <author>tc={b807b247-82d2-4280-9dd7-ee03e3f3ecc5}</author>
    <author>tc={57397e2f-4ba0-4a1c-88d9-398e97f56bdb}</author>
    <author>tc={3457b000-31df-4eb5-b97b-32f2539c56c9}</author>
    <author>tc={03e91f36-b96b-4aef-b1c3-0c50904c4a64}</author>
    <author>tc={82a8bab2-abaa-4141-b6ac-e1af8806db69}</author>
    <author>tc={d494c5d8-a97b-499f-94a9-5ec5f051a5ff}</author>
    <author>tc={9ce45667-c0ba-4f4f-8ead-0ebc2b97eed3}</author>
    <author>tc={57ca7208-f459-480f-acde-b9abeb5c157b}</author>
    <author>tc={cac73d7b-9eb8-4887-a7ad-739ef1ce5f8c}</author>
    <author>tc={823e19ad-c896-4b21-a235-ccfaaaf3945a}</author>
    <author>tc={99537205-ffe5-444b-be75-e32a4f63a8c1}</author>
    <author>tc={63635860-c414-4a48-9c26-7ce944e99660}</author>
    <author>tc={55353c27-a164-453d-8377-42e5a11d57db}</author>
    <author>tc={94212335-dad0-41e4-9970-a8a32046d6a1}</author>
    <author>tc={068c0987-1716-4fca-b373-7c702baa950b}</author>
    <author>tc={112a2c42-9c7e-40cd-b8b5-b4bbe95c54f3}</author>
    <author>tc={6262c026-1cc3-40b3-9d6d-04c503d590ca}</author>
    <author>tc={48d87d4a-324c-4310-b1b2-7efe20c9cbc6}</author>
    <author>tc={3089572a-1c00-4f05-bc7d-348789c212f5}</author>
    <author>tc={4ce2490f-160b-490d-b53c-e718b59717ed}</author>
    <author>tc={204dda31-94f1-4ef5-aea6-2b76ba61c71b}</author>
    <author>tc={44c4c733-e2be-4883-a603-597c54b2aa99}</author>
    <author>tc={3d334b4c-dc6d-4052-86da-ed4c28f0768d}</author>
    <author>tc={b4cda72b-9184-479c-b40a-9721c3ad7f52}</author>
    <author>tc={35da78c8-7ea3-4a2c-83f6-337622599921}</author>
    <author>tc={8edb59d3-26f5-41b1-8dfb-9f66ec0d26a4}</author>
    <author>tc={19a6d0d9-4cce-4bb2-8b7d-427d140e8cc2}</author>
    <author>tc={6c8980be-ae23-46cb-8fe4-4ca5d34c57ea}</author>
  </authors>
  <commentList>
    <comment ref="I4" authorId="0" shapeId="0">
      <text>
        <t xml:space="preserve">[Threaded comment]
 Your version of Excel allows you to read this threaded comment; however, any edits to it will get removed if the file is opened in a newer version of Excel. Learn more: https://go.microsoft.com/fwlink/?linkid=870924
Comment:
	協賛は「協賛」としなくともよいのでしょうか。
Reply:
	修正しました。
</t>
      </text>
    </comment>
    <comment ref="I5" authorId="1" shapeId="0">
      <text>
        <t xml:space="preserve">[Threaded comment]
 Your version of Excel allows you to read this threaded comment; however, any edits to it will get removed if the file is opened in a newer version of Excel. Learn more: https://go.microsoft.com/fwlink/?linkid=870924
Comment:
	to大薗
ここのコメント消した？
</t>
      </text>
    </comment>
    <comment ref="I8" authorId="2" shapeId="0">
      <text>
        <t xml:space="preserve">[Threaded comment]
 Your version of Excel allows you to read this threaded comment; however, any edits to it will get removed if the file is opened in a newer version of Excel. Learn more: https://go.microsoft.com/fwlink/?linkid=870924
Comment:
	"翌年の1月10日までであれば、会社に依頼して**「再調整」を行ってもらえる可能性があります。
→企業によっていは一切受け付けないこともありますので可能性に関しての記載は避けたほうがよいです。"
Reply:
	修正しました
</t>
      </text>
    </comment>
    <comment ref="I10" authorId="3" shapeId="0">
      <text>
        <t xml:space="preserve">[Threaded comment]
 Your version of Excel allows you to read this threaded comment; however, any edits to it will get removed if the file is opened in a newer version of Excel. Learn more: https://go.microsoft.com/fwlink/?linkid=870924
Comment:
	"ぜひお問い合わせください。
→広告目的になりかねますので削除おねがいします。"
Reply:
	修正しました
Reply:
	お問い合わせ前の文言修正しました。
</t>
      </text>
    </comment>
    <comment ref="I13" authorId="4" shapeId="0">
      <text>
        <t xml:space="preserve">[Threaded comment]
 Your version of Excel allows you to read this threaded comment; however, any edits to it will get removed if the file is opened in a newer version of Excel. Learn more: https://go.microsoft.com/fwlink/?linkid=870924
Comment:
	コンプラ確認前の記事で恐縮ですが、引用元の記事自体がリスクがあるため掲載控えていただくのと税関連は別途専門性のある方にご確認いただきたく存じます。
「用途を事業用の名目で購入すれば経費として計上することが可能です。」という断定的な部分にリスクがございます。
Reply:
	修正しました。
</t>
      </text>
    </comment>
    <comment ref="I18" authorId="5" shapeId="0">
      <text>
        <t xml:space="preserve">[Threaded comment]
 Your version of Excel allows you to read this threaded comment; however, any edits to it will get removed if the file is opened in a newer version of Excel. Learn more: https://go.microsoft.com/fwlink/?linkid=870924
Comment:
	顧問名鑑のFAQ作成されること自体エグゼ側に念の為ご確認おねがいします。関係値があるため。
問題ない場合は3万名がいつ時点の確認か注釈の追記をおねがいいたします。
Reply:
	前後の文章から急に「ぜひDYMにお問い合わせください。」が違和感があります。ご確認ください。
また、エグゼでは顧問という表現は活用せず「エグゼパート人材」等顧問以外の表現を活用されています。
Reply:
	修正しました。
</t>
      </text>
    </comment>
    <comment ref="I24" authorId="6" shapeId="0">
      <text>
        <t xml:space="preserve">[Threaded comment]
 Your version of Excel allows you to read this threaded comment; however, any edits to it will get removed if the file is opened in a newer version of Excel. Learn more: https://go.microsoft.com/fwlink/?linkid=870924
Comment:
	公的な国の政策実施機関→株式会社ではありますよね？「中小企業投資育成株式会社法に基づき設立された公的な性格を持つ投資機関であり」とかでしょうか。ご確認おねがいします。
「投資先企業に対して経営干渉や役員派遣を一切行わず、」→事実でしょうか？
Reply:
	修正しました
</t>
      </text>
    </comment>
    <comment ref="I25" authorId="7" shapeId="0">
      <text>
        <t xml:space="preserve">[Threaded comment]
 Your version of Excel allows you to read this threaded comment; however, any edits to it will get removed if the file is opened in a newer version of Excel. Learn more: https://go.microsoft.com/fwlink/?linkid=870924
Comment:
	「スキャンダルがない」と断定せず、「人間モデル特有のスキャンダルリスクを避けられる」等に修正おねがいします。
Reply:
	修正しました
</t>
      </text>
    </comment>
    <comment ref="I29" authorId="8" shapeId="0">
      <text>
        <t xml:space="preserve">[Threaded comment]
 Your version of Excel allows you to read this threaded comment; however, any edits to it will get removed if the file is opened in a newer version of Excel. Learn more: https://go.microsoft.com/fwlink/?linkid=870924
Comment:
	高い効果が期待されます。等に変更し、断定表現を控えてください。
Reply:
	数値関連は確認時点の注釈をお願いいたします。
Reply:
	修正しました
</t>
      </text>
    </comment>
    <comment ref="I32" authorId="9" shapeId="0">
      <text>
        <t xml:space="preserve">[Threaded comment]
 Your version of Excel allows you to read this threaded comment; however, any edits to it will get removed if the file is opened in a newer version of Excel. Learn more: https://go.microsoft.com/fwlink/?linkid=870924
Comment:
	「新卒限定」とは限りません。
Reply:
	修正しました。
</t>
      </text>
    </comment>
    <comment ref="I36" authorId="10" shapeId="0">
      <text>
        <t xml:space="preserve">[Threaded comment]
 Your version of Excel allows you to read this threaded comment; however, any edits to it will get removed if the file is opened in a newer version of Excel. Learn more: https://go.microsoft.com/fwlink/?linkid=870924
Comment:
	NGワード→推奨されない等に修正してください。前提断定表現を避けてください。
Reply:
	修正しました。
</t>
      </text>
    </comment>
    <comment ref="I38" authorId="11" shapeId="0">
      <text>
        <t xml:space="preserve">[Threaded comment]
 Your version of Excel allows you to read this threaded comment; however, any edits to it will get removed if the file is opened in a newer version of Excel. Learn more: https://go.microsoft.com/fwlink/?linkid=870924
Comment:
	「給与収入のみの場合、給与所得控除55万円を差し引いて『所得48万円以下』となる収入が目安です（現在は103万円以下）。」等、改定されても一定対応できるよう断定的な表現を避ける工夫をおねがいします。
Reply:
	修正しました
</t>
      </text>
    </comment>
    <comment ref="I41" authorId="12" shapeId="0">
      <text>
        <t xml:space="preserve">[Threaded comment]
 Your version of Excel allows you to read this threaded comment; however, any edits to it will get removed if the file is opened in a newer version of Excel. Learn more: https://go.microsoft.com/fwlink/?linkid=870924
Comment:
	しかし、配置転換や昇進の機会については、無期雇用の正社員と差を設けられるケースがあります。→削除
Reply:
	修正しました。
</t>
      </text>
    </comment>
    <comment ref="I42" authorId="13" shapeId="0">
      <text>
        <t xml:space="preserve">[Threaded comment]
 Your version of Excel allows you to read this threaded comment; however, any edits to it will get removed if the file is opened in a newer version of Excel. Learn more: https://go.microsoft.com/fwlink/?linkid=870924
Comment:
	採用を目的とする場合は45秒以上の動画作成が推奨されています。→根拠ありますでしょうか。齟齬なければ結構です。
</t>
      </text>
    </comment>
    <comment ref="I51" authorId="14" shapeId="0">
      <text>
        <t xml:space="preserve">[Threaded comment]
 Your version of Excel allows you to read this threaded comment; however, any edits to it will get removed if the file is opened in a newer version of Excel. Learn more: https://go.microsoft.com/fwlink/?linkid=870924
Comment:
	具体的には、1987年頃から2004年頃に生まれた人々が該当し、→削除
Reply:
	修正しました。
</t>
      </text>
    </comment>
    <comment ref="I54" authorId="15" shapeId="0">
      <text>
        <t xml:space="preserve">[Threaded comment]
 Your version of Excel allows you to read this threaded comment; however, any edits to it will get removed if the file is opened in a newer version of Excel. Learn more: https://go.microsoft.com/fwlink/?linkid=870924
Comment:
	顧問契約が比較的定期的・継続的な相談業務（法務顧問など）を含まれると言われますが、　程度し、断定表現を避けてください。
Reply:
	修正しました
</t>
      </text>
    </comment>
    <comment ref="I56" authorId="16" shapeId="0">
      <text>
        <t xml:space="preserve">[Threaded comment]
 Your version of Excel allows you to read this threaded comment; however, any edits to it will get removed if the file is opened in a newer version of Excel. Learn more: https://go.microsoft.com/fwlink/?linkid=870924
Comment:
	「強力な」→削除し、断定的な表現を避けてください。
Reply:
	高額なスポンサー料を設定できます。→設定されています。ではないでしょうか？
Reply:
	修正しました
</t>
      </text>
    </comment>
    <comment ref="I58" authorId="17" shapeId="0">
      <text>
        <t xml:space="preserve">[Threaded comment]
 Your version of Excel allows you to read this threaded comment; however, any edits to it will get removed if the file is opened in a newer version of Excel. Learn more: https://go.microsoft.com/fwlink/?linkid=870924
Comment:
	法人税、法人事業税、および消費税は課税されません。→断定表現は避けてください。可能性としてはございます。
Reply:
	修正しました
</t>
      </text>
    </comment>
    <comment ref="I67" authorId="18" shapeId="0">
      <text>
        <t xml:space="preserve">[Threaded comment]
 Your version of Excel allows you to read this threaded comment; however, any edits to it will get removed if the file is opened in a newer version of Excel. Learn more: https://go.microsoft.com/fwlink/?linkid=870924
Comment:
	弊社は成果報酬ではなくチケット性です。また、媒体のような運用商材もあります。
Reply:
	修正しました
</t>
      </text>
    </comment>
    <comment ref="I73" authorId="19" shapeId="0">
      <text>
        <t xml:space="preserve">[Threaded comment]
 Your version of Excel allows you to read this threaded comment; however, any edits to it will get removed if the file is opened in a newer version of Excel. Learn more: https://go.microsoft.com/fwlink/?linkid=870924
Comment:
	根拠のない事項に関して断定表現を避けてください。
Reply:
	修正しました
</t>
      </text>
    </comment>
    <comment ref="I77" authorId="20" shapeId="0">
      <text>
        <t xml:space="preserve">[Threaded comment]
 Your version of Excel allows you to read this threaded comment; however, any edits to it will get removed if the file is opened in a newer version of Excel. Learn more: https://go.microsoft.com/fwlink/?linkid=870924
Comment:
	http:// こちらはドメインではないですよね？
Reply:
	修正しました
</t>
      </text>
    </comment>
    <comment ref="I92" authorId="21" shapeId="0">
      <text>
        <t xml:space="preserve">[Threaded comment]
 Your version of Excel allows you to read this threaded comment; however, any edits to it will get removed if the file is opened in a newer version of Excel. Learn more: https://go.microsoft.com/fwlink/?linkid=870924
Comment:
	DYMの　とはどういう意味でしょうか？
Reply:
	修正しました。
</t>
      </text>
    </comment>
    <comment ref="I95" authorId="22" shapeId="0">
      <text>
        <t xml:space="preserve">[Threaded comment]
 Your version of Excel allows you to read this threaded comment; however, any edits to it will get removed if the file is opened in a newer version of Excel. Learn more: https://go.microsoft.com/fwlink/?linkid=870924
Comment:
	（リクナビ、マイナビなど）わざわざ競合他社の名前出す必要ありますでしょうか？出すことにメリットがあるのであればそのままで結構です。
Reply:
	削除しました。
</t>
      </text>
    </comment>
    <comment ref="I108" authorId="23" shapeId="0">
      <text>
        <t xml:space="preserve">[Threaded comment]
 Your version of Excel allows you to read this threaded comment; however, any edits to it will get removed if the file is opened in a newer version of Excel. Learn more: https://go.microsoft.com/fwlink/?linkid=870924
Comment:
	不動産仲介はできますが、オフィスコンサルまでできるとはどこの事業部を指していらっしゃいますでしょうか。
Reply:
	修正しました
</t>
      </text>
    </comment>
    <comment ref="I109" authorId="24" shapeId="0">
      <text>
        <t xml:space="preserve">[Threaded comment]
 Your version of Excel allows you to read this threaded comment; however, any edits to it will get removed if the file is opened in a newer version of Excel. Learn more: https://go.microsoft.com/fwlink/?linkid=870924
Comment:
	「媒体（メディア）」と「媒体」が混在しています。どちらかに統一するか、初出のみ併記にすることを推奨します。
Reply:
	統一しました。
</t>
      </text>
    </comment>
    <comment ref="I112" authorId="25" shapeId="0">
      <text>
        <t xml:space="preserve">[Threaded comment]
 Your version of Excel allows you to read this threaded comment; however, any edits to it will get removed if the file is opened in a newer version of Excel. Learn more: https://go.microsoft.com/fwlink/?linkid=870924
Comment:
	「M&amp;A」と「株式譲渡」が比較対象として混在しています。正確には「M&amp;A（手法の総称）の中の、事業譲渡と株式譲渡の違い」かと思いますが、確認おねがいします。
商法ではなく会社法ではないでしょうか？ご確認ください
Reply:
	修正しました。
</t>
      </text>
    </comment>
    <comment ref="I114" authorId="26" shapeId="0">
      <text>
        <t xml:space="preserve">[Threaded comment]
 Your version of Excel allows you to read this threaded comment; however, any edits to it will get removed if the file is opened in a newer version of Excel. Learn more: https://go.microsoft.com/fwlink/?linkid=870924
Comment:
	プラン名と仕様に関して最新確認してください。
Reply:
	修正しました。
</t>
      </text>
    </comment>
    <comment ref="I123" authorId="27" shapeId="0">
      <text>
        <t xml:space="preserve">[Threaded comment]
 Your version of Excel allows you to read this threaded comment; however, any edits to it will get removed if the file is opened in a newer version of Excel. Learn more: https://go.microsoft.com/fwlink/?linkid=870924
Comment:
	・「クッキー」と「Cookie」の混在
・Cookieにパスワードそのもの（プレーンテキスト）を保存することは、セキュリティ上の致命的な欠陥となるため通常行われないかと思いますが。
</t>
      </text>
    </comment>
    <comment ref="I125" authorId="28" shapeId="0">
      <text>
        <t xml:space="preserve">[Threaded comment]
 Your version of Excel allows you to read this threaded comment; however, any edits to it will get removed if the file is opened in a newer version of Excel. Learn more: https://go.microsoft.com/fwlink/?linkid=870924
Comment:
	遇されやすくなり→Googleが優遇しているような表現にみえますので、「コンテンツ評価が安定しやすいとされています」程度にとどめてください。
</t>
      </text>
    </comment>
    <comment ref="I127" authorId="29" shapeId="0">
      <text>
        <t xml:space="preserve">[Threaded comment]
 Your version of Excel allows you to read this threaded comment; however, any edits to it will get removed if the file is opened in a newer version of Excel. Learn more: https://go.microsoft.com/fwlink/?linkid=870924
Comment:
	極端な話、1円からでも運用を始めることが可能です。→配信されない可能性はありませんか？
</t>
      </text>
    </comment>
    <comment ref="I128" authorId="30" shapeId="0">
      <text>
        <t xml:space="preserve">[Threaded comment]
 Your version of Excel allows you to read this threaded comment; however, any edits to it will get removed if the file is opened in a newer version of Excel. Learn more: https://go.microsoft.com/fwlink/?linkid=870924
Comment:
	最も重視している要素→断定は出来ないかと思います。
最も効果的な対策は〜です→同上
</t>
      </text>
    </comment>
    <comment ref="I129" authorId="31" shapeId="0">
      <text>
        <t xml:space="preserve">[Threaded comment]
 Your version of Excel allows you to read this threaded comment; however, any edits to it will get removed if the file is opened in a newer version of Excel. Learn more: https://go.microsoft.com/fwlink/?linkid=870924
Comment:
	アイスブレイクは、英語で「ice breaker」では？？
</t>
      </text>
    </comment>
    <comment ref="I130" authorId="32" shapeId="0">
      <text>
        <t xml:space="preserve">[Threaded comment]
 Your version of Excel allows you to read this threaded comment; however, any edits to it will get removed if the file is opened in a newer version of Excel. Learn more: https://go.microsoft.com/fwlink/?linkid=870924
Comment:
	「最も重要なKPI」→「特に重要なKPIの一つ」程度にとどめてください。
</t>
      </text>
    </comment>
    <comment ref="I134" authorId="33" shapeId="0">
      <text>
        <t xml:space="preserve">[Threaded comment]
 Your version of Excel allows you to read this threaded comment; however, any edits to it will get removed if the file is opened in a newer version of Excel. Learn more: https://go.microsoft.com/fwlink/?linkid=870924
Comment:
	Indeedの話が急に出てきています。前提理解されていない人には違和感があります。
Reply:
	修正しました
</t>
      </text>
    </comment>
    <comment ref="I139" authorId="34" shapeId="0">
      <text>
        <t xml:space="preserve">[Threaded comment]
 Your version of Excel allows you to read this threaded comment; however, any edits to it will get removed if the file is opened in a newer version of Excel. Learn more: https://go.microsoft.com/fwlink/?linkid=870924
Comment:
	Society Training=中途社員研修　ではないかと思います。
Reply:
	修正しました。
</t>
      </text>
    </comment>
    <comment ref="I140" authorId="35" shapeId="0">
      <text>
        <t xml:space="preserve">[Threaded comment]
 Your version of Excel allows you to read this threaded comment; however, any edits to it will get removed if the file is opened in a newer version of Excel. Learn more: https://go.microsoft.com/fwlink/?linkid=870924
Comment:
	3語以上でしょうか？
Reply:
	修正しました。
</t>
      </text>
    </comment>
    <comment ref="I145" authorId="36" shapeId="0">
      <text>
        <t xml:space="preserve">[Threaded comment]
 Your version of Excel allows you to read this threaded comment; however, any edits to it will get removed if the file is opened in a newer version of Excel. Learn more: https://go.microsoft.com/fwlink/?linkid=870924
Comment:
	文脈からして「倒産は消滅」にはならないかと思います。
</t>
      </text>
    </comment>
    <comment ref="I150" authorId="37" shapeId="0">
      <text>
        <t xml:space="preserve">[Threaded comment]
 Your version of Excel allows you to read this threaded comment; however, any edits to it will get removed if the file is opened in a newer version of Excel. Learn more: https://go.microsoft.com/fwlink/?linkid=870924
Comment:
	一般派遣=登録型派遣ではありません。確認し直してください。
</t>
      </text>
    </comment>
    <comment ref="I151" authorId="38" shapeId="0">
      <text>
        <t xml:space="preserve">[Threaded comment]
 Your version of Excel allows you to read this threaded comment; however, any edits to it will get removed if the file is opened in a newer version of Excel. Learn more: https://go.microsoft.com/fwlink/?linkid=870924
Comment:
	引き抜く攻め　というワードは少し強すぎるため、検討してください。
</t>
      </text>
    </comment>
    <comment ref="I152" authorId="39" shapeId="0">
      <text>
        <t xml:space="preserve">[Threaded comment]
 Your version of Excel allows you to read this threaded comment; however, any edits to it will get removed if the file is opened in a newer version of Excel. Learn more: https://go.microsoft.com/fwlink/?linkid=870924
Comment:
	ベル→ベルスタッフ　の方がよろしいかと存じます。
Reply:
	未経験者が多く採用されます。
→断定表現は避けてください。
</t>
      </text>
    </comment>
    <comment ref="I163" authorId="40" shapeId="0">
      <text>
        <t xml:space="preserve">[Threaded comment]
 Your version of Excel allows you to read this threaded comment; however, any edits to it will get removed if the file is opened in a newer version of Excel. Learn more: https://go.microsoft.com/fwlink/?linkid=870924
Comment:
	SEO効果をもたらします。→断定表現は避けてください
</t>
      </text>
    </comment>
    <comment ref="I164" authorId="41" shapeId="0">
      <text>
        <t xml:space="preserve">[Threaded comment]
 Your version of Excel allows you to read this threaded comment; however, any edits to it will get removed if the file is opened in a newer version of Excel. Learn more: https://go.microsoft.com/fwlink/?linkid=870924
Comment:
	金額面に関しては「案件内容や条件によって大きく異なりますが」等枕詞の検討をおねがいします。
</t>
      </text>
    </comment>
    <comment ref="I167" authorId="42" shapeId="0">
      <text>
        <t xml:space="preserve">[Threaded comment]
 Your version of Excel allows you to read this threaded comment; however, any edits to it will get removed if the file is opened in a newer version of Excel. Learn more: https://go.microsoft.com/fwlink/?linkid=870924
Comment:
	課税（福利厚生費）として認められます。→繰り返しとなりますが、断定表現は控えてください「一般的には」を冒頭に入れる、「～と言われています」を文末に入れる等の工夫をおねがいします。
</t>
      </text>
    </comment>
    <comment ref="I170" authorId="43" shapeId="0">
      <text>
        <t xml:space="preserve">[Threaded comment]
 Your version of Excel allows you to read this threaded comment; however, any edits to it will get removed if the file is opened in a newer version of Excel. Learn more: https://go.microsoft.com/fwlink/?linkid=870924
Comment:
	「稼げる」というワードは必須でしょうか。可能であれば、「アフィリエイトブログで収益が発生する仕組みを分かりやすく教えてください。」程度にとどめてください。
</t>
      </text>
    </comment>
    <comment ref="I178" authorId="44" shapeId="0">
      <text>
        <t xml:space="preserve">[Threaded comment]
 Your version of Excel allows you to read this threaded comment; however, any edits to it will get removed if the file is opened in a newer version of Excel. Learn more: https://go.microsoft.com/fwlink/?linkid=870924
Comment:
	既存の安定した患者基盤と設備を引き継げることです。→引き継げやすい　等断定表現を避けて修正してください。
</t>
      </text>
    </comment>
    <comment ref="I181" authorId="45" shapeId="0">
      <text>
        <t xml:space="preserve">[Threaded comment]
 Your version of Excel allows you to read this threaded comment; however, any edits to it will get removed if the file is opened in a newer version of Excel. Learn more: https://go.microsoft.com/fwlink/?linkid=870924
Comment:
	この数値が低いほど費用対効果が高いと見なされます。→成果の結びつかなければ費用対効果に言及は出来ないかと思いますので検討ください。
Reply:
	CPCとほぼ同義で使われます。
→「PPC＝課金方式」「CPC＝その結果としての単価指標」であり、同義ではないため「「PPCはクリックごとに課金される広告モデルを指し、その結果として算出される指標がCPCです。実務上は近い意味で使われることもあります。」程度に留める等検討してください。
</t>
      </text>
    </comment>
    <comment ref="I182" authorId="46" shapeId="0">
      <text>
        <t xml:space="preserve">[Threaded comment]
 Your version of Excel allows you to read this threaded comment; however, any edits to it will get removed if the file is opened in a newer version of Excel. Learn more: https://go.microsoft.com/fwlink/?linkid=870924
Comment:
	直接的な指標だからです。→1つの指標　程度にとどめてください。
</t>
      </text>
    </comment>
    <comment ref="I184" authorId="47" shapeId="0">
      <text>
        <t xml:space="preserve">[Threaded comment]
 Your version of Excel allows you to read this threaded comment; however, any edits to it will get removed if the file is opened in a newer version of Excel. Learn more: https://go.microsoft.com/fwlink/?linkid=870924
Comment:
	年の途中で入社した場合でも、年末まで在籍し、年末調整を行う勤務先が1か所であれば対象となりますので検討ください。
</t>
      </text>
    </comment>
    <comment ref="I186" authorId="48" shapeId="0">
      <text>
        <t xml:space="preserve">[Threaded comment]
 Your version of Excel allows you to read this threaded comment; however, any edits to it will get removed if the file is opened in a newer version of Excel. Learn more: https://go.microsoft.com/fwlink/?linkid=870924
Comment:
	ネガティブ→風評記事　等に修正された方が文章全体の統一感が出ると思います。ご検討ください。
</t>
      </text>
    </comment>
    <comment ref="I187" authorId="49" shapeId="0">
      <text>
        <t xml:space="preserve">[Threaded comment]
 Your version of Excel allows you to read this threaded comment; however, any edits to it will get removed if the file is opened in a newer version of Excel. Learn more: https://go.microsoft.com/fwlink/?linkid=870924
Comment:
	90%以上にリーチできる、→可能性がある。等断定表を避けてください。
</t>
      </text>
    </comment>
    <comment ref="I189" authorId="50" shapeId="0">
      <text>
        <t xml:space="preserve">[Threaded comment]
 Your version of Excel allows you to read this threaded comment; however, any edits to it will get removed if the file is opened in a newer version of Excel. Learn more: https://go.microsoft.com/fwlink/?linkid=870924
Comment:
	WEB事業部の専門の方が問題なければOKです。
</t>
      </text>
    </comment>
    <comment ref="I190" authorId="51" shapeId="0">
      <text>
        <t xml:space="preserve">[Threaded comment]
 Your version of Excel allows you to read this threaded comment; however, any edits to it will get removed if the file is opened in a newer version of Excel. Learn more: https://go.microsoft.com/fwlink/?linkid=870924
Comment:
	徹底した事前準備が成功の9割を決めると言われています。→根拠不明なため、「徹底した事前準備が、記事の完成度に大きく影響すると言われています。」程度にとどめてください。
</t>
      </text>
    </comment>
    <comment ref="I191" authorId="52" shapeId="0">
      <text>
        <t xml:space="preserve">[Threaded comment]
 Your version of Excel allows you to read this threaded comment; however, any edits to it will get removed if the file is opened in a newer version of Excel. Learn more: https://go.microsoft.com/fwlink/?linkid=870924
Comment:
	200万円以下の部分：5%
200万円超〜400万円以下の部分：4%
400万円超の部分：3%
（※すべて税別、別途消費税）
です。「400万超の場合は」等留意した記載方法にしてください。
</t>
      </text>
    </comment>
    <comment ref="I195" authorId="53" shapeId="0">
      <text>
        <t xml:space="preserve">[Threaded comment]
 Your version of Excel allows you to read this threaded comment; however, any edits to it will get removed if the file is opened in a newer version of Excel. Learn more: https://go.microsoft.com/fwlink/?linkid=870924
Comment:
	「最も」等の最上位表現は控えてください。「重要な要素の一つ」程度にとどめてください
</t>
      </text>
    </comment>
    <comment ref="I197" authorId="54" shapeId="0">
      <text>
        <t xml:space="preserve">[Threaded comment]
 Your version of Excel allows you to read this threaded comment; however, any edits to it will get removed if the file is opened in a newer version of Excel. Learn more: https://go.microsoft.com/fwlink/?linkid=870924
Comment:
	営利目的の開設や出資者への配当が禁止されているなど、→利益の追求自体は否定されていません。「医療法人は、剰余金の分配（配当）が禁止されるという『非営利性』が制度上求められており、一般企業とは異なる法的制約があります。」等にとどめてください。
</t>
      </text>
    </comment>
    <comment ref="I198" authorId="55" shapeId="0">
      <text>
        <t xml:space="preserve">[Threaded comment]
 Your version of Excel allows you to read this threaded comment; however, any edits to it will get removed if the file is opened in a newer version of Excel. Learn more: https://go.microsoft.com/fwlink/?linkid=870924
Comment:
	強力なツール→「購買意欲の向上につながることがある施策の一つです。」程度にとどめてください。
</t>
      </text>
    </comment>
    <comment ref="I199" authorId="56" shapeId="0">
      <text>
        <t xml:space="preserve">[Threaded comment]
 Your version of Excel allows you to read this threaded comment; however, any edits to it will get removed if the file is opened in a newer version of Excel. Learn more: https://go.microsoft.com/fwlink/?linkid=870924
Comment:
	に合った優秀な人材を効率的に紹介してもらえることです。→「企業のニーズに合致する可能性の高い人材の紹介を受けやすくなる」
程度に修正おねがいします。
</t>
      </text>
    </comment>
    <comment ref="I200" authorId="57" shapeId="0">
      <text>
        <t xml:space="preserve">[Threaded comment]
 Your version of Excel allows you to read this threaded comment; however, any edits to it will get removed if the file is opened in a newer version of Excel. Learn more: https://go.microsoft.com/fwlink/?linkid=870924
Comment:
	初期設定→ずしも“初期設定で許可”が前提ではないケースもあります。「事前の明示的同意を前提とせず、後から個人の意思で情報利用等を拒否できる仕組みを指します。」等ご検討ください。
</t>
      </text>
    </comment>
    <comment ref="I201" authorId="58" shapeId="0">
      <text>
        <t xml:space="preserve">[Threaded comment]
 Your version of Excel allows you to read this threaded comment; however, any edits to it will get removed if the file is opened in a newer version of Excel. Learn more: https://go.microsoft.com/fwlink/?linkid=870924
Comment:
	法律上の違いは一切ありません。→「法律上、『パート』『アルバイト』という呼称による区別はなく、労働時間などの条件に応じて同一の法令が適用されます。」程度のとどめてください。
Reply:
	「派遣社員のほうが給与水準が高い傾向にあります」→「職種や条件によっては、派遣社員のほうが時給が高いケースもあります。」程度のとどめてください。
</t>
      </text>
    </comment>
    <comment ref="I202" authorId="59" shapeId="0">
      <text>
        <t xml:space="preserve">[Threaded comment]
 Your version of Excel allows you to read this threaded comment; however, any edits to it will get removed if the file is opened in a newer version of Excel. Learn more: https://go.microsoft.com/fwlink/?linkid=870924
Comment:
	「高い信頼性を確保しています」→「信頼性を高める仕組みを備えています。」程度にとどめてください。
Reply:
	「危険性を抑制し」→「ハルシネーションのリスクを低減する効果が期待できます。」程度にとどめてください。
</t>
      </text>
    </comment>
    <comment ref="I204" authorId="60" shapeId="0">
      <text>
        <t xml:space="preserve">[Threaded comment]
 Your version of Excel allows you to read this threaded comment; however, any edits to it will get removed if the file is opened in a newer version of Excel. Learn more: https://go.microsoft.com/fwlink/?linkid=870924
Comment:
	卒業後3年以内であれば新卒と同じ枠で応募できることが取り決められています。→男性されていないかと思います。「望ましい」程度ではないでしょうか。
Reply:
	一般に「社会人」は就業経験がある者を指すため、
「正社員経験がない社会人」 は概念的に矛盾します。
Reply:
	「一般的には」「企業によって扱いは異なりますが」などの緩衝表現を入れると安全です。
</t>
      </text>
    </comment>
    <comment ref="K204" authorId="61" shapeId="0">
      <text>
        <t xml:space="preserve">[Threaded comment]
 Your version of Excel allows you to read this threaded comment; however, any edits to it will get removed if the file is opened in a newer version of Excel. Learn more: https://go.microsoft.com/fwlink/?linkid=870924
Comment:
	卒業後3年以内であれば新卒と同じ枠で応募できることが取り決められています。→男性されていないかと思います。「望ましい」程度ではないでしょうか。
</t>
      </text>
    </comment>
    <comment ref="I205" authorId="62" shapeId="0">
      <text>
        <t xml:space="preserve">[Threaded comment]
 Your version of Excel allows you to read this threaded comment; however, any edits to it will get removed if the file is opened in a newer version of Excel. Learn more: https://go.microsoft.com/fwlink/?linkid=870924
Comment:
	Q: PRと「広告」は、何が違いますか？
A: 広告は費用を支払い、「買ってください」というメッセージを直接伝える短期的な活動です。一方、PRは費用が発生しない第三者視点での情報発信を重視し、企業理念や価値を伝え、顧客との長期的な信頼関係と共感を構築することを目的とします。
→異なります。必ず修正おねがいします。
Reply:
	Q: PR活動を行うことで、企業が得られる最大のメリットは何ですか？
A: 企業の認知度向上に加え、宣伝コストの削減可能性（メディアへの露出は広告費不要）と、企業の理念に共感してくれる自社ファンを獲得できることです。これにより、ブランド価値と長期的な企業価値向上に大きく貢献します。
→こちらも異なります。正しく理解して記載し直してください。
</t>
      </text>
    </comment>
    <comment ref="I207" authorId="63" shapeId="0">
      <text>
        <t xml:space="preserve">[Threaded comment]
 Your version of Excel allows you to read this threaded comment; however, any edits to it will get removed if the file is opened in a newer version of Excel. Learn more: https://go.microsoft.com/fwlink/?linkid=870924
Comment:
	「節税効果を得られる場合があります」
「不動産取得税や登録免許税の課税を基本的に回避できる点が大きなメリットです」→必ずしも節税・課税回避が成立するとは限らないため断定表現は絶対に行わないでください。
</t>
      </text>
    </comment>
    <comment ref="I209" authorId="64" shapeId="0">
      <text>
        <t xml:space="preserve">[Threaded comment]
 Your version of Excel allows you to read this threaded comment; however, any edits to it will get removed if the file is opened in a newer version of Excel. Learn more: https://go.microsoft.com/fwlink/?linkid=870924
Comment:
	配信条件や商材によっては、CVRの向上や費用対効果の改善につながる場合があります。　程度にとどめ、断定表現を避けてください。
</t>
      </text>
    </comment>
    <comment ref="I211" authorId="65" shapeId="0">
      <text>
        <t xml:space="preserve">[Threaded comment]
 Your version of Excel allows you to read this threaded comment; however, any edits to it will get removed if the file is opened in a newer version of Excel. Learn more: https://go.microsoft.com/fwlink/?linkid=870924
Comment:
	配置することが必須とされています。
→設置する必要があります。　等　断定を少しでも控えるようにおねがいします。
</t>
      </text>
    </comment>
    <comment ref="I213" authorId="66" shapeId="0">
      <text>
        <t xml:space="preserve">[Threaded comment]
 Your version of Excel allows you to read this threaded comment; however, any edits to it will get removed if the file is opened in a newer version of Excel. Learn more: https://go.microsoft.com/fwlink/?linkid=870924
Comment:
	一方、SES契約は、3年ルール（期間制限）の適用外であるため、長期的な技術サポートや専門性の高い業務に活用されます。→偽装請負の助長になりますので正確に調査おねがいします。削除をおすすめします。
Reply:
	SES契約は労働力（稼働時間）の提供が目的であり、→労働力ではなく、「役務提供」です。修正おねがいします。
</t>
      </text>
    </comment>
    <comment ref="I214" authorId="67" shapeId="0">
      <text>
        <t xml:space="preserve">[Threaded comment]
 Your version of Excel allows you to read this threaded comment; however, any edits to it will get removed if the file is opened in a newer version of Excel. Learn more: https://go.microsoft.com/fwlink/?linkid=870924
Comment:
	A: 補助金は主に経済産業省が管轄し、産業の競争力強化など特定の事業を支援します（審査が厳しい）。助成金は主に厚生労働省が管轄し、雇用促進や労働環境改善など社会的課題の解決が目的です（審査が比較的緩やか）。いずれも返済は不要です。→制度により管轄省庁は異なります。
Reply:
	審査が比較的緩やか→簡易に支給されると読み取れますので避けてください。支給後の不正支給も多く発生しています。
</t>
      </text>
    </comment>
    <comment ref="I215" authorId="68" shapeId="0">
      <text>
        <t xml:space="preserve">[Threaded comment]
 Your version of Excel allows you to read this threaded comment; however, any edits to it will get removed if the file is opened in a newer version of Excel. Learn more: https://go.microsoft.com/fwlink/?linkid=870924
Comment:
	主に6つの方式があります。→媒体毎に異なりませんか？念のためご確認ください。
</t>
      </text>
    </comment>
    <comment ref="I216" authorId="69" shapeId="0">
      <text>
        <t xml:space="preserve">[Threaded comment]
 Your version of Excel allows you to read this threaded comment; however, any edits to it will get removed if the file is opened in a newer version of Excel. Learn more: https://go.microsoft.com/fwlink/?linkid=870924
Comment:
	サンクコスト効果は「心理」そのものではなく、その心理によって生じる行動傾向（バイアス）
</t>
      </text>
    </comment>
    <comment ref="I220" authorId="70" shapeId="0">
      <text>
        <t xml:space="preserve">[Threaded comment]
 Your version of Excel allows you to read this threaded comment; however, any edits to it will get removed if the file is opened in a newer version of Excel. Learn more: https://go.microsoft.com/fwlink/?linkid=870924
Comment:
	「Web」と「WEB」混在していますが、意図されていますでしょうか。
Reply:
	最大のメリット→大きなメリット　程度にとどめてください。
</t>
      </text>
    </comment>
    <comment ref="I221" authorId="71" shapeId="0">
      <text>
        <t xml:space="preserve">[Threaded comment]
 Your version of Excel allows you to read this threaded comment; however, any edits to it will get removed if the file is opened in a newer version of Excel. Learn more: https://go.microsoft.com/fwlink/?linkid=870924
Comment:
	「住宅手当」は福利厚生に入らない。(賃金扱い)のケースもありますので削除してもよいかと思います。
</t>
      </text>
    </comment>
    <comment ref="I226" authorId="72" shapeId="0">
      <text>
        <t xml:space="preserve">[Threaded comment]
 Your version of Excel allows you to read this threaded comment; however, any edits to it will get removed if the file is opened in a newer version of Excel. Learn more: https://go.microsoft.com/fwlink/?linkid=870924
Comment:
	数値記載がある場合は出典が必要です。「団塊の世代（1947〜1949年生まれ）の多くが75歳以上（後期高齢者）になることで」等の工夫をおねがいします。
Reply:
	国民の約3人に1人が65歳以上となり、→国民の約4人に1人以上が65歳以上となり、
Reply:
	社会保障費の現役世代による負担が限界に達することや、→社会保障費における現役世代の負担が大きく増加することや、
Reply:
	最も深刻なのは、深刻な人材不足と事業承継の難化です。→最も深刻なのは、人材不足の深刻化と事業承継の難化です。
</t>
      </text>
    </comment>
    <comment ref="I227" authorId="73" shapeId="0">
      <text>
        <t xml:space="preserve">[Threaded comment]
 Your version of Excel allows you to read this threaded comment; however, any edits to it will get removed if the file is opened in a newer version of Excel. Learn more: https://go.microsoft.com/fwlink/?linkid=870924
Comment:
	また、消滅会社の繰越欠損金（赤字）を引き継ぐことで、将来の法人税納税額を軽減できる可能性があります。→また、一定の要件を満たす場合には、消滅会社の繰越欠損金を引き継ぎ、将来の法人税負担を軽減できる可能性があります。
Reply:
	原則として、従業員の雇用契約もそのまま存続会社に引き継がれます。→原則として、従業員の雇用契約は存続会社に包括的に承継されます。
</t>
      </text>
    </comment>
    <comment ref="I228" authorId="74" shapeId="0">
      <text>
        <t xml:space="preserve">[Threaded comment]
 Your version of Excel allows you to read this threaded comment; however, any edits to it will get removed if the file is opened in a newer version of Excel. Learn more: https://go.microsoft.com/fwlink/?linkid=870924
Comment:
	会計詳しくないため経理確認おねがいいたします。
</t>
      </text>
    </comment>
    <comment ref="I229" authorId="75" shapeId="0">
      <text>
        <t xml:space="preserve">[Threaded comment]
 Your version of Excel allows you to read this threaded comment; however, any edits to it will get removed if the file is opened in a newer version of Excel. Learn more: https://go.microsoft.com/fwlink/?linkid=870924
Comment:
	買収された企業は子会社として法人格が存続します。→買収された企業は、原則として法人格を維持したまま、買収側の子会社等として存続します。
</t>
      </text>
    </comment>
    <comment ref="I240" authorId="76" shapeId="0">
      <text>
        <t xml:space="preserve">[Threaded comment]
 Your version of Excel allows you to read this threaded comment; however, any edits to it will get removed if the file is opened in a newer version of Excel. Learn more: https://go.microsoft.com/fwlink/?linkid=870924
Comment:
	「質が確保できる」と断定するのはやや強め。「治療内容への理解を深めやすくなります。」程度にしてください。
Reply:
	そのため、海外旅行保険や医療保険への加入が不可欠です。→高額な医療費に備え、海外旅行保険や医療保険への加入が一般的です。
</t>
      </text>
    </comment>
    <comment ref="I246" authorId="77" shapeId="0">
      <text>
        <t xml:space="preserve">[Threaded comment]
 Your version of Excel allows you to read this threaded comment; however, any edits to it will get removed if the file is opened in a newer version of Excel. Learn more: https://go.microsoft.com/fwlink/?linkid=870924
Comment:
	社会保険手続きの「代理」は 社労士資格が必須です。誤認識を与える業務内容が混在していますので誤認ないよう作成し直してください。
</t>
      </text>
    </comment>
    <comment ref="I248" authorId="78" shapeId="0">
      <text>
        <t xml:space="preserve">[Threaded comment]
 Your version of Excel allows you to read this threaded comment; however, any edits to it will get removed if the file is opened in a newer version of Excel. Learn more: https://go.microsoft.com/fwlink/?linkid=870924
Comment:
	「辞書的には同義語」
と書くと、「どちらを使っても問題ない」という誤解を与える可能性があります。
違いが一定あるかと思いますので再考ください。
</t>
      </text>
    </comment>
    <comment ref="I251" authorId="79" shapeId="0">
      <text>
        <t xml:space="preserve">[Threaded comment]
 Your version of Excel allows you to read this threaded comment; however, any edits to it will get removed if the file is opened in a newer version of Excel. Learn more: https://go.microsoft.com/fwlink/?linkid=870924
Comment:
	議決権の過半数の株式を買収することを指します。→バイアウトとは、株式の取得等を通じて会社の経営権を取得することを指します。
</t>
      </text>
    </comment>
    <comment ref="I260" authorId="80" shapeId="0">
      <text>
        <t xml:space="preserve">[Threaded comment]
 Your version of Excel allows you to read this threaded comment; however, any edits to it will get removed if the file is opened in a newer version of Excel. Learn more: https://go.microsoft.com/fwlink/?linkid=870924
Comment:
	1級施工管理技士→一級施工管理技士
</t>
      </text>
    </comment>
    <comment ref="I269" authorId="81" shapeId="0">
      <text>
        <t xml:space="preserve">[Threaded comment]
 Your version of Excel allows you to read this threaded comment; however, any edits to it will get removed if the file is opened in a newer version of Excel. Learn more: https://go.microsoft.com/fwlink/?linkid=870924
Comment:
	安心して意思決定ができます。
→リスクを最小限に抑える一助となります　等断定表現を避けてください。
</t>
      </text>
    </comment>
    <comment ref="I272" authorId="82" shapeId="0">
      <text>
        <t xml:space="preserve">[Threaded comment]
 Your version of Excel allows you to read this threaded comment; however, any edits to it will get removed if the file is opened in a newer version of Excel. Learn more: https://go.microsoft.com/fwlink/?linkid=870924
Comment:
	特定派遣は廃止されています。
Reply:
	ITエンジニアで1時間あたり3,000円〜7,000円程度です。
→もう少し高くないでしょうか？念の為ご確認ください。
</t>
      </text>
    </comment>
    <comment ref="I274" authorId="83" shapeId="0">
      <text>
        <t xml:space="preserve">[Threaded comment]
 Your version of Excel allows you to read this threaded comment; however, any edits to it will get removed if the file is opened in a newer version of Excel. Learn more: https://go.microsoft.com/fwlink/?linkid=870924
Comment:
	Meta広告にしなくても大丈夫でしょうか？
</t>
      </text>
    </comment>
    <comment ref="I280" authorId="84" shapeId="0">
      <text>
        <t xml:space="preserve">[Threaded comment]
 Your version of Excel allows you to read this threaded comment; however, any edits to it will get removed if the file is opened in a newer version of Excel. Learn more: https://go.microsoft.com/fwlink/?linkid=870924
Comment:
	「Googleから最も評価されます」→「」「Googleから高く評価される傾向にあります」等、断定表現を避けてください。
</t>
      </text>
    </comment>
    <comment ref="I281" authorId="85" shapeId="0">
      <text>
        <t xml:space="preserve">[Threaded comment]
 Your version of Excel allows you to read this threaded comment; however, any edits to it will get removed if the file is opened in a newer version of Excel. Learn more: https://go.microsoft.com/fwlink/?linkid=870924
Comment:
	リスクを大幅に減らすことができます。→リスクの低減が期待できます　　　等　断定表現を避けてください。
</t>
      </text>
    </comment>
    <comment ref="I282" authorId="86" shapeId="0">
      <text>
        <t xml:space="preserve">[Threaded comment]
 Your version of Excel allows you to read this threaded comment; however, any edits to it will get removed if the file is opened in a newer version of Excel. Learn more: https://go.microsoft.com/fwlink/?linkid=870924
Comment:
	セクシュアルハラスメント　が正式かと思いますのでご確認ください。
Reply:
	上司や立場の優位性を背景にした→
上司との優越的な関係を背景とした
</t>
      </text>
    </comment>
    <comment ref="I286" authorId="87" shapeId="0">
      <text>
        <t xml:space="preserve">[Threaded comment]
 Your version of Excel allows you to read this threaded comment; however, any edits to it will get removed if the file is opened in a newer version of Excel. Learn more: https://go.microsoft.com/fwlink/?linkid=870924
Comment:
	「見込み残業の有無」とありますが、正しくは「固定残業」かと思います。
</t>
      </text>
    </comment>
    <comment ref="I287" authorId="88" shapeId="0">
      <text>
        <t xml:space="preserve">[Threaded comment]
 Your version of Excel allows you to read this threaded comment; however, any edits to it will get removed if the file is opened in a newer version of Excel. Learn more: https://go.microsoft.com/fwlink/?linkid=870924
Comment:
	役場→役所
</t>
      </text>
    </comment>
    <comment ref="I293" authorId="89" shapeId="0">
      <text>
        <t xml:space="preserve">[Threaded comment]
 Your version of Excel allows you to read this threaded comment; however, any edits to it will get removed if the file is opened in a newer version of Excel. Learn more: https://go.microsoft.com/fwlink/?linkid=870924
Comment:
	これらを整えることで、クローラーが効率よく巡回し、登録されやすくなります。→これらを整えることで、クローラーが効率よく巡回し、登録を促すことにつながります。
等断定表現を避けてください。
</t>
      </text>
    </comment>
    <comment ref="I294" authorId="90" shapeId="0">
      <text>
        <t xml:space="preserve">[Threaded comment]
 Your version of Excel allows you to read this threaded comment; however, any edits to it will get removed if the file is opened in a newer version of Excel. Learn more: https://go.microsoft.com/fwlink/?linkid=870924
Comment:
	ユーザーは広告と気づきにくく、→不当表示を助長している表現を避けてください。
</t>
      </text>
    </comment>
    <comment ref="I295" authorId="91" shapeId="0">
      <text>
        <t xml:space="preserve">[Threaded comment]
 Your version of Excel allows you to read this threaded comment; however, any edits to it will get removed if the file is opened in a newer version of Excel. Learn more: https://go.microsoft.com/fwlink/?linkid=870924
Comment:
	Instagram（Meta）の方がよいのではないでしょうか。InstagramとMetaが混在しています。ご検討ください。
</t>
      </text>
    </comment>
    <comment ref="I297" authorId="92" shapeId="0">
      <text>
        <t xml:space="preserve">[Threaded comment]
 Your version of Excel allows you to read this threaded comment; however, any edits to it will get removed if the file is opened in a newer version of Excel. Learn more: https://go.microsoft.com/fwlink/?linkid=870924
Comment:
	直前期の2年間→直前2期間　でしょうか？
</t>
      </text>
    </comment>
    <comment ref="I301" authorId="93" shapeId="0">
      <text>
        <t xml:space="preserve">[Threaded comment]
 Your version of Excel allows you to read this threaded comment; however, any edits to it will get removed if the file is opened in a newer version of Excel. Learn more: https://go.microsoft.com/fwlink/?linkid=870924
Comment:
	KGIの内容で弊社にお問い合わせください。が動線的によくわからないですが、入れるのがMUSTということでしょうか。
</t>
      </text>
    </comment>
    <comment ref="I302" authorId="94" shapeId="0">
      <text>
        <t xml:space="preserve">[Threaded comment]
 Your version of Excel allows you to read this threaded comment; however, any edits to it will get removed if the file is opened in a newer version of Excel. Learn more: https://go.microsoft.com/fwlink/?linkid=870924
Comment:
	同上
</t>
      </text>
    </comment>
    <comment ref="I303" authorId="95" shapeId="0">
      <text>
        <t xml:space="preserve">[Threaded comment]
 Your version of Excel allows you to read this threaded comment; however, any edits to it will get removed if the file is opened in a newer version of Excel. Learn more: https://go.microsoft.com/fwlink/?linkid=870924
Comment:
	「なぜ急にDYMの話になるのか」と思うので代理店や運用代行であること追記されてはいかがでしょうか。
</t>
      </text>
    </comment>
    <comment ref="I304" authorId="96" shapeId="0">
      <text>
        <t xml:space="preserve">[Threaded comment]
 Your version of Excel allows you to read this threaded comment; however, any edits to it will get removed if the file is opened in a newer version of Excel. Learn more: https://go.microsoft.com/fwlink/?linkid=870924
Comment:
	「この方法は、求人情報がなくても手軽に始められます。」→自社採用サイトの間違いではないでしょうか。求人情報がないと虚偽求人となります。
Reply:
	「なぜ急にDYMの話になるのか」と思うので代理店や運用代行であること追記されてはいかがでしょうか。
</t>
      </text>
    </comment>
    <comment ref="I305" authorId="97" shapeId="0">
      <text>
        <t xml:space="preserve">[Threaded comment]
 Your version of Excel allows you to read this threaded comment; however, any edits to it will get removed if the file is opened in a newer version of Excel. Learn more: https://go.microsoft.com/fwlink/?linkid=870924
Comment:
	「なぜ急にDYMの話になるのか」と思うので代理店や運用代行であること追記されてはいかがでしょうか。
</t>
      </text>
    </comment>
    <comment ref="I306" authorId="98" shapeId="0">
      <text>
        <t xml:space="preserve">[Threaded comment]
 Your version of Excel allows you to read this threaded comment; however, any edits to it will get removed if the file is opened in a newer version of Excel. Learn more: https://go.microsoft.com/fwlink/?linkid=870924
Comment:
	不当解雇で刑事罰ありますでしょうか。ご確認ください。
</t>
      </text>
    </comment>
    <comment ref="I308" authorId="99" shapeId="0">
      <text>
        <t xml:space="preserve">[Threaded comment]
 Your version of Excel allows you to read this threaded comment; however, any edits to it will get removed if the file is opened in a newer version of Excel. Learn more: https://go.microsoft.com/fwlink/?linkid=870924
Comment:
	非常に有効です→期待できます　程度にとどめてください。
</t>
      </text>
    </comment>
    <comment ref="I309" authorId="100" shapeId="0">
      <text>
        <t xml:space="preserve">[Threaded comment]
 Your version of Excel allows you to read this threaded comment; however, any edits to it will get removed if the file is opened in a newer version of Excel. Learn more: https://go.microsoft.com/fwlink/?linkid=870924
Comment:
	最新のプラン内容になっているか再度ご確認ください。
</t>
      </text>
    </comment>
    <comment ref="I310" authorId="101" shapeId="0">
      <text>
        <t xml:space="preserve">[Threaded comment]
 Your version of Excel allows you to read this threaded comment; however, any edits to it will get removed if the file is opened in a newer version of Excel. Learn more: https://go.microsoft.com/fwlink/?linkid=870924
Comment:
	「LINEビジネスID」と「ビジネスID」が混在しています。
</t>
      </text>
    </comment>
    <comment ref="I311" authorId="102" shapeId="0">
      <text>
        <t xml:space="preserve">[Threaded comment]
 Your version of Excel allows you to read this threaded comment; however, any edits to it will get removed if the file is opened in a newer version of Excel. Learn more: https://go.microsoft.com/fwlink/?linkid=870924
Comment:
	大幅な向上→「大幅な向上が期待できる点です」程度に留めてください。
</t>
      </text>
    </comment>
    <comment ref="I312" authorId="103" shapeId="0">
      <text>
        <t xml:space="preserve">[Threaded comment]
 Your version of Excel allows you to read this threaded comment; however, any edits to it will get removed if the file is opened in a newer version of Excel. Learn more: https://go.microsoft.com/fwlink/?linkid=870924
Comment:
	プラン内容、最新の内容をご確認ください。
</t>
      </text>
    </comment>
    <comment ref="I313" authorId="104" shapeId="0">
      <text>
        <t xml:space="preserve">[Threaded comment]
 Your version of Excel allows you to read this threaded comment; however, any edits to it will get removed if the file is opened in a newer version of Excel. Learn more: https://go.microsoft.com/fwlink/?linkid=870924
Comment:
	「コンバージョン率の向上に大きく貢献します」→「コンバージョン率の向上が期待できます」　程度に留めてください。
</t>
      </text>
    </comment>
    <comment ref="I314" authorId="105" shapeId="0">
      <text>
        <t xml:space="preserve">[Threaded comment]
 Your version of Excel allows you to read this threaded comment; however, any edits to it will get removed if the file is opened in a newer version of Excel. Learn more: https://go.microsoft.com/fwlink/?linkid=870924
Comment:
	紺→「青色（または水色）」ではないでしょうか？念の為ご確認ください。
Reply:
	「表示されやすくなります。」→「表示されやすくなる傾向があります。」程度に留めてください。
</t>
      </text>
    </comment>
    <comment ref="I316" authorId="106" shapeId="0">
      <text>
        <t xml:space="preserve">[Threaded comment]
 Your version of Excel allows you to read this threaded comment; however, any edits to it will get removed if the file is opened in a newer version of Excel. Learn more: https://go.microsoft.com/fwlink/?linkid=870924
Comment:
	高い成約率が期待できます→高い成約率を目指すことが可能です　程度とし、断定表現避けてください。
</t>
      </text>
    </comment>
    <comment ref="I319" authorId="107" shapeId="0">
      <text>
        <t xml:space="preserve">[Threaded comment]
 Your version of Excel allows you to read this threaded comment; however, any edits to it will get removed if the file is opened in a newer version of Excel. Learn more: https://go.microsoft.com/fwlink/?linkid=870924
Comment:
	（要素分解ツリー）→問題解決ツリーでは？
</t>
      </text>
    </comment>
    <comment ref="I320" authorId="108" shapeId="0">
      <text>
        <t xml:space="preserve">[Threaded comment]
 Your version of Excel allows you to read this threaded comment; however, any edits to it will get removed if the file is opened in a newer version of Excel. Learn more: https://go.microsoft.com/fwlink/?linkid=870924
Comment:
	成功確率が大幅に向上し→成約の可能性を高め　程度にとどめてください。
</t>
      </text>
    </comment>
    <comment ref="I331" authorId="109" shapeId="0">
      <text>
        <t xml:space="preserve">[Threaded comment]
 Your version of Excel allows you to read this threaded comment; however, any edits to it will get removed if the file is opened in a newer version of Excel. Learn more: https://go.microsoft.com/fwlink/?linkid=870924
Comment:
	「最もスムーズな方法」→「スムーズに進めやすい方法のひとつです」
最上級表現は控えてください。
</t>
      </text>
    </comment>
    <comment ref="I332" authorId="110" shapeId="0">
      <text>
        <t xml:space="preserve">[Threaded comment]
 Your version of Excel allows you to read this threaded comment; however, any edits to it will get removed if the file is opened in a newer version of Excel. Learn more: https://go.microsoft.com/fwlink/?linkid=870924
Comment:
	ステマは単なる不正ではなく、「景品表示法違反（不当表示）」であることを追記してください。
</t>
      </text>
    </comment>
    <comment ref="I334" authorId="111" shapeId="0">
      <text>
        <t xml:space="preserve">[Threaded comment]
 Your version of Excel allows you to read this threaded comment; however, any edits to it will get removed if the file is opened in a newer version of Excel. Learn more: https://go.microsoft.com/fwlink/?linkid=870924
Comment:
	高学歴→特定のキャリア志向を持つ層　等調整してください。
</t>
      </text>
    </comment>
    <comment ref="I340" authorId="112" shapeId="0">
      <text>
        <t xml:space="preserve">[Threaded comment]
 Your version of Excel allows you to read this threaded comment; however, any edits to it will get removed if the file is opened in a newer version of Excel. Learn more: https://go.microsoft.com/fwlink/?linkid=870924
Comment:
	「売買価格の3%＋6万円＋消費税など」こちらは売買の手数料計算方式です。オフィス仲介は一般的に賃貸がメインではないでしょうか。
</t>
      </text>
    </comment>
    <comment ref="I343" authorId="113" shapeId="0">
      <text>
        <t xml:space="preserve">[Threaded comment]
 Your version of Excel allows you to read this threaded comment; however, any edits to it will get removed if the file is opened in a newer version of Excel. Learn more: https://go.microsoft.com/fwlink/?linkid=870924
Comment:
	劇的に→断定表現は避けてください。「大幅に改善できる可能性があります」程度にとどめてください。
</t>
      </text>
    </comment>
    <comment ref="I345" authorId="114" shapeId="0">
      <text>
        <t xml:space="preserve">[Threaded comment]
 Your version of Excel allows you to read this threaded comment; however, any edits to it will get removed if the file is opened in a newer version of Excel. Learn more: https://go.microsoft.com/fwlink/?linkid=870924
Comment:
	社員のほうがアルバイトより約2億円も高くなるという大きな差が生じます。→「一般的に、生涯賃金では正社員の方がアルバイトより1億円〜2億円以上高くなる傾向があると言われています」根拠がないため含みを持たせてください。
</t>
      </text>
    </comment>
    <comment ref="I347" authorId="115" shapeId="0">
      <text>
        <t xml:space="preserve">[Threaded comment]
 Your version of Excel allows you to read this threaded comment; however, any edits to it will get removed if the file is opened in a newer version of Excel. Learn more: https://go.microsoft.com/fwlink/?linkid=870924
Comment:
	問い合わせされても弊社のサービスで提案できる内容ございますでしょうか。
</t>
      </text>
    </comment>
    <comment ref="I349" authorId="116" shapeId="0">
      <text>
        <t xml:space="preserve">[Threaded comment]
 Your version of Excel allows you to read this threaded comment; however, any edits to it will get removed if the file is opened in a newer version of Excel. Learn more: https://go.microsoft.com/fwlink/?linkid=870924
Comment:
	問い合わせされても弊社のサービスで提案できる内容ございますでしょうか。
</t>
      </text>
    </comment>
    <comment ref="I351" authorId="117" shapeId="0">
      <text>
        <t xml:space="preserve">[Threaded comment]
 Your version of Excel allows you to read this threaded comment; however, any edits to it will get removed if the file is opened in a newer version of Excel. Learn more: https://go.microsoft.com/fwlink/?linkid=870924
Comment:
	問い合わせされても弊社のサービスで提案できる内容ございますでしょうか。
</t>
      </text>
    </comment>
    <comment ref="I352" authorId="118" shapeId="0">
      <text>
        <t xml:space="preserve">[Threaded comment]
 Your version of Excel allows you to read this threaded comment; however, any edits to it will get removed if the file is opened in a newer version of Excel. Learn more: https://go.microsoft.com/fwlink/?linkid=870924
Comment:
	具体的問にどのような人材を対象とした採用方法ですか？→誤植
Reply:
	主に20代後半から30代前半の、→年齢制限を設けることは禁止されています。「若手層」等工夫をしてください。
</t>
      </text>
    </comment>
    <comment ref="I355" authorId="119" shapeId="0">
      <text>
        <t xml:space="preserve">[Threaded comment]
 Your version of Excel allows you to read this threaded comment; however, any edits to it will get removed if the file is opened in a newer version of Excel. Learn more: https://go.microsoft.com/fwlink/?linkid=870924
Comment:
	最も効果的→有効な手段の一つ　程度に留めてください。
</t>
      </text>
    </comment>
    <comment ref="I357" authorId="120" shapeId="0">
      <text>
        <t xml:space="preserve">[Threaded comment]
 Your version of Excel allows you to read this threaded comment; however, any edits to it will get removed if the file is opened in a newer version of Excel. Learn more: https://go.microsoft.com/fwlink/?linkid=870924
Comment:
	「800万円以下」の区分が新設されていますのでご確認ください。
</t>
      </text>
    </comment>
    <comment ref="I364" authorId="121" shapeId="0">
      <text>
        <t xml:space="preserve">[Threaded comment]
 Your version of Excel allows you to read this threaded comment; however, any edits to it will get removed if the file is opened in a newer version of Excel. Learn more: https://go.microsoft.com/fwlink/?linkid=870924
Comment:
	検索順位の向上に不可欠です。→検索順位の向上に繋がります。　程度に留めてください。
</t>
      </text>
    </comment>
    <comment ref="I365" authorId="122" shapeId="0">
      <text>
        <t xml:space="preserve">[Threaded comment]
 Your version of Excel allows you to read this threaded comment; however, any edits to it will get removed if the file is opened in a newer version of Excel. Learn more: https://go.microsoft.com/fwlink/?linkid=870924
Comment:
	最大のメリット→主なメリット
</t>
      </text>
    </comment>
    <comment ref="I368" authorId="123" shapeId="0">
      <text>
        <t xml:space="preserve">[Threaded comment]
 Your version of Excel allows you to read this threaded comment; however, any edits to it will get removed if the file is opened in a newer version of Excel. Learn more: https://go.microsoft.com/fwlink/?linkid=870924
Comment:
	強力なツール→有効なツール
</t>
      </text>
    </comment>
    <comment ref="I370" authorId="124" shapeId="0">
      <text>
        <t xml:space="preserve">[Threaded comment]
 Your version of Excel allows you to read this threaded comment; however, any edits to it will get removed if the file is opened in a newer version of Excel. Learn more: https://go.microsoft.com/fwlink/?linkid=870924
Comment:
	一般的→一例であることを強調してください。
</t>
      </text>
    </comment>
    <comment ref="I372" authorId="125" shapeId="0">
      <text>
        <t xml:space="preserve">[Threaded comment]
 Your version of Excel allows you to read this threaded comment; however, any edits to it will get removed if the file is opened in a newer version of Excel. Learn more: https://go.microsoft.com/fwlink/?linkid=870924
Comment:
	最上級単語控えてください。
</t>
      </text>
    </comment>
    <comment ref="I377" authorId="126" shapeId="0">
      <text>
        <t xml:space="preserve">[Threaded comment]
 Your version of Excel allows you to read this threaded comment; however, any edits to it will get removed if the file is opened in a newer version of Excel. Learn more: https://go.microsoft.com/fwlink/?linkid=870924
Comment:
	費用を抑えやすいことと、→費用を抑えられる傾向　程度にとどめてください。
</t>
      </text>
    </comment>
    <comment ref="I378" authorId="127" shapeId="0">
      <text>
        <t xml:space="preserve">[Threaded comment]
 Your version of Excel allows you to read this threaded comment; however, any edits to it will get removed if the file is opened in a newer version of Excel. Learn more: https://go.microsoft.com/fwlink/?linkid=870924
Comment:
	向上につながります。→向上につながることが期待されます。　断定表現を避けてください。
</t>
      </text>
    </comment>
    <comment ref="I383" authorId="128" shapeId="0">
      <text>
        <t xml:space="preserve">[Threaded comment]
 Your version of Excel allows you to read this threaded comment; however, any edits to it will get removed if the file is opened in a newer version of Excel. Learn more: https://go.microsoft.com/fwlink/?linkid=870924
Comment:
	株式の過半数以上を→株式を　にとどめてください。過半数ではない場合もあります。
</t>
      </text>
    </comment>
    <comment ref="I385" authorId="129" shapeId="0">
      <text>
        <t xml:space="preserve">[Threaded comment]
 Your version of Excel allows you to read this threaded comment; however, any edits to it will get removed if the file is opened in a newer version of Excel. Learn more: https://go.microsoft.com/fwlink/?linkid=870924
Comment:
	メインサイトのドメインパワーの影響を一部受ける可能性がある点です。また、サブドメインでペナルティを受けた場合、メインドメインにもその影響が及ぶリスクがあるため注意が必要です。→現行も同様か確認おねがいします。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ym.asia/media/sponsor-about/" TargetMode="External" Id="rId1"/><Relationship Type="http://schemas.openxmlformats.org/officeDocument/2006/relationships/hyperlink" Target="https://dym.asia/services/sports/" TargetMode="External" Id="rId2"/><Relationship Type="http://schemas.openxmlformats.org/officeDocument/2006/relationships/hyperlink" Target="https://dym.asia/services/sports/" TargetMode="External" Id="rId3"/><Relationship Type="http://schemas.openxmlformats.org/officeDocument/2006/relationships/hyperlink" Target="https://dym.asia/media/health-check-liver-20s/" TargetMode="External" Id="rId4"/><Relationship Type="http://schemas.openxmlformats.org/officeDocument/2006/relationships/hyperlink" Target="https://dym.asia/services/medicine/" TargetMode="External" Id="rId5"/><Relationship Type="http://schemas.openxmlformats.org/officeDocument/2006/relationships/hyperlink" Target="https://dym.asia/services/medicine/" TargetMode="External" Id="rId6"/><Relationship Type="http://schemas.openxmlformats.org/officeDocument/2006/relationships/hyperlink" Target="https://dym.asia/media/health-check-worry-stress/" TargetMode="External" Id="rId7"/><Relationship Type="http://schemas.openxmlformats.org/officeDocument/2006/relationships/hyperlink" Target="https://dym.asia/services/medicine/" TargetMode="External" Id="rId8"/><Relationship Type="http://schemas.openxmlformats.org/officeDocument/2006/relationships/hyperlink" Target="https://dym.asia/services/medicine/" TargetMode="External" Id="rId9"/><Relationship Type="http://schemas.openxmlformats.org/officeDocument/2006/relationships/hyperlink" Target="https://dym.asia/media/the-number-of-paid/" TargetMode="External" Id="rId10"/><Relationship Type="http://schemas.openxmlformats.org/officeDocument/2006/relationships/hyperlink" Target="https://dym.asia/services/new-graduates/development-training/" TargetMode="External" Id="rId11"/><Relationship Type="http://schemas.openxmlformats.org/officeDocument/2006/relationships/hyperlink" Target="https://dym.asia/services/new-graduates/welfare/" TargetMode="External" Id="rId12"/><Relationship Type="http://schemas.openxmlformats.org/officeDocument/2006/relationships/hyperlink" Target="https://dym.asia/media/end-of-year-tax-adjustments-until/" TargetMode="External" Id="rId13"/><Relationship Type="http://schemas.openxmlformats.org/officeDocument/2006/relationships/hyperlink" Target="https://dym.asia/services/new-graduates/Former-graduate/" TargetMode="External" Id="rId14"/><Relationship Type="http://schemas.openxmlformats.org/officeDocument/2006/relationships/hyperlink" Target="https://dym.asia/services/new-graduates/" TargetMode="External" Id="rId15"/><Relationship Type="http://schemas.openxmlformats.org/officeDocument/2006/relationships/hyperlink" Target="https://dym.asia/media/health-check-stool-test/" TargetMode="External" Id="rId16"/><Relationship Type="http://schemas.openxmlformats.org/officeDocument/2006/relationships/hyperlink" Target="https://dym.asia/services/medicine/" TargetMode="External" Id="rId17"/><Relationship Type="http://schemas.openxmlformats.org/officeDocument/2006/relationships/hyperlink" Target="https://dym.asia/services/medicine/" TargetMode="External" Id="rId18"/><Relationship Type="http://schemas.openxmlformats.org/officeDocument/2006/relationships/hyperlink" Target="https://dym.asia/media/indeed-description/" TargetMode="External" Id="rId19"/><Relationship Type="http://schemas.openxmlformats.org/officeDocument/2006/relationships/hyperlink" Target="https://dym.asia/services/hr-tech/indeed/" TargetMode="External" Id="rId20"/><Relationship Type="http://schemas.openxmlformats.org/officeDocument/2006/relationships/hyperlink" Target="https://dym.asia/services/hr-tech/indeed/" TargetMode="External" Id="rId21"/><Relationship Type="http://schemas.openxmlformats.org/officeDocument/2006/relationships/hyperlink" Target="https://dym.asia/media/modal-window/" TargetMode="External" Id="rId22"/><Relationship Type="http://schemas.openxmlformats.org/officeDocument/2006/relationships/hyperlink" Target="https://dym.asia/services/web-promotion/" TargetMode="External" Id="rId23"/><Relationship Type="http://schemas.openxmlformats.org/officeDocument/2006/relationships/hyperlink" Target="https://dym.asia/services/web-promotion/" TargetMode="External" Id="rId24"/><Relationship Type="http://schemas.openxmlformats.org/officeDocument/2006/relationships/hyperlink" Target="https://dym.asia/media/trade-off/" TargetMode="External" Id="rId25"/><Relationship Type="http://schemas.openxmlformats.org/officeDocument/2006/relationships/hyperlink" Target="https://dym.asia/services/new-graduates/" TargetMode="External" Id="rId26"/><Relationship Type="http://schemas.openxmlformats.org/officeDocument/2006/relationships/hyperlink" Target="https://dym.asia/services/new-graduates/" TargetMode="External" Id="rId27"/><Relationship Type="http://schemas.openxmlformats.org/officeDocument/2006/relationships/hyperlink" Target="https://dym.asia/media/villa-tax-measures/" TargetMode="External" Id="rId28"/><Relationship Type="http://schemas.openxmlformats.org/officeDocument/2006/relationships/hyperlink" Target="https://dym.asia/services/new-business/relocation/" TargetMode="External" Id="rId29"/><Relationship Type="http://schemas.openxmlformats.org/officeDocument/2006/relationships/hyperlink" Target="https://dym.asia/services/new-business/relocation/" TargetMode="External" Id="rId30"/><Relationship Type="http://schemas.openxmlformats.org/officeDocument/2006/relationships/hyperlink" Target="https://dym.asia/media/personality/" TargetMode="External" Id="rId31"/><Relationship Type="http://schemas.openxmlformats.org/officeDocument/2006/relationships/hyperlink" Target="https://dym.asia/services/new-graduates/development-training/" TargetMode="External" Id="rId32"/><Relationship Type="http://schemas.openxmlformats.org/officeDocument/2006/relationships/hyperlink" Target="https://dym.asia/services/new-graduates/exe-part/" TargetMode="External" Id="rId33"/><Relationship Type="http://schemas.openxmlformats.org/officeDocument/2006/relationships/hyperlink" Target="https://dym.asia/media/affiliate-how-to-start/" TargetMode="External" Id="rId34"/><Relationship Type="http://schemas.openxmlformats.org/officeDocument/2006/relationships/hyperlink" Target="https://dym.asia/services/web-promotion/affiliate/" TargetMode="External" Id="rId35"/><Relationship Type="http://schemas.openxmlformats.org/officeDocument/2006/relationships/hyperlink" Target="https://dym.asia/services/web-promotion/affiliate/" TargetMode="External" Id="rId36"/><Relationship Type="http://schemas.openxmlformats.org/officeDocument/2006/relationships/hyperlink" Target="https://dym.asia/media/favicon/" TargetMode="External" Id="rId37"/><Relationship Type="http://schemas.openxmlformats.org/officeDocument/2006/relationships/hyperlink" Target="https://dym.asia/services/web-promotion/production-operation/" TargetMode="External" Id="rId38"/><Relationship Type="http://schemas.openxmlformats.org/officeDocument/2006/relationships/hyperlink" Target="https://dym.asia/services/web-promotion/production-operation/" TargetMode="External" Id="rId39"/><Relationship Type="http://schemas.openxmlformats.org/officeDocument/2006/relationships/hyperlink" Target="https://dym.asia/media/htaccess/" TargetMode="External" Id="rId40"/><Relationship Type="http://schemas.openxmlformats.org/officeDocument/2006/relationships/hyperlink" Target="https://dym.asia/services/web-promotion/production-operation/" TargetMode="External" Id="rId41"/><Relationship Type="http://schemas.openxmlformats.org/officeDocument/2006/relationships/hyperlink" Target="https://dym.asia/services/web-promotion/production-operation/" TargetMode="External" Id="rId42"/><Relationship Type="http://schemas.openxmlformats.org/officeDocument/2006/relationships/hyperlink" Target="https://dym.asia/media/advisors-directory/" TargetMode="External" Id="rId43"/><Relationship Type="http://schemas.openxmlformats.org/officeDocument/2006/relationships/hyperlink" Target="https://dym.asia/services/new-graduates/exe-part/" TargetMode="External" Id="rId44"/><Relationship Type="http://schemas.openxmlformats.org/officeDocument/2006/relationships/hyperlink" Target="https://dym.asia/services/new-graduates/exe-part/" TargetMode="External" Id="rId45"/><Relationship Type="http://schemas.openxmlformats.org/officeDocument/2006/relationships/hyperlink" Target="https://dym.asia/media/sponsor-merit/" TargetMode="External" Id="rId46"/><Relationship Type="http://schemas.openxmlformats.org/officeDocument/2006/relationships/hyperlink" Target="https://dym.asia/services/sports/" TargetMode="External" Id="rId47"/><Relationship Type="http://schemas.openxmlformats.org/officeDocument/2006/relationships/hyperlink" Target="https://dym.asia/services/sports/" TargetMode="External" Id="rId48"/><Relationship Type="http://schemas.openxmlformats.org/officeDocument/2006/relationships/hyperlink" Target="https://dym.asia/media/office-relocation-vendor/" TargetMode="External" Id="rId49"/><Relationship Type="http://schemas.openxmlformats.org/officeDocument/2006/relationships/hyperlink" Target="https://dym.asia/services/new-business/relocation/" TargetMode="External" Id="rId50"/><Relationship Type="http://schemas.openxmlformats.org/officeDocument/2006/relationships/hyperlink" Target="https://dym.asia/services/new-business/relocation/" TargetMode="External" Id="rId51"/><Relationship Type="http://schemas.openxmlformats.org/officeDocument/2006/relationships/hyperlink" Target="https://dym.asia/media/notice-of-offer/" TargetMode="External" Id="rId52"/><Relationship Type="http://schemas.openxmlformats.org/officeDocument/2006/relationships/hyperlink" Target="https://dym.asia/services/new-graduates/" TargetMode="External" Id="rId53"/><Relationship Type="http://schemas.openxmlformats.org/officeDocument/2006/relationships/hyperlink" Target="https://dym.asia/services/new-graduates/" TargetMode="External" Id="rId54"/><Relationship Type="http://schemas.openxmlformats.org/officeDocument/2006/relationships/hyperlink" Target="https://dym.asia/media/html/" TargetMode="External" Id="rId55"/><Relationship Type="http://schemas.openxmlformats.org/officeDocument/2006/relationships/hyperlink" Target="https://dym.asia/services/web-promotion/production-operation/" TargetMode="External" Id="rId56"/><Relationship Type="http://schemas.openxmlformats.org/officeDocument/2006/relationships/hyperlink" Target="https://dym.asia/services/web-promotion/production-operation/" TargetMode="External" Id="rId57"/><Relationship Type="http://schemas.openxmlformats.org/officeDocument/2006/relationships/hyperlink" Target="https://dym.asia/media/query/" TargetMode="External" Id="rId58"/><Relationship Type="http://schemas.openxmlformats.org/officeDocument/2006/relationships/hyperlink" Target="https://dym.asia/services/web-promotion/seo/" TargetMode="External" Id="rId59"/><Relationship Type="http://schemas.openxmlformats.org/officeDocument/2006/relationships/hyperlink" Target="https://dym.asia/services/web-promotion/seo/" TargetMode="External" Id="rId60"/><Relationship Type="http://schemas.openxmlformats.org/officeDocument/2006/relationships/hyperlink" Target="https://dym.asia/media/investment-development-company/" TargetMode="External" Id="rId61"/><Relationship Type="http://schemas.openxmlformats.org/officeDocument/2006/relationships/hyperlink" Target="https://dym.asia/services/m&amp;a/investment/" TargetMode="External" Id="rId62"/><Relationship Type="http://schemas.openxmlformats.org/officeDocument/2006/relationships/hyperlink" Target="https://dym.asia/services/m&amp;a/investment/" TargetMode="External" Id="rId63"/><Relationship Type="http://schemas.openxmlformats.org/officeDocument/2006/relationships/hyperlink" Target="https://dym.asia/media/ai-cast/" TargetMode="External" Id="rId64"/><Relationship Type="http://schemas.openxmlformats.org/officeDocument/2006/relationships/hyperlink" Target="https://dym.asia/services/web-promotion/" TargetMode="External" Id="rId65"/><Relationship Type="http://schemas.openxmlformats.org/officeDocument/2006/relationships/hyperlink" Target="https://dym.asia/services/web-promotion/talents-share/ai-cast/" TargetMode="External" Id="rId66"/><Relationship Type="http://schemas.openxmlformats.org/officeDocument/2006/relationships/hyperlink" Target="https://dym.asia/media/sponsor-sales/" TargetMode="External" Id="rId67"/><Relationship Type="http://schemas.openxmlformats.org/officeDocument/2006/relationships/hyperlink" Target="https://dym.asia/services/sports/" TargetMode="External" Id="rId68"/><Relationship Type="http://schemas.openxmlformats.org/officeDocument/2006/relationships/hyperlink" Target="https://dym.asia/services/sports/" TargetMode="External" Id="rId69"/><Relationship Type="http://schemas.openxmlformats.org/officeDocument/2006/relationships/hyperlink" Target="https://dym.asia/media/sports-sponsor-merit/" TargetMode="External" Id="rId70"/><Relationship Type="http://schemas.openxmlformats.org/officeDocument/2006/relationships/hyperlink" Target="https://dym.asia/services/sports/" TargetMode="External" Id="rId71"/><Relationship Type="http://schemas.openxmlformats.org/officeDocument/2006/relationships/hyperlink" Target="https://dym.asia/services/sports/" TargetMode="External" Id="rId72"/><Relationship Type="http://schemas.openxmlformats.org/officeDocument/2006/relationships/hyperlink" Target="https://dym.asia/media/bonus/" TargetMode="External" Id="rId73"/><Relationship Type="http://schemas.openxmlformats.org/officeDocument/2006/relationships/hyperlink" Target="https://dym.asia/services/new-graduates/Former-graduate/" TargetMode="External" Id="rId74"/><Relationship Type="http://schemas.openxmlformats.org/officeDocument/2006/relationships/hyperlink" Target="https://dym.asia/services/new-graduates/welfare/" TargetMode="External" Id="rId75"/><Relationship Type="http://schemas.openxmlformats.org/officeDocument/2006/relationships/hyperlink" Target="https://dym.asia/media/criteo_advertisement/" TargetMode="External" Id="rId76"/><Relationship Type="http://schemas.openxmlformats.org/officeDocument/2006/relationships/hyperlink" Target="https://dym.asia/services/web-promotion/dsp-native-ads/" TargetMode="External" Id="rId77"/><Relationship Type="http://schemas.openxmlformats.org/officeDocument/2006/relationships/hyperlink" Target="https://dym.asia/services/web-promotion/dsp-native-ads/" TargetMode="External" Id="rId78"/><Relationship Type="http://schemas.openxmlformats.org/officeDocument/2006/relationships/hyperlink" Target="https://dym.asia/media/stock-transfer-tax/" TargetMode="External" Id="rId79"/><Relationship Type="http://schemas.openxmlformats.org/officeDocument/2006/relationships/hyperlink" Target="https://dym.asia/services/m&amp;a/investment/" TargetMode="External" Id="rId80"/><Relationship Type="http://schemas.openxmlformats.org/officeDocument/2006/relationships/hyperlink" Target="https://dym.asia/services/m&amp;a/investment/" TargetMode="External" Id="rId81"/><Relationship Type="http://schemas.openxmlformats.org/officeDocument/2006/relationships/hyperlink" Target="https://dym.asia/media/advisor/" TargetMode="External" Id="rId82"/><Relationship Type="http://schemas.openxmlformats.org/officeDocument/2006/relationships/hyperlink" Target="https://dym.asia/services/new-graduates/" TargetMode="External" Id="rId83"/><Relationship Type="http://schemas.openxmlformats.org/officeDocument/2006/relationships/hyperlink" Target="https://dym.asia/services/new-graduates/" TargetMode="External" Id="rId84"/><Relationship Type="http://schemas.openxmlformats.org/officeDocument/2006/relationships/hyperlink" Target="https://dym.asia/media/proper/" TargetMode="External" Id="rId85"/><Relationship Type="http://schemas.openxmlformats.org/officeDocument/2006/relationships/hyperlink" Target="https://dym.asia/services/new-graduates/" TargetMode="External" Id="rId86"/><Relationship Type="http://schemas.openxmlformats.org/officeDocument/2006/relationships/hyperlink" Target="https://dym.asia/services/new-graduates/new-graduate-recruitment/" TargetMode="External" Id="rId87"/><Relationship Type="http://schemas.openxmlformats.org/officeDocument/2006/relationships/hyperlink" Target="https://dym.asia/media/rejected-tel/" TargetMode="External" Id="rId88"/><Relationship Type="http://schemas.openxmlformats.org/officeDocument/2006/relationships/hyperlink" Target="https://dym.asia/services/new-graduates/new-graduate-recruitment/" TargetMode="External" Id="rId89"/><Relationship Type="http://schemas.openxmlformats.org/officeDocument/2006/relationships/hyperlink" Target="https://dym.asia/services/new-graduates/new-graduate-recruitment/" TargetMode="External" Id="rId90"/><Relationship Type="http://schemas.openxmlformats.org/officeDocument/2006/relationships/hyperlink" Target="https://dym.asia/media/callcenter-wording/" TargetMode="External" Id="rId91"/><Relationship Type="http://schemas.openxmlformats.org/officeDocument/2006/relationships/hyperlink" Target="https://dym.asia/services/new-graduates/new-graduate-recruitment/" TargetMode="External" Id="rId92"/><Relationship Type="http://schemas.openxmlformats.org/officeDocument/2006/relationships/hyperlink" Target="https://dym.asia/services/hr-tech/" TargetMode="External" Id="rId93"/><Relationship Type="http://schemas.openxmlformats.org/officeDocument/2006/relationships/hyperlink" Target="https://dym.asia/media/steak-holder/" TargetMode="External" Id="rId94"/><Relationship Type="http://schemas.openxmlformats.org/officeDocument/2006/relationships/hyperlink" Target="https://dym.asia/services/new-graduates/new-graduate-recruitment/" TargetMode="External" Id="rId95"/><Relationship Type="http://schemas.openxmlformats.org/officeDocument/2006/relationships/hyperlink" Target="https://dym.asia/services/new-graduates/new-graduate-recruitment/" TargetMode="External" Id="rId96"/><Relationship Type="http://schemas.openxmlformats.org/officeDocument/2006/relationships/hyperlink" Target="https://dym.asia/media/callcenter-complaint-handling/" TargetMode="External" Id="rId97"/><Relationship Type="http://schemas.openxmlformats.org/officeDocument/2006/relationships/hyperlink" Target="https://dym.asia/services/hr-tech/call-center/" TargetMode="External" Id="rId98"/><Relationship Type="http://schemas.openxmlformats.org/officeDocument/2006/relationships/hyperlink" Target="https://dym.asia/services/hr-tech/call-center/" TargetMode="External" Id="rId99"/><Relationship Type="http://schemas.openxmlformats.org/officeDocument/2006/relationships/hyperlink" Target="https://dym.asia/media/strike/" TargetMode="External" Id="rId100"/><Relationship Type="http://schemas.openxmlformats.org/officeDocument/2006/relationships/hyperlink" Target="https://dym.asia/services/new-graduates/" TargetMode="External" Id="rId101"/><Relationship Type="http://schemas.openxmlformats.org/officeDocument/2006/relationships/hyperlink" Target="https://dym.asia/services/new-graduates/welfare/" TargetMode="External" Id="rId102"/><Relationship Type="http://schemas.openxmlformats.org/officeDocument/2006/relationships/hyperlink" Target="https://dym.asia/media/dependent-relatives/" TargetMode="External" Id="rId103"/><Relationship Type="http://schemas.openxmlformats.org/officeDocument/2006/relationships/hyperlink" Target="https://dym.asia/services/new-graduates/new-graduate-recruitment/" TargetMode="External" Id="rId104"/><Relationship Type="http://schemas.openxmlformats.org/officeDocument/2006/relationships/hyperlink" Target="https://dym.asia/services/new-graduates/new-graduate-recruitment/" TargetMode="External" Id="rId105"/><Relationship Type="http://schemas.openxmlformats.org/officeDocument/2006/relationships/hyperlink" Target="https://dym.asia/media/gas/" TargetMode="External" Id="rId106"/><Relationship Type="http://schemas.openxmlformats.org/officeDocument/2006/relationships/hyperlink" Target="https://dym.asia/services/web-promotion/production-operation/" TargetMode="External" Id="rId107"/><Relationship Type="http://schemas.openxmlformats.org/officeDocument/2006/relationships/hyperlink" Target="https://dym.asia/services/web-promotion/production-operation/" TargetMode="External" Id="rId108"/><Relationship Type="http://schemas.openxmlformats.org/officeDocument/2006/relationships/hyperlink" Target="https://dym.asia/media/office-fire-service-law/" TargetMode="External" Id="rId109"/><Relationship Type="http://schemas.openxmlformats.org/officeDocument/2006/relationships/hyperlink" Target="https://dym.asia/services/new-business/relocation/" TargetMode="External" Id="rId110"/><Relationship Type="http://schemas.openxmlformats.org/officeDocument/2006/relationships/hyperlink" Target="https://dym.asia/services/new-business/relocation/" TargetMode="External" Id="rId111"/><Relationship Type="http://schemas.openxmlformats.org/officeDocument/2006/relationships/hyperlink" Target="https://dym.asia/media/parttime-worker-contract-employee-differences/" TargetMode="External" Id="rId112"/><Relationship Type="http://schemas.openxmlformats.org/officeDocument/2006/relationships/hyperlink" Target="https://dym.asia/services/hr-tech/resume-plus/" TargetMode="External" Id="rId113"/><Relationship Type="http://schemas.openxmlformats.org/officeDocument/2006/relationships/hyperlink" Target="https://dym.asia/services/hr-tech/resume-plus/" TargetMode="External" Id="rId114"/><Relationship Type="http://schemas.openxmlformats.org/officeDocument/2006/relationships/hyperlink" Target="https://dym.asia/media/tiktok-recruitment/" TargetMode="External" Id="rId115"/><Relationship Type="http://schemas.openxmlformats.org/officeDocument/2006/relationships/hyperlink" Target="https://dym.asia/services/web-promotion/sns-ads/" TargetMode="External" Id="rId116"/><Relationship Type="http://schemas.openxmlformats.org/officeDocument/2006/relationships/hyperlink" Target="https://dym.asia/services/web-promotion/sns-ads/" TargetMode="External" Id="rId117"/><Relationship Type="http://schemas.openxmlformats.org/officeDocument/2006/relationships/hyperlink" Target="https://dym.asia/media/listening-ability/" TargetMode="External" Id="rId118"/><Relationship Type="http://schemas.openxmlformats.org/officeDocument/2006/relationships/hyperlink" Target="https://dym.asia/services/new-graduates/development-training/" TargetMode="External" Id="rId119"/><Relationship Type="http://schemas.openxmlformats.org/officeDocument/2006/relationships/hyperlink" Target="https://dym.asia/services/new-graduates/development-training/" TargetMode="External" Id="rId120"/><Relationship Type="http://schemas.openxmlformats.org/officeDocument/2006/relationships/hyperlink" Target="https://dym.asia/media/hr/" TargetMode="External" Id="rId121"/><Relationship Type="http://schemas.openxmlformats.org/officeDocument/2006/relationships/hyperlink" Target="https://dym.asia/services/new-graduates/development-training/" TargetMode="External" Id="rId122"/><Relationship Type="http://schemas.openxmlformats.org/officeDocument/2006/relationships/hyperlink" Target="https://dym.asia/services/new-graduates/development-training/" TargetMode="External" Id="rId123"/><Relationship Type="http://schemas.openxmlformats.org/officeDocument/2006/relationships/hyperlink" Target="https://dym.asia/media/indeed-how-to-use/" TargetMode="External" Id="rId124"/><Relationship Type="http://schemas.openxmlformats.org/officeDocument/2006/relationships/hyperlink" Target="https://dym.asia/services/hr-tech/indeed/" TargetMode="External" Id="rId125"/><Relationship Type="http://schemas.openxmlformats.org/officeDocument/2006/relationships/hyperlink" Target="https://dym.asia/services/hr-tech/indeed/" TargetMode="External" Id="rId126"/><Relationship Type="http://schemas.openxmlformats.org/officeDocument/2006/relationships/hyperlink" Target="https://dym.asia/media/industrial-accident/" TargetMode="External" Id="rId127"/><Relationship Type="http://schemas.openxmlformats.org/officeDocument/2006/relationships/hyperlink" Target="https://dym.asia/services/new-graduates/development-training/" TargetMode="External" Id="rId128"/><Relationship Type="http://schemas.openxmlformats.org/officeDocument/2006/relationships/hyperlink" Target="https://dym.asia/services/new-graduates/development-training/" TargetMode="External" Id="rId129"/><Relationship Type="http://schemas.openxmlformats.org/officeDocument/2006/relationships/hyperlink" Target="https://dym.asia/media/sns-market/" TargetMode="External" Id="rId130"/><Relationship Type="http://schemas.openxmlformats.org/officeDocument/2006/relationships/hyperlink" Target="https://dym.asia/services/web-promotion/sns-consulting/" TargetMode="External" Id="rId131"/><Relationship Type="http://schemas.openxmlformats.org/officeDocument/2006/relationships/hyperlink" Target="https://dym.asia/services/web-promotion/sns-consulting/" TargetMode="External" Id="rId132"/><Relationship Type="http://schemas.openxmlformats.org/officeDocument/2006/relationships/hyperlink" Target="https://dym.asia/media/metacognition/" TargetMode="External" Id="rId133"/><Relationship Type="http://schemas.openxmlformats.org/officeDocument/2006/relationships/hyperlink" Target="https://dym.asia/services/new-graduates/development-training/" TargetMode="External" Id="rId134"/><Relationship Type="http://schemas.openxmlformats.org/officeDocument/2006/relationships/hyperlink" Target="https://dym.asia/services/new-graduates/development-training/" TargetMode="External" Id="rId135"/><Relationship Type="http://schemas.openxmlformats.org/officeDocument/2006/relationships/hyperlink" Target="https://dym.asia/media/eq/" TargetMode="External" Id="rId136"/><Relationship Type="http://schemas.openxmlformats.org/officeDocument/2006/relationships/hyperlink" Target="https://dym.asia/services/new-graduates/Former-graduate/" TargetMode="External" Id="rId137"/><Relationship Type="http://schemas.openxmlformats.org/officeDocument/2006/relationships/hyperlink" Target="https://dym.asia/services/new-graduates/development-training/" TargetMode="External" Id="rId138"/><Relationship Type="http://schemas.openxmlformats.org/officeDocument/2006/relationships/hyperlink" Target="https://dym.asia/media/influencer/" TargetMode="External" Id="rId139"/><Relationship Type="http://schemas.openxmlformats.org/officeDocument/2006/relationships/hyperlink" Target="https://dym.asia/services/web-promotion/talents-share/" TargetMode="External" Id="rId140"/><Relationship Type="http://schemas.openxmlformats.org/officeDocument/2006/relationships/hyperlink" Target="https://dym.asia/services/web-promotion/sns-ads/" TargetMode="External" Id="rId141"/><Relationship Type="http://schemas.openxmlformats.org/officeDocument/2006/relationships/hyperlink" Target="https://dym.asia/media/satori-generation/" TargetMode="External" Id="rId142"/><Relationship Type="http://schemas.openxmlformats.org/officeDocument/2006/relationships/hyperlink" Target="https://dym.asia/media/sns_consulting/" TargetMode="External" Id="rId143"/><Relationship Type="http://schemas.openxmlformats.org/officeDocument/2006/relationships/hyperlink" Target="https://dym.asia/services/web-promotion/sns-consulting/" TargetMode="External" Id="rId144"/><Relationship Type="http://schemas.openxmlformats.org/officeDocument/2006/relationships/hyperlink" Target="https://dym.asia/services/web-promotion/sns-consulting/" TargetMode="External" Id="rId145"/><Relationship Type="http://schemas.openxmlformats.org/officeDocument/2006/relationships/hyperlink" Target="https://dym.asia/media/vuca/" TargetMode="External" Id="rId146"/><Relationship Type="http://schemas.openxmlformats.org/officeDocument/2006/relationships/hyperlink" Target="https://dym.asia/services/new-graduates/development-training/" TargetMode="External" Id="rId147"/><Relationship Type="http://schemas.openxmlformats.org/officeDocument/2006/relationships/hyperlink" Target="https://dym.asia/services/new-graduates/development-training/" TargetMode="External" Id="rId148"/><Relationship Type="http://schemas.openxmlformats.org/officeDocument/2006/relationships/hyperlink" Target="https://dym.asia/media/advisors/" TargetMode="External" Id="rId149"/><Relationship Type="http://schemas.openxmlformats.org/officeDocument/2006/relationships/hyperlink" Target="https://dym.asia/services/new-graduates/exe-part/" TargetMode="External" Id="rId150"/><Relationship Type="http://schemas.openxmlformats.org/officeDocument/2006/relationships/hyperlink" Target="https://dym.asia/services/new-graduates/exe-part/" TargetMode="External" Id="rId151"/><Relationship Type="http://schemas.openxmlformats.org/officeDocument/2006/relationships/hyperlink" Target="https://dym.asia/media/business-ojt/" TargetMode="External" Id="rId152"/><Relationship Type="http://schemas.openxmlformats.org/officeDocument/2006/relationships/hyperlink" Target="https://dym.asia/services/new-graduates/development-training/" TargetMode="External" Id="rId153"/><Relationship Type="http://schemas.openxmlformats.org/officeDocument/2006/relationships/hyperlink" Target="https://dym.asia/services/new-graduates/development-training/" TargetMode="External" Id="rId154"/><Relationship Type="http://schemas.openxmlformats.org/officeDocument/2006/relationships/hyperlink" Target="https://dym.asia/media/soccer-sponsor/" TargetMode="External" Id="rId155"/><Relationship Type="http://schemas.openxmlformats.org/officeDocument/2006/relationships/hyperlink" Target="https://dym.asia/services/sports/" TargetMode="External" Id="rId156"/><Relationship Type="http://schemas.openxmlformats.org/officeDocument/2006/relationships/hyperlink" Target="https://dym.asia/services/sports/" TargetMode="External" Id="rId157"/><Relationship Type="http://schemas.openxmlformats.org/officeDocument/2006/relationships/hyperlink" Target="https://dym.asia/media/advisor-company/" TargetMode="External" Id="rId158"/><Relationship Type="http://schemas.openxmlformats.org/officeDocument/2006/relationships/hyperlink" Target="https://dym.asia/services/new-graduates/exe-part/" TargetMode="External" Id="rId159"/><Relationship Type="http://schemas.openxmlformats.org/officeDocument/2006/relationships/hyperlink" Target="https://dym.asia/services/new-graduates/exe-part/" TargetMode="External" Id="rId160"/><Relationship Type="http://schemas.openxmlformats.org/officeDocument/2006/relationships/hyperlink" Target="https://dym.asia/media/dormant-company/" TargetMode="External" Id="rId161"/><Relationship Type="http://schemas.openxmlformats.org/officeDocument/2006/relationships/hyperlink" Target="https://dym.asia/services/m&amp;a/consulting/" TargetMode="External" Id="rId162"/><Relationship Type="http://schemas.openxmlformats.org/officeDocument/2006/relationships/hyperlink" Target="https://dym.asia/services/m&amp;a/consulting/" TargetMode="External" Id="rId163"/><Relationship Type="http://schemas.openxmlformats.org/officeDocument/2006/relationships/hyperlink" Target="https://dym.asia/media/overtime-upper-limit/" TargetMode="External" Id="rId164"/><Relationship Type="http://schemas.openxmlformats.org/officeDocument/2006/relationships/hyperlink" Target="https://dym.asia/services/new-graduates/development-training/" TargetMode="External" Id="rId165"/><Relationship Type="http://schemas.openxmlformats.org/officeDocument/2006/relationships/hyperlink" Target="https://dym.asia/services/new-graduates/welfare/" TargetMode="External" Id="rId166"/><Relationship Type="http://schemas.openxmlformats.org/officeDocument/2006/relationships/hyperlink" Target="https://dym.asia/media/early-retirement/" TargetMode="External" Id="rId167"/><Relationship Type="http://schemas.openxmlformats.org/officeDocument/2006/relationships/hyperlink" Target="https://dym.asia/services/new-graduates/" TargetMode="External" Id="rId168"/><Relationship Type="http://schemas.openxmlformats.org/officeDocument/2006/relationships/hyperlink" Target="https://dym.asia/services/new-graduates/welfare/" TargetMode="External" Id="rId169"/><Relationship Type="http://schemas.openxmlformats.org/officeDocument/2006/relationships/hyperlink" Target="https://dym.asia/media/board-member/" TargetMode="External" Id="rId170"/><Relationship Type="http://schemas.openxmlformats.org/officeDocument/2006/relationships/hyperlink" Target="https://dym.asia/services/new-graduates/exe-part/" TargetMode="External" Id="rId171"/><Relationship Type="http://schemas.openxmlformats.org/officeDocument/2006/relationships/hyperlink" Target="https://dym.asia/services/new-graduates/exe-part/" TargetMode="External" Id="rId172"/><Relationship Type="http://schemas.openxmlformats.org/officeDocument/2006/relationships/hyperlink" Target="https://dym.asia/media/kyujinbox_agency/" TargetMode="External" Id="rId173"/><Relationship Type="http://schemas.openxmlformats.org/officeDocument/2006/relationships/hyperlink" Target="https://dym.asia/services/hr-tech/stanby-kyujinbox/" TargetMode="External" Id="rId174"/><Relationship Type="http://schemas.openxmlformats.org/officeDocument/2006/relationships/hyperlink" Target="https://dym.asia/services/hr-tech/stanby-kyujinbox/" TargetMode="External" Id="rId175"/><Relationship Type="http://schemas.openxmlformats.org/officeDocument/2006/relationships/hyperlink" Target="https://dym.asia/media/logicad/" TargetMode="External" Id="rId176"/><Relationship Type="http://schemas.openxmlformats.org/officeDocument/2006/relationships/hyperlink" Target="https://dym.asia/services/web-promotion/dsp-native-ads/" TargetMode="External" Id="rId177"/><Relationship Type="http://schemas.openxmlformats.org/officeDocument/2006/relationships/hyperlink" Target="https://dym.asia/services/web-promotion/dsp-native-ads/" TargetMode="External" Id="rId178"/><Relationship Type="http://schemas.openxmlformats.org/officeDocument/2006/relationships/hyperlink" Target="https://dym.asia/media/maintenance-management/" TargetMode="External" Id="rId179"/><Relationship Type="http://schemas.openxmlformats.org/officeDocument/2006/relationships/hyperlink" Target="https://dym.asia/services/web-promotion/" TargetMode="External" Id="rId180"/><Relationship Type="http://schemas.openxmlformats.org/officeDocument/2006/relationships/hyperlink" Target="https://dym.asia/services/web-promotion/" TargetMode="External" Id="rId181"/><Relationship Type="http://schemas.openxmlformats.org/officeDocument/2006/relationships/hyperlink" Target="https://dym.asia/media/roi/" TargetMode="External" Id="rId182"/><Relationship Type="http://schemas.openxmlformats.org/officeDocument/2006/relationships/hyperlink" Target="https://dym.asia/services/web-promotion/" TargetMode="External" Id="rId183"/><Relationship Type="http://schemas.openxmlformats.org/officeDocument/2006/relationships/hyperlink" Target="https://dym.asia/services/web-promotion/" TargetMode="External" Id="rId184"/><Relationship Type="http://schemas.openxmlformats.org/officeDocument/2006/relationships/hyperlink" Target="https://dym.asia/media/sns-ad-operation/" TargetMode="External" Id="rId185"/><Relationship Type="http://schemas.openxmlformats.org/officeDocument/2006/relationships/hyperlink" Target="https://dym.asia/services/web-promotion/sns-ads/" TargetMode="External" Id="rId186"/><Relationship Type="http://schemas.openxmlformats.org/officeDocument/2006/relationships/hyperlink" Target="https://dym.asia/services/web-promotion/dsp-native-ads/" TargetMode="External" Id="rId187"/><Relationship Type="http://schemas.openxmlformats.org/officeDocument/2006/relationships/hyperlink" Target="https://dym.asia/media/new_graduate_agent/" TargetMode="External" Id="rId188"/><Relationship Type="http://schemas.openxmlformats.org/officeDocument/2006/relationships/hyperlink" Target="https://dym.asia/services/new-graduates/new-graduate-recruitment/" TargetMode="External" Id="rId189"/><Relationship Type="http://schemas.openxmlformats.org/officeDocument/2006/relationships/hyperlink" Target="https://dym.asia/services/new-graduates/new-graduate-recruitment/" TargetMode="External" Id="rId190"/><Relationship Type="http://schemas.openxmlformats.org/officeDocument/2006/relationships/hyperlink" Target="https://dym.asia/media/sponsorship-about/" TargetMode="External" Id="rId191"/><Relationship Type="http://schemas.openxmlformats.org/officeDocument/2006/relationships/hyperlink" Target="https://dym.asia/media/d-league/" TargetMode="External" Id="rId192"/><Relationship Type="http://schemas.openxmlformats.org/officeDocument/2006/relationships/hyperlink" Target="https://dym.asia/services/sports/" TargetMode="External" Id="rId193"/><Relationship Type="http://schemas.openxmlformats.org/officeDocument/2006/relationships/hyperlink" Target="https://dym.asia/services/sports/" TargetMode="External" Id="rId194"/><Relationship Type="http://schemas.openxmlformats.org/officeDocument/2006/relationships/hyperlink" Target="https://dym.asia/media/google_agency/" TargetMode="External" Id="rId195"/><Relationship Type="http://schemas.openxmlformats.org/officeDocument/2006/relationships/hyperlink" Target="https://dym.asia/services/web-promotion/listing/" TargetMode="External" Id="rId196"/><Relationship Type="http://schemas.openxmlformats.org/officeDocument/2006/relationships/hyperlink" Target="https://dym.asia/services/web-promotion/listing/" TargetMode="External" Id="rId197"/><Relationship Type="http://schemas.openxmlformats.org/officeDocument/2006/relationships/hyperlink" Target="https://dym.asia/media/mail-signature-template/" TargetMode="External" Id="rId198"/><Relationship Type="http://schemas.openxmlformats.org/officeDocument/2006/relationships/hyperlink" Target="https://dym.asia/services/new-graduates/exe-part/" TargetMode="External" Id="rId199"/><Relationship Type="http://schemas.openxmlformats.org/officeDocument/2006/relationships/hyperlink" Target="https://dym.asia/services/new-graduates/development-training/" TargetMode="External" Id="rId200"/><Relationship Type="http://schemas.openxmlformats.org/officeDocument/2006/relationships/hyperlink" Target="https://dym.asia/media/moral-harassment/" TargetMode="External" Id="rId201"/><Relationship Type="http://schemas.openxmlformats.org/officeDocument/2006/relationships/hyperlink" Target="https://dym.asia/services/new-graduates/development-training/" TargetMode="External" Id="rId202"/><Relationship Type="http://schemas.openxmlformats.org/officeDocument/2006/relationships/hyperlink" Target="https://dym.asia/services/new-graduates/development-training/" TargetMode="External" Id="rId203"/><Relationship Type="http://schemas.openxmlformats.org/officeDocument/2006/relationships/hyperlink" Target="https://dym.asia/media/office-layout-feng-shui/" TargetMode="External" Id="rId204"/><Relationship Type="http://schemas.openxmlformats.org/officeDocument/2006/relationships/hyperlink" Target="https://dym.asia/services/new-business/relocation/" TargetMode="External" Id="rId205"/><Relationship Type="http://schemas.openxmlformats.org/officeDocument/2006/relationships/hyperlink" Target="https://dym.asia/services/new-business/relocation/" TargetMode="External" Id="rId206"/><Relationship Type="http://schemas.openxmlformats.org/officeDocument/2006/relationships/hyperlink" Target="https://dym.asia/media/others-search/" TargetMode="External" Id="rId207"/><Relationship Type="http://schemas.openxmlformats.org/officeDocument/2006/relationships/hyperlink" Target="https://dym.asia/services/web-promotion/seo/" TargetMode="External" Id="rId208"/><Relationship Type="http://schemas.openxmlformats.org/officeDocument/2006/relationships/hyperlink" Target="https://dym.asia/services/web-promotion/seo/" TargetMode="External" Id="rId209"/><Relationship Type="http://schemas.openxmlformats.org/officeDocument/2006/relationships/hyperlink" Target="https://dym.asia/media/concorde-effect/" TargetMode="External" Id="rId210"/><Relationship Type="http://schemas.openxmlformats.org/officeDocument/2006/relationships/hyperlink" Target="https://dym.asia/services/new-graduates/exe-part/" TargetMode="External" Id="rId211"/><Relationship Type="http://schemas.openxmlformats.org/officeDocument/2006/relationships/hyperlink" Target="https://dym.asia/services/new-graduates/new-graduate-recruitment/" TargetMode="External" Id="rId212"/><Relationship Type="http://schemas.openxmlformats.org/officeDocument/2006/relationships/hyperlink" Target="https://dym.asia/media/indeed-plus-guide/" TargetMode="External" Id="rId213"/><Relationship Type="http://schemas.openxmlformats.org/officeDocument/2006/relationships/hyperlink" Target="https://dym.asia/services/hr-tech/indeed/" TargetMode="External" Id="rId214"/><Relationship Type="http://schemas.openxmlformats.org/officeDocument/2006/relationships/hyperlink" Target="https://dym.asia/services/hr-tech/indeed/" TargetMode="External" Id="rId215"/><Relationship Type="http://schemas.openxmlformats.org/officeDocument/2006/relationships/hyperlink" Target="https://dym.asia/media/ip-address/" TargetMode="External" Id="rId216"/><Relationship Type="http://schemas.openxmlformats.org/officeDocument/2006/relationships/hyperlink" Target="https://dym.asia/services/web-promotion/production-operation/" TargetMode="External" Id="rId217"/><Relationship Type="http://schemas.openxmlformats.org/officeDocument/2006/relationships/hyperlink" Target="https://dym.asia/services/web-promotion/production-operation/" TargetMode="External" Id="rId218"/><Relationship Type="http://schemas.openxmlformats.org/officeDocument/2006/relationships/hyperlink" Target="https://dym.asia/media/404-error/" TargetMode="External" Id="rId219"/><Relationship Type="http://schemas.openxmlformats.org/officeDocument/2006/relationships/hyperlink" Target="https://dym.asia/services/web-promotion/production-operation/" TargetMode="External" Id="rId220"/><Relationship Type="http://schemas.openxmlformats.org/officeDocument/2006/relationships/hyperlink" Target="https://dym.asia/services/web-promotion/production-operation/" TargetMode="External" Id="rId221"/><Relationship Type="http://schemas.openxmlformats.org/officeDocument/2006/relationships/hyperlink" Target="https://dym.asia/media/advertising/" TargetMode="External" Id="rId222"/><Relationship Type="http://schemas.openxmlformats.org/officeDocument/2006/relationships/hyperlink" Target="https://dym.asia/services/web-promotion/listing/" TargetMode="External" Id="rId223"/><Relationship Type="http://schemas.openxmlformats.org/officeDocument/2006/relationships/hyperlink" Target="https://dym.asia/services/web-promotion/listing/" TargetMode="External" Id="rId224"/><Relationship Type="http://schemas.openxmlformats.org/officeDocument/2006/relationships/hyperlink" Target="https://dym.asia/media/diversity/" TargetMode="External" Id="rId225"/><Relationship Type="http://schemas.openxmlformats.org/officeDocument/2006/relationships/hyperlink" Target="https://dym.asia/services/new-graduates/" TargetMode="External" Id="rId226"/><Relationship Type="http://schemas.openxmlformats.org/officeDocument/2006/relationships/hyperlink" Target="https://dym.asia/services/new-graduates/Former-graduate/" TargetMode="External" Id="rId227"/><Relationship Type="http://schemas.openxmlformats.org/officeDocument/2006/relationships/hyperlink" Target="https://dym.asia/media/general-mediation-brokerage-fee/" TargetMode="External" Id="rId228"/><Relationship Type="http://schemas.openxmlformats.org/officeDocument/2006/relationships/hyperlink" Target="https://dym.asia/services/new-business/relocation/" TargetMode="External" Id="rId229"/><Relationship Type="http://schemas.openxmlformats.org/officeDocument/2006/relationships/hyperlink" Target="https://dym.asia/services/new-business/relocation/" TargetMode="External" Id="rId230"/><Relationship Type="http://schemas.openxmlformats.org/officeDocument/2006/relationships/hyperlink" Target="https://dym.asia/media/head-hunting-cost/" TargetMode="External" Id="rId231"/><Relationship Type="http://schemas.openxmlformats.org/officeDocument/2006/relationships/hyperlink" Target="https://dym.asia/services/new-graduates/high-class/" TargetMode="External" Id="rId232"/><Relationship Type="http://schemas.openxmlformats.org/officeDocument/2006/relationships/hyperlink" Target="https://dym.asia/services/new-graduates/high-class/" TargetMode="External" Id="rId233"/><Relationship Type="http://schemas.openxmlformats.org/officeDocument/2006/relationships/hyperlink" Target="https://dym.asia/media/may-day/" TargetMode="External" Id="rId234"/><Relationship Type="http://schemas.openxmlformats.org/officeDocument/2006/relationships/hyperlink" Target="https://dym.asia/services/new-graduates/Former-graduate/" TargetMode="External" Id="rId235"/><Relationship Type="http://schemas.openxmlformats.org/officeDocument/2006/relationships/hyperlink" Target="https://dym.asia/services/new-graduates/welfare/" TargetMode="External" Id="rId236"/><Relationship Type="http://schemas.openxmlformats.org/officeDocument/2006/relationships/hyperlink" Target="https://dym.asia/media/overtime-pay-calculation/" TargetMode="External" Id="rId237"/><Relationship Type="http://schemas.openxmlformats.org/officeDocument/2006/relationships/hyperlink" Target="https://dym.asia/services/new-graduates/development-training/" TargetMode="External" Id="rId238"/><Relationship Type="http://schemas.openxmlformats.org/officeDocument/2006/relationships/hyperlink" Target="https://dym.asia/services/new-graduates/development-training/" TargetMode="External" Id="rId239"/><Relationship Type="http://schemas.openxmlformats.org/officeDocument/2006/relationships/hyperlink" Target="https://dym.asia/media/paid-about/" TargetMode="External" Id="rId240"/><Relationship Type="http://schemas.openxmlformats.org/officeDocument/2006/relationships/hyperlink" Target="https://dym.asia/services/new-graduates/new-graduate-recruitment/" TargetMode="External" Id="rId241"/><Relationship Type="http://schemas.openxmlformats.org/officeDocument/2006/relationships/hyperlink" Target="https://dym.asia/services/new-graduates/welfare/" TargetMode="External" Id="rId242"/><Relationship Type="http://schemas.openxmlformats.org/officeDocument/2006/relationships/hyperlink" Target="https://dym.asia/media/permanent_dispatch/" TargetMode="External" Id="rId243"/><Relationship Type="http://schemas.openxmlformats.org/officeDocument/2006/relationships/hyperlink" Target="https://dym.asia/services/new-graduates/dym-tech/" TargetMode="External" Id="rId244"/><Relationship Type="http://schemas.openxmlformats.org/officeDocument/2006/relationships/hyperlink" Target="https://dym.asia/services/new-graduates/dym-tech/" TargetMode="External" Id="rId245"/><Relationship Type="http://schemas.openxmlformats.org/officeDocument/2006/relationships/hyperlink" Target="https://dym.asia/media/skin-care/" TargetMode="External" Id="rId246"/><Relationship Type="http://schemas.openxmlformats.org/officeDocument/2006/relationships/hyperlink" Target="https://dym.asia/services/medicine/" TargetMode="External" Id="rId247"/><Relationship Type="http://schemas.openxmlformats.org/officeDocument/2006/relationships/hyperlink" Target="https://dym.asia/services/medicine/" TargetMode="External" Id="rId248"/><Relationship Type="http://schemas.openxmlformats.org/officeDocument/2006/relationships/hyperlink" Target="https://dym.asia/media/what-is-hrtech/" TargetMode="External" Id="rId249"/><Relationship Type="http://schemas.openxmlformats.org/officeDocument/2006/relationships/hyperlink" Target="https://dym.asia/services/hr-tech/indeed/" TargetMode="External" Id="rId250"/><Relationship Type="http://schemas.openxmlformats.org/officeDocument/2006/relationships/hyperlink" Target="https://dym.asia/services/hr-tech/indeed/" TargetMode="External" Id="rId251"/><Relationship Type="http://schemas.openxmlformats.org/officeDocument/2006/relationships/hyperlink" Target="https://dym.asia/media/403erorr/" TargetMode="External" Id="rId252"/><Relationship Type="http://schemas.openxmlformats.org/officeDocument/2006/relationships/hyperlink" Target="https://dym.asia/services/web-promotion/production-operation/" TargetMode="External" Id="rId253"/><Relationship Type="http://schemas.openxmlformats.org/officeDocument/2006/relationships/hyperlink" Target="https://dym.asia/services/web-promotion/production-operation/" TargetMode="External" Id="rId254"/><Relationship Type="http://schemas.openxmlformats.org/officeDocument/2006/relationships/hyperlink" Target="https://dym.asia/media/affiliate-site/" TargetMode="External" Id="rId255"/><Relationship Type="http://schemas.openxmlformats.org/officeDocument/2006/relationships/hyperlink" Target="https://dym.asia/services/web-promotion/affiliate/" TargetMode="External" Id="rId256"/><Relationship Type="http://schemas.openxmlformats.org/officeDocument/2006/relationships/hyperlink" Target="https://dym.asia/services/web-promotion/affiliate/" TargetMode="External" Id="rId257"/><Relationship Type="http://schemas.openxmlformats.org/officeDocument/2006/relationships/hyperlink" Target="https://dym.asia/media/anchoring-effect/" TargetMode="External" Id="rId258"/><Relationship Type="http://schemas.openxmlformats.org/officeDocument/2006/relationships/hyperlink" Target="https://dym.asia/services/web-promotion/" TargetMode="External" Id="rId259"/><Relationship Type="http://schemas.openxmlformats.org/officeDocument/2006/relationships/hyperlink" Target="https://dym.asia/services/web-promotion/" TargetMode="External" Id="rId260"/><Relationship Type="http://schemas.openxmlformats.org/officeDocument/2006/relationships/hyperlink" Target="https://dym.asia/media/degital-marketing-outsourcing/" TargetMode="External" Id="rId261"/><Relationship Type="http://schemas.openxmlformats.org/officeDocument/2006/relationships/hyperlink" Target="https://dym.asia/services/new-graduates/dym-tech/" TargetMode="External" Id="rId262"/><Relationship Type="http://schemas.openxmlformats.org/officeDocument/2006/relationships/hyperlink" Target="https://dym.asia/services/new-graduates/dym-tech/" TargetMode="External" Id="rId263"/><Relationship Type="http://schemas.openxmlformats.org/officeDocument/2006/relationships/hyperlink" Target="https://dym.asia/media/lbo/" TargetMode="External" Id="rId264"/><Relationship Type="http://schemas.openxmlformats.org/officeDocument/2006/relationships/hyperlink" Target="https://dym.asia/services/m&amp;a/consulting/" TargetMode="External" Id="rId265"/><Relationship Type="http://schemas.openxmlformats.org/officeDocument/2006/relationships/hyperlink" Target="https://dym.asia/services/m&amp;a/consulting/" TargetMode="External" Id="rId266"/><Relationship Type="http://schemas.openxmlformats.org/officeDocument/2006/relationships/hyperlink" Target="https://dym.asia/media/new-graduation-introduction-commission/" TargetMode="External" Id="rId267"/><Relationship Type="http://schemas.openxmlformats.org/officeDocument/2006/relationships/hyperlink" Target="https://dym.asia/media/recruitment-advertisement-agent/" TargetMode="External" Id="rId268"/><Relationship Type="http://schemas.openxmlformats.org/officeDocument/2006/relationships/hyperlink" Target="https://dym.asia/services/hr-tech/indeed/" TargetMode="External" Id="rId269"/><Relationship Type="http://schemas.openxmlformats.org/officeDocument/2006/relationships/hyperlink" Target="https://dym.asia/services/hr-tech/indeed/" TargetMode="External" Id="rId270"/><Relationship Type="http://schemas.openxmlformats.org/officeDocument/2006/relationships/hyperlink" Target="https://dym.asia/media/redirect/" TargetMode="External" Id="rId271"/><Relationship Type="http://schemas.openxmlformats.org/officeDocument/2006/relationships/hyperlink" Target="https://dym.asia/services/web-promotion/seo/" TargetMode="External" Id="rId272"/><Relationship Type="http://schemas.openxmlformats.org/officeDocument/2006/relationships/hyperlink" Target="https://dym.asia/services/web-promotion/seo/" TargetMode="External" Id="rId273"/><Relationship Type="http://schemas.openxmlformats.org/officeDocument/2006/relationships/hyperlink" Target="https://dym.asia/media/withholding-tax-slip/" TargetMode="External" Id="rId274"/><Relationship Type="http://schemas.openxmlformats.org/officeDocument/2006/relationships/hyperlink" Target="https://dym.asia/services/" TargetMode="External" Id="rId275"/><Relationship Type="http://schemas.openxmlformats.org/officeDocument/2006/relationships/hyperlink" Target="https://dym.asia/services/new-graduates/new-graduate-recruitment/" TargetMode="External" Id="rId276"/><Relationship Type="http://schemas.openxmlformats.org/officeDocument/2006/relationships/hyperlink" Target="https://dym.asia/media/advisor-bank/" TargetMode="External" Id="rId277"/><Relationship Type="http://schemas.openxmlformats.org/officeDocument/2006/relationships/hyperlink" Target="https://dym.asia/services/new-graduates/exe-part/" TargetMode="External" Id="rId278"/><Relationship Type="http://schemas.openxmlformats.org/officeDocument/2006/relationships/hyperlink" Target="https://dym.asia/services/new-graduates/exe-part/" TargetMode="External" Id="rId279"/><Relationship Type="http://schemas.openxmlformats.org/officeDocument/2006/relationships/hyperlink" Target="https://dym.asia/media/advisor-introduction/" TargetMode="External" Id="rId280"/><Relationship Type="http://schemas.openxmlformats.org/officeDocument/2006/relationships/hyperlink" Target="https://dym.asia/services/new-graduates/exe-part/" TargetMode="External" Id="rId281"/><Relationship Type="http://schemas.openxmlformats.org/officeDocument/2006/relationships/hyperlink" Target="https://dym.asia/services/new-graduates/exe-part/" TargetMode="External" Id="rId282"/><Relationship Type="http://schemas.openxmlformats.org/officeDocument/2006/relationships/hyperlink" Target="https://dym.asia/media/callcenter-unsuitable/" TargetMode="External" Id="rId283"/><Relationship Type="http://schemas.openxmlformats.org/officeDocument/2006/relationships/hyperlink" Target="https://dym.asia/services/hr-tech/indeed/" TargetMode="External" Id="rId284"/><Relationship Type="http://schemas.openxmlformats.org/officeDocument/2006/relationships/hyperlink" Target="https://dym.asia/services/hr-tech/kyujinbox/" TargetMode="External" Id="rId285"/><Relationship Type="http://schemas.openxmlformats.org/officeDocument/2006/relationships/hyperlink" Target="https://dym.asia/media/disciplinary-action/" TargetMode="External" Id="rId286"/><Relationship Type="http://schemas.openxmlformats.org/officeDocument/2006/relationships/hyperlink" Target="https://dym.asia/services/new-graduates/" TargetMode="External" Id="rId287"/><Relationship Type="http://schemas.openxmlformats.org/officeDocument/2006/relationships/hyperlink" Target="https://dym.asia/media/domain/" TargetMode="External" Id="rId288"/><Relationship Type="http://schemas.openxmlformats.org/officeDocument/2006/relationships/hyperlink" Target="https://dym.asia/services/web-promotion/seo/" TargetMode="External" Id="rId289"/><Relationship Type="http://schemas.openxmlformats.org/officeDocument/2006/relationships/hyperlink" Target="https://dym.asia/services/web-promotion/" TargetMode="External" Id="rId290"/><Relationship Type="http://schemas.openxmlformats.org/officeDocument/2006/relationships/hyperlink" Target="https://dym.asia/media/external-advisor/" TargetMode="External" Id="rId291"/><Relationship Type="http://schemas.openxmlformats.org/officeDocument/2006/relationships/hyperlink" Target="https://dym.asia/services/new-graduates/exe-part/" TargetMode="External" Id="rId292"/><Relationship Type="http://schemas.openxmlformats.org/officeDocument/2006/relationships/hyperlink" Target="https://dym.asia/services/new-graduates/exe-part/" TargetMode="External" Id="rId293"/><Relationship Type="http://schemas.openxmlformats.org/officeDocument/2006/relationships/hyperlink" Target="https://dym.asia/media/health-check-50s/" TargetMode="External" Id="rId294"/><Relationship Type="http://schemas.openxmlformats.org/officeDocument/2006/relationships/hyperlink" Target="https://dym.asia/services/medicine/" TargetMode="External" Id="rId295"/><Relationship Type="http://schemas.openxmlformats.org/officeDocument/2006/relationships/hyperlink" Target="https://dym.asia/services/medicine/" TargetMode="External" Id="rId296"/><Relationship Type="http://schemas.openxmlformats.org/officeDocument/2006/relationships/hyperlink" Target="https://dym.asia/media/health-checkup-upon-employment-cost/" TargetMode="External" Id="rId297"/><Relationship Type="http://schemas.openxmlformats.org/officeDocument/2006/relationships/hyperlink" Target="https://dym.asia/services/medicine/" TargetMode="External" Id="rId298"/><Relationship Type="http://schemas.openxmlformats.org/officeDocument/2006/relationships/hyperlink" Target="https://dym.asia/services/medicine/" TargetMode="External" Id="rId299"/><Relationship Type="http://schemas.openxmlformats.org/officeDocument/2006/relationships/hyperlink" Target="https://dym.asia/media/monetization/" TargetMode="External" Id="rId300"/><Relationship Type="http://schemas.openxmlformats.org/officeDocument/2006/relationships/hyperlink" Target="https://dym.asia/services/web-promotion" TargetMode="External" Id="rId301"/><Relationship Type="http://schemas.openxmlformats.org/officeDocument/2006/relationships/hyperlink" Target="https://dym.asia/services/web-promotion/" TargetMode="External" Id="rId302"/><Relationship Type="http://schemas.openxmlformats.org/officeDocument/2006/relationships/hyperlink" Target="https://dym.asia/media/new-graduate-training/" TargetMode="External" Id="rId303"/><Relationship Type="http://schemas.openxmlformats.org/officeDocument/2006/relationships/hyperlink" Target="https://dym.asia/services/new-graduates/development-training/" TargetMode="External" Id="rId304"/><Relationship Type="http://schemas.openxmlformats.org/officeDocument/2006/relationships/hyperlink" Target="https://dym.asia/services/new-graduates/development-training/" TargetMode="External" Id="rId305"/><Relationship Type="http://schemas.openxmlformats.org/officeDocument/2006/relationships/hyperlink" Target="https://dym.asia/media/office-consulting/" TargetMode="External" Id="rId306"/><Relationship Type="http://schemas.openxmlformats.org/officeDocument/2006/relationships/hyperlink" Target="https://dym.asia/services/new-business/relocation/" TargetMode="External" Id="rId307"/><Relationship Type="http://schemas.openxmlformats.org/officeDocument/2006/relationships/hyperlink" Target="https://dym.asia/services/new-business/relocation/" TargetMode="External" Id="rId308"/><Relationship Type="http://schemas.openxmlformats.org/officeDocument/2006/relationships/hyperlink" Target="https://dym.asia/media/rtb/" TargetMode="External" Id="rId309"/><Relationship Type="http://schemas.openxmlformats.org/officeDocument/2006/relationships/hyperlink" Target="https://dym.asia/services/web-promotion/" TargetMode="External" Id="rId310"/><Relationship Type="http://schemas.openxmlformats.org/officeDocument/2006/relationships/hyperlink" Target="https://dym.asia/services/web-promotion/" TargetMode="External" Id="rId311"/><Relationship Type="http://schemas.openxmlformats.org/officeDocument/2006/relationships/hyperlink" Target="https://dym.asia/media/web-promotion/" TargetMode="External" Id="rId312"/><Relationship Type="http://schemas.openxmlformats.org/officeDocument/2006/relationships/hyperlink" Target="https://dym.asia/services/web-promotion/" TargetMode="External" Id="rId313"/><Relationship Type="http://schemas.openxmlformats.org/officeDocument/2006/relationships/hyperlink" Target="https://dym.asia/services/web-promotion/sns-ads/" TargetMode="External" Id="rId314"/><Relationship Type="http://schemas.openxmlformats.org/officeDocument/2006/relationships/hyperlink" Target="https://dym.asia/media/what-is-reputation-risk/" TargetMode="External" Id="rId315"/><Relationship Type="http://schemas.openxmlformats.org/officeDocument/2006/relationships/hyperlink" Target="https://dym.asia/services/web-promotion/production-operation/" TargetMode="External" Id="rId316"/><Relationship Type="http://schemas.openxmlformats.org/officeDocument/2006/relationships/hyperlink" Target="https://dym.asia/services/web-promotion/production-operation/" TargetMode="External" Id="rId317"/><Relationship Type="http://schemas.openxmlformats.org/officeDocument/2006/relationships/hyperlink" Target="https://dym.asia/media/business-transfer/" TargetMode="External" Id="rId318"/><Relationship Type="http://schemas.openxmlformats.org/officeDocument/2006/relationships/hyperlink" Target="https://dym.asia/services/m&amp;a/consulting/" TargetMode="External" Id="rId319"/><Relationship Type="http://schemas.openxmlformats.org/officeDocument/2006/relationships/hyperlink" Target="https://dym.asia/services/m&amp;a/consulting/" TargetMode="External" Id="rId320"/><Relationship Type="http://schemas.openxmlformats.org/officeDocument/2006/relationships/hyperlink" Target="https://dym.asia/media/labor-reduction/" TargetMode="External" Id="rId321"/><Relationship Type="http://schemas.openxmlformats.org/officeDocument/2006/relationships/hyperlink" Target="https://dym.asia/services/hr-tech/office-work-outsourcing/" TargetMode="External" Id="rId322"/><Relationship Type="http://schemas.openxmlformats.org/officeDocument/2006/relationships/hyperlink" Target="https://dym.asia/services/hr-tech/rakusai/" TargetMode="External" Id="rId323"/><Relationship Type="http://schemas.openxmlformats.org/officeDocument/2006/relationships/hyperlink" Target="https://dym.asia/media/line-business-fee/" TargetMode="External" Id="rId324"/><Relationship Type="http://schemas.openxmlformats.org/officeDocument/2006/relationships/hyperlink" Target="https://dym.asia/services/web-promotion/line-official-account/" TargetMode="External" Id="rId325"/><Relationship Type="http://schemas.openxmlformats.org/officeDocument/2006/relationships/hyperlink" Target="https://dym.asia/services/web-promotion/line-official-account/" TargetMode="External" Id="rId326"/><Relationship Type="http://schemas.openxmlformats.org/officeDocument/2006/relationships/hyperlink" Target="https://dym.asia/media/potential/" TargetMode="External" Id="rId327"/><Relationship Type="http://schemas.openxmlformats.org/officeDocument/2006/relationships/hyperlink" Target="https://dym.asia/services/new-graduates/" TargetMode="External" Id="rId328"/><Relationship Type="http://schemas.openxmlformats.org/officeDocument/2006/relationships/hyperlink" Target="https://dym.asia/services/new-graduates/Former-graduate/" TargetMode="External" Id="rId329"/><Relationship Type="http://schemas.openxmlformats.org/officeDocument/2006/relationships/hyperlink" Target="https://dym.asia/media/recruitment-letter/" TargetMode="External" Id="rId330"/><Relationship Type="http://schemas.openxmlformats.org/officeDocument/2006/relationships/hyperlink" Target="https://dym.asia/services/new-graduates/new-graduate-recruitment/" TargetMode="External" Id="rId331"/><Relationship Type="http://schemas.openxmlformats.org/officeDocument/2006/relationships/hyperlink" Target="https://dym.asia/services/new-graduates/new-graduate-recruitment/" TargetMode="External" Id="rId332"/><Relationship Type="http://schemas.openxmlformats.org/officeDocument/2006/relationships/hyperlink" Target="https://dym.asia/media/search-engine/" TargetMode="External" Id="rId333"/><Relationship Type="http://schemas.openxmlformats.org/officeDocument/2006/relationships/hyperlink" Target="https://dym.asia/services/web-promotion/listing/" TargetMode="External" Id="rId334"/><Relationship Type="http://schemas.openxmlformats.org/officeDocument/2006/relationships/hyperlink" Target="https://dym.asia/services/web-promotion/seo/" TargetMode="External" Id="rId335"/><Relationship Type="http://schemas.openxmlformats.org/officeDocument/2006/relationships/hyperlink" Target="https://dym.asia/media/503erorr/" TargetMode="External" Id="rId336"/><Relationship Type="http://schemas.openxmlformats.org/officeDocument/2006/relationships/hyperlink" Target="https://dym.asia/services/web-promotion/production-operation/" TargetMode="External" Id="rId337"/><Relationship Type="http://schemas.openxmlformats.org/officeDocument/2006/relationships/hyperlink" Target="https://dym.asia/services/web-promotion/production-operation/" TargetMode="External" Id="rId338"/><Relationship Type="http://schemas.openxmlformats.org/officeDocument/2006/relationships/hyperlink" Target="https://dym.asia/media/administration-advisor/" TargetMode="External" Id="rId339"/><Relationship Type="http://schemas.openxmlformats.org/officeDocument/2006/relationships/hyperlink" Target="https://dym.asia/services/new-graduates/exe-part/" TargetMode="External" Id="rId340"/><Relationship Type="http://schemas.openxmlformats.org/officeDocument/2006/relationships/hyperlink" Target="https://dym.asia/media/administration-advisor/" TargetMode="External" Id="rId341"/><Relationship Type="http://schemas.openxmlformats.org/officeDocument/2006/relationships/hyperlink" Target="https://dym.asia/media/ahrefs/" TargetMode="External" Id="rId342"/><Relationship Type="http://schemas.openxmlformats.org/officeDocument/2006/relationships/hyperlink" Target="https://dym.asia/services/web-promotion/" TargetMode="External" Id="rId343"/><Relationship Type="http://schemas.openxmlformats.org/officeDocument/2006/relationships/hyperlink" Target="https://dym.asia/services/web-promotion/" TargetMode="External" Id="rId344"/><Relationship Type="http://schemas.openxmlformats.org/officeDocument/2006/relationships/hyperlink" Target="https://dym.asia/media/business-5w1h/" TargetMode="External" Id="rId345"/><Relationship Type="http://schemas.openxmlformats.org/officeDocument/2006/relationships/hyperlink" Target="https://dym.asia/services/new-graduates/development-training/" TargetMode="External" Id="rId346"/><Relationship Type="http://schemas.openxmlformats.org/officeDocument/2006/relationships/hyperlink" Target="https://dym.asia/services/new-graduates/development-training/" TargetMode="External" Id="rId347"/><Relationship Type="http://schemas.openxmlformats.org/officeDocument/2006/relationships/hyperlink" Target="https://dym.asia/media/callcenter-qualification/" TargetMode="External" Id="rId348"/><Relationship Type="http://schemas.openxmlformats.org/officeDocument/2006/relationships/hyperlink" Target="https://dym.asia/services/hr-tech/call-center/" TargetMode="External" Id="rId349"/><Relationship Type="http://schemas.openxmlformats.org/officeDocument/2006/relationships/hyperlink" Target="https://dym.asia/services/hr-tech/call-center/" TargetMode="External" Id="rId350"/><Relationship Type="http://schemas.openxmlformats.org/officeDocument/2006/relationships/hyperlink" Target="https://dym.asia/media/cookie/" TargetMode="External" Id="rId351"/><Relationship Type="http://schemas.openxmlformats.org/officeDocument/2006/relationships/hyperlink" Target="https://dym.asia/services/web-promotion/production-operation/" TargetMode="External" Id="rId352"/><Relationship Type="http://schemas.openxmlformats.org/officeDocument/2006/relationships/hyperlink" Target="https://dym.asia/services/web-promotion/production-operation/" TargetMode="External" Id="rId353"/><Relationship Type="http://schemas.openxmlformats.org/officeDocument/2006/relationships/hyperlink" Target="https://dym.asia/media/dance-sponsor/" TargetMode="External" Id="rId354"/><Relationship Type="http://schemas.openxmlformats.org/officeDocument/2006/relationships/hyperlink" Target="https://dym.asia/services/sports/" TargetMode="External" Id="rId355"/><Relationship Type="http://schemas.openxmlformats.org/officeDocument/2006/relationships/hyperlink" Target="https://dym.asia/services/sports/" TargetMode="External" Id="rId356"/><Relationship Type="http://schemas.openxmlformats.org/officeDocument/2006/relationships/hyperlink" Target="https://dym.asia/media/domain-power/" TargetMode="External" Id="rId357"/><Relationship Type="http://schemas.openxmlformats.org/officeDocument/2006/relationships/hyperlink" Target="https://dym.asia/services/web-promotion/seo/" TargetMode="External" Id="rId358"/><Relationship Type="http://schemas.openxmlformats.org/officeDocument/2006/relationships/hyperlink" Target="https://dym.asia/services/web-promotion/production-operation/" TargetMode="External" Id="rId359"/><Relationship Type="http://schemas.openxmlformats.org/officeDocument/2006/relationships/hyperlink" Target="https://dym.asia/media/elysian-essence/" TargetMode="External" Id="rId360"/><Relationship Type="http://schemas.openxmlformats.org/officeDocument/2006/relationships/hyperlink" Target="https://dym.asia/services/medicine/" TargetMode="External" Id="rId361"/><Relationship Type="http://schemas.openxmlformats.org/officeDocument/2006/relationships/hyperlink" Target="https://dym.asia/services/medicine/" TargetMode="External" Id="rId362"/><Relationship Type="http://schemas.openxmlformats.org/officeDocument/2006/relationships/hyperlink" Target="https://dym.asia/media/google-ads-cost/" TargetMode="External" Id="rId363"/><Relationship Type="http://schemas.openxmlformats.org/officeDocument/2006/relationships/hyperlink" Target="https://dym.asia/services/web-promotion/listing/" TargetMode="External" Id="rId364"/><Relationship Type="http://schemas.openxmlformats.org/officeDocument/2006/relationships/hyperlink" Target="https://dym.asia/services/web-promotion/listing/" TargetMode="External" Id="rId365"/><Relationship Type="http://schemas.openxmlformats.org/officeDocument/2006/relationships/hyperlink" Target="https://dym.asia/media/google-search-about/" TargetMode="External" Id="rId366"/><Relationship Type="http://schemas.openxmlformats.org/officeDocument/2006/relationships/hyperlink" Target="https://dym.asia/services/web-promotion/seo/" TargetMode="External" Id="rId367"/><Relationship Type="http://schemas.openxmlformats.org/officeDocument/2006/relationships/hyperlink" Target="https://dym.asia/services/web-promotion/seo/" TargetMode="External" Id="rId368"/><Relationship Type="http://schemas.openxmlformats.org/officeDocument/2006/relationships/hyperlink" Target="https://dym.asia/media/ice-break/" TargetMode="External" Id="rId369"/><Relationship Type="http://schemas.openxmlformats.org/officeDocument/2006/relationships/hyperlink" Target="https://dym.asia/services/new-graduates/development-training/" TargetMode="External" Id="rId370"/><Relationship Type="http://schemas.openxmlformats.org/officeDocument/2006/relationships/hyperlink" Target="https://dym.asia/services/new-graduates/development-training/" TargetMode="External" Id="rId371"/><Relationship Type="http://schemas.openxmlformats.org/officeDocument/2006/relationships/hyperlink" Target="https://dym.asia/media/indeed_operation/" TargetMode="External" Id="rId372"/><Relationship Type="http://schemas.openxmlformats.org/officeDocument/2006/relationships/hyperlink" Target="https://dym.asia/services/hr-tech/indeed/" TargetMode="External" Id="rId373"/><Relationship Type="http://schemas.openxmlformats.org/officeDocument/2006/relationships/hyperlink" Target="https://dym.asia/services/hr-tech/indeed/" TargetMode="External" Id="rId374"/><Relationship Type="http://schemas.openxmlformats.org/officeDocument/2006/relationships/hyperlink" Target="https://dym.asia/media/individual-efforts/" TargetMode="External" Id="rId375"/><Relationship Type="http://schemas.openxmlformats.org/officeDocument/2006/relationships/hyperlink" Target="https://dym.asia/services/new-graduates/" TargetMode="External" Id="rId376"/><Relationship Type="http://schemas.openxmlformats.org/officeDocument/2006/relationships/hyperlink" Target="https://dym.asia/services/new-graduates/Former-graduate/" TargetMode="External" Id="rId377"/><Relationship Type="http://schemas.openxmlformats.org/officeDocument/2006/relationships/hyperlink" Target="https://dym.asia/media/job-assignment-system/" TargetMode="External" Id="rId378"/><Relationship Type="http://schemas.openxmlformats.org/officeDocument/2006/relationships/hyperlink" Target="https://dym.asia/services/new-graduates/" TargetMode="External" Id="rId379"/><Relationship Type="http://schemas.openxmlformats.org/officeDocument/2006/relationships/hyperlink" Target="https://dym.asia/services/new-graduates/" TargetMode="External" Id="rId380"/><Relationship Type="http://schemas.openxmlformats.org/officeDocument/2006/relationships/hyperlink" Target="https://dym.asia/media/johari-window/" TargetMode="External" Id="rId381"/><Relationship Type="http://schemas.openxmlformats.org/officeDocument/2006/relationships/hyperlink" Target="https://dym.asia/services/new-graduates/development-training/" TargetMode="External" Id="rId382"/><Relationship Type="http://schemas.openxmlformats.org/officeDocument/2006/relationships/hyperlink" Target="https://dym.asia/services/new-graduates/development-training/" TargetMode="External" Id="rId383"/><Relationship Type="http://schemas.openxmlformats.org/officeDocument/2006/relationships/hyperlink" Target="https://dym.asia/media/kyujinbox/" TargetMode="External" Id="rId384"/><Relationship Type="http://schemas.openxmlformats.org/officeDocument/2006/relationships/hyperlink" Target="https://dym.asia/services/hr-tech/stanby-kyujinbox/" TargetMode="External" Id="rId385"/><Relationship Type="http://schemas.openxmlformats.org/officeDocument/2006/relationships/hyperlink" Target="https://dym.asia/services/hr-tech/stanby-kyujinbox/" TargetMode="External" Id="rId386"/><Relationship Type="http://schemas.openxmlformats.org/officeDocument/2006/relationships/hyperlink" Target="https://dym.asia/media/line-ad-cost/" TargetMode="External" Id="rId387"/><Relationship Type="http://schemas.openxmlformats.org/officeDocument/2006/relationships/hyperlink" Target="https://dym.asia/services/web-promotion/sns-ads/" TargetMode="External" Id="rId388"/><Relationship Type="http://schemas.openxmlformats.org/officeDocument/2006/relationships/hyperlink" Target="https://dym.asia/services/web-promotion/sns-ads/" TargetMode="External" Id="rId389"/><Relationship Type="http://schemas.openxmlformats.org/officeDocument/2006/relationships/hyperlink" Target="https://dym.asia/media/new_graduate_introduction_agent/" TargetMode="External" Id="rId390"/><Relationship Type="http://schemas.openxmlformats.org/officeDocument/2006/relationships/hyperlink" Target="https://dym.asia/services/new-graduates/new-graduate-recruitment/" TargetMode="External" Id="rId391"/><Relationship Type="http://schemas.openxmlformats.org/officeDocument/2006/relationships/hyperlink" Target="https://dym.asia/services/new-graduates/new-graduate-recruitment/" TargetMode="External" Id="rId392"/><Relationship Type="http://schemas.openxmlformats.org/officeDocument/2006/relationships/hyperlink" Target="https://dym.asia/media/portal-site/" TargetMode="External" Id="rId393"/><Relationship Type="http://schemas.openxmlformats.org/officeDocument/2006/relationships/hyperlink" Target="https://dym.asia/services/web-promotion/" TargetMode="External" Id="rId394"/><Relationship Type="http://schemas.openxmlformats.org/officeDocument/2006/relationships/hyperlink" Target="https://dym.asia/services/web-promotion/" TargetMode="External" Id="rId395"/><Relationship Type="http://schemas.openxmlformats.org/officeDocument/2006/relationships/hyperlink" Target="https://dym.asia/media/roas/" TargetMode="External" Id="rId396"/><Relationship Type="http://schemas.openxmlformats.org/officeDocument/2006/relationships/hyperlink" Target="https://dym.asia/services/web-promotion/" TargetMode="External" Id="rId397"/><Relationship Type="http://schemas.openxmlformats.org/officeDocument/2006/relationships/hyperlink" Target="https://dym.asia/services/web-promotion/sns-ads/" TargetMode="External" Id="rId398"/><Relationship Type="http://schemas.openxmlformats.org/officeDocument/2006/relationships/hyperlink" Target="https://dym.asia/media/society-training/" TargetMode="External" Id="rId399"/><Relationship Type="http://schemas.openxmlformats.org/officeDocument/2006/relationships/hyperlink" Target="https://dym.asia/services/new-graduates/development-training/" TargetMode="External" Id="rId400"/><Relationship Type="http://schemas.openxmlformats.org/officeDocument/2006/relationships/hyperlink" Target="https://dym.asia/services/new-graduates/development-training/" TargetMode="External" Id="rId401"/><Relationship Type="http://schemas.openxmlformats.org/officeDocument/2006/relationships/hyperlink" Target="https://dym.asia/media/tail-word/" TargetMode="External" Id="rId402"/><Relationship Type="http://schemas.openxmlformats.org/officeDocument/2006/relationships/hyperlink" Target="https://dym.asia/services/web-promotion/seo/" TargetMode="External" Id="rId403"/><Relationship Type="http://schemas.openxmlformats.org/officeDocument/2006/relationships/hyperlink" Target="https://dym.asia/services/web-promotion/seo/" TargetMode="External" Id="rId404"/><Relationship Type="http://schemas.openxmlformats.org/officeDocument/2006/relationships/hyperlink" Target="https://dym.asia/media/talent-subscription/" TargetMode="External" Id="rId405"/><Relationship Type="http://schemas.openxmlformats.org/officeDocument/2006/relationships/hyperlink" Target="https://dym.asia/services/web-promotion/talents-share/" TargetMode="External" Id="rId406"/><Relationship Type="http://schemas.openxmlformats.org/officeDocument/2006/relationships/hyperlink" Target="https://dym.asia/services/web-promotion/talents-share/" TargetMode="External" Id="rId407"/><Relationship Type="http://schemas.openxmlformats.org/officeDocument/2006/relationships/hyperlink" Target="https://dym.asia/media/tiktok-ad-target/" TargetMode="External" Id="rId408"/><Relationship Type="http://schemas.openxmlformats.org/officeDocument/2006/relationships/hyperlink" Target="https://dym.asia/services/web-promotion/sns-ads/" TargetMode="External" Id="rId409"/><Relationship Type="http://schemas.openxmlformats.org/officeDocument/2006/relationships/hyperlink" Target="https://dym.asia/services/web-promotion/sns-ads/" TargetMode="External" Id="rId410"/><Relationship Type="http://schemas.openxmlformats.org/officeDocument/2006/relationships/hyperlink" Target="https://dym.asia/media/banner-size/" TargetMode="External" Id="rId411"/><Relationship Type="http://schemas.openxmlformats.org/officeDocument/2006/relationships/hyperlink" Target="https://dym.asia/services/web-promotion/" TargetMode="External" Id="rId412"/><Relationship Type="http://schemas.openxmlformats.org/officeDocument/2006/relationships/hyperlink" Target="https://dym.asia/services/web-promotion/" TargetMode="External" Id="rId413"/><Relationship Type="http://schemas.openxmlformats.org/officeDocument/2006/relationships/hyperlink" Target="https://dym.asia/media/business-motivation/" TargetMode="External" Id="rId414"/><Relationship Type="http://schemas.openxmlformats.org/officeDocument/2006/relationships/hyperlink" Target="https://dym.asia/services/" TargetMode="External" Id="rId415"/><Relationship Type="http://schemas.openxmlformats.org/officeDocument/2006/relationships/hyperlink" Target="https://dym.asia/services/new-graduates/new-graduate-recruitment/" TargetMode="External" Id="rId416"/><Relationship Type="http://schemas.openxmlformats.org/officeDocument/2006/relationships/hyperlink" Target="https://dym.asia/media/business_revitalization/" TargetMode="External" Id="rId417"/><Relationship Type="http://schemas.openxmlformats.org/officeDocument/2006/relationships/hyperlink" Target="https://dym.asia/services/m&amp;a/consulting/" TargetMode="External" Id="rId418"/><Relationship Type="http://schemas.openxmlformats.org/officeDocument/2006/relationships/hyperlink" Target="https://dym.asia/services/m&amp;a/consulting/" TargetMode="External" Id="rId419"/><Relationship Type="http://schemas.openxmlformats.org/officeDocument/2006/relationships/hyperlink" Target="https://dym.asia/media/callcenter-term/" TargetMode="External" Id="rId420"/><Relationship Type="http://schemas.openxmlformats.org/officeDocument/2006/relationships/hyperlink" Target="https://dym.asia/services/hr-tech/call-center/" TargetMode="External" Id="rId421"/><Relationship Type="http://schemas.openxmlformats.org/officeDocument/2006/relationships/hyperlink" Target="https://dym.asia/services/hr-tech/call-center/" TargetMode="External" Id="rId422"/><Relationship Type="http://schemas.openxmlformats.org/officeDocument/2006/relationships/hyperlink" Target="https://dym.asia/media/critical-thinking/" TargetMode="External" Id="rId423"/><Relationship Type="http://schemas.openxmlformats.org/officeDocument/2006/relationships/hyperlink" Target="https://dym.asia/services/new-graduates/new-graduate-recruitment/" TargetMode="External" Id="rId424"/><Relationship Type="http://schemas.openxmlformats.org/officeDocument/2006/relationships/hyperlink" Target="https://dym.asia/services/new-graduates/development-training/" TargetMode="External" Id="rId425"/><Relationship Type="http://schemas.openxmlformats.org/officeDocument/2006/relationships/hyperlink" Target="https://dym.asia/media/dmca/" TargetMode="External" Id="rId426"/><Relationship Type="http://schemas.openxmlformats.org/officeDocument/2006/relationships/hyperlink" Target="https://dym.asia/services/web-promotion/seo/" TargetMode="External" Id="rId427"/><Relationship Type="http://schemas.openxmlformats.org/officeDocument/2006/relationships/hyperlink" Target="https://dym.asia/services/web-promotion/seo/" TargetMode="External" Id="rId428"/><Relationship Type="http://schemas.openxmlformats.org/officeDocument/2006/relationships/hyperlink" Target="https://dym.asia/media/feed-back/" TargetMode="External" Id="rId429"/><Relationship Type="http://schemas.openxmlformats.org/officeDocument/2006/relationships/hyperlink" Target="https://dym.asia/services/new-graduates/development-training/" TargetMode="External" Id="rId430"/><Relationship Type="http://schemas.openxmlformats.org/officeDocument/2006/relationships/hyperlink" Target="https://dym.asia/services/new-graduates/development-training/" TargetMode="External" Id="rId431"/><Relationship Type="http://schemas.openxmlformats.org/officeDocument/2006/relationships/hyperlink" Target="https://dym.asia/media/general_dispatch/" TargetMode="External" Id="rId432"/><Relationship Type="http://schemas.openxmlformats.org/officeDocument/2006/relationships/hyperlink" Target="https://dym.asia/services/new-graduates/dym-tech/" TargetMode="External" Id="rId433"/><Relationship Type="http://schemas.openxmlformats.org/officeDocument/2006/relationships/hyperlink" Target="https://dym.asia/services/new-graduates/dym-tech/" TargetMode="External" Id="rId434"/><Relationship Type="http://schemas.openxmlformats.org/officeDocument/2006/relationships/hyperlink" Target="https://dym.asia/media/head-hunting/" TargetMode="External" Id="rId435"/><Relationship Type="http://schemas.openxmlformats.org/officeDocument/2006/relationships/hyperlink" Target="https://dym.asia/services/new-graduates/high-class/" TargetMode="External" Id="rId436"/><Relationship Type="http://schemas.openxmlformats.org/officeDocument/2006/relationships/hyperlink" Target="https://dym.asia/services/new-graduates/high-class/" TargetMode="External" Id="rId437"/><Relationship Type="http://schemas.openxmlformats.org/officeDocument/2006/relationships/hyperlink" Target="https://dym.asia/media/hotel-parttime-job/" TargetMode="External" Id="rId438"/><Relationship Type="http://schemas.openxmlformats.org/officeDocument/2006/relationships/hyperlink" Target="https://dym.asia/services/hr-tech/indeed/" TargetMode="External" Id="rId439"/><Relationship Type="http://schemas.openxmlformats.org/officeDocument/2006/relationships/hyperlink" Target="https://dym.asia/services/hr-tech/indeed/" TargetMode="External" Id="rId440"/><Relationship Type="http://schemas.openxmlformats.org/officeDocument/2006/relationships/hyperlink" Target="https://dym.asia/media/how-to-search-property/" TargetMode="External" Id="rId441"/><Relationship Type="http://schemas.openxmlformats.org/officeDocument/2006/relationships/hyperlink" Target="https://dym.asia/services/new-business/relocation/" TargetMode="External" Id="rId442"/><Relationship Type="http://schemas.openxmlformats.org/officeDocument/2006/relationships/hyperlink" Target="https://dym.asia/services/new-business/relocation/" TargetMode="External" Id="rId443"/><Relationship Type="http://schemas.openxmlformats.org/officeDocument/2006/relationships/hyperlink" Target="https://dym.asia/media/how-to-search-tenant/" TargetMode="External" Id="rId444"/><Relationship Type="http://schemas.openxmlformats.org/officeDocument/2006/relationships/hyperlink" Target="https://dym.asia/services/new-business/relocation/" TargetMode="External" Id="rId445"/><Relationship Type="http://schemas.openxmlformats.org/officeDocument/2006/relationships/hyperlink" Target="https://dym.asia/services/new-business/relocation/" TargetMode="External" Id="rId446"/><Relationship Type="http://schemas.openxmlformats.org/officeDocument/2006/relationships/hyperlink" Target="https://dym.asia/media/it-advisor/" TargetMode="External" Id="rId447"/><Relationship Type="http://schemas.openxmlformats.org/officeDocument/2006/relationships/hyperlink" Target="https://dym.asia/services/new-graduates/dym-tech/" TargetMode="External" Id="rId448"/><Relationship Type="http://schemas.openxmlformats.org/officeDocument/2006/relationships/hyperlink" Target="https://dym.asia/services/new-graduates/dym-tech/" TargetMode="External" Id="rId449"/><Relationship Type="http://schemas.openxmlformats.org/officeDocument/2006/relationships/hyperlink" Target="https://dym.asia/media/kyujinbox-cost/" TargetMode="External" Id="rId450"/><Relationship Type="http://schemas.openxmlformats.org/officeDocument/2006/relationships/hyperlink" Target="https://dym.asia/services/hr-tech/stanby-kyujinbox/" TargetMode="External" Id="rId451"/><Relationship Type="http://schemas.openxmlformats.org/officeDocument/2006/relationships/hyperlink" Target="https://dym.asia/services/hr-tech/stanby-kyujinbox/" TargetMode="External" Id="rId452"/><Relationship Type="http://schemas.openxmlformats.org/officeDocument/2006/relationships/hyperlink" Target="https://dym.asia/media/lgbt/" TargetMode="External" Id="rId453"/><Relationship Type="http://schemas.openxmlformats.org/officeDocument/2006/relationships/hyperlink" Target="https://dym.asia/services/new-graduates/" TargetMode="External" Id="rId454"/><Relationship Type="http://schemas.openxmlformats.org/officeDocument/2006/relationships/hyperlink" Target="https://dym.asia/services/new-graduates/development-training/" TargetMode="External" Id="rId455"/><Relationship Type="http://schemas.openxmlformats.org/officeDocument/2006/relationships/hyperlink" Target="https://dym.asia/media/office-relocation-schedule/" TargetMode="External" Id="rId456"/><Relationship Type="http://schemas.openxmlformats.org/officeDocument/2006/relationships/hyperlink" Target="https://dym.asia/services/new-business/relocation/" TargetMode="External" Id="rId457"/><Relationship Type="http://schemas.openxmlformats.org/officeDocument/2006/relationships/hyperlink" Target="https://dym.asia/services/new-business/relocation/" TargetMode="External" Id="rId458"/><Relationship Type="http://schemas.openxmlformats.org/officeDocument/2006/relationships/hyperlink" Target="https://dym.asia/media/paradim-shift/" TargetMode="External" Id="rId459"/><Relationship Type="http://schemas.openxmlformats.org/officeDocument/2006/relationships/hyperlink" Target="https://dym.asia/services/new-graduates/Former-graduate/" TargetMode="External" Id="rId460"/><Relationship Type="http://schemas.openxmlformats.org/officeDocument/2006/relationships/hyperlink" Target="https://dym.asia/services/new-graduates/Former-graduate/" TargetMode="External" Id="rId461"/><Relationship Type="http://schemas.openxmlformats.org/officeDocument/2006/relationships/hyperlink" Target="https://dym.asia/media/parameter/" TargetMode="External" Id="rId462"/><Relationship Type="http://schemas.openxmlformats.org/officeDocument/2006/relationships/hyperlink" Target="https://dym.asia/services/web-promotion/" TargetMode="External" Id="rId463"/><Relationship Type="http://schemas.openxmlformats.org/officeDocument/2006/relationships/hyperlink" Target="https://dym.asia/services/web-promotion/" TargetMode="External" Id="rId464"/><Relationship Type="http://schemas.openxmlformats.org/officeDocument/2006/relationships/hyperlink" Target="https://dym.asia/media/rpo-meaning-merit/" TargetMode="External" Id="rId465"/><Relationship Type="http://schemas.openxmlformats.org/officeDocument/2006/relationships/hyperlink" Target="https://dym.asia/services/hr-tech/stanby-kyujinbox/" TargetMode="External" Id="rId466"/><Relationship Type="http://schemas.openxmlformats.org/officeDocument/2006/relationships/hyperlink" Target="https://dym.asia/services/hr-tech/stanby-kyujinbox/" TargetMode="External" Id="rId467"/><Relationship Type="http://schemas.openxmlformats.org/officeDocument/2006/relationships/hyperlink" Target="https://dym.asia/media/sales_advisor/" TargetMode="External" Id="rId468"/><Relationship Type="http://schemas.openxmlformats.org/officeDocument/2006/relationships/hyperlink" Target="https://dym.asia/services/new-graduates/exe-part/" TargetMode="External" Id="rId469"/><Relationship Type="http://schemas.openxmlformats.org/officeDocument/2006/relationships/hyperlink" Target="https://dym.asia/services/new-graduates/exe-part/" TargetMode="External" Id="rId470"/><Relationship Type="http://schemas.openxmlformats.org/officeDocument/2006/relationships/hyperlink" Target="https://dym.asia/media/structured-data/" TargetMode="External" Id="rId471"/><Relationship Type="http://schemas.openxmlformats.org/officeDocument/2006/relationships/hyperlink" Target="https://dym.asia/services/web-promotion/seo/" TargetMode="External" Id="rId472"/><Relationship Type="http://schemas.openxmlformats.org/officeDocument/2006/relationships/hyperlink" Target="https://dym.asia/services/web-promotion/seo/" TargetMode="External" Id="rId473"/><Relationship Type="http://schemas.openxmlformats.org/officeDocument/2006/relationships/hyperlink" Target="https://dym.asia/media/tarent-casting-cost/" TargetMode="External" Id="rId474"/><Relationship Type="http://schemas.openxmlformats.org/officeDocument/2006/relationships/hyperlink" Target="https://dym.asia/services/web-promotion/talents-share/" TargetMode="External" Id="rId475"/><Relationship Type="http://schemas.openxmlformats.org/officeDocument/2006/relationships/hyperlink" Target="https://dym.asia/services/web-promotion/talents-share/" TargetMode="External" Id="rId476"/><Relationship Type="http://schemas.openxmlformats.org/officeDocument/2006/relationships/hyperlink" Target="https://dym.asia/media/web_advertisement_agency/" TargetMode="External" Id="rId477"/><Relationship Type="http://schemas.openxmlformats.org/officeDocument/2006/relationships/hyperlink" Target="https://dym.asia/services/web-promotion/" TargetMode="External" Id="rId478"/><Relationship Type="http://schemas.openxmlformats.org/officeDocument/2006/relationships/hyperlink" Target="https://dym.asia/services/web-promotion/" TargetMode="External" Id="rId479"/><Relationship Type="http://schemas.openxmlformats.org/officeDocument/2006/relationships/hyperlink" Target="https://dym.asia/media/welfare-popular/" TargetMode="External" Id="rId480"/><Relationship Type="http://schemas.openxmlformats.org/officeDocument/2006/relationships/hyperlink" Target="https://dym.asia/services/new-graduates/welfare/" TargetMode="External" Id="rId481"/><Relationship Type="http://schemas.openxmlformats.org/officeDocument/2006/relationships/hyperlink" Target="https://dym.asia/services/new-graduates/welfare/" TargetMode="External" Id="rId482"/><Relationship Type="http://schemas.openxmlformats.org/officeDocument/2006/relationships/hyperlink" Target="https://dym.asia/media/welfare-unique/" TargetMode="External" Id="rId483"/><Relationship Type="http://schemas.openxmlformats.org/officeDocument/2006/relationships/hyperlink" Target="https://dym.asia/services/new-graduates/welfare/" TargetMode="External" Id="rId484"/><Relationship Type="http://schemas.openxmlformats.org/officeDocument/2006/relationships/hyperlink" Target="https://dym.asia/services/new-graduates/welfare/" TargetMode="External" Id="rId485"/><Relationship Type="http://schemas.openxmlformats.org/officeDocument/2006/relationships/hyperlink" Target="https://dym.asia/media/ad-fraud/" TargetMode="External" Id="rId486"/><Relationship Type="http://schemas.openxmlformats.org/officeDocument/2006/relationships/hyperlink" Target="https://dym.asia/services/web-promotion/" TargetMode="External" Id="rId487"/><Relationship Type="http://schemas.openxmlformats.org/officeDocument/2006/relationships/hyperlink" Target="https://dym.asia/services/web-promotion/" TargetMode="External" Id="rId488"/><Relationship Type="http://schemas.openxmlformats.org/officeDocument/2006/relationships/hyperlink" Target="https://dym.asia/media/ad-network/" TargetMode="External" Id="rId489"/><Relationship Type="http://schemas.openxmlformats.org/officeDocument/2006/relationships/hyperlink" Target="https://dym.asia/services/web-promotion/" TargetMode="External" Id="rId490"/><Relationship Type="http://schemas.openxmlformats.org/officeDocument/2006/relationships/hyperlink" Target="https://dym.asia/services/web-promotion/" TargetMode="External" Id="rId491"/><Relationship Type="http://schemas.openxmlformats.org/officeDocument/2006/relationships/hyperlink" Target="https://dym.asia/media/affiliate-blog/" TargetMode="External" Id="rId492"/><Relationship Type="http://schemas.openxmlformats.org/officeDocument/2006/relationships/hyperlink" Target="https://dym.asia/media/affiliate-blog/" TargetMode="External" Id="rId493"/><Relationship Type="http://schemas.openxmlformats.org/officeDocument/2006/relationships/hyperlink" Target="https://dym.asia/media/affiliate-blog/" TargetMode="External" Id="rId494"/><Relationship Type="http://schemas.openxmlformats.org/officeDocument/2006/relationships/hyperlink" Target="https://dym.asia/media/affiliate-instagram/" TargetMode="External" Id="rId495"/><Relationship Type="http://schemas.openxmlformats.org/officeDocument/2006/relationships/hyperlink" Target="https://dym.asia/services/web-promotion/affiliate/" TargetMode="External" Id="rId496"/><Relationship Type="http://schemas.openxmlformats.org/officeDocument/2006/relationships/hyperlink" Target="https://dym.asia/services/web-promotion/affiliate/" TargetMode="External" Id="rId497"/><Relationship Type="http://schemas.openxmlformats.org/officeDocument/2006/relationships/hyperlink" Target="https://dym.asia/media/agent-cost/" TargetMode="External" Id="rId498"/><Relationship Type="http://schemas.openxmlformats.org/officeDocument/2006/relationships/hyperlink" Target="https://dym.asia/services/new-business/relocation/" TargetMode="External" Id="rId499"/><Relationship Type="http://schemas.openxmlformats.org/officeDocument/2006/relationships/hyperlink" Target="https://dym.asia/services/new-business/relocation/" TargetMode="External" Id="rId500"/><Relationship Type="http://schemas.openxmlformats.org/officeDocument/2006/relationships/hyperlink" Target="https://dym.asia/media/board-member-training/" TargetMode="External" Id="rId501"/><Relationship Type="http://schemas.openxmlformats.org/officeDocument/2006/relationships/hyperlink" Target="https://dym.asia/services/new-graduates/development-training/" TargetMode="External" Id="rId502"/><Relationship Type="http://schemas.openxmlformats.org/officeDocument/2006/relationships/hyperlink" Target="https://dym.asia/services/new-graduates/high-class/" TargetMode="External" Id="rId503"/><Relationship Type="http://schemas.openxmlformats.org/officeDocument/2006/relationships/hyperlink" Target="https://dym.asia/media/browser/" TargetMode="External" Id="rId504"/><Relationship Type="http://schemas.openxmlformats.org/officeDocument/2006/relationships/hyperlink" Target="https://dym.asia/services/web-promotion/" TargetMode="External" Id="rId505"/><Relationship Type="http://schemas.openxmlformats.org/officeDocument/2006/relationships/hyperlink" Target="https://dym.asia/services/web-promotion/" TargetMode="External" Id="rId506"/><Relationship Type="http://schemas.openxmlformats.org/officeDocument/2006/relationships/hyperlink" Target="https://dym.asia/media/business-partnership/" TargetMode="External" Id="rId507"/><Relationship Type="http://schemas.openxmlformats.org/officeDocument/2006/relationships/hyperlink" Target="https://dym.asia/services/m&amp;a/consulting/" TargetMode="External" Id="rId508"/><Relationship Type="http://schemas.openxmlformats.org/officeDocument/2006/relationships/hyperlink" Target="https://dym.asia/services/m&amp;a/consulting/" TargetMode="External" Id="rId509"/><Relationship Type="http://schemas.openxmlformats.org/officeDocument/2006/relationships/hyperlink" Target="https://dym.asia/media/call-center-sv/" TargetMode="External" Id="rId510"/><Relationship Type="http://schemas.openxmlformats.org/officeDocument/2006/relationships/hyperlink" Target="https://dym.asia/services/hr-tech/call-center/" TargetMode="External" Id="rId511"/><Relationship Type="http://schemas.openxmlformats.org/officeDocument/2006/relationships/hyperlink" Target="https://dym.asia/services/hr-tech/call-center/" TargetMode="External" Id="rId512"/><Relationship Type="http://schemas.openxmlformats.org/officeDocument/2006/relationships/hyperlink" Target="https://dym.asia/media/chin-botox/" TargetMode="External" Id="rId513"/><Relationship Type="http://schemas.openxmlformats.org/officeDocument/2006/relationships/hyperlink" Target="https://dym.asia/services/medicine/" TargetMode="External" Id="rId514"/><Relationship Type="http://schemas.openxmlformats.org/officeDocument/2006/relationships/hyperlink" Target="https://dym.asia/services/medicine/" TargetMode="External" Id="rId515"/><Relationship Type="http://schemas.openxmlformats.org/officeDocument/2006/relationships/hyperlink" Target="https://dym.asia/media/clinic-inheritance/" TargetMode="External" Id="rId516"/><Relationship Type="http://schemas.openxmlformats.org/officeDocument/2006/relationships/hyperlink" Target="https://dym.asia/services/m&amp;a/consulting/" TargetMode="External" Id="rId517"/><Relationship Type="http://schemas.openxmlformats.org/officeDocument/2006/relationships/hyperlink" Target="https://dym.asia/services/m&amp;a/consulting/" TargetMode="External" Id="rId518"/><Relationship Type="http://schemas.openxmlformats.org/officeDocument/2006/relationships/hyperlink" Target="https://dym.asia/media/closing/" TargetMode="External" Id="rId519"/><Relationship Type="http://schemas.openxmlformats.org/officeDocument/2006/relationships/hyperlink" Target="https://dym.asia/services/new-graduates/exe-part/" TargetMode="External" Id="rId520"/><Relationship Type="http://schemas.openxmlformats.org/officeDocument/2006/relationships/hyperlink" Target="https://dym.asia/services/web-promotion/" TargetMode="External" Id="rId521"/><Relationship Type="http://schemas.openxmlformats.org/officeDocument/2006/relationships/hyperlink" Target="https://dym.asia/media/cpc/" TargetMode="External" Id="rId522"/><Relationship Type="http://schemas.openxmlformats.org/officeDocument/2006/relationships/hyperlink" Target="https://dym.asia/services/web-promotion/listing/" TargetMode="External" Id="rId523"/><Relationship Type="http://schemas.openxmlformats.org/officeDocument/2006/relationships/hyperlink" Target="https://dym.asia/services/web-promotion/listing/" TargetMode="External" Id="rId524"/><Relationship Type="http://schemas.openxmlformats.org/officeDocument/2006/relationships/hyperlink" Target="https://dym.asia/media/ctr/" TargetMode="External" Id="rId525"/><Relationship Type="http://schemas.openxmlformats.org/officeDocument/2006/relationships/hyperlink" Target="https://dym.asia/services/web-promotion/seo/" TargetMode="External" Id="rId526"/><Relationship Type="http://schemas.openxmlformats.org/officeDocument/2006/relationships/hyperlink" Target="https://dym.asia/services/web-promotion/seo/" TargetMode="External" Id="rId527"/><Relationship Type="http://schemas.openxmlformats.org/officeDocument/2006/relationships/hyperlink" Target="https://dym.asia/media/dx-about/" TargetMode="External" Id="rId528"/><Relationship Type="http://schemas.openxmlformats.org/officeDocument/2006/relationships/hyperlink" Target="https://dym.asia/services/web-promotion/" TargetMode="External" Id="rId529"/><Relationship Type="http://schemas.openxmlformats.org/officeDocument/2006/relationships/hyperlink" Target="https://dym.asia/services/web-promotion/" TargetMode="External" Id="rId530"/><Relationship Type="http://schemas.openxmlformats.org/officeDocument/2006/relationships/hyperlink" Target="https://dym.asia/media/end-of-year-tax-adjustments/" TargetMode="External" Id="rId531"/><Relationship Type="http://schemas.openxmlformats.org/officeDocument/2006/relationships/hyperlink" Target="https://dym.asia/services/new-graduates/Former-graduate/" TargetMode="External" Id="rId532"/><Relationship Type="http://schemas.openxmlformats.org/officeDocument/2006/relationships/hyperlink" Target="https://dym.asia/services/new-graduates/development-training/" TargetMode="External" Id="rId533"/><Relationship Type="http://schemas.openxmlformats.org/officeDocument/2006/relationships/hyperlink" Target="https://dym.asia/media/facebook-operation/" TargetMode="External" Id="rId534"/><Relationship Type="http://schemas.openxmlformats.org/officeDocument/2006/relationships/hyperlink" Target="https://dym.asia/services/web-promotion/sns-consulting/" TargetMode="External" Id="rId535"/><Relationship Type="http://schemas.openxmlformats.org/officeDocument/2006/relationships/hyperlink" Target="https://dym.asia/services/web-promotion/sns-consulting/" TargetMode="External" Id="rId536"/><Relationship Type="http://schemas.openxmlformats.org/officeDocument/2006/relationships/hyperlink" Target="https://dym.asia/media/fuhyo-higai-taisaku/" TargetMode="External" Id="rId537"/><Relationship Type="http://schemas.openxmlformats.org/officeDocument/2006/relationships/hyperlink" Target="https://dym.asia/services/web-promotion/sns-consulting/" TargetMode="External" Id="rId538"/><Relationship Type="http://schemas.openxmlformats.org/officeDocument/2006/relationships/hyperlink" Target="https://dym.asia/services/web-promotion/sns-consulting/" TargetMode="External" Id="rId539"/><Relationship Type="http://schemas.openxmlformats.org/officeDocument/2006/relationships/hyperlink" Target="https://dym.asia/media/gdn/" TargetMode="External" Id="rId540"/><Relationship Type="http://schemas.openxmlformats.org/officeDocument/2006/relationships/hyperlink" Target="https://dym.asia/services/web-promotion/listing/" TargetMode="External" Id="rId541"/><Relationship Type="http://schemas.openxmlformats.org/officeDocument/2006/relationships/hyperlink" Target="https://dym.asia/services/web-promotion/listing/" TargetMode="External" Id="rId542"/><Relationship Type="http://schemas.openxmlformats.org/officeDocument/2006/relationships/hyperlink" Target="https://dym.asia/media/google-ads-keywords/" TargetMode="External" Id="rId543"/><Relationship Type="http://schemas.openxmlformats.org/officeDocument/2006/relationships/hyperlink" Target="https://dym.asia/services/web-promotion/listing/" TargetMode="External" Id="rId544"/><Relationship Type="http://schemas.openxmlformats.org/officeDocument/2006/relationships/hyperlink" Target="https://dym.asia/services/web-promotion/listing/" TargetMode="External" Id="rId545"/><Relationship Type="http://schemas.openxmlformats.org/officeDocument/2006/relationships/hyperlink" Target="https://dym.asia/media/google-yahoo/" TargetMode="External" Id="rId546"/><Relationship Type="http://schemas.openxmlformats.org/officeDocument/2006/relationships/hyperlink" Target="https://dym.asia/services/web-promotion/seo/" TargetMode="External" Id="rId547"/><Relationship Type="http://schemas.openxmlformats.org/officeDocument/2006/relationships/hyperlink" Target="https://dym.asia/services/web-promotion/seo/" TargetMode="External" Id="rId548"/><Relationship Type="http://schemas.openxmlformats.org/officeDocument/2006/relationships/hyperlink" Target="https://dym.asia/media/interview-article-how-to/" TargetMode="External" Id="rId549"/><Relationship Type="http://schemas.openxmlformats.org/officeDocument/2006/relationships/hyperlink" Target="https://dym.asia/services/web-promotion/seo/" TargetMode="External" Id="rId550"/><Relationship Type="http://schemas.openxmlformats.org/officeDocument/2006/relationships/hyperlink" Target="https://dym.asia/services/web-promotion/seo/" TargetMode="External" Id="rId551"/><Relationship Type="http://schemas.openxmlformats.org/officeDocument/2006/relationships/hyperlink" Target="https://dym.asia/media/land-sales-agent-cost/" TargetMode="External" Id="rId552"/><Relationship Type="http://schemas.openxmlformats.org/officeDocument/2006/relationships/hyperlink" Target="https://dym.asia/services/new-business/relocation/" TargetMode="External" Id="rId553"/><Relationship Type="http://schemas.openxmlformats.org/officeDocument/2006/relationships/hyperlink" Target="https://dym.asia/services/new-business/relocation/" TargetMode="External" Id="rId554"/><Relationship Type="http://schemas.openxmlformats.org/officeDocument/2006/relationships/hyperlink" Target="https://dym.asia/media/leadership/" TargetMode="External" Id="rId555"/><Relationship Type="http://schemas.openxmlformats.org/officeDocument/2006/relationships/hyperlink" Target="https://dym.asia/services/new-graduates/development-training/" TargetMode="External" Id="rId556"/><Relationship Type="http://schemas.openxmlformats.org/officeDocument/2006/relationships/hyperlink" Target="https://dym.asia/media/line-official-consultant/" TargetMode="External" Id="rId557"/><Relationship Type="http://schemas.openxmlformats.org/officeDocument/2006/relationships/hyperlink" Target="https://dym.asia/services/web-promotion/line-official-account/" TargetMode="External" Id="rId558"/><Relationship Type="http://schemas.openxmlformats.org/officeDocument/2006/relationships/hyperlink" Target="https://dym.asia/services/web-promotion/line-official-account/" TargetMode="External" Id="rId559"/><Relationship Type="http://schemas.openxmlformats.org/officeDocument/2006/relationships/hyperlink" Target="https://dym.asia/media/line-official-delete/" TargetMode="External" Id="rId560"/><Relationship Type="http://schemas.openxmlformats.org/officeDocument/2006/relationships/hyperlink" Target="https://dym.asia/services/web-promotion/sns-consulting/" TargetMode="External" Id="rId561"/><Relationship Type="http://schemas.openxmlformats.org/officeDocument/2006/relationships/hyperlink" Target="https://dym.asia/services/web-promotion/sns-consulting/" TargetMode="External" Id="rId562"/><Relationship Type="http://schemas.openxmlformats.org/officeDocument/2006/relationships/hyperlink" Target="https://dym.asia/media/listing-ads/" TargetMode="External" Id="rId563"/><Relationship Type="http://schemas.openxmlformats.org/officeDocument/2006/relationships/hyperlink" Target="https://dym.asia/services/web-promotion/listing/" TargetMode="External" Id="rId564"/><Relationship Type="http://schemas.openxmlformats.org/officeDocument/2006/relationships/hyperlink" Target="https://dym.asia/services/web-promotion/listing/" TargetMode="External" Id="rId565"/><Relationship Type="http://schemas.openxmlformats.org/officeDocument/2006/relationships/hyperlink" Target="https://dym.asia/media/logical-thinking/" TargetMode="External" Id="rId566"/><Relationship Type="http://schemas.openxmlformats.org/officeDocument/2006/relationships/hyperlink" Target="https://dym.asia/services/new-graduates/development-training/" TargetMode="External" Id="rId567"/><Relationship Type="http://schemas.openxmlformats.org/officeDocument/2006/relationships/hyperlink" Target="https://dym.asia/services/new-graduates/development-training/" TargetMode="External" Id="rId568"/><Relationship Type="http://schemas.openxmlformats.org/officeDocument/2006/relationships/hyperlink" Target="https://dym.asia/media/medical-corporation-ma/" TargetMode="External" Id="rId569"/><Relationship Type="http://schemas.openxmlformats.org/officeDocument/2006/relationships/hyperlink" Target="https://dym.asia/services/m&amp;a/consulting/" TargetMode="External" Id="rId570"/><Relationship Type="http://schemas.openxmlformats.org/officeDocument/2006/relationships/hyperlink" Target="https://dym.asia/services/m&amp;a/consulting/" TargetMode="External" Id="rId571"/><Relationship Type="http://schemas.openxmlformats.org/officeDocument/2006/relationships/hyperlink" Target="https://dym.asia/media/mere-exposure-effect/" TargetMode="External" Id="rId572"/><Relationship Type="http://schemas.openxmlformats.org/officeDocument/2006/relationships/hyperlink" Target="https://dym.asia/services/web-promotion/" TargetMode="External" Id="rId573"/><Relationship Type="http://schemas.openxmlformats.org/officeDocument/2006/relationships/hyperlink" Target="https://dym.asia/services/web-promotion/" TargetMode="External" Id="rId574"/><Relationship Type="http://schemas.openxmlformats.org/officeDocument/2006/relationships/hyperlink" Target="https://dym.asia/media/new-graduation-introduction-consulting/" TargetMode="External" Id="rId575"/><Relationship Type="http://schemas.openxmlformats.org/officeDocument/2006/relationships/hyperlink" Target="https://dym.asia/services/new-graduates/new-graduate-recruitment/" TargetMode="External" Id="rId576"/><Relationship Type="http://schemas.openxmlformats.org/officeDocument/2006/relationships/hyperlink" Target="https://dym.asia/services/new-graduates/new-graduate-recruitment/" TargetMode="External" Id="rId577"/><Relationship Type="http://schemas.openxmlformats.org/officeDocument/2006/relationships/hyperlink" Target="https://dym.asia/media/optout/" TargetMode="External" Id="rId578"/><Relationship Type="http://schemas.openxmlformats.org/officeDocument/2006/relationships/hyperlink" Target="https://dym.asia/services/web-promotion/" TargetMode="External" Id="rId579"/><Relationship Type="http://schemas.openxmlformats.org/officeDocument/2006/relationships/hyperlink" Target="https://dym.asia/services/web-promotion/" TargetMode="External" Id="rId580"/><Relationship Type="http://schemas.openxmlformats.org/officeDocument/2006/relationships/hyperlink" Target="https://dym.asia/media/parttime-casual-employee-differences/" TargetMode="External" Id="rId581"/><Relationship Type="http://schemas.openxmlformats.org/officeDocument/2006/relationships/hyperlink" Target="https://dym.asia/services/hr-tech/indeed/" TargetMode="External" Id="rId582"/><Relationship Type="http://schemas.openxmlformats.org/officeDocument/2006/relationships/hyperlink" Target="https://dym.asia/services/hr-tech/indeed/" TargetMode="External" Id="rId583"/><Relationship Type="http://schemas.openxmlformats.org/officeDocument/2006/relationships/hyperlink" Target="https://dym.asia/media/perplexity/" TargetMode="External" Id="rId584"/><Relationship Type="http://schemas.openxmlformats.org/officeDocument/2006/relationships/hyperlink" Target="https://dym.asia/services/web-promotion/seo/" TargetMode="External" Id="rId585"/><Relationship Type="http://schemas.openxmlformats.org/officeDocument/2006/relationships/hyperlink" Target="https://dym.asia/services/web-promotion/seo/" TargetMode="External" Id="rId586"/><Relationship Type="http://schemas.openxmlformats.org/officeDocument/2006/relationships/hyperlink" Target="https://dym.asia/media/persona-marketnig/" TargetMode="External" Id="rId587"/><Relationship Type="http://schemas.openxmlformats.org/officeDocument/2006/relationships/hyperlink" Target="https://dym.asia/services/web-promotion/" TargetMode="External" Id="rId588"/><Relationship Type="http://schemas.openxmlformats.org/officeDocument/2006/relationships/hyperlink" Target="https://dym.asia/services/web-promotion/" TargetMode="External" Id="rId589"/><Relationship Type="http://schemas.openxmlformats.org/officeDocument/2006/relationships/hyperlink" Target="https://dym.asia/media/post_graduate_employment/" TargetMode="External" Id="rId590"/><Relationship Type="http://schemas.openxmlformats.org/officeDocument/2006/relationships/hyperlink" Target="https://dym.asia/services/new-graduates/Former-graduate/" TargetMode="External" Id="rId591"/><Relationship Type="http://schemas.openxmlformats.org/officeDocument/2006/relationships/hyperlink" Target="https://dym.asia/services/new-graduates/Former-graduate/" TargetMode="External" Id="rId592"/><Relationship Type="http://schemas.openxmlformats.org/officeDocument/2006/relationships/hyperlink" Target="https://dym.asia/media/pr/" TargetMode="External" Id="rId593"/><Relationship Type="http://schemas.openxmlformats.org/officeDocument/2006/relationships/hyperlink" Target="https://dym.asia/services/web-promotion/production-operation/" TargetMode="External" Id="rId594"/><Relationship Type="http://schemas.openxmlformats.org/officeDocument/2006/relationships/hyperlink" Target="https://dym.asia/services/web-promotion/production-operation/" TargetMode="External" Id="rId595"/><Relationship Type="http://schemas.openxmlformats.org/officeDocument/2006/relationships/hyperlink" Target="https://dym.asia/media/re-branding/" TargetMode="External" Id="rId596"/><Relationship Type="http://schemas.openxmlformats.org/officeDocument/2006/relationships/hyperlink" Target="https://dym.asia/services/web-promotion/" TargetMode="External" Id="rId597"/><Relationship Type="http://schemas.openxmlformats.org/officeDocument/2006/relationships/hyperlink" Target="https://dym.asia/services/web-promotion/" TargetMode="External" Id="rId598"/><Relationship Type="http://schemas.openxmlformats.org/officeDocument/2006/relationships/hyperlink" Target="https://dym.asia/media/real-estate-ma/" TargetMode="External" Id="rId599"/><Relationship Type="http://schemas.openxmlformats.org/officeDocument/2006/relationships/hyperlink" Target="https://dym.asia/services/m&amp;a/consulting/" TargetMode="External" Id="rId600"/><Relationship Type="http://schemas.openxmlformats.org/officeDocument/2006/relationships/hyperlink" Target="https://dym.asia/services/m&amp;a/consulting/" TargetMode="External" Id="rId601"/><Relationship Type="http://schemas.openxmlformats.org/officeDocument/2006/relationships/hyperlink" Target="https://dym.asia/media/recruiter/" TargetMode="External" Id="rId602"/><Relationship Type="http://schemas.openxmlformats.org/officeDocument/2006/relationships/hyperlink" Target="https://dym.asia/services/new-graduates/" TargetMode="External" Id="rId603"/><Relationship Type="http://schemas.openxmlformats.org/officeDocument/2006/relationships/hyperlink" Target="https://dym.asia/services/new-graduates/Former-graduate/" TargetMode="External" Id="rId604"/><Relationship Type="http://schemas.openxmlformats.org/officeDocument/2006/relationships/hyperlink" Target="https://dym.asia/media/remarketing/" TargetMode="External" Id="rId605"/><Relationship Type="http://schemas.openxmlformats.org/officeDocument/2006/relationships/hyperlink" Target="https://dym.asia/services/web-promotion/listing/" TargetMode="External" Id="rId606"/><Relationship Type="http://schemas.openxmlformats.org/officeDocument/2006/relationships/hyperlink" Target="https://dym.asia/services/web-promotion/dsp-native-ads/" TargetMode="External" Id="rId607"/><Relationship Type="http://schemas.openxmlformats.org/officeDocument/2006/relationships/hyperlink" Target="https://dym.asia/media/responsive-style/" TargetMode="External" Id="rId608"/><Relationship Type="http://schemas.openxmlformats.org/officeDocument/2006/relationships/hyperlink" Target="https://dym.asia/services/web-promotion/seo/" TargetMode="External" Id="rId609"/><Relationship Type="http://schemas.openxmlformats.org/officeDocument/2006/relationships/hyperlink" Target="https://dym.asia/services/web-promotion/seo/" TargetMode="External" Id="rId610"/><Relationship Type="http://schemas.openxmlformats.org/officeDocument/2006/relationships/hyperlink" Target="https://dym.asia/media/robots-txt/" TargetMode="External" Id="rId611"/><Relationship Type="http://schemas.openxmlformats.org/officeDocument/2006/relationships/hyperlink" Target="https://dym.asia/services/web-promotion/production-operation/" TargetMode="External" Id="rId612"/><Relationship Type="http://schemas.openxmlformats.org/officeDocument/2006/relationships/hyperlink" Target="https://dym.asia/services/web-promotion/production-operation/" TargetMode="External" Id="rId613"/><Relationship Type="http://schemas.openxmlformats.org/officeDocument/2006/relationships/hyperlink" Target="https://dym.asia/media/seo-cost/" TargetMode="External" Id="rId614"/><Relationship Type="http://schemas.openxmlformats.org/officeDocument/2006/relationships/hyperlink" Target="https://dym.asia/services/new-graduates/dym-tech/" TargetMode="External" Id="rId615"/><Relationship Type="http://schemas.openxmlformats.org/officeDocument/2006/relationships/hyperlink" Target="https://dym.asia/services/web-promotion/seo/content-marketing/white-papers/" TargetMode="External" Id="rId616"/><Relationship Type="http://schemas.openxmlformats.org/officeDocument/2006/relationships/hyperlink" Target="https://dym.asia/media/ses-temporary/" TargetMode="External" Id="rId617"/><Relationship Type="http://schemas.openxmlformats.org/officeDocument/2006/relationships/hyperlink" Target="https://dym.asia/services/new-graduates/dym-tech/" TargetMode="External" Id="rId618"/><Relationship Type="http://schemas.openxmlformats.org/officeDocument/2006/relationships/hyperlink" Target="https://dym.asia/services/new-graduates/dym-tech/" TargetMode="External" Id="rId619"/><Relationship Type="http://schemas.openxmlformats.org/officeDocument/2006/relationships/hyperlink" Target="https://dym.asia/media/site-create-subsidy/" TargetMode="External" Id="rId620"/><Relationship Type="http://schemas.openxmlformats.org/officeDocument/2006/relationships/hyperlink" Target="https://dym.asia/services/web-promotion/production-operation/" TargetMode="External" Id="rId621"/><Relationship Type="http://schemas.openxmlformats.org/officeDocument/2006/relationships/hyperlink" Target="https://dym.asia/services/web-promotion/production-operation/" TargetMode="External" Id="rId622"/><Relationship Type="http://schemas.openxmlformats.org/officeDocument/2006/relationships/hyperlink" Target="https://dym.asia/media/sns-ad-cost/" TargetMode="External" Id="rId623"/><Relationship Type="http://schemas.openxmlformats.org/officeDocument/2006/relationships/hyperlink" Target="https://dym.asia/services/web-promotion/sns-ads/" TargetMode="External" Id="rId624"/><Relationship Type="http://schemas.openxmlformats.org/officeDocument/2006/relationships/hyperlink" Target="https://dym.asia/services/web-promotion/sns-ads/" TargetMode="External" Id="rId625"/><Relationship Type="http://schemas.openxmlformats.org/officeDocument/2006/relationships/hyperlink" Target="https://dym.asia/media/sunk-cost/" TargetMode="External" Id="rId626"/><Relationship Type="http://schemas.openxmlformats.org/officeDocument/2006/relationships/hyperlink" Target="https://dym.asia/services/new-graduates/new-graduate-recruitment/" TargetMode="External" Id="rId627"/><Relationship Type="http://schemas.openxmlformats.org/officeDocument/2006/relationships/hyperlink" Target="https://dym.asia/services/new-graduates/new-graduate-recruitment/" TargetMode="External" Id="rId628"/><Relationship Type="http://schemas.openxmlformats.org/officeDocument/2006/relationships/hyperlink" Target="https://dym.asia/media/tiktok-ad-operation/" TargetMode="External" Id="rId629"/><Relationship Type="http://schemas.openxmlformats.org/officeDocument/2006/relationships/hyperlink" Target="https://dym.asia/services/web-promotion/sns-ads/" TargetMode="External" Id="rId630"/><Relationship Type="http://schemas.openxmlformats.org/officeDocument/2006/relationships/hyperlink" Target="https://dym.asia/services/web-promotion/sns-ads/" TargetMode="External" Id="rId631"/><Relationship Type="http://schemas.openxmlformats.org/officeDocument/2006/relationships/hyperlink" Target="https://dym.asia/media/tiktok-ad-type/" TargetMode="External" Id="rId632"/><Relationship Type="http://schemas.openxmlformats.org/officeDocument/2006/relationships/hyperlink" Target="https://dym.asia/services/web-promotion/sns-ads/" TargetMode="External" Id="rId633"/><Relationship Type="http://schemas.openxmlformats.org/officeDocument/2006/relationships/hyperlink" Target="https://dym.asia/services/web-promotion/sns-ads/" TargetMode="External" Id="rId634"/><Relationship Type="http://schemas.openxmlformats.org/officeDocument/2006/relationships/hyperlink" Target="https://dym.asia/media/web-directory/" TargetMode="External" Id="rId635"/><Relationship Type="http://schemas.openxmlformats.org/officeDocument/2006/relationships/hyperlink" Target="https://dym.asia/services/web-promotion/seo/" TargetMode="External" Id="rId636"/><Relationship Type="http://schemas.openxmlformats.org/officeDocument/2006/relationships/hyperlink" Target="https://dym.asia/services/web-promotion/seo/" TargetMode="External" Id="rId637"/><Relationship Type="http://schemas.openxmlformats.org/officeDocument/2006/relationships/hyperlink" Target="https://dym.asia/media/web_advertisement/" TargetMode="External" Id="rId638"/><Relationship Type="http://schemas.openxmlformats.org/officeDocument/2006/relationships/hyperlink" Target="https://dym.asia/services/web-promotion/" TargetMode="External" Id="rId639"/><Relationship Type="http://schemas.openxmlformats.org/officeDocument/2006/relationships/hyperlink" Target="https://dym.asia/services/new-graduates/" TargetMode="External" Id="rId640"/><Relationship Type="http://schemas.openxmlformats.org/officeDocument/2006/relationships/hyperlink" Target="https://dym.asia/media/welfare-company/" TargetMode="External" Id="rId641"/><Relationship Type="http://schemas.openxmlformats.org/officeDocument/2006/relationships/hyperlink" Target="https://dym.asia/services/new-graduates/welfare/" TargetMode="External" Id="rId642"/><Relationship Type="http://schemas.openxmlformats.org/officeDocument/2006/relationships/hyperlink" Target="https://dym.asia/services/new-graduates/welfare/" TargetMode="External" Id="rId643"/><Relationship Type="http://schemas.openxmlformats.org/officeDocument/2006/relationships/hyperlink" Target="https://dym.asia/media/welfare-type/" TargetMode="External" Id="rId644"/><Relationship Type="http://schemas.openxmlformats.org/officeDocument/2006/relationships/hyperlink" Target="https://dym.asia/services/new-graduates/welfare/" TargetMode="External" Id="rId645"/><Relationship Type="http://schemas.openxmlformats.org/officeDocument/2006/relationships/hyperlink" Target="https://dym.asia/services/new-graduates/welfare/" TargetMode="External" Id="rId646"/><Relationship Type="http://schemas.openxmlformats.org/officeDocument/2006/relationships/hyperlink" Target="https://dym.asia/media/welfare_benefits_service/" TargetMode="External" Id="rId647"/><Relationship Type="http://schemas.openxmlformats.org/officeDocument/2006/relationships/hyperlink" Target="https://dym.asia/services/new-graduates/welfare/" TargetMode="External" Id="rId648"/><Relationship Type="http://schemas.openxmlformats.org/officeDocument/2006/relationships/hyperlink" Target="https://dym.asia/services/new-graduates/welfare/" TargetMode="External" Id="rId649"/><Relationship Type="http://schemas.openxmlformats.org/officeDocument/2006/relationships/hyperlink" Target="https://dym.asia/media/with-disabilities-grant/" TargetMode="External" Id="rId650"/><Relationship Type="http://schemas.openxmlformats.org/officeDocument/2006/relationships/hyperlink" Target="https://dym.asia/services/new-graduates/with-disabilities/" TargetMode="External" Id="rId651"/><Relationship Type="http://schemas.openxmlformats.org/officeDocument/2006/relationships/hyperlink" Target="https://dym.asia/services/new-graduates/with-disabilities/" TargetMode="External" Id="rId652"/><Relationship Type="http://schemas.openxmlformats.org/officeDocument/2006/relationships/hyperlink" Target="https://dym.asia/media/x-recruitment/" TargetMode="External" Id="rId653"/><Relationship Type="http://schemas.openxmlformats.org/officeDocument/2006/relationships/hyperlink" Target="https://dym.asia/services/new-graduates/Former-graduate/" TargetMode="External" Id="rId654"/><Relationship Type="http://schemas.openxmlformats.org/officeDocument/2006/relationships/hyperlink" Target="https://dym.asia/services/new-graduates/Former-graduate/" TargetMode="External" Id="rId655"/><Relationship Type="http://schemas.openxmlformats.org/officeDocument/2006/relationships/hyperlink" Target="https://dym.asia/media/2025-problem/" TargetMode="External" Id="rId656"/><Relationship Type="http://schemas.openxmlformats.org/officeDocument/2006/relationships/hyperlink" Target="https://dym.asia/services/new-graduates/" TargetMode="External" Id="rId657"/><Relationship Type="http://schemas.openxmlformats.org/officeDocument/2006/relationships/hyperlink" Target="https://dym.asia/services/new-graduates/" TargetMode="External" Id="rId658"/><Relationship Type="http://schemas.openxmlformats.org/officeDocument/2006/relationships/hyperlink" Target="https://dym.asia/media/absorption-type-merger/" TargetMode="External" Id="rId659"/><Relationship Type="http://schemas.openxmlformats.org/officeDocument/2006/relationships/hyperlink" Target="https://dym.asia/services/m&amp;a/consulting/" TargetMode="External" Id="rId660"/><Relationship Type="http://schemas.openxmlformats.org/officeDocument/2006/relationships/hyperlink" Target="https://dym.asia/services/m&amp;a/consulting/" TargetMode="External" Id="rId661"/><Relationship Type="http://schemas.openxmlformats.org/officeDocument/2006/relationships/hyperlink" Target="https://dym.asia/media/accounting-goodwill/" TargetMode="External" Id="rId662"/><Relationship Type="http://schemas.openxmlformats.org/officeDocument/2006/relationships/hyperlink" Target="https://dym.asia/services/m&amp;a/consulting/" TargetMode="External" Id="rId663"/><Relationship Type="http://schemas.openxmlformats.org/officeDocument/2006/relationships/hyperlink" Target="https://dym.asia/services/m&amp;a/consulting/" TargetMode="External" Id="rId664"/><Relationship Type="http://schemas.openxmlformats.org/officeDocument/2006/relationships/hyperlink" Target="https://dym.asia/media/acquisition/" TargetMode="External" Id="rId665"/><Relationship Type="http://schemas.openxmlformats.org/officeDocument/2006/relationships/hyperlink" Target="https://dym.asia/services/m&amp;a/consulting/" TargetMode="External" Id="rId666"/><Relationship Type="http://schemas.openxmlformats.org/officeDocument/2006/relationships/hyperlink" Target="https://dym.asia/services/m&amp;a/consulting/" TargetMode="External" Id="rId667"/><Relationship Type="http://schemas.openxmlformats.org/officeDocument/2006/relationships/hyperlink" Target="https://dym.asia/media/ad-talent/" TargetMode="External" Id="rId668"/><Relationship Type="http://schemas.openxmlformats.org/officeDocument/2006/relationships/hyperlink" Target="https://dym.asia/services/web-promotion/talents-share/" TargetMode="External" Id="rId669"/><Relationship Type="http://schemas.openxmlformats.org/officeDocument/2006/relationships/hyperlink" Target="https://dym.asia/services/web-promotion/talents-share/" TargetMode="External" Id="rId670"/><Relationship Type="http://schemas.openxmlformats.org/officeDocument/2006/relationships/hyperlink" Target="https://dym.asia/media/advertising-management/" TargetMode="External" Id="rId671"/><Relationship Type="http://schemas.openxmlformats.org/officeDocument/2006/relationships/hyperlink" Target="https://dym.asia/services/web-promotion/" TargetMode="External" Id="rId672"/><Relationship Type="http://schemas.openxmlformats.org/officeDocument/2006/relationships/hyperlink" Target="https://dym.asia/services/web-promotion/" TargetMode="External" Id="rId673"/><Relationship Type="http://schemas.openxmlformats.org/officeDocument/2006/relationships/hyperlink" Target="https://dym.asia/media/affiliate-demerit/" TargetMode="External" Id="rId674"/><Relationship Type="http://schemas.openxmlformats.org/officeDocument/2006/relationships/hyperlink" Target="https://dym.asia/services/web-promotion/affiliate/" TargetMode="External" Id="rId675"/><Relationship Type="http://schemas.openxmlformats.org/officeDocument/2006/relationships/hyperlink" Target="https://dym.asia/services/web-promotion/affiliate/" TargetMode="External" Id="rId676"/><Relationship Type="http://schemas.openxmlformats.org/officeDocument/2006/relationships/hyperlink" Target="https://dym.asia/media/affiliate-merit/" TargetMode="External" Id="rId677"/><Relationship Type="http://schemas.openxmlformats.org/officeDocument/2006/relationships/hyperlink" Target="https://dym.asia/services/web-promotion/affiliate/" TargetMode="External" Id="rId678"/><Relationship Type="http://schemas.openxmlformats.org/officeDocument/2006/relationships/hyperlink" Target="https://dym.asia/services/web-promotion/affiliate/" TargetMode="External" Id="rId679"/><Relationship Type="http://schemas.openxmlformats.org/officeDocument/2006/relationships/hyperlink" Target="https://dym.asia/media/affiliate/" TargetMode="External" Id="rId680"/><Relationship Type="http://schemas.openxmlformats.org/officeDocument/2006/relationships/hyperlink" Target="https://dym.asia/services/web-promotion/affiliate/" TargetMode="External" Id="rId681"/><Relationship Type="http://schemas.openxmlformats.org/officeDocument/2006/relationships/hyperlink" Target="https://dym.asia/services/web-promotion/affiliate/" TargetMode="External" Id="rId682"/><Relationship Type="http://schemas.openxmlformats.org/officeDocument/2006/relationships/hyperlink" Target="https://dym.asia/media/aidma/" TargetMode="External" Id="rId683"/><Relationship Type="http://schemas.openxmlformats.org/officeDocument/2006/relationships/hyperlink" Target="https://dym.asia/services/web-promotion/" TargetMode="External" Id="rId684"/><Relationship Type="http://schemas.openxmlformats.org/officeDocument/2006/relationships/hyperlink" Target="https://dym.asia/services/web-promotion/listing/" TargetMode="External" Id="rId685"/><Relationship Type="http://schemas.openxmlformats.org/officeDocument/2006/relationships/hyperlink" Target="https://dym.asia/media/anti-aging/" TargetMode="External" Id="rId686"/><Relationship Type="http://schemas.openxmlformats.org/officeDocument/2006/relationships/hyperlink" Target="https://dym.asia/services/medicine/" TargetMode="External" Id="rId687"/><Relationship Type="http://schemas.openxmlformats.org/officeDocument/2006/relationships/hyperlink" Target="https://dym.asia/services/medicine/" TargetMode="External" Id="rId688"/><Relationship Type="http://schemas.openxmlformats.org/officeDocument/2006/relationships/hyperlink" Target="https://dym.asia/media/api/" TargetMode="External" Id="rId689"/><Relationship Type="http://schemas.openxmlformats.org/officeDocument/2006/relationships/hyperlink" Target="https://dym.asia/services/medicine/" TargetMode="External" Id="rId690"/><Relationship Type="http://schemas.openxmlformats.org/officeDocument/2006/relationships/hyperlink" Target="https://dym.asia/services/web-promotion/" TargetMode="External" Id="rId691"/><Relationship Type="http://schemas.openxmlformats.org/officeDocument/2006/relationships/hyperlink" Target="https://dym.asia/media/b-to-b/" TargetMode="External" Id="rId692"/><Relationship Type="http://schemas.openxmlformats.org/officeDocument/2006/relationships/hyperlink" Target="https://dym.asia/services/new-graduates/Former-graduate/" TargetMode="External" Id="rId693"/><Relationship Type="http://schemas.openxmlformats.org/officeDocument/2006/relationships/hyperlink" Target="https://dym.asia/services/new-graduates/Former-graduate/" TargetMode="External" Id="rId694"/><Relationship Type="http://schemas.openxmlformats.org/officeDocument/2006/relationships/hyperlink" Target="https://dym.asia/media/bag-under-the-eyes/" TargetMode="External" Id="rId695"/><Relationship Type="http://schemas.openxmlformats.org/officeDocument/2006/relationships/hyperlink" Target="https://dym.asia/services/medicine/" TargetMode="External" Id="rId696"/><Relationship Type="http://schemas.openxmlformats.org/officeDocument/2006/relationships/hyperlink" Target="https://dym.asia/services/medicine/" TargetMode="External" Id="rId697"/><Relationship Type="http://schemas.openxmlformats.org/officeDocument/2006/relationships/hyperlink" Target="https://dym.asia/media/bangkok_hospital/" TargetMode="External" Id="rId698"/><Relationship Type="http://schemas.openxmlformats.org/officeDocument/2006/relationships/hyperlink" Target="https://dym.asia/services/medicine/thailand-clinic/" TargetMode="External" Id="rId699"/><Relationship Type="http://schemas.openxmlformats.org/officeDocument/2006/relationships/hyperlink" Target="https://dym.asia/services/medicine/thailand-clinic/" TargetMode="External" Id="rId700"/><Relationship Type="http://schemas.openxmlformats.org/officeDocument/2006/relationships/hyperlink" Target="https://dym.asia/media/basketball-sponsor/" TargetMode="External" Id="rId701"/><Relationship Type="http://schemas.openxmlformats.org/officeDocument/2006/relationships/hyperlink" Target="https://dym.asia/services/sports/" TargetMode="External" Id="rId702"/><Relationship Type="http://schemas.openxmlformats.org/officeDocument/2006/relationships/hyperlink" Target="https://dym.asia/services/sports/" TargetMode="External" Id="rId703"/><Relationship Type="http://schemas.openxmlformats.org/officeDocument/2006/relationships/hyperlink" Target="https://dym.asia/media/before-joining-health-check-hospital/" TargetMode="External" Id="rId704"/><Relationship Type="http://schemas.openxmlformats.org/officeDocument/2006/relationships/hyperlink" Target="https://dym.asia/services/medicine/" TargetMode="External" Id="rId705"/><Relationship Type="http://schemas.openxmlformats.org/officeDocument/2006/relationships/hyperlink" Target="https://dym.asia/services/medicine/" TargetMode="External" Id="rId706"/><Relationship Type="http://schemas.openxmlformats.org/officeDocument/2006/relationships/hyperlink" Target="https://dym.asia/media/before-joining-health-check-reasonable/" TargetMode="External" Id="rId707"/><Relationship Type="http://schemas.openxmlformats.org/officeDocument/2006/relationships/hyperlink" Target="https://dym.asia/services/medicine/" TargetMode="External" Id="rId708"/><Relationship Type="http://schemas.openxmlformats.org/officeDocument/2006/relationships/hyperlink" Target="https://dym.asia/services/medicine/" TargetMode="External" Id="rId709"/><Relationship Type="http://schemas.openxmlformats.org/officeDocument/2006/relationships/hyperlink" Target="https://dym.asia/media/benefit/" TargetMode="External" Id="rId710"/><Relationship Type="http://schemas.openxmlformats.org/officeDocument/2006/relationships/hyperlink" Target="https://dym.asia/services/new-graduates/" TargetMode="External" Id="rId711"/><Relationship Type="http://schemas.openxmlformats.org/officeDocument/2006/relationships/hyperlink" Target="https://dym.asia/services/new-graduates/" TargetMode="External" Id="rId712"/><Relationship Type="http://schemas.openxmlformats.org/officeDocument/2006/relationships/hyperlink" Target="https://dym.asia/media/blood-test/" TargetMode="External" Id="rId713"/><Relationship Type="http://schemas.openxmlformats.org/officeDocument/2006/relationships/hyperlink" Target="https://dym.asia/services/medicine/" TargetMode="External" Id="rId714"/><Relationship Type="http://schemas.openxmlformats.org/officeDocument/2006/relationships/hyperlink" Target="https://dym.asia/services/medicine/" TargetMode="External" Id="rId715"/><Relationship Type="http://schemas.openxmlformats.org/officeDocument/2006/relationships/hyperlink" Target="https://dym.asia/media/bpo-guide-for-business/" TargetMode="External" Id="rId716"/><Relationship Type="http://schemas.openxmlformats.org/officeDocument/2006/relationships/hyperlink" Target="https://dym.asia/services/hr-tech/" TargetMode="External" Id="rId717"/><Relationship Type="http://schemas.openxmlformats.org/officeDocument/2006/relationships/hyperlink" Target="https://dym.asia/services/hr-tech/" TargetMode="External" Id="rId718"/><Relationship Type="http://schemas.openxmlformats.org/officeDocument/2006/relationships/hyperlink" Target="https://dym.asia/media/business-coaching/" TargetMode="External" Id="rId719"/><Relationship Type="http://schemas.openxmlformats.org/officeDocument/2006/relationships/hyperlink" Target="https://dym.asia/services/new-graduates/development-training/" TargetMode="External" Id="rId720"/><Relationship Type="http://schemas.openxmlformats.org/officeDocument/2006/relationships/hyperlink" Target="https://dym.asia/services/new-graduates/development-training/" TargetMode="External" Id="rId721"/><Relationship Type="http://schemas.openxmlformats.org/officeDocument/2006/relationships/hyperlink" Target="https://dym.asia/media/business-succession/" TargetMode="External" Id="rId722"/><Relationship Type="http://schemas.openxmlformats.org/officeDocument/2006/relationships/hyperlink" Target="https://dym.asia/services/m&amp;a/consulting/" TargetMode="External" Id="rId723"/><Relationship Type="http://schemas.openxmlformats.org/officeDocument/2006/relationships/hyperlink" Target="https://dym.asia/services/m&amp;a/consulting/" TargetMode="External" Id="rId724"/><Relationship Type="http://schemas.openxmlformats.org/officeDocument/2006/relationships/hyperlink" Target="https://dym.asia/media/business-work-life-balance/" TargetMode="External" Id="rId725"/><Relationship Type="http://schemas.openxmlformats.org/officeDocument/2006/relationships/hyperlink" Target="https://dym.asia/services/new-graduates/welfare/" TargetMode="External" Id="rId726"/><Relationship Type="http://schemas.openxmlformats.org/officeDocument/2006/relationships/hyperlink" Target="https://dym.asia/services/new-graduates/welfare/" TargetMode="External" Id="rId727"/><Relationship Type="http://schemas.openxmlformats.org/officeDocument/2006/relationships/hyperlink" Target="https://dym.asia/media/business_manners_training/" TargetMode="External" Id="rId728"/><Relationship Type="http://schemas.openxmlformats.org/officeDocument/2006/relationships/hyperlink" Target="https://dym.asia/services/new-graduates/development-training/" TargetMode="External" Id="rId729"/><Relationship Type="http://schemas.openxmlformats.org/officeDocument/2006/relationships/hyperlink" Target="https://dym.asia/services/new-graduates/development-training/" TargetMode="External" Id="rId730"/><Relationship Type="http://schemas.openxmlformats.org/officeDocument/2006/relationships/hyperlink" Target="https://dym.asia/media/buyout/" TargetMode="External" Id="rId731"/><Relationship Type="http://schemas.openxmlformats.org/officeDocument/2006/relationships/hyperlink" Target="https://dym.asia/services/m&amp;a/consulting/" TargetMode="External" Id="rId732"/><Relationship Type="http://schemas.openxmlformats.org/officeDocument/2006/relationships/hyperlink" Target="https://dym.asia/services/m&amp;a/consulting/" TargetMode="External" Id="rId733"/><Relationship Type="http://schemas.openxmlformats.org/officeDocument/2006/relationships/hyperlink" Target="https://dym.asia/media/callcenter-outsourcing/" TargetMode="External" Id="rId734"/><Relationship Type="http://schemas.openxmlformats.org/officeDocument/2006/relationships/hyperlink" Target="https://dym.asia/services/hr-tech/call-center/" TargetMode="External" Id="rId735"/><Relationship Type="http://schemas.openxmlformats.org/officeDocument/2006/relationships/hyperlink" Target="https://dym.asia/media/callcenter-outsourcing/" TargetMode="External" Id="rId736"/><Relationship Type="http://schemas.openxmlformats.org/officeDocument/2006/relationships/hyperlink" Target="https://dym.asia/media/career-up-grant/" TargetMode="External" Id="rId737"/><Relationship Type="http://schemas.openxmlformats.org/officeDocument/2006/relationships/hyperlink" Target="https://dym.asia/media/career-up-grant/" TargetMode="External" Id="rId738"/><Relationship Type="http://schemas.openxmlformats.org/officeDocument/2006/relationships/hyperlink" Target="https://dym.asia/media/career-up-grant/" TargetMode="External" Id="rId739"/><Relationship Type="http://schemas.openxmlformats.org/officeDocument/2006/relationships/hyperlink" Target="https://dym.asia/media/casting-company/" TargetMode="External" Id="rId740"/><Relationship Type="http://schemas.openxmlformats.org/officeDocument/2006/relationships/hyperlink" Target="https://dym.asia/services/web-promotion/talents-share/" TargetMode="External" Id="rId741"/><Relationship Type="http://schemas.openxmlformats.org/officeDocument/2006/relationships/hyperlink" Target="https://dym.asia/services/web-promotion/talents-share/" TargetMode="External" Id="rId742"/><Relationship Type="http://schemas.openxmlformats.org/officeDocument/2006/relationships/hyperlink" Target="https://dym.asia/media/childcare-leave/" TargetMode="External" Id="rId743"/><Relationship Type="http://schemas.openxmlformats.org/officeDocument/2006/relationships/hyperlink" Target="https://dym.asia/services/new-graduates/welfare/" TargetMode="External" Id="rId744"/><Relationship Type="http://schemas.openxmlformats.org/officeDocument/2006/relationships/hyperlink" Target="https://dym.asia/services/new-graduates/welfare/" TargetMode="External" Id="rId745"/><Relationship Type="http://schemas.openxmlformats.org/officeDocument/2006/relationships/hyperlink" Target="https://dym.asia/media/clinic-mna/" TargetMode="External" Id="rId746"/><Relationship Type="http://schemas.openxmlformats.org/officeDocument/2006/relationships/hyperlink" Target="https://dym.asia/services/m&amp;a/consulting/" TargetMode="External" Id="rId747"/><Relationship Type="http://schemas.openxmlformats.org/officeDocument/2006/relationships/hyperlink" Target="https://dym.asia/services/m&amp;a/consulting/" TargetMode="External" Id="rId748"/><Relationship Type="http://schemas.openxmlformats.org/officeDocument/2006/relationships/hyperlink" Target="https://dym.asia/media/coding/" TargetMode="External" Id="rId749"/><Relationship Type="http://schemas.openxmlformats.org/officeDocument/2006/relationships/hyperlink" Target="https://dym.asia/services/web-promotion/" TargetMode="External" Id="rId750"/><Relationship Type="http://schemas.openxmlformats.org/officeDocument/2006/relationships/hyperlink" Target="https://dym.asia/services/web-promotion/" TargetMode="External" Id="rId751"/><Relationship Type="http://schemas.openxmlformats.org/officeDocument/2006/relationships/hyperlink" Target="https://dym.asia/media/complaint-handling/" TargetMode="External" Id="rId752"/><Relationship Type="http://schemas.openxmlformats.org/officeDocument/2006/relationships/hyperlink" Target="https://dym.asia/services/hr-tech/" TargetMode="External" Id="rId753"/><Relationship Type="http://schemas.openxmlformats.org/officeDocument/2006/relationships/hyperlink" Target="https://dym.asia/services/hr-tech/" TargetMode="External" Id="rId754"/><Relationship Type="http://schemas.openxmlformats.org/officeDocument/2006/relationships/hyperlink" Target="https://dym.asia/media/construction-management-employ/" TargetMode="External" Id="rId755"/><Relationship Type="http://schemas.openxmlformats.org/officeDocument/2006/relationships/hyperlink" Target="https://dym.asia/services/new-graduates/Former-graduate/" TargetMode="External" Id="rId756"/><Relationship Type="http://schemas.openxmlformats.org/officeDocument/2006/relationships/hyperlink" Target="https://dym.asia/services/new-graduates/Former-graduate/" TargetMode="External" Id="rId757"/><Relationship Type="http://schemas.openxmlformats.org/officeDocument/2006/relationships/hyperlink" Target="https://dym.asia/media/cooperativeness/" TargetMode="External" Id="rId758"/><Relationship Type="http://schemas.openxmlformats.org/officeDocument/2006/relationships/hyperlink" Target="https://dym.asia/services/" TargetMode="External" Id="rId759"/><Relationship Type="http://schemas.openxmlformats.org/officeDocument/2006/relationships/hyperlink" Target="https://dym.asia/services/new-graduates/development-training/" TargetMode="External" Id="rId760"/><Relationship Type="http://schemas.openxmlformats.org/officeDocument/2006/relationships/hyperlink" Target="https://dym.asia/media/cpm/" TargetMode="External" Id="rId761"/><Relationship Type="http://schemas.openxmlformats.org/officeDocument/2006/relationships/hyperlink" Target="https://dym.asia/services/web-promotion/" TargetMode="External" Id="rId762"/><Relationship Type="http://schemas.openxmlformats.org/officeDocument/2006/relationships/hyperlink" Target="https://dym.asia/services/web-promotion/" TargetMode="External" Id="rId763"/><Relationship Type="http://schemas.openxmlformats.org/officeDocument/2006/relationships/hyperlink" Target="https://dym.asia/media/credo/" TargetMode="External" Id="rId764"/><Relationship Type="http://schemas.openxmlformats.org/officeDocument/2006/relationships/hyperlink" Target="https://dym.asia/services/" TargetMode="External" Id="rId765"/><Relationship Type="http://schemas.openxmlformats.org/officeDocument/2006/relationships/hyperlink" Target="https://dym.asia/services/new-graduates/" TargetMode="External" Id="rId766"/><Relationship Type="http://schemas.openxmlformats.org/officeDocument/2006/relationships/hyperlink" Target="https://dym.asia/media/cs/" TargetMode="External" Id="rId767"/><Relationship Type="http://schemas.openxmlformats.org/officeDocument/2006/relationships/hyperlink" Target="https://dym.asia/services/new-graduates/development-training/" TargetMode="External" Id="rId768"/><Relationship Type="http://schemas.openxmlformats.org/officeDocument/2006/relationships/hyperlink" Target="https://dym.asia/services/new-graduates/development-training/" TargetMode="External" Id="rId769"/><Relationship Type="http://schemas.openxmlformats.org/officeDocument/2006/relationships/hyperlink" Target="https://dym.asia/media/csr/" TargetMode="External" Id="rId770"/><Relationship Type="http://schemas.openxmlformats.org/officeDocument/2006/relationships/hyperlink" Target="https://dym.asia/services/new-graduates/" TargetMode="External" Id="rId771"/><Relationship Type="http://schemas.openxmlformats.org/officeDocument/2006/relationships/hyperlink" Target="https://dym.asia/services/new-graduates/" TargetMode="External" Id="rId772"/><Relationship Type="http://schemas.openxmlformats.org/officeDocument/2006/relationships/hyperlink" Target="https://dym.asia/media/cta/" TargetMode="External" Id="rId773"/><Relationship Type="http://schemas.openxmlformats.org/officeDocument/2006/relationships/hyperlink" Target="https://dym.asia/services/web-promotion/listing/" TargetMode="External" Id="rId774"/><Relationship Type="http://schemas.openxmlformats.org/officeDocument/2006/relationships/hyperlink" Target="https://dym.asia/media/degital-marketing/" TargetMode="External" Id="rId775"/><Relationship Type="http://schemas.openxmlformats.org/officeDocument/2006/relationships/hyperlink" Target="https://dym.asia/services/web-promotion/" TargetMode="External" Id="rId776"/><Relationship Type="http://schemas.openxmlformats.org/officeDocument/2006/relationships/hyperlink" Target="https://dym.asia/services/web-promotion/" TargetMode="External" Id="rId777"/><Relationship Type="http://schemas.openxmlformats.org/officeDocument/2006/relationships/hyperlink" Target="https://dym.asia/media/dermapen/" TargetMode="External" Id="rId778"/><Relationship Type="http://schemas.openxmlformats.org/officeDocument/2006/relationships/hyperlink" Target="https://dym.asia/services/medicine/" TargetMode="External" Id="rId779"/><Relationship Type="http://schemas.openxmlformats.org/officeDocument/2006/relationships/hyperlink" Target="https://dym.asia/services/web-promotion/" TargetMode="External" Id="rId780"/><Relationship Type="http://schemas.openxmlformats.org/officeDocument/2006/relationships/hyperlink" Target="https://dym.asia/media/due-diligence/" TargetMode="External" Id="rId781"/><Relationship Type="http://schemas.openxmlformats.org/officeDocument/2006/relationships/hyperlink" Target="https://dym.asia/services/m&amp;a/consulting/" TargetMode="External" Id="rId782"/><Relationship Type="http://schemas.openxmlformats.org/officeDocument/2006/relationships/hyperlink" Target="https://dym.asia/services/m&amp;a/consulting/" TargetMode="External" Id="rId783"/><Relationship Type="http://schemas.openxmlformats.org/officeDocument/2006/relationships/hyperlink" Target="https://dym.asia/media/employee-training/" TargetMode="External" Id="rId784"/><Relationship Type="http://schemas.openxmlformats.org/officeDocument/2006/relationships/hyperlink" Target="https://dym.asia/services/m&amp;a/consulting/" TargetMode="External" Id="rId785"/><Relationship Type="http://schemas.openxmlformats.org/officeDocument/2006/relationships/hyperlink" Target="https://dym.asia/services/new-graduates/development-training/" TargetMode="External" Id="rId786"/><Relationship Type="http://schemas.openxmlformats.org/officeDocument/2006/relationships/hyperlink" Target="https://dym.asia/media/engineer-recruitment/" TargetMode="External" Id="rId787"/><Relationship Type="http://schemas.openxmlformats.org/officeDocument/2006/relationships/hyperlink" Target="https://dym.asia/services/new-graduates/dym-tech/" TargetMode="External" Id="rId788"/><Relationship Type="http://schemas.openxmlformats.org/officeDocument/2006/relationships/hyperlink" Target="https://dym.asia/services/new-graduates/dym-tech/" TargetMode="External" Id="rId789"/><Relationship Type="http://schemas.openxmlformats.org/officeDocument/2006/relationships/hyperlink" Target="https://dym.asia/media/engineer_dispatch/" TargetMode="External" Id="rId790"/><Relationship Type="http://schemas.openxmlformats.org/officeDocument/2006/relationships/hyperlink" Target="https://dym.asia/services/new-graduates/dym-tech/" TargetMode="External" Id="rId791"/><Relationship Type="http://schemas.openxmlformats.org/officeDocument/2006/relationships/hyperlink" Target="https://dym.asia/services/new-graduates/dym-tech/" TargetMode="External" Id="rId792"/><Relationship Type="http://schemas.openxmlformats.org/officeDocument/2006/relationships/hyperlink" Target="https://dym.asia/media/erabotox/" TargetMode="External" Id="rId793"/><Relationship Type="http://schemas.openxmlformats.org/officeDocument/2006/relationships/hyperlink" Target="https://dym.asia/services/medicine/" TargetMode="External" Id="rId794"/><Relationship Type="http://schemas.openxmlformats.org/officeDocument/2006/relationships/hyperlink" Target="https://dym.asia/services/medicine/" TargetMode="External" Id="rId795"/><Relationship Type="http://schemas.openxmlformats.org/officeDocument/2006/relationships/hyperlink" Target="https://dym.asia/media/facebook-ad-cost/" TargetMode="External" Id="rId796"/><Relationship Type="http://schemas.openxmlformats.org/officeDocument/2006/relationships/hyperlink" Target="https://dym.asia/services/web-promotion/sns-ads/" TargetMode="External" Id="rId797"/><Relationship Type="http://schemas.openxmlformats.org/officeDocument/2006/relationships/hyperlink" Target="https://dym.asia/services/web-promotion/sns-ads/" TargetMode="External" Id="rId798"/><Relationship Type="http://schemas.openxmlformats.org/officeDocument/2006/relationships/hyperlink" Target="https://dym.asia/media/fast-diet/" TargetMode="External" Id="rId799"/><Relationship Type="http://schemas.openxmlformats.org/officeDocument/2006/relationships/hyperlink" Target="https://dym.asia/services/medicine/" TargetMode="External" Id="rId800"/><Relationship Type="http://schemas.openxmlformats.org/officeDocument/2006/relationships/hyperlink" Target="https://dym.asia/services/medicine/" TargetMode="External" Id="rId801"/><Relationship Type="http://schemas.openxmlformats.org/officeDocument/2006/relationships/hyperlink" Target="https://dym.asia/media/follow-up-training/" TargetMode="External" Id="rId802"/><Relationship Type="http://schemas.openxmlformats.org/officeDocument/2006/relationships/hyperlink" Target="https://dym.asia/services/new-graduates/" TargetMode="External" Id="rId803"/><Relationship Type="http://schemas.openxmlformats.org/officeDocument/2006/relationships/hyperlink" Target="https://dym.asia/services/new-graduates/development-training/" TargetMode="External" Id="rId804"/><Relationship Type="http://schemas.openxmlformats.org/officeDocument/2006/relationships/hyperlink" Target="https://dym.asia/media/former-recruitment-difficult/" TargetMode="External" Id="rId805"/><Relationship Type="http://schemas.openxmlformats.org/officeDocument/2006/relationships/hyperlink" Target="https://dym.asia/services/new-graduates/high-class/" TargetMode="External" Id="rId806"/><Relationship Type="http://schemas.openxmlformats.org/officeDocument/2006/relationships/hyperlink" Target="https://dym.asia/services/new-graduates/Former-graduate/" TargetMode="External" Id="rId807"/><Relationship Type="http://schemas.openxmlformats.org/officeDocument/2006/relationships/hyperlink" Target="https://dym.asia/media/freshmen-health-check/" TargetMode="External" Id="rId808"/><Relationship Type="http://schemas.openxmlformats.org/officeDocument/2006/relationships/hyperlink" Target="https://dym.asia/services/medicine/" TargetMode="External" Id="rId809"/><Relationship Type="http://schemas.openxmlformats.org/officeDocument/2006/relationships/hyperlink" Target="https://dym.asia/services/medicine/" TargetMode="External" Id="rId810"/><Relationship Type="http://schemas.openxmlformats.org/officeDocument/2006/relationships/hyperlink" Target="https://dym.asia/media/funding/" TargetMode="External" Id="rId811"/><Relationship Type="http://schemas.openxmlformats.org/officeDocument/2006/relationships/hyperlink" Target="https://dym.asia/services/m&amp;a/investment/" TargetMode="External" Id="rId812"/><Relationship Type="http://schemas.openxmlformats.org/officeDocument/2006/relationships/hyperlink" Target="https://dym.asia/services/m&amp;a/investment/" TargetMode="External" Id="rId813"/><Relationship Type="http://schemas.openxmlformats.org/officeDocument/2006/relationships/hyperlink" Target="https://dym.asia/media/google-algorithm/" TargetMode="External" Id="rId814"/><Relationship Type="http://schemas.openxmlformats.org/officeDocument/2006/relationships/hyperlink" Target="https://dym.asia/services/web-promotion/seo/" TargetMode="External" Id="rId815"/><Relationship Type="http://schemas.openxmlformats.org/officeDocument/2006/relationships/hyperlink" Target="https://dym.asia/services/web-promotion/seo/" TargetMode="External" Id="rId816"/><Relationship Type="http://schemas.openxmlformats.org/officeDocument/2006/relationships/hyperlink" Target="https://dym.asia/media/gtm/" TargetMode="External" Id="rId817"/><Relationship Type="http://schemas.openxmlformats.org/officeDocument/2006/relationships/hyperlink" Target="https://dym.asia/services/web-promotion/seo/" TargetMode="External" Id="rId818"/><Relationship Type="http://schemas.openxmlformats.org/officeDocument/2006/relationships/hyperlink" Target="https://dym.asia/services/web-promotion/seo/" TargetMode="External" Id="rId819"/><Relationship Type="http://schemas.openxmlformats.org/officeDocument/2006/relationships/hyperlink" Target="https://dym.asia/media/harassment/" TargetMode="External" Id="rId820"/><Relationship Type="http://schemas.openxmlformats.org/officeDocument/2006/relationships/hyperlink" Target="https://dym.asia/services/new-graduates/" TargetMode="External" Id="rId821"/><Relationship Type="http://schemas.openxmlformats.org/officeDocument/2006/relationships/hyperlink" Target="https://dym.asia/services/new-graduates/development-training/" TargetMode="External" Id="rId822"/><Relationship Type="http://schemas.openxmlformats.org/officeDocument/2006/relationships/hyperlink" Target="https://dym.asia/media/health-check-40s/" TargetMode="External" Id="rId823"/><Relationship Type="http://schemas.openxmlformats.org/officeDocument/2006/relationships/hyperlink" Target="https://dym.asia/services/medicine/" TargetMode="External" Id="rId824"/><Relationship Type="http://schemas.openxmlformats.org/officeDocument/2006/relationships/hyperlink" Target="https://dym.asia/services/medicine/" TargetMode="External" Id="rId825"/><Relationship Type="http://schemas.openxmlformats.org/officeDocument/2006/relationships/hyperlink" Target="https://dym.asia/media/health-check/" TargetMode="External" Id="rId826"/><Relationship Type="http://schemas.openxmlformats.org/officeDocument/2006/relationships/hyperlink" Target="https://dym.asia/services/medicine/" TargetMode="External" Id="rId827"/><Relationship Type="http://schemas.openxmlformats.org/officeDocument/2006/relationships/hyperlink" Target="https://dym.asia/services/medicine/" TargetMode="External" Id="rId828"/><Relationship Type="http://schemas.openxmlformats.org/officeDocument/2006/relationships/hyperlink" Target="https://dym.asia/media/health-checkup-upon-item/" TargetMode="External" Id="rId829"/><Relationship Type="http://schemas.openxmlformats.org/officeDocument/2006/relationships/hyperlink" Target="https://dym.asia/services/medicine/" TargetMode="External" Id="rId830"/><Relationship Type="http://schemas.openxmlformats.org/officeDocument/2006/relationships/hyperlink" Target="https://dym.asia/services/medicine/" TargetMode="External" Id="rId831"/><Relationship Type="http://schemas.openxmlformats.org/officeDocument/2006/relationships/hyperlink" Target="https://dym.asia/media/help-wanted-ads/" TargetMode="External" Id="rId832"/><Relationship Type="http://schemas.openxmlformats.org/officeDocument/2006/relationships/hyperlink" Target="https://dym.asia/services/new-graduates/Former-graduate/" TargetMode="External" Id="rId833"/><Relationship Type="http://schemas.openxmlformats.org/officeDocument/2006/relationships/hyperlink" Target="https://dym.asia/services/hr-tech/kyujinbox/" TargetMode="External" Id="rId834"/><Relationship Type="http://schemas.openxmlformats.org/officeDocument/2006/relationships/hyperlink" Target="https://dym.asia/media/how-to-search-empty-property/" TargetMode="External" Id="rId835"/><Relationship Type="http://schemas.openxmlformats.org/officeDocument/2006/relationships/hyperlink" Target="https://dym.asia/services/new-business/relocation/" TargetMode="External" Id="rId836"/><Relationship Type="http://schemas.openxmlformats.org/officeDocument/2006/relationships/hyperlink" Target="https://dym.asia/services/new-business/relocation/" TargetMode="External" Id="rId837"/><Relationship Type="http://schemas.openxmlformats.org/officeDocument/2006/relationships/hyperlink" Target="https://dym.asia/media/how-to-seo/" TargetMode="External" Id="rId838"/><Relationship Type="http://schemas.openxmlformats.org/officeDocument/2006/relationships/hyperlink" Target="https://dym.asia/services/web-promotion/seo/" TargetMode="External" Id="rId839"/><Relationship Type="http://schemas.openxmlformats.org/officeDocument/2006/relationships/hyperlink" Target="https://dym.asia/services/web-promotion/seo/" TargetMode="External" Id="rId840"/><Relationship Type="http://schemas.openxmlformats.org/officeDocument/2006/relationships/hyperlink" Target="https://dym.asia/media/human-error/" TargetMode="External" Id="rId841"/><Relationship Type="http://schemas.openxmlformats.org/officeDocument/2006/relationships/hyperlink" Target="https://dym.asia/services/new-graduates/new-graduate-recruitment/" TargetMode="External" Id="rId842"/><Relationship Type="http://schemas.openxmlformats.org/officeDocument/2006/relationships/hyperlink" Target="https://dym.asia/services/new-graduates/new-graduate-recruitment/" TargetMode="External" Id="rId843"/><Relationship Type="http://schemas.openxmlformats.org/officeDocument/2006/relationships/hyperlink" Target="https://dym.asia/media/impression/" TargetMode="External" Id="rId844"/><Relationship Type="http://schemas.openxmlformats.org/officeDocument/2006/relationships/hyperlink" Target="https://dym.asia/services/web-promotion/" TargetMode="External" Id="rId845"/><Relationship Type="http://schemas.openxmlformats.org/officeDocument/2006/relationships/hyperlink" Target="https://dym.asia/services/web-promotion/" TargetMode="External" Id="rId846"/><Relationship Type="http://schemas.openxmlformats.org/officeDocument/2006/relationships/hyperlink" Target="https://dym.asia/media/in-house-training/" TargetMode="External" Id="rId847"/><Relationship Type="http://schemas.openxmlformats.org/officeDocument/2006/relationships/hyperlink" Target="https://dym.asia/services/new-graduates/development-training/" TargetMode="External" Id="rId848"/><Relationship Type="http://schemas.openxmlformats.org/officeDocument/2006/relationships/hyperlink" Target="https://dym.asia/services/new-graduates/development-training/" TargetMode="External" Id="rId849"/><Relationship Type="http://schemas.openxmlformats.org/officeDocument/2006/relationships/hyperlink" Target="https://dym.asia/media/indeed_agency/" TargetMode="External" Id="rId850"/><Relationship Type="http://schemas.openxmlformats.org/officeDocument/2006/relationships/hyperlink" Target="https://dym.asia/services/hr-tech/indeed/" TargetMode="External" Id="rId851"/><Relationship Type="http://schemas.openxmlformats.org/officeDocument/2006/relationships/hyperlink" Target="https://dym.asia/services/hr-tech/indeed/" TargetMode="External" Id="rId852"/><Relationship Type="http://schemas.openxmlformats.org/officeDocument/2006/relationships/hyperlink" Target="https://dym.asia/media/index/" TargetMode="External" Id="rId853"/><Relationship Type="http://schemas.openxmlformats.org/officeDocument/2006/relationships/hyperlink" Target="https://dym.asia/services/web-promotion/seo/" TargetMode="External" Id="rId854"/><Relationship Type="http://schemas.openxmlformats.org/officeDocument/2006/relationships/hyperlink" Target="https://dym.asia/services/web-promotion/seo/" TargetMode="External" Id="rId855"/><Relationship Type="http://schemas.openxmlformats.org/officeDocument/2006/relationships/hyperlink" Target="https://dym.asia/media/infeed-ad/" TargetMode="External" Id="rId856"/><Relationship Type="http://schemas.openxmlformats.org/officeDocument/2006/relationships/hyperlink" Target="https://dym.asia/media/infeed-ad/" TargetMode="External" Id="rId857"/><Relationship Type="http://schemas.openxmlformats.org/officeDocument/2006/relationships/hyperlink" Target="https://dym.asia/media/infeed-ad/" TargetMode="External" Id="rId858"/><Relationship Type="http://schemas.openxmlformats.org/officeDocument/2006/relationships/hyperlink" Target="https://dym.asia/media/instagram-target/" TargetMode="External" Id="rId859"/><Relationship Type="http://schemas.openxmlformats.org/officeDocument/2006/relationships/hyperlink" Target="https://dym.asia/media/instagram-target/" TargetMode="External" Id="rId860"/><Relationship Type="http://schemas.openxmlformats.org/officeDocument/2006/relationships/hyperlink" Target="https://dym.asia/services/web-promotion/sns-ads/" TargetMode="External" Id="rId861"/><Relationship Type="http://schemas.openxmlformats.org/officeDocument/2006/relationships/hyperlink" Target="https://dym.asia/media/interview-article/" TargetMode="External" Id="rId862"/><Relationship Type="http://schemas.openxmlformats.org/officeDocument/2006/relationships/hyperlink" Target="https://dym.asia/services/web-promotion/" TargetMode="External" Id="rId863"/><Relationship Type="http://schemas.openxmlformats.org/officeDocument/2006/relationships/hyperlink" Target="https://dym.asia/services/web-promotion/" TargetMode="External" Id="rId864"/><Relationship Type="http://schemas.openxmlformats.org/officeDocument/2006/relationships/hyperlink" Target="https://dym.asia/media/ipo_support/" TargetMode="External" Id="rId865"/><Relationship Type="http://schemas.openxmlformats.org/officeDocument/2006/relationships/hyperlink" Target="https://dym.asia/services/m&amp;a/consulting/" TargetMode="External" Id="rId866"/><Relationship Type="http://schemas.openxmlformats.org/officeDocument/2006/relationships/hyperlink" Target="https://dym.asia/services/m&amp;a/consulting/" TargetMode="External" Id="rId867"/><Relationship Type="http://schemas.openxmlformats.org/officeDocument/2006/relationships/hyperlink" Target="https://dym.asia/media/job-offer-site/" TargetMode="External" Id="rId868"/><Relationship Type="http://schemas.openxmlformats.org/officeDocument/2006/relationships/hyperlink" Target="https://dym.asia/services/new-graduates/Former-graduate/" TargetMode="External" Id="rId869"/><Relationship Type="http://schemas.openxmlformats.org/officeDocument/2006/relationships/hyperlink" Target="https://dym.asia/services/hr-tech/kyujinbox/" TargetMode="External" Id="rId870"/><Relationship Type="http://schemas.openxmlformats.org/officeDocument/2006/relationships/hyperlink" Target="https://dym.asia/media/kenshin/" TargetMode="External" Id="rId871"/><Relationship Type="http://schemas.openxmlformats.org/officeDocument/2006/relationships/hyperlink" Target="https://dym.asia/services/medicine/" TargetMode="External" Id="rId872"/><Relationship Type="http://schemas.openxmlformats.org/officeDocument/2006/relationships/hyperlink" Target="https://dym.asia/services/medicine/" TargetMode="External" Id="rId873"/><Relationship Type="http://schemas.openxmlformats.org/officeDocument/2006/relationships/hyperlink" Target="https://dym.asia/media/keyword-selection/" TargetMode="External" Id="rId874"/><Relationship Type="http://schemas.openxmlformats.org/officeDocument/2006/relationships/hyperlink" Target="https://dym.asia/services/web-promotion/seo/" TargetMode="External" Id="rId875"/><Relationship Type="http://schemas.openxmlformats.org/officeDocument/2006/relationships/hyperlink" Target="https://dym.asia/services/web-promotion/seo/" TargetMode="External" Id="rId876"/><Relationship Type="http://schemas.openxmlformats.org/officeDocument/2006/relationships/hyperlink" Target="https://dym.asia/media/kgi/" TargetMode="External" Id="rId877"/><Relationship Type="http://schemas.openxmlformats.org/officeDocument/2006/relationships/hyperlink" Target="https://dym.asia/services/web-promotion/listing/" TargetMode="External" Id="rId878"/><Relationship Type="http://schemas.openxmlformats.org/officeDocument/2006/relationships/hyperlink" Target="https://dym.asia/services/web-promotion/listing/" TargetMode="External" Id="rId879"/><Relationship Type="http://schemas.openxmlformats.org/officeDocument/2006/relationships/hyperlink" Target="https://dym.asia/media/kpi-about/" TargetMode="External" Id="rId880"/><Relationship Type="http://schemas.openxmlformats.org/officeDocument/2006/relationships/hyperlink" Target="https://dym.asia/services/new-graduates/development-training/" TargetMode="External" Id="rId881"/><Relationship Type="http://schemas.openxmlformats.org/officeDocument/2006/relationships/hyperlink" Target="https://dym.asia/services/new-graduates/development-training/" TargetMode="External" Id="rId882"/><Relationship Type="http://schemas.openxmlformats.org/officeDocument/2006/relationships/hyperlink" Target="https://dym.asia/media/kyujinbox-2/" TargetMode="External" Id="rId883"/><Relationship Type="http://schemas.openxmlformats.org/officeDocument/2006/relationships/hyperlink" Target="https://dym.asia/services/new-graduates/Former-graduate/" TargetMode="External" Id="rId884"/><Relationship Type="http://schemas.openxmlformats.org/officeDocument/2006/relationships/hyperlink" Target="https://dym.asia/services/hr-tech/kyujinbox/" TargetMode="External" Id="rId885"/><Relationship Type="http://schemas.openxmlformats.org/officeDocument/2006/relationships/hyperlink" Target="https://dym.asia/media/kyujinbox-about/" TargetMode="External" Id="rId886"/><Relationship Type="http://schemas.openxmlformats.org/officeDocument/2006/relationships/hyperlink" Target="https://dym.asia/services/hr-tech/stanby-kyujinbox/" TargetMode="External" Id="rId887"/><Relationship Type="http://schemas.openxmlformats.org/officeDocument/2006/relationships/hyperlink" Target="https://dym.asia/services/hr-tech/stanby-kyujinbox/" TargetMode="External" Id="rId888"/><Relationship Type="http://schemas.openxmlformats.org/officeDocument/2006/relationships/hyperlink" Target="https://dym.asia/media/kyujinbox-how-to-use/" TargetMode="External" Id="rId889"/><Relationship Type="http://schemas.openxmlformats.org/officeDocument/2006/relationships/hyperlink" Target="https://dym.asia/services/hr-tech/stanby-kyujinbox/" TargetMode="External" Id="rId890"/><Relationship Type="http://schemas.openxmlformats.org/officeDocument/2006/relationships/hyperlink" Target="https://dym.asia/services/hr-tech/stanby-kyujinbox/" TargetMode="External" Id="rId891"/><Relationship Type="http://schemas.openxmlformats.org/officeDocument/2006/relationships/hyperlink" Target="https://dym.asia/media/labor-standards-act/" TargetMode="External" Id="rId892"/><Relationship Type="http://schemas.openxmlformats.org/officeDocument/2006/relationships/hyperlink" Target="https://dym.asia/services/hr-tech/stanby-kyujinbox/" TargetMode="External" Id="rId893"/><Relationship Type="http://schemas.openxmlformats.org/officeDocument/2006/relationships/hyperlink" Target="https://dym.asia/services/new-graduates/development-training/" TargetMode="External" Id="rId894"/><Relationship Type="http://schemas.openxmlformats.org/officeDocument/2006/relationships/hyperlink" Target="https://dym.asia/media/leader_training/" TargetMode="External" Id="rId895"/><Relationship Type="http://schemas.openxmlformats.org/officeDocument/2006/relationships/hyperlink" Target="https://dym.asia/services/new-graduates/development-training/" TargetMode="External" Id="rId896"/><Relationship Type="http://schemas.openxmlformats.org/officeDocument/2006/relationships/hyperlink" Target="https://dym.asia/services/new-graduates/development-training/" TargetMode="External" Id="rId897"/><Relationship Type="http://schemas.openxmlformats.org/officeDocument/2006/relationships/hyperlink" Target="https://dym.asia/media/line-ad-target/" TargetMode="External" Id="rId898"/><Relationship Type="http://schemas.openxmlformats.org/officeDocument/2006/relationships/hyperlink" Target="https://dym.asia/media/line-ad-target/" TargetMode="External" Id="rId899"/><Relationship Type="http://schemas.openxmlformats.org/officeDocument/2006/relationships/hyperlink" Target="https://dym.asia/services/web-promotion/sns-ads/" TargetMode="External" Id="rId900"/><Relationship Type="http://schemas.openxmlformats.org/officeDocument/2006/relationships/hyperlink" Target="https://dym.asia/media/line-official-fee/" TargetMode="External" Id="rId901"/><Relationship Type="http://schemas.openxmlformats.org/officeDocument/2006/relationships/hyperlink" Target="https://dym.asia/media/line-official-fee/" TargetMode="External" Id="rId902"/><Relationship Type="http://schemas.openxmlformats.org/officeDocument/2006/relationships/hyperlink" Target="https://dym.asia/services/web-promotion/sns-ads/" TargetMode="External" Id="rId903"/><Relationship Type="http://schemas.openxmlformats.org/officeDocument/2006/relationships/hyperlink" Target="https://dym.asia/media/line-official-login/" TargetMode="External" Id="rId904"/><Relationship Type="http://schemas.openxmlformats.org/officeDocument/2006/relationships/hyperlink" Target="https://dym.asia/services/web-promotion/sns-consulting/" TargetMode="External" Id="rId905"/><Relationship Type="http://schemas.openxmlformats.org/officeDocument/2006/relationships/hyperlink" Target="https://dym.asia/services/web-promotion/sns-consulting/" TargetMode="External" Id="rId906"/><Relationship Type="http://schemas.openxmlformats.org/officeDocument/2006/relationships/hyperlink" Target="https://dym.asia/media/line-official-message/" TargetMode="External" Id="rId907"/><Relationship Type="http://schemas.openxmlformats.org/officeDocument/2006/relationships/hyperlink" Target="https://dym.asia/services/web-promotion/line-official-account/" TargetMode="External" Id="rId908"/><Relationship Type="http://schemas.openxmlformats.org/officeDocument/2006/relationships/hyperlink" Target="https://dym.asia/services/web-promotion/sns-consulting/" TargetMode="External" Id="rId909"/><Relationship Type="http://schemas.openxmlformats.org/officeDocument/2006/relationships/hyperlink" Target="https://dym.asia/media/line-official-paid/" TargetMode="External" Id="rId910"/><Relationship Type="http://schemas.openxmlformats.org/officeDocument/2006/relationships/hyperlink" Target="https://dym.asia/services/web-promotion/line-official-account/" TargetMode="External" Id="rId911"/><Relationship Type="http://schemas.openxmlformats.org/officeDocument/2006/relationships/hyperlink" Target="https://dym.asia/services/web-promotion/sns-consulting/" TargetMode="External" Id="rId912"/><Relationship Type="http://schemas.openxmlformats.org/officeDocument/2006/relationships/hyperlink" Target="https://dym.asia/media/line-official-rich-message/" TargetMode="External" Id="rId913"/><Relationship Type="http://schemas.openxmlformats.org/officeDocument/2006/relationships/hyperlink" Target="https://dym.asia/services/web-promotion/line-official-account/" TargetMode="External" Id="rId914"/><Relationship Type="http://schemas.openxmlformats.org/officeDocument/2006/relationships/hyperlink" Target="https://dym.asia/services/web-promotion/line-official-account/" TargetMode="External" Id="rId915"/><Relationship Type="http://schemas.openxmlformats.org/officeDocument/2006/relationships/hyperlink" Target="https://dym.asia/media/line-official-search/" TargetMode="External" Id="rId916"/><Relationship Type="http://schemas.openxmlformats.org/officeDocument/2006/relationships/hyperlink" Target="https://dym.asia/services/web-promotion/line-official-account/" TargetMode="External" Id="rId917"/><Relationship Type="http://schemas.openxmlformats.org/officeDocument/2006/relationships/hyperlink" Target="https://dym.asia/services/web-promotion/line-official-account/" TargetMode="External" Id="rId918"/><Relationship Type="http://schemas.openxmlformats.org/officeDocument/2006/relationships/hyperlink" Target="https://dym.asia/media/line-operation/" TargetMode="External" Id="rId919"/><Relationship Type="http://schemas.openxmlformats.org/officeDocument/2006/relationships/hyperlink" Target="https://dym.asia/services/web-promotion/sns-consulting/" TargetMode="External" Id="rId920"/><Relationship Type="http://schemas.openxmlformats.org/officeDocument/2006/relationships/hyperlink" Target="https://dym.asia/services/web-promotion/line-official-account/" TargetMode="External" Id="rId921"/><Relationship Type="http://schemas.openxmlformats.org/officeDocument/2006/relationships/hyperlink" Target="https://dym.asia/media/listing-ads-type/" TargetMode="External" Id="rId922"/><Relationship Type="http://schemas.openxmlformats.org/officeDocument/2006/relationships/hyperlink" Target="https://dym.asia/media/listing-display-ads/" TargetMode="External" Id="rId923"/><Relationship Type="http://schemas.openxmlformats.org/officeDocument/2006/relationships/hyperlink" Target="https://dym.asia/services/web-promotion/" TargetMode="External" Id="rId924"/><Relationship Type="http://schemas.openxmlformats.org/officeDocument/2006/relationships/hyperlink" Target="https://dym.asia/services/web-promotion/" TargetMode="External" Id="rId925"/><Relationship Type="http://schemas.openxmlformats.org/officeDocument/2006/relationships/hyperlink" Target="https://dym.asia/media/listing_advertisement/" TargetMode="External" Id="rId926"/><Relationship Type="http://schemas.openxmlformats.org/officeDocument/2006/relationships/hyperlink" Target="https://dym.asia/services/web-promotion/listing/" TargetMode="External" Id="rId927"/><Relationship Type="http://schemas.openxmlformats.org/officeDocument/2006/relationships/hyperlink" Target="https://dym.asia/services/web-promotion/listing/" TargetMode="External" Id="rId928"/><Relationship Type="http://schemas.openxmlformats.org/officeDocument/2006/relationships/hyperlink" Target="https://dym.asia/media/logic-tree/" TargetMode="External" Id="rId929"/><Relationship Type="http://schemas.openxmlformats.org/officeDocument/2006/relationships/hyperlink" Target="https://dym.asia/services/new-graduates/development-training/" TargetMode="External" Id="rId930"/><Relationship Type="http://schemas.openxmlformats.org/officeDocument/2006/relationships/hyperlink" Target="https://dym.asia/services/new-graduates/development-training/" TargetMode="External" Id="rId931"/><Relationship Type="http://schemas.openxmlformats.org/officeDocument/2006/relationships/hyperlink" Target="https://dym.asia/media/ma_consulting/" TargetMode="External" Id="rId932"/><Relationship Type="http://schemas.openxmlformats.org/officeDocument/2006/relationships/hyperlink" Target="https://dym.asia/services/m&amp;a/consulting/" TargetMode="External" Id="rId933"/><Relationship Type="http://schemas.openxmlformats.org/officeDocument/2006/relationships/hyperlink" Target="https://dym.asia/services/m&amp;a/consulting/" TargetMode="External" Id="rId934"/><Relationship Type="http://schemas.openxmlformats.org/officeDocument/2006/relationships/hyperlink" Target="https://dym.asia/media/management/" TargetMode="External" Id="rId935"/><Relationship Type="http://schemas.openxmlformats.org/officeDocument/2006/relationships/hyperlink" Target="https://dym.asia/services/new-graduates/development-training/" TargetMode="External" Id="rId936"/><Relationship Type="http://schemas.openxmlformats.org/officeDocument/2006/relationships/hyperlink" Target="https://dym.asia/services/new-graduates/development-training/" TargetMode="External" Id="rId937"/><Relationship Type="http://schemas.openxmlformats.org/officeDocument/2006/relationships/hyperlink" Target="https://dym.asia/media/manager-training/" TargetMode="External" Id="rId938"/><Relationship Type="http://schemas.openxmlformats.org/officeDocument/2006/relationships/hyperlink" Target="https://dym.asia/services/new-graduates/development-training/" TargetMode="External" Id="rId939"/><Relationship Type="http://schemas.openxmlformats.org/officeDocument/2006/relationships/hyperlink" Target="https://dym.asia/services/new-graduates/development-training/" TargetMode="External" Id="rId940"/><Relationship Type="http://schemas.openxmlformats.org/officeDocument/2006/relationships/hyperlink" Target="https://dym.asia/media/marketer-recruitement/" TargetMode="External" Id="rId941"/><Relationship Type="http://schemas.openxmlformats.org/officeDocument/2006/relationships/hyperlink" Target="https://dym.asia/services/new-graduates/dym-tech/" TargetMode="External" Id="rId942"/><Relationship Type="http://schemas.openxmlformats.org/officeDocument/2006/relationships/hyperlink" Target="https://dym.asia/services/new-graduates/exe-part/" TargetMode="External" Id="rId943"/><Relationship Type="http://schemas.openxmlformats.org/officeDocument/2006/relationships/hyperlink" Target="https://dym.asia/media/marketing-advisor/" TargetMode="External" Id="rId944"/><Relationship Type="http://schemas.openxmlformats.org/officeDocument/2006/relationships/hyperlink" Target="https://dym.asia/services/new-graduates/exe-part/" TargetMode="External" Id="rId945"/><Relationship Type="http://schemas.openxmlformats.org/officeDocument/2006/relationships/hyperlink" Target="https://dym.asia/services/new-graduates/exe-part/" TargetMode="External" Id="rId946"/><Relationship Type="http://schemas.openxmlformats.org/officeDocument/2006/relationships/hyperlink" Target="https://dym.asia/media/marketing-outsourcing/" TargetMode="External" Id="rId947"/><Relationship Type="http://schemas.openxmlformats.org/officeDocument/2006/relationships/hyperlink" Target="https://dym.asia/services/new-graduates/dym-tech/" TargetMode="External" Id="rId948"/><Relationship Type="http://schemas.openxmlformats.org/officeDocument/2006/relationships/hyperlink" Target="https://dym.asia/services/new-graduates/dym-tech/" TargetMode="External" Id="rId949"/><Relationship Type="http://schemas.openxmlformats.org/officeDocument/2006/relationships/hyperlink" Target="https://dym.asia/media/mbo/" TargetMode="External" Id="rId950"/><Relationship Type="http://schemas.openxmlformats.org/officeDocument/2006/relationships/hyperlink" Target="https://dym.asia/services/m&amp;a/consulting/" TargetMode="External" Id="rId951"/><Relationship Type="http://schemas.openxmlformats.org/officeDocument/2006/relationships/hyperlink" Target="https://dym.asia/services/m&amp;a/consulting/" TargetMode="External" Id="rId952"/><Relationship Type="http://schemas.openxmlformats.org/officeDocument/2006/relationships/hyperlink" Target="https://dym.asia/media/mece/" TargetMode="External" Id="rId953"/><Relationship Type="http://schemas.openxmlformats.org/officeDocument/2006/relationships/hyperlink" Target="https://dym.asia/services/new-graduates/development-training/" TargetMode="External" Id="rId954"/><Relationship Type="http://schemas.openxmlformats.org/officeDocument/2006/relationships/hyperlink" Target="https://dym.asia/services/new-graduates/development-training/" TargetMode="External" Id="rId955"/><Relationship Type="http://schemas.openxmlformats.org/officeDocument/2006/relationships/hyperlink" Target="https://dym.asia/media/meo/" TargetMode="External" Id="rId956"/><Relationship Type="http://schemas.openxmlformats.org/officeDocument/2006/relationships/hyperlink" Target="https://dym.asia/services/web-promotion/seo/" TargetMode="External" Id="rId957"/><Relationship Type="http://schemas.openxmlformats.org/officeDocument/2006/relationships/hyperlink" Target="https://dym.asia/services/web-promotion/seo/" TargetMode="External" Id="rId958"/><Relationship Type="http://schemas.openxmlformats.org/officeDocument/2006/relationships/hyperlink" Target="https://dym.asia/media/meta-description/" TargetMode="External" Id="rId959"/><Relationship Type="http://schemas.openxmlformats.org/officeDocument/2006/relationships/hyperlink" Target="https://dym.asia/media/meta-description/" TargetMode="External" Id="rId960"/><Relationship Type="http://schemas.openxmlformats.org/officeDocument/2006/relationships/hyperlink" Target="https://dym.asia/services/web-promotion/" TargetMode="External" Id="rId961"/><Relationship Type="http://schemas.openxmlformats.org/officeDocument/2006/relationships/hyperlink" Target="https://dym.asia/media/mind-set/" TargetMode="External" Id="rId962"/><Relationship Type="http://schemas.openxmlformats.org/officeDocument/2006/relationships/hyperlink" Target="https://dym.asia/services/" TargetMode="External" Id="rId963"/><Relationship Type="http://schemas.openxmlformats.org/officeDocument/2006/relationships/hyperlink" Target="https://dym.asia/services/new-graduates/development-training/" TargetMode="External" Id="rId964"/><Relationship Type="http://schemas.openxmlformats.org/officeDocument/2006/relationships/hyperlink" Target="https://dym.asia/media/model-casting/" TargetMode="External" Id="rId965"/><Relationship Type="http://schemas.openxmlformats.org/officeDocument/2006/relationships/hyperlink" Target="https://dym.asia/services/web-promotion/talents-share/" TargetMode="External" Id="rId966"/><Relationship Type="http://schemas.openxmlformats.org/officeDocument/2006/relationships/hyperlink" Target="https://dym.asia/services/web-promotion/talents-share/" TargetMode="External" Id="rId967"/><Relationship Type="http://schemas.openxmlformats.org/officeDocument/2006/relationships/hyperlink" Target="https://dym.asia/media/native-ads-medium/" TargetMode="External" Id="rId968"/><Relationship Type="http://schemas.openxmlformats.org/officeDocument/2006/relationships/hyperlink" Target="https://dym.asia/services/web-promotion/dsp-native-ads/" TargetMode="External" Id="rId969"/><Relationship Type="http://schemas.openxmlformats.org/officeDocument/2006/relationships/hyperlink" Target="https://dym.asia/services/web-promotion/dsp-native-ads/" TargetMode="External" Id="rId970"/><Relationship Type="http://schemas.openxmlformats.org/officeDocument/2006/relationships/hyperlink" Target="https://dym.asia/media/new-graduate-training-curriculum/" TargetMode="External" Id="rId971"/><Relationship Type="http://schemas.openxmlformats.org/officeDocument/2006/relationships/hyperlink" Target="https://dym.asia/services/new-graduates/development-training/" TargetMode="External" Id="rId972"/><Relationship Type="http://schemas.openxmlformats.org/officeDocument/2006/relationships/hyperlink" Target="https://dym.asia/services/new-graduates/development-training/" TargetMode="External" Id="rId973"/><Relationship Type="http://schemas.openxmlformats.org/officeDocument/2006/relationships/hyperlink" Target="https://dym.asia/media/new-graduation-agent-cost/" TargetMode="External" Id="rId974"/><Relationship Type="http://schemas.openxmlformats.org/officeDocument/2006/relationships/hyperlink" Target="https://dym.asia/services/new-graduates/new-graduate-recruitment/" TargetMode="External" Id="rId975"/><Relationship Type="http://schemas.openxmlformats.org/officeDocument/2006/relationships/hyperlink" Target="https://dym.asia/services/new-graduates/development-training/" TargetMode="External" Id="rId976"/><Relationship Type="http://schemas.openxmlformats.org/officeDocument/2006/relationships/hyperlink" Target="https://dym.asia/media/new-graduation-recruitment-cost/" TargetMode="External" Id="rId977"/><Relationship Type="http://schemas.openxmlformats.org/officeDocument/2006/relationships/hyperlink" Target="https://dym.asia/services/new-graduates/new-graduate-recruitment/" TargetMode="External" Id="rId978"/><Relationship Type="http://schemas.openxmlformats.org/officeDocument/2006/relationships/hyperlink" Target="https://dym.asia/services/new-graduates/new-graduate-recruitment/" TargetMode="External" Id="rId979"/><Relationship Type="http://schemas.openxmlformats.org/officeDocument/2006/relationships/hyperlink" Target="https://dym.asia/media/new-graduation-training-term/" TargetMode="External" Id="rId980"/><Relationship Type="http://schemas.openxmlformats.org/officeDocument/2006/relationships/hyperlink" Target="https://dym.asia/services/new-graduates/development-training/" TargetMode="External" Id="rId981"/><Relationship Type="http://schemas.openxmlformats.org/officeDocument/2006/relationships/hyperlink" Target="https://dym.asia/services/new-graduates/development-training/" TargetMode="External" Id="rId982"/><Relationship Type="http://schemas.openxmlformats.org/officeDocument/2006/relationships/hyperlink" Target="https://dym.asia/media/new_employee_training/" TargetMode="External" Id="rId983"/><Relationship Type="http://schemas.openxmlformats.org/officeDocument/2006/relationships/hyperlink" Target="https://dym.asia/services/new-graduates/development-training/" TargetMode="External" Id="rId984"/><Relationship Type="http://schemas.openxmlformats.org/officeDocument/2006/relationships/hyperlink" Target="https://dym.asia/services/new-graduates/development-training/" TargetMode="External" Id="rId985"/><Relationship Type="http://schemas.openxmlformats.org/officeDocument/2006/relationships/hyperlink" Target="https://dym.asia/media/new_graduate_recruitment/" TargetMode="External" Id="rId986"/><Relationship Type="http://schemas.openxmlformats.org/officeDocument/2006/relationships/hyperlink" Target="https://dym.asia/services/new-graduates/new-graduate-recruitment/" TargetMode="External" Id="rId987"/><Relationship Type="http://schemas.openxmlformats.org/officeDocument/2006/relationships/hyperlink" Target="https://dym.asia/services/new-graduates/development-training/" TargetMode="External" Id="rId988"/><Relationship Type="http://schemas.openxmlformats.org/officeDocument/2006/relationships/hyperlink" Target="https://dym.asia/media/occupational_physician/" TargetMode="External" Id="rId989"/><Relationship Type="http://schemas.openxmlformats.org/officeDocument/2006/relationships/hyperlink" Target="https://dym.asia/services/medicine/" TargetMode="External" Id="rId990"/><Relationship Type="http://schemas.openxmlformats.org/officeDocument/2006/relationships/hyperlink" Target="https://dym.asia/services/medicine/" TargetMode="External" Id="rId991"/><Relationship Type="http://schemas.openxmlformats.org/officeDocument/2006/relationships/hyperlink" Target="https://dym.asia/media/office_brokerage/" TargetMode="External" Id="rId992"/><Relationship Type="http://schemas.openxmlformats.org/officeDocument/2006/relationships/hyperlink" Target="https://dym.asia/services/new-business/relocation/" TargetMode="External" Id="rId993"/><Relationship Type="http://schemas.openxmlformats.org/officeDocument/2006/relationships/hyperlink" Target="https://dym.asia/services/new-business/relocation/" TargetMode="External" Id="rId994"/><Relationship Type="http://schemas.openxmlformats.org/officeDocument/2006/relationships/hyperlink" Target="https://dym.asia/media/official-sponsor/" TargetMode="External" Id="rId995"/><Relationship Type="http://schemas.openxmlformats.org/officeDocument/2006/relationships/hyperlink" Target="https://dym.asia/services/sports/" TargetMode="External" Id="rId996"/><Relationship Type="http://schemas.openxmlformats.org/officeDocument/2006/relationships/hyperlink" Target="https://dym.asia/services/sports/" TargetMode="External" Id="rId997"/><Relationship Type="http://schemas.openxmlformats.org/officeDocument/2006/relationships/hyperlink" Target="https://dym.asia/media/opg/" TargetMode="External" Id="rId998"/><Relationship Type="http://schemas.openxmlformats.org/officeDocument/2006/relationships/hyperlink" Target="https://dym.asia/services/web-promotion/" TargetMode="External" Id="rId999"/><Relationship Type="http://schemas.openxmlformats.org/officeDocument/2006/relationships/hyperlink" Target="https://dym.asia/services/web-promotion/" TargetMode="External" Id="rId1000"/><Relationship Type="http://schemas.openxmlformats.org/officeDocument/2006/relationships/hyperlink" Target="https://dym.asia/media/page-speed-insights/" TargetMode="External" Id="rId1001"/><Relationship Type="http://schemas.openxmlformats.org/officeDocument/2006/relationships/hyperlink" Target="https://dym.asia/services/web-promotion/seo/" TargetMode="External" Id="rId1002"/><Relationship Type="http://schemas.openxmlformats.org/officeDocument/2006/relationships/hyperlink" Target="https://dym.asia/services/web-promotion/" TargetMode="External" Id="rId1003"/><Relationship Type="http://schemas.openxmlformats.org/officeDocument/2006/relationships/hyperlink" Target="https://dym.asia/media/pagenation/" TargetMode="External" Id="rId1004"/><Relationship Type="http://schemas.openxmlformats.org/officeDocument/2006/relationships/hyperlink" Target="https://dym.asia/services/web-promotion/" TargetMode="External" Id="rId1005"/><Relationship Type="http://schemas.openxmlformats.org/officeDocument/2006/relationships/hyperlink" Target="https://dym.asia/services/web-promotion/" TargetMode="External" Id="rId1006"/><Relationship Type="http://schemas.openxmlformats.org/officeDocument/2006/relationships/hyperlink" Target="https://dym.asia/media/parttime-fulltime-difference/" TargetMode="External" Id="rId1007"/><Relationship Type="http://schemas.openxmlformats.org/officeDocument/2006/relationships/hyperlink" Target="https://dymtech.jp/2859/?_gl=1*rjjsxv*_ga*MTI1MjE5NTY3My4xNzU2NDMyNTY0*_ga_ZXCZZJJ72V*czE3Njg5NTc1NTAkbzI3JGcxJHQxNzY4OTU4Mzc3JGo1MiRsMCRoMA.." TargetMode="External" Id="rId1008"/><Relationship Type="http://schemas.openxmlformats.org/officeDocument/2006/relationships/hyperlink" Target="https://dymtech.jp/2859/?_gl=1*rjjsxv*_ga*MTI1MjE5NTY3My4xNzU2NDMyNTY0*_ga_ZXCZZJJ72V*czE3Njg5NTc1NTAkbzI3JGcxJHQxNzY4OTU4Mzc3JGo1MiRsMCRoMA.." TargetMode="External" Id="rId1009"/><Relationship Type="http://schemas.openxmlformats.org/officeDocument/2006/relationships/hyperlink" Target="https://dym.asia/media/parttime-hiring/" TargetMode="External" Id="rId1010"/><Relationship Type="http://schemas.openxmlformats.org/officeDocument/2006/relationships/hyperlink" Target="https://dym.asia/services/web-promotion/line-official-account/" TargetMode="External" Id="rId1011"/><Relationship Type="http://schemas.openxmlformats.org/officeDocument/2006/relationships/hyperlink" Target="https://dym.asia/services/hr-tech/kyujinbox/" TargetMode="External" Id="rId1012"/><Relationship Type="http://schemas.openxmlformats.org/officeDocument/2006/relationships/hyperlink" Target="https://dym.asia/media/pdca-about/" TargetMode="External" Id="rId1013"/><Relationship Type="http://schemas.openxmlformats.org/officeDocument/2006/relationships/hyperlink" Target="https://dym.asia/services/new-graduates/development-training/" TargetMode="External" Id="rId1014"/><Relationship Type="http://schemas.openxmlformats.org/officeDocument/2006/relationships/hyperlink" Target="https://dym.asia/services/new-graduates/development-training/" TargetMode="External" Id="rId1015"/><Relationship Type="http://schemas.openxmlformats.org/officeDocument/2006/relationships/hyperlink" Target="https://dym.asia/media/perttime-contract-employee-differences/" TargetMode="External" Id="rId1016"/><Relationship Type="http://schemas.openxmlformats.org/officeDocument/2006/relationships/hyperlink" Target="https://dymtech.jp/2859/?_gl=1*1gfsrwb*_ga*MTI1MjE5NTY3My4xNzU2NDMyNTY0*_ga_ZXCZZJJ72V*czE3Njg5NTc1NTAkbzI3JGcxJHQxNzY4OTU4ODA2JGo2MCRsMCRoMA.." TargetMode="External" Id="rId1017"/><Relationship Type="http://schemas.openxmlformats.org/officeDocument/2006/relationships/hyperlink" Target="https://dym.asia/services/hr-tech/kyujinbox/" TargetMode="External" Id="rId1018"/><Relationship Type="http://schemas.openxmlformats.org/officeDocument/2006/relationships/hyperlink" Target="https://dym.asia/media/pest-analysis/" TargetMode="External" Id="rId1019"/><Relationship Type="http://schemas.openxmlformats.org/officeDocument/2006/relationships/hyperlink" Target="https://dym.asia/media/pest-analysis/" TargetMode="External" Id="rId1020"/><Relationship Type="http://schemas.openxmlformats.org/officeDocument/2006/relationships/hyperlink" Target="https://dym.asia/services/web-promotion/" TargetMode="External" Id="rId1021"/><Relationship Type="http://schemas.openxmlformats.org/officeDocument/2006/relationships/hyperlink" Target="https://dym.asia/media/photo-facial/" TargetMode="External" Id="rId1022"/><Relationship Type="http://schemas.openxmlformats.org/officeDocument/2006/relationships/hyperlink" Target="https://dym.asia/services/medicine/" TargetMode="External" Id="rId1023"/><Relationship Type="http://schemas.openxmlformats.org/officeDocument/2006/relationships/hyperlink" Target="https://dym.asia/services/medicine/" TargetMode="External" Id="rId1024"/><Relationship Type="http://schemas.openxmlformats.org/officeDocument/2006/relationships/hyperlink" Target="https://dym.asia/media/pmi/" TargetMode="External" Id="rId1025"/><Relationship Type="http://schemas.openxmlformats.org/officeDocument/2006/relationships/hyperlink" Target="https://dym.asia/services/m&amp;a/consulting/" TargetMode="External" Id="rId1026"/><Relationship Type="http://schemas.openxmlformats.org/officeDocument/2006/relationships/hyperlink" Target="https://dym.asia/services/m&amp;a/consulting/" TargetMode="External" Id="rId1027"/><Relationship Type="http://schemas.openxmlformats.org/officeDocument/2006/relationships/hyperlink" Target="https://dym.asia/media/potential-recruitment/" TargetMode="External" Id="rId1028"/><Relationship Type="http://schemas.openxmlformats.org/officeDocument/2006/relationships/hyperlink" Target="https://dym.asia/services/new-graduates/" TargetMode="External" Id="rId1029"/><Relationship Type="http://schemas.openxmlformats.org/officeDocument/2006/relationships/hyperlink" Target="https://dym.asia/services/new-graduates/new-graduate-recruitment/" TargetMode="External" Id="rId1030"/><Relationship Type="http://schemas.openxmlformats.org/officeDocument/2006/relationships/hyperlink" Target="https://dym.asia/media/pre_employment_training/" TargetMode="External" Id="rId1031"/><Relationship Type="http://schemas.openxmlformats.org/officeDocument/2006/relationships/hyperlink" Target="https://dym.asia/services/new-graduates/development-training/" TargetMode="External" Id="rId1032"/><Relationship Type="http://schemas.openxmlformats.org/officeDocument/2006/relationships/hyperlink" Target="https://dym.asia/services/new-graduates/development-training/" TargetMode="External" Id="rId1033"/><Relationship Type="http://schemas.openxmlformats.org/officeDocument/2006/relationships/hyperlink" Target="https://dym.asia/media/pre_entry_training/" TargetMode="External" Id="rId1034"/><Relationship Type="http://schemas.openxmlformats.org/officeDocument/2006/relationships/hyperlink" Target="https://dym.asia/services/new-graduates/development-training/" TargetMode="External" Id="rId1035"/><Relationship Type="http://schemas.openxmlformats.org/officeDocument/2006/relationships/hyperlink" Target="https://dym.asia/services/new-graduates/development-training/" TargetMode="External" Id="rId1036"/><Relationship Type="http://schemas.openxmlformats.org/officeDocument/2006/relationships/hyperlink" Target="https://dym.asia/media/pv/" TargetMode="External" Id="rId1037"/><Relationship Type="http://schemas.openxmlformats.org/officeDocument/2006/relationships/hyperlink" Target="https://dym.asia/services/web-promotion/" TargetMode="External" Id="rId1038"/><Relationship Type="http://schemas.openxmlformats.org/officeDocument/2006/relationships/hyperlink" Target="https://dym.asia/services/web-promotion/" TargetMode="External" Id="rId1039"/><Relationship Type="http://schemas.openxmlformats.org/officeDocument/2006/relationships/hyperlink" Target="https://dym.asia/media/rapport/" TargetMode="External" Id="rId1040"/><Relationship Type="http://schemas.openxmlformats.org/officeDocument/2006/relationships/hyperlink" Target="https://dym.asia/services/new-graduates/development-training/" TargetMode="External" Id="rId1041"/><Relationship Type="http://schemas.openxmlformats.org/officeDocument/2006/relationships/hyperlink" Target="https://dym.asia/services/new-graduates/development-training/" TargetMode="External" Id="rId1042"/><Relationship Type="http://schemas.openxmlformats.org/officeDocument/2006/relationships/hyperlink" Target="https://dym.asia/media/real-estate-sale-agent-cost/" TargetMode="External" Id="rId1043"/><Relationship Type="http://schemas.openxmlformats.org/officeDocument/2006/relationships/hyperlink" Target="https://dym.asia/services/new-business/relocation/" TargetMode="External" Id="rId1044"/><Relationship Type="http://schemas.openxmlformats.org/officeDocument/2006/relationships/hyperlink" Target="https://dym.asia/services/new-business/relocation/" TargetMode="External" Id="rId1045"/><Relationship Type="http://schemas.openxmlformats.org/officeDocument/2006/relationships/hyperlink" Target="https://dym.asia/media/receptionist-parttime-job/" TargetMode="External" Id="rId1046"/><Relationship Type="http://schemas.openxmlformats.org/officeDocument/2006/relationships/hyperlink" Target="https://dymtech.jp/2859/?_gl=1*ws03uj*_ga*MTI1MjE5NTY3My4xNzU2NDMyNTY0*_ga_ZXCZZJJ72V*czE3Njg5NTc1NTAkbzI3JGcxJHQxNzY4OTU5MTcxJGoxNiRsMCRoMA.." TargetMode="External" Id="rId1047"/><Relationship Type="http://schemas.openxmlformats.org/officeDocument/2006/relationships/hyperlink" Target="https://dym.asia/services/hr-tech/kyujinbox/" TargetMode="External" Id="rId1048"/><Relationship Type="http://schemas.openxmlformats.org/officeDocument/2006/relationships/hyperlink" Target="https://dym.asia/media/recruitment-consulting-guide/" TargetMode="External" Id="rId1049"/><Relationship Type="http://schemas.openxmlformats.org/officeDocument/2006/relationships/hyperlink" Target="https://dym.asia/services/hr-tech/indeed/" TargetMode="External" Id="rId1050"/><Relationship Type="http://schemas.openxmlformats.org/officeDocument/2006/relationships/hyperlink" Target="https://dym.asia/services/hr-tech/indeed/" TargetMode="External" Id="rId1051"/><Relationship Type="http://schemas.openxmlformats.org/officeDocument/2006/relationships/hyperlink" Target="https://dym.asia/media/recruitment-instagram/" TargetMode="External" Id="rId1052"/><Relationship Type="http://schemas.openxmlformats.org/officeDocument/2006/relationships/hyperlink" Target="https://dym.asia/services/web-promotion/sns-consulting/" TargetMode="External" Id="rId1053"/><Relationship Type="http://schemas.openxmlformats.org/officeDocument/2006/relationships/hyperlink" Target="https://dym.asia/services/web-promotion/sns-consulting/" TargetMode="External" Id="rId1054"/><Relationship Type="http://schemas.openxmlformats.org/officeDocument/2006/relationships/hyperlink" Target="https://dym.asia/media/resource/" TargetMode="External" Id="rId1055"/><Relationship Type="http://schemas.openxmlformats.org/officeDocument/2006/relationships/hyperlink" Target="https://dym.asia/services/hr-tech/office-work-outsourcing/" TargetMode="External" Id="rId1056"/><Relationship Type="http://schemas.openxmlformats.org/officeDocument/2006/relationships/hyperlink" Target="https://dym.asia/services/hr-tech/" TargetMode="External" Id="rId1057"/><Relationship Type="http://schemas.openxmlformats.org/officeDocument/2006/relationships/hyperlink" Target="https://dym.asia/media/rumor-control-measures/" TargetMode="External" Id="rId1058"/><Relationship Type="http://schemas.openxmlformats.org/officeDocument/2006/relationships/hyperlink" Target="https://dym.asia/services/web-promotion/sns-ads/" TargetMode="External" Id="rId1059"/><Relationship Type="http://schemas.openxmlformats.org/officeDocument/2006/relationships/hyperlink" Target="https://dym.asia/services/web-promotion/sns-ads/" TargetMode="External" Id="rId1060"/><Relationship Type="http://schemas.openxmlformats.org/officeDocument/2006/relationships/hyperlink" Target="https://dym.asia/media/search-ads/" TargetMode="External" Id="rId1061"/><Relationship Type="http://schemas.openxmlformats.org/officeDocument/2006/relationships/hyperlink" Target="https://dym.asia/services/web-promotion/listing/" TargetMode="External" Id="rId1062"/><Relationship Type="http://schemas.openxmlformats.org/officeDocument/2006/relationships/hyperlink" Target="https://dym.asia/services/web-promotion/listing/" TargetMode="External" Id="rId1063"/><Relationship Type="http://schemas.openxmlformats.org/officeDocument/2006/relationships/hyperlink" Target="https://dym.asia/media/search-keyword/" TargetMode="External" Id="rId1064"/><Relationship Type="http://schemas.openxmlformats.org/officeDocument/2006/relationships/hyperlink" Target="https://dym.asia/services/web-promotion/seo/" TargetMode="External" Id="rId1065"/><Relationship Type="http://schemas.openxmlformats.org/officeDocument/2006/relationships/hyperlink" Target="https://dym.asia/services/web-promotion/seo/" TargetMode="External" Id="rId1066"/><Relationship Type="http://schemas.openxmlformats.org/officeDocument/2006/relationships/hyperlink" Target="https://dym.asia/media/search-within-page/" TargetMode="External" Id="rId1067"/><Relationship Type="http://schemas.openxmlformats.org/officeDocument/2006/relationships/hyperlink" Target="https://dym.asia/services/web-promotion/listing/" TargetMode="External" Id="rId1068"/><Relationship Type="http://schemas.openxmlformats.org/officeDocument/2006/relationships/hyperlink" Target="https://dym.asia/media/second_graduate/" TargetMode="External" Id="rId1069"/><Relationship Type="http://schemas.openxmlformats.org/officeDocument/2006/relationships/hyperlink" Target="https://dym.asia/services/new-graduates/Former-graduate/" TargetMode="External" Id="rId1070"/><Relationship Type="http://schemas.openxmlformats.org/officeDocument/2006/relationships/hyperlink" Target="https://dym.asia/services/new-graduates/Former-graduate/" TargetMode="External" Id="rId1071"/><Relationship Type="http://schemas.openxmlformats.org/officeDocument/2006/relationships/hyperlink" Target="https://dym.asia/media/sem-about/" TargetMode="External" Id="rId1072"/><Relationship Type="http://schemas.openxmlformats.org/officeDocument/2006/relationships/hyperlink" Target="https://dym.asia/services/web-promotion/listing/" TargetMode="External" Id="rId1073"/><Relationship Type="http://schemas.openxmlformats.org/officeDocument/2006/relationships/hyperlink" Target="https://dym.asia/services/web-promotion/seo/backlink/" TargetMode="External" Id="rId1074"/><Relationship Type="http://schemas.openxmlformats.org/officeDocument/2006/relationships/hyperlink" Target="https://dym.asia/media/seminar-attracting-customers/" TargetMode="External" Id="rId1075"/><Relationship Type="http://schemas.openxmlformats.org/officeDocument/2006/relationships/hyperlink" Target="https://dym.asia/services/web-promotion/" TargetMode="External" Id="rId1076"/><Relationship Type="http://schemas.openxmlformats.org/officeDocument/2006/relationships/hyperlink" Target="https://dym.asia/services/web-promotion/" TargetMode="External" Id="rId1077"/><Relationship Type="http://schemas.openxmlformats.org/officeDocument/2006/relationships/hyperlink" Target="https://dym.asia/media/seo-title-number-of-words/" TargetMode="External" Id="rId1078"/><Relationship Type="http://schemas.openxmlformats.org/officeDocument/2006/relationships/hyperlink" Target="https://dym.asia/services/web-promotion/seo/" TargetMode="External" Id="rId1079"/><Relationship Type="http://schemas.openxmlformats.org/officeDocument/2006/relationships/hyperlink" Target="https://dym.asia/services/web-promotion/seo/" TargetMode="External" Id="rId1080"/><Relationship Type="http://schemas.openxmlformats.org/officeDocument/2006/relationships/hyperlink" Target="https://dym.asia/media/ses-mna/" TargetMode="External" Id="rId1081"/><Relationship Type="http://schemas.openxmlformats.org/officeDocument/2006/relationships/hyperlink" Target="https://dym.asia/media/ses-mna/" TargetMode="External" Id="rId1082"/><Relationship Type="http://schemas.openxmlformats.org/officeDocument/2006/relationships/hyperlink" Target="https://dym.asia/services/web-promotion/" TargetMode="External" Id="rId1083"/><Relationship Type="http://schemas.openxmlformats.org/officeDocument/2006/relationships/hyperlink" Target="https://dym.asia/media/shoulder-botox/" TargetMode="External" Id="rId1084"/><Relationship Type="http://schemas.openxmlformats.org/officeDocument/2006/relationships/hyperlink" Target="https://dym.asia/services/medicine/" TargetMode="External" Id="rId1085"/><Relationship Type="http://schemas.openxmlformats.org/officeDocument/2006/relationships/hyperlink" Target="https://dym.asia/services/medicine/" TargetMode="External" Id="rId1086"/><Relationship Type="http://schemas.openxmlformats.org/officeDocument/2006/relationships/hyperlink" Target="https://dym.asia/media/site-create-company/" TargetMode="External" Id="rId1087"/><Relationship Type="http://schemas.openxmlformats.org/officeDocument/2006/relationships/hyperlink" Target="https://dym.asia/services/web-promotion/production-operation/" TargetMode="External" Id="rId1088"/><Relationship Type="http://schemas.openxmlformats.org/officeDocument/2006/relationships/hyperlink" Target="https://dym.asia/services/web-promotion/production-operation/" TargetMode="External" Id="rId1089"/><Relationship Type="http://schemas.openxmlformats.org/officeDocument/2006/relationships/hyperlink" Target="https://dym.asia/media/site-create-hearing/" TargetMode="External" Id="rId1090"/><Relationship Type="http://schemas.openxmlformats.org/officeDocument/2006/relationships/hyperlink" Target="https://dym.asia/services/web-promotion/production-operation/" TargetMode="External" Id="rId1091"/><Relationship Type="http://schemas.openxmlformats.org/officeDocument/2006/relationships/hyperlink" Target="https://dym.asia/services/web-promotion/production-operation/" TargetMode="External" Id="rId1092"/><Relationship Type="http://schemas.openxmlformats.org/officeDocument/2006/relationships/hyperlink" Target="https://dym.asia/media/sns-ad-example/" TargetMode="External" Id="rId1093"/><Relationship Type="http://schemas.openxmlformats.org/officeDocument/2006/relationships/hyperlink" Target="https://dym.asia/services/web-promotion/sns-ads/" TargetMode="External" Id="rId1094"/><Relationship Type="http://schemas.openxmlformats.org/officeDocument/2006/relationships/hyperlink" Target="https://dym.asia/services/web-promotion/sns-ads/" TargetMode="External" Id="rId1095"/><Relationship Type="http://schemas.openxmlformats.org/officeDocument/2006/relationships/hyperlink" Target="https://dym.asia/media/sns-ad-type/" TargetMode="External" Id="rId1096"/><Relationship Type="http://schemas.openxmlformats.org/officeDocument/2006/relationships/hyperlink" Target="https://dym.asia/media/sns-ad-type/" TargetMode="External" Id="rId1097"/><Relationship Type="http://schemas.openxmlformats.org/officeDocument/2006/relationships/hyperlink" Target="https://dym.asia/services/web-promotion/sns-ads/" TargetMode="External" Id="rId1098"/><Relationship Type="http://schemas.openxmlformats.org/officeDocument/2006/relationships/hyperlink" Target="https://dym.asia/media/sns-company/" TargetMode="External" Id="rId1099"/><Relationship Type="http://schemas.openxmlformats.org/officeDocument/2006/relationships/hyperlink" Target="https://dym.asia/services/web-promotion/sns-consulting/" TargetMode="External" Id="rId1100"/><Relationship Type="http://schemas.openxmlformats.org/officeDocument/2006/relationships/hyperlink" Target="https://dym.asia/services/web-promotion/sns-consulting/" TargetMode="External" Id="rId1101"/><Relationship Type="http://schemas.openxmlformats.org/officeDocument/2006/relationships/hyperlink" Target="https://dym.asia/media/sns-operation-freerance-market/" TargetMode="External" Id="rId1102"/><Relationship Type="http://schemas.openxmlformats.org/officeDocument/2006/relationships/hyperlink" Target="https://dym.asia/services/web-promotion/sns-consulting/" TargetMode="External" Id="rId1103"/><Relationship Type="http://schemas.openxmlformats.org/officeDocument/2006/relationships/hyperlink" Target="https://dym.asia/services/web-promotion/sns-consulting/" TargetMode="External" Id="rId1104"/><Relationship Type="http://schemas.openxmlformats.org/officeDocument/2006/relationships/hyperlink" Target="https://dym.asia/media/sports-sponsorship/" TargetMode="External" Id="rId1105"/><Relationship Type="http://schemas.openxmlformats.org/officeDocument/2006/relationships/hyperlink" Target="https://dym.asia/services/sports/" TargetMode="External" Id="rId1106"/><Relationship Type="http://schemas.openxmlformats.org/officeDocument/2006/relationships/hyperlink" Target="https://dym.asia/services/sports/" TargetMode="External" Id="rId1107"/><Relationship Type="http://schemas.openxmlformats.org/officeDocument/2006/relationships/hyperlink" Target="https://dym.asia/media/staff-shortage/" TargetMode="External" Id="rId1108"/><Relationship Type="http://schemas.openxmlformats.org/officeDocument/2006/relationships/hyperlink" Target="https://dym.asia/services/hr-tech/office-work-outsourcing/" TargetMode="External" Id="rId1109"/><Relationship Type="http://schemas.openxmlformats.org/officeDocument/2006/relationships/hyperlink" Target="https://dym.asia/services/hr-tech/office-work-outsourcing/" TargetMode="External" Id="rId1110"/><Relationship Type="http://schemas.openxmlformats.org/officeDocument/2006/relationships/hyperlink" Target="https://dym.asia/media/standby-how-to-use/" TargetMode="External" Id="rId1111"/><Relationship Type="http://schemas.openxmlformats.org/officeDocument/2006/relationships/hyperlink" Target="https://dym.asia/services/hr-tech/stanby-kyujinbox/" TargetMode="External" Id="rId1112"/><Relationship Type="http://schemas.openxmlformats.org/officeDocument/2006/relationships/hyperlink" Target="https://dym.asia/services/hr-tech/stanby-kyujinbox/" TargetMode="External" Id="rId1113"/><Relationship Type="http://schemas.openxmlformats.org/officeDocument/2006/relationships/hyperlink" Target="https://dym.asia/media/standby/" TargetMode="External" Id="rId1114"/><Relationship Type="http://schemas.openxmlformats.org/officeDocument/2006/relationships/hyperlink" Target="https://dym.asia/services/hr-tech/stanby-kyujinbox/" TargetMode="External" Id="rId1115"/><Relationship Type="http://schemas.openxmlformats.org/officeDocument/2006/relationships/hyperlink" Target="https://dym.asia/services/hr-tech/stanby-kyujinbox/" TargetMode="External" Id="rId1116"/><Relationship Type="http://schemas.openxmlformats.org/officeDocument/2006/relationships/hyperlink" Target="https://dym.asia/media/standby_agency/" TargetMode="External" Id="rId1117"/><Relationship Type="http://schemas.openxmlformats.org/officeDocument/2006/relationships/hyperlink" Target="https://dym.asia/services/hr-tech/stanby-kyujinbox/" TargetMode="External" Id="rId1118"/><Relationship Type="http://schemas.openxmlformats.org/officeDocument/2006/relationships/hyperlink" Target="https://dym.asia/services/hr-tech/stanby-kyujinbox/" TargetMode="External" Id="rId1119"/><Relationship Type="http://schemas.openxmlformats.org/officeDocument/2006/relationships/hyperlink" Target="https://dym.asia/media/stock-transfer/" TargetMode="External" Id="rId1120"/><Relationship Type="http://schemas.openxmlformats.org/officeDocument/2006/relationships/hyperlink" Target="https://dym.asia/services/m&amp;a/consulting/" TargetMode="External" Id="rId1121"/><Relationship Type="http://schemas.openxmlformats.org/officeDocument/2006/relationships/hyperlink" Target="https://dym.asia/services/m&amp;a/consulting/" TargetMode="External" Id="rId1122"/><Relationship Type="http://schemas.openxmlformats.org/officeDocument/2006/relationships/hyperlink" Target="https://dym.asia/media/stp-analysis/" TargetMode="External" Id="rId1123"/><Relationship Type="http://schemas.openxmlformats.org/officeDocument/2006/relationships/hyperlink" Target="https://dym.asia/media/stp-analysis/" TargetMode="External" Id="rId1124"/><Relationship Type="http://schemas.openxmlformats.org/officeDocument/2006/relationships/hyperlink" Target="https://dym.asia/services/web-promotion/" TargetMode="External" Id="rId1125"/><Relationship Type="http://schemas.openxmlformats.org/officeDocument/2006/relationships/hyperlink" Target="https://dym.asia/media/sub-domain/" TargetMode="External" Id="rId1126"/><Relationship Type="http://schemas.openxmlformats.org/officeDocument/2006/relationships/hyperlink" Target="https://dym.asia/services/web-promotion/production-operation/" TargetMode="External" Id="rId1127"/><Relationship Type="http://schemas.openxmlformats.org/officeDocument/2006/relationships/hyperlink" Target="https://dym.asia/services/web-promotion/production-operation/" TargetMode="External" Id="rId1128"/><Relationship Type="http://schemas.openxmlformats.org/officeDocument/2006/relationships/hyperlink" Target="https://dym.asia/media/suggest-leyword/" TargetMode="External" Id="rId1129"/><Relationship Type="http://schemas.openxmlformats.org/officeDocument/2006/relationships/hyperlink" Target="https://dym.asia/services/web-promotion/seo/" TargetMode="External" Id="rId1130"/><Relationship Type="http://schemas.openxmlformats.org/officeDocument/2006/relationships/hyperlink" Target="https://dym.asia/services/web-promotion/seo/" TargetMode="External" Id="rId1131"/><Relationship Type="http://schemas.openxmlformats.org/officeDocument/2006/relationships/hyperlink" Target="https://dym.asia/media/swot-analysis/" TargetMode="External" Id="rId1132"/><Relationship Type="http://schemas.openxmlformats.org/officeDocument/2006/relationships/hyperlink" Target="https://dym.asia/services/web-promotion/" TargetMode="External" Id="rId1133"/><Relationship Type="http://schemas.openxmlformats.org/officeDocument/2006/relationships/hyperlink" Target="https://dym.asia/services/web-promotion/" TargetMode="External" Id="rId1134"/><Relationship Type="http://schemas.openxmlformats.org/officeDocument/2006/relationships/hyperlink" Target="https://dym.asia/media/talent-appoint/" TargetMode="External" Id="rId1135"/><Relationship Type="http://schemas.openxmlformats.org/officeDocument/2006/relationships/hyperlink" Target="https://dym.asia/services/web-promotion/talents-share/" TargetMode="External" Id="rId1136"/><Relationship Type="http://schemas.openxmlformats.org/officeDocument/2006/relationships/hyperlink" Target="https://dym.asia/services/web-promotion/talents-share/" TargetMode="External" Id="rId1137"/><Relationship Type="http://schemas.openxmlformats.org/officeDocument/2006/relationships/hyperlink" Target="https://dym.asia/media/targeting-ad/" TargetMode="External" Id="rId1138"/><Relationship Type="http://schemas.openxmlformats.org/officeDocument/2006/relationships/hyperlink" Target="https://dym.asia/services/web-promotion/sns-ads/" TargetMode="External" Id="rId1139"/><Relationship Type="http://schemas.openxmlformats.org/officeDocument/2006/relationships/hyperlink" Target="https://dym.asia/services/web-promotion/sns-ads/" TargetMode="External" Id="rId1140"/><Relationship Type="http://schemas.openxmlformats.org/officeDocument/2006/relationships/hyperlink" Target="https://dym.asia/media/tele-marketng/" TargetMode="External" Id="rId1141"/><Relationship Type="http://schemas.openxmlformats.org/officeDocument/2006/relationships/hyperlink" Target="https://dym.asia/services/hr-tech/" TargetMode="External" Id="rId1142"/><Relationship Type="http://schemas.openxmlformats.org/officeDocument/2006/relationships/hyperlink" Target="https://dym.asia/services/hr-tech/" TargetMode="External" Id="rId1143"/><Relationship Type="http://schemas.openxmlformats.org/officeDocument/2006/relationships/hyperlink" Target="https://dym.asia/media/telephone-appoint/" TargetMode="External" Id="rId1144"/><Relationship Type="http://schemas.openxmlformats.org/officeDocument/2006/relationships/hyperlink" Target="https://dym.asia/services/web-promotion/" TargetMode="External" Id="rId1145"/><Relationship Type="http://schemas.openxmlformats.org/officeDocument/2006/relationships/hyperlink" Target="https://dym.asia/services/web-promotion/" TargetMode="External" Id="rId1146"/><Relationship Type="http://schemas.openxmlformats.org/officeDocument/2006/relationships/hyperlink" Target="https://dym.asia/media/the-model/" TargetMode="External" Id="rId1147"/><Relationship Type="http://schemas.openxmlformats.org/officeDocument/2006/relationships/hyperlink" Target="https://dym.asia/services/web-promotion/" TargetMode="External" Id="rId1148"/><Relationship Type="http://schemas.openxmlformats.org/officeDocument/2006/relationships/hyperlink" Target="https://dym.asia/services/web-promotion/" TargetMode="External" Id="rId1149"/><Relationship Type="http://schemas.openxmlformats.org/officeDocument/2006/relationships/hyperlink" Target="https://dym.asia/media/tiktok-ad-cost/" TargetMode="External" Id="rId1150"/><Relationship Type="http://schemas.openxmlformats.org/officeDocument/2006/relationships/hyperlink" Target="https://dym.asia/services/web-promotion/sns-ads/" TargetMode="External" Id="rId1151"/><Relationship Type="http://schemas.openxmlformats.org/officeDocument/2006/relationships/hyperlink" Target="https://dym.asia/services/web-promotion/sns-ads/" TargetMode="External" Id="rId1152"/><Relationship Type="http://schemas.openxmlformats.org/officeDocument/2006/relationships/hyperlink" Target="https://dym.asia/media/tiktok_advertisement/" TargetMode="External" Id="rId1153"/><Relationship Type="http://schemas.openxmlformats.org/officeDocument/2006/relationships/hyperlink" Target="https://dym.asia/services/web-promotion/sns-ads/" TargetMode="External" Id="rId1154"/><Relationship Type="http://schemas.openxmlformats.org/officeDocument/2006/relationships/hyperlink" Target="https://dym.asia/services/web-promotion/sns-ads/" TargetMode="External" Id="rId1155"/><Relationship Type="http://schemas.openxmlformats.org/officeDocument/2006/relationships/hyperlink" Target="https://dym.asia/media/tob/" TargetMode="External" Id="rId1156"/><Relationship Type="http://schemas.openxmlformats.org/officeDocument/2006/relationships/hyperlink" Target="https://dym.asia/services/m&amp;a/consulting/" TargetMode="External" Id="rId1157"/><Relationship Type="http://schemas.openxmlformats.org/officeDocument/2006/relationships/hyperlink" Target="https://dym.asia/services/m&amp;a/consulting/" TargetMode="External" Id="rId1158"/><Relationship Type="http://schemas.openxmlformats.org/officeDocument/2006/relationships/hyperlink" Target="https://dym.asia/media/twitter_x_advertisement/" TargetMode="External" Id="rId1159"/><Relationship Type="http://schemas.openxmlformats.org/officeDocument/2006/relationships/hyperlink" Target="https://dym.asia/services/web-promotion/sns-ads/" TargetMode="External" Id="rId1160"/><Relationship Type="http://schemas.openxmlformats.org/officeDocument/2006/relationships/hyperlink" Target="https://dym.asia/services/m&amp;a/consulting/" TargetMode="External" Id="rId1161"/><Relationship Type="http://schemas.openxmlformats.org/officeDocument/2006/relationships/hyperlink" Target="https://dym.asia/media/web-ads/" TargetMode="External" Id="rId1162"/><Relationship Type="http://schemas.openxmlformats.org/officeDocument/2006/relationships/hyperlink" Target="https://dym.asia/services/web-promotion/" TargetMode="External" Id="rId1163"/><Relationship Type="http://schemas.openxmlformats.org/officeDocument/2006/relationships/hyperlink" Target="https://dym.asia/services/web-promotion/" TargetMode="External" Id="rId1164"/><Relationship Type="http://schemas.openxmlformats.org/officeDocument/2006/relationships/hyperlink" Target="https://dym.asia/media/web-marketing/" TargetMode="External" Id="rId1165"/><Relationship Type="http://schemas.openxmlformats.org/officeDocument/2006/relationships/hyperlink" Target="https://dym.asia/services/web-promotion/" TargetMode="External" Id="rId1166"/><Relationship Type="http://schemas.openxmlformats.org/officeDocument/2006/relationships/hyperlink" Target="https://dym.asia/services/web-promotion/" TargetMode="External" Id="rId1167"/><Relationship Type="http://schemas.openxmlformats.org/officeDocument/2006/relationships/hyperlink" Target="https://dym.asia/media/web-site-production-cost-account-item/" TargetMode="External" Id="rId1168"/><Relationship Type="http://schemas.openxmlformats.org/officeDocument/2006/relationships/hyperlink" Target="https://dym.asia/services/web-promotion/" TargetMode="External" Id="rId1169"/><Relationship Type="http://schemas.openxmlformats.org/officeDocument/2006/relationships/hyperlink" Target="https://dym.asia/services/web-promotion/" TargetMode="External" Id="rId1170"/><Relationship Type="http://schemas.openxmlformats.org/officeDocument/2006/relationships/hyperlink" Target="https://dym.asia/media/webinar/" TargetMode="External" Id="rId1171"/><Relationship Type="http://schemas.openxmlformats.org/officeDocument/2006/relationships/hyperlink" Target="https://dym.asia/services/web-promotion/production-operation/" TargetMode="External" Id="rId1172"/><Relationship Type="http://schemas.openxmlformats.org/officeDocument/2006/relationships/hyperlink" Target="https://dym.asia/services/web-promotion/production-operation/" TargetMode="External" Id="rId1173"/><Relationship Type="http://schemas.openxmlformats.org/officeDocument/2006/relationships/hyperlink" Target="https://dym.asia/media/welfare-operation/" TargetMode="External" Id="rId1174"/><Relationship Type="http://schemas.openxmlformats.org/officeDocument/2006/relationships/hyperlink" Target="https://dym.asia/services/new-graduates/welfare/" TargetMode="External" Id="rId1175"/><Relationship Type="http://schemas.openxmlformats.org/officeDocument/2006/relationships/hyperlink" Target="https://dym.asia/services/new-graduates/welfare/" TargetMode="External" Id="rId1176"/><Relationship Type="http://schemas.openxmlformats.org/officeDocument/2006/relationships/hyperlink" Target="https://dym.asia/media/welfare_benefits_outsourcing/" TargetMode="External" Id="rId1177"/><Relationship Type="http://schemas.openxmlformats.org/officeDocument/2006/relationships/hyperlink" Target="https://dym.asia/services/new-graduates/welfare/" TargetMode="External" Id="rId1178"/><Relationship Type="http://schemas.openxmlformats.org/officeDocument/2006/relationships/hyperlink" Target="https://dym.asia/services/new-graduates/welfare/" TargetMode="External" Id="rId1179"/><Relationship Type="http://schemas.openxmlformats.org/officeDocument/2006/relationships/hyperlink" Target="https://dym.asia/media/what-is-dns/" TargetMode="External" Id="rId1180"/><Relationship Type="http://schemas.openxmlformats.org/officeDocument/2006/relationships/hyperlink" Target="https://dym.asia/services/web-promotion/production-operation/" TargetMode="External" Id="rId1181"/><Relationship Type="http://schemas.openxmlformats.org/officeDocument/2006/relationships/hyperlink" Target="https://dym.asia/services/web-promotion/production-operation/" TargetMode="External" Id="rId1182"/><Relationship Type="http://schemas.openxmlformats.org/officeDocument/2006/relationships/hyperlink" Target="https://dym.asia/media/what-is-seo/" TargetMode="External" Id="rId1183"/><Relationship Type="http://schemas.openxmlformats.org/officeDocument/2006/relationships/hyperlink" Target="https://dym.asia/services/web-promotion/seo/" TargetMode="External" Id="rId1184"/><Relationship Type="http://schemas.openxmlformats.org/officeDocument/2006/relationships/hyperlink" Target="https://dym.asia/services/web-promotion/seo/" TargetMode="External" Id="rId1185"/><Relationship Type="http://schemas.openxmlformats.org/officeDocument/2006/relationships/hyperlink" Target="https://dym.asia/media/with-disabilities-farming/" TargetMode="External" Id="rId1186"/><Relationship Type="http://schemas.openxmlformats.org/officeDocument/2006/relationships/hyperlink" Target="https://dym.asia/services/new-graduates/with-disabilities/" TargetMode="External" Id="rId1187"/><Relationship Type="http://schemas.openxmlformats.org/officeDocument/2006/relationships/hyperlink" Target="https://dym.asia/services/new-graduates/with-disabilities/" TargetMode="External" Id="rId1188"/><Relationship Type="http://schemas.openxmlformats.org/officeDocument/2006/relationships/hyperlink" Target="https://dym.asia/media/with-disabilities-recruitment-trial/" TargetMode="External" Id="rId1189"/><Relationship Type="http://schemas.openxmlformats.org/officeDocument/2006/relationships/hyperlink" Target="https://dym.asia/services/new-graduates/with-disabilities/" TargetMode="External" Id="rId1190"/><Relationship Type="http://schemas.openxmlformats.org/officeDocument/2006/relationships/hyperlink" Target="https://dym.asia/services/new-graduates/with-disabilities/" TargetMode="External" Id="rId1191"/><Relationship Type="http://schemas.openxmlformats.org/officeDocument/2006/relationships/hyperlink" Target="https://dym.asia/media/work-style-reform/" TargetMode="External" Id="rId1192"/><Relationship Type="http://schemas.openxmlformats.org/officeDocument/2006/relationships/hyperlink" Target="https://dym.asia/services/new-graduates/" TargetMode="External" Id="rId1193"/><Relationship Type="http://schemas.openxmlformats.org/officeDocument/2006/relationships/hyperlink" Target="https://dym.asia/services/new-graduates/" TargetMode="External" Id="rId1194"/><Relationship Type="http://schemas.openxmlformats.org/officeDocument/2006/relationships/hyperlink" Target="https://dym.asia/media/working-person-education/" TargetMode="External" Id="rId1195"/><Relationship Type="http://schemas.openxmlformats.org/officeDocument/2006/relationships/hyperlink" Target="https://dym.asia/services/new-graduates/development-training/" TargetMode="External" Id="rId1196"/><Relationship Type="http://schemas.openxmlformats.org/officeDocument/2006/relationships/hyperlink" Target="https://dym.asia/media/x-ad/" TargetMode="External" Id="rId1197"/><Relationship Type="http://schemas.openxmlformats.org/officeDocument/2006/relationships/hyperlink" Target="https://dym.asia/services/web-promotion/sns-ads/" TargetMode="External" Id="rId1198"/><Relationship Type="http://schemas.openxmlformats.org/officeDocument/2006/relationships/hyperlink" Target="https://dym.asia/services/web-promotion/sns-ads/" TargetMode="External" Id="rId1199"/><Relationship Type="http://schemas.openxmlformats.org/officeDocument/2006/relationships/hyperlink" Target="https://dym.asia/media/x-operation/" TargetMode="External" Id="rId1200"/><Relationship Type="http://schemas.openxmlformats.org/officeDocument/2006/relationships/hyperlink" Target="https://dym.asia/services/web-promotion/sns-consulting/" TargetMode="External" Id="rId1201"/><Relationship Type="http://schemas.openxmlformats.org/officeDocument/2006/relationships/hyperlink" Target="https://dym.asia/services/web-promotion/sns-consulting/" TargetMode="External" Id="rId1202"/><Relationship Type="http://schemas.openxmlformats.org/officeDocument/2006/relationships/hyperlink" Target="https://dym.asia/media/yahoo-ad-cost/" TargetMode="External" Id="rId1203"/><Relationship Type="http://schemas.openxmlformats.org/officeDocument/2006/relationships/hyperlink" Target="https://dym.asia/services/web-promotion/listing/" TargetMode="External" Id="rId1204"/><Relationship Type="http://schemas.openxmlformats.org/officeDocument/2006/relationships/hyperlink" Target="https://dym.asia/services/web-promotion/listing/" TargetMode="External" Id="rId1205"/><Relationship Type="http://schemas.openxmlformats.org/officeDocument/2006/relationships/hyperlink" Target="https://dym.asia/media/yahoo_advertisement/" TargetMode="External" Id="rId1206"/><Relationship Type="http://schemas.openxmlformats.org/officeDocument/2006/relationships/hyperlink" Target="https://dym.asia/services/web-promotion/listing/" TargetMode="External" Id="rId1207"/><Relationship Type="http://schemas.openxmlformats.org/officeDocument/2006/relationships/hyperlink" Target="https://dym.asia/services/web-promotion/listing/" TargetMode="External" Id="rId1208"/><Relationship Type="http://schemas.openxmlformats.org/officeDocument/2006/relationships/hyperlink" Target="https://dym.asia/media/yda-yahoo-display-ads/" TargetMode="External" Id="rId1209"/><Relationship Type="http://schemas.openxmlformats.org/officeDocument/2006/relationships/hyperlink" Target="https://dym.asia/services/web-promotion/" TargetMode="External" Id="rId1210"/><Relationship Type="http://schemas.openxmlformats.org/officeDocument/2006/relationships/hyperlink" Target="https://dym.asia/services/web-promotion/" TargetMode="External" Id="rId1211"/><Relationship Type="http://schemas.openxmlformats.org/officeDocument/2006/relationships/hyperlink" Target="https://dym.asia/media/36-agreements/" TargetMode="External" Id="rId1212"/><Relationship Type="http://schemas.openxmlformats.org/officeDocument/2006/relationships/hyperlink" Target="https://dym.asia/services/new-graduates/" TargetMode="External" Id="rId1213"/><Relationship Type="http://schemas.openxmlformats.org/officeDocument/2006/relationships/hyperlink" Target="https://dym.asia/services/new-graduates/" TargetMode="External" Id="rId1214"/><Relationship Type="http://schemas.openxmlformats.org/officeDocument/2006/relationships/hyperlink" Target="https://dym.asia/media/3c-analysis/" TargetMode="External" Id="rId1215"/><Relationship Type="http://schemas.openxmlformats.org/officeDocument/2006/relationships/hyperlink" Target="https://dym.asia/services/" TargetMode="External" Id="rId1216"/><Relationship Type="http://schemas.openxmlformats.org/officeDocument/2006/relationships/hyperlink" Target="https://dym.asia/services/web-promotion/" TargetMode="External" Id="rId1217"/><Relationship Type="http://schemas.openxmlformats.org/officeDocument/2006/relationships/hyperlink" Target="https://dym.asia/media/4p-analysis/" TargetMode="External" Id="rId1218"/><Relationship Type="http://schemas.openxmlformats.org/officeDocument/2006/relationships/hyperlink" Target="https://dym.asia/services/" TargetMode="External" Id="rId1219"/><Relationship Type="http://schemas.openxmlformats.org/officeDocument/2006/relationships/hyperlink" Target="https://dym.asia/services/web-promotion/" TargetMode="External" Id="rId1220"/><Relationship Type="http://schemas.openxmlformats.org/officeDocument/2006/relationships/hyperlink" Target="https://dym.asia/media/ab-test/" TargetMode="External" Id="rId1221"/><Relationship Type="http://schemas.openxmlformats.org/officeDocument/2006/relationships/hyperlink" Target="https://dym.asia/services/web-promotion/" TargetMode="External" Id="rId1222"/><Relationship Type="http://schemas.openxmlformats.org/officeDocument/2006/relationships/hyperlink" Target="https://dym.asia/services/web-promotion/" TargetMode="External" Id="rId1223"/><Relationship Type="http://schemas.openxmlformats.org/officeDocument/2006/relationships/hyperlink" Target="https://dym.asia/media/abm/" TargetMode="External" Id="rId1224"/><Relationship Type="http://schemas.openxmlformats.org/officeDocument/2006/relationships/hyperlink" Target="https://dym.asia/services/web-promotion/" TargetMode="External" Id="rId1225"/><Relationship Type="http://schemas.openxmlformats.org/officeDocument/2006/relationships/hyperlink" Target="https://dym.asia/services/web-promotion/" TargetMode="External" Id="rId1226"/><Relationship Type="http://schemas.openxmlformats.org/officeDocument/2006/relationships/hyperlink" Target="https://dym.asia/media/accessibility/" TargetMode="External" Id="rId1227"/><Relationship Type="http://schemas.openxmlformats.org/officeDocument/2006/relationships/hyperlink" Target="https://dym.asia/services/web-promotion/" TargetMode="External" Id="rId1228"/><Relationship Type="http://schemas.openxmlformats.org/officeDocument/2006/relationships/hyperlink" Target="https://dym.asia/services/web-promotion/" TargetMode="External" Id="rId1229"/><Relationship Type="http://schemas.openxmlformats.org/officeDocument/2006/relationships/hyperlink" Target="https://dym.asia/media/accounting-services/" TargetMode="External" Id="rId1230"/><Relationship Type="http://schemas.openxmlformats.org/officeDocument/2006/relationships/hyperlink" Target="https://dym.asia/media/accounting-services/" TargetMode="External" Id="rId1231"/><Relationship Type="http://schemas.openxmlformats.org/officeDocument/2006/relationships/hyperlink" Target="https://dym.asia/services/hr-tech/" TargetMode="External" Id="rId1232"/><Relationship Type="http://schemas.openxmlformats.org/officeDocument/2006/relationships/hyperlink" Target="https://dym.asia/media/ad-ope-outsourcing/" TargetMode="External" Id="rId1233"/><Relationship Type="http://schemas.openxmlformats.org/officeDocument/2006/relationships/hyperlink" Target="https://dym.asia/services/new-graduates/dym-tech/" TargetMode="External" Id="rId1234"/><Relationship Type="http://schemas.openxmlformats.org/officeDocument/2006/relationships/hyperlink" Target="https://dym.asia/services/new-graduates/dym-tech/" TargetMode="External" Id="rId1235"/><Relationship Type="http://schemas.openxmlformats.org/officeDocument/2006/relationships/hyperlink" Target="https://dym.asia/media/administrative-services/" TargetMode="External" Id="rId1236"/><Relationship Type="http://schemas.openxmlformats.org/officeDocument/2006/relationships/hyperlink" Target="https://dym.asia/services/hr-tech/office-work-outsourcing/" TargetMode="External" Id="rId1237"/><Relationship Type="http://schemas.openxmlformats.org/officeDocument/2006/relationships/hyperlink" Target="https://dym.asia/services/hr-tech/office-work-outsourcing/" TargetMode="External" Id="rId1238"/><Relationship Type="http://schemas.openxmlformats.org/officeDocument/2006/relationships/hyperlink" Target="https://dym.asia/media/ads-type/" TargetMode="External" Id="rId1239"/><Relationship Type="http://schemas.openxmlformats.org/officeDocument/2006/relationships/hyperlink" Target="https://dym.asia/services/web-promotion/" TargetMode="External" Id="rId1240"/><Relationship Type="http://schemas.openxmlformats.org/officeDocument/2006/relationships/hyperlink" Target="https://dym.asia/services/web-promotion/" TargetMode="External" Id="rId1241"/><Relationship Type="http://schemas.openxmlformats.org/officeDocument/2006/relationships/hyperlink" Target="https://dym.asia/media/advertising-agency-mna/" TargetMode="External" Id="rId1242"/><Relationship Type="http://schemas.openxmlformats.org/officeDocument/2006/relationships/hyperlink" Target="https://dym.asia/services/m&amp;a/consulting/" TargetMode="External" Id="rId1243"/><Relationship Type="http://schemas.openxmlformats.org/officeDocument/2006/relationships/hyperlink" Target="https://dym.asia/services/m&amp;a/consulting/" TargetMode="External" Id="rId1244"/><Relationship Type="http://schemas.openxmlformats.org/officeDocument/2006/relationships/hyperlink" Target="https://dym.asia/media/affiliate-ads/" TargetMode="External" Id="rId1245"/><Relationship Type="http://schemas.openxmlformats.org/officeDocument/2006/relationships/hyperlink" Target="https://dym.asia/services/web-promotion/affiliate/" TargetMode="External" Id="rId1246"/><Relationship Type="http://schemas.openxmlformats.org/officeDocument/2006/relationships/hyperlink" Target="https://dym.asia/services/web-promotion/affiliate/" TargetMode="External" Id="rId1247"/><Relationship Type="http://schemas.openxmlformats.org/officeDocument/2006/relationships/hyperlink" Target="https://dym.asia/media/aggregation-site/" TargetMode="External" Id="rId1248"/><Relationship Type="http://schemas.openxmlformats.org/officeDocument/2006/relationships/hyperlink" Target="https://dym.asia/services/new-graduates/Former-graduate/" TargetMode="External" Id="rId1249"/><Relationship Type="http://schemas.openxmlformats.org/officeDocument/2006/relationships/hyperlink" Target="https://dym.asia/services/hr-tech/" TargetMode="External" Id="rId1250"/><Relationship Type="http://schemas.openxmlformats.org/officeDocument/2006/relationships/hyperlink" Target="https://dym.asia/media/aisas/" TargetMode="External" Id="rId1251"/><Relationship Type="http://schemas.openxmlformats.org/officeDocument/2006/relationships/hyperlink" Target="https://dym.asia/services/web-promotion/" TargetMode="External" Id="rId1252"/><Relationship Type="http://schemas.openxmlformats.org/officeDocument/2006/relationships/hyperlink" Target="https://dym.asia/services/web-promotion/" TargetMode="External" Id="rId1253"/><Relationship Type="http://schemas.openxmlformats.org/officeDocument/2006/relationships/hyperlink" Target="https://dym.asia/media/alliance/" TargetMode="External" Id="rId1254"/><Relationship Type="http://schemas.openxmlformats.org/officeDocument/2006/relationships/hyperlink" Target="https://dym.asia/services/m&amp;a/consulting/" TargetMode="External" Id="rId1255"/><Relationship Type="http://schemas.openxmlformats.org/officeDocument/2006/relationships/hyperlink" Target="https://dym.asia/services/m&amp;a/consulting/" TargetMode="External" Id="rId1256"/><Relationship Type="http://schemas.openxmlformats.org/officeDocument/2006/relationships/hyperlink" Target="https://dym.asia/media/alumni-recruitment/" TargetMode="External" Id="rId1257"/><Relationship Type="http://schemas.openxmlformats.org/officeDocument/2006/relationships/hyperlink" Target="https://dym.asia/media/alumni-recruitment/" TargetMode="External" Id="rId1258"/><Relationship Type="http://schemas.openxmlformats.org/officeDocument/2006/relationships/hyperlink" Target="https://dym.asia/services/new-graduates/" TargetMode="External" Id="rId1259"/><Relationship Type="http://schemas.openxmlformats.org/officeDocument/2006/relationships/hyperlink" Target="https://dym.asia/media/alumni/" TargetMode="External" Id="rId1260"/><Relationship Type="http://schemas.openxmlformats.org/officeDocument/2006/relationships/hyperlink" Target="https://dym.asia/services/new-graduates/" TargetMode="External" Id="rId1261"/><Relationship Type="http://schemas.openxmlformats.org/officeDocument/2006/relationships/hyperlink" Target="https://dym.asia/services/new-graduates/" TargetMode="External" Id="rId1262"/><Relationship Type="http://schemas.openxmlformats.org/officeDocument/2006/relationships/hyperlink" Target="https://dym.asia/media/ats/" TargetMode="External" Id="rId1263"/><Relationship Type="http://schemas.openxmlformats.org/officeDocument/2006/relationships/hyperlink" Target="https://dym.asia/services/hr-tech/rakusai/" TargetMode="External" Id="rId1264"/><Relationship Type="http://schemas.openxmlformats.org/officeDocument/2006/relationships/hyperlink" Target="https://dym.asia/services/hr-tech/rakusai/" TargetMode="External" Id="rId1265"/><Relationship Type="http://schemas.openxmlformats.org/officeDocument/2006/relationships/hyperlink" Target="https://dym.asia/media/auditor_introduction/" TargetMode="External" Id="rId1266"/><Relationship Type="http://schemas.openxmlformats.org/officeDocument/2006/relationships/hyperlink" Target="https://dym.asia/services/new-graduates/exe-part/" TargetMode="External" Id="rId1267"/><Relationship Type="http://schemas.openxmlformats.org/officeDocument/2006/relationships/hyperlink" Target="https://dym.asia/services/new-graduates/exe-part/" TargetMode="External" Id="rId1268"/><Relationship Type="http://schemas.openxmlformats.org/officeDocument/2006/relationships/hyperlink" Target="https://dym.asia/media/b-to-b-marketing/" TargetMode="External" Id="rId1269"/><Relationship Type="http://schemas.openxmlformats.org/officeDocument/2006/relationships/hyperlink" Target="https://dym.asia/services/" TargetMode="External" Id="rId1270"/><Relationship Type="http://schemas.openxmlformats.org/officeDocument/2006/relationships/hyperlink" Target="https://dym.asia/media/backlink/" TargetMode="External" Id="rId1271"/><Relationship Type="http://schemas.openxmlformats.org/officeDocument/2006/relationships/hyperlink" Target="https://dym.asia/services/web-promotion/seo/" TargetMode="External" Id="rId1272"/><Relationship Type="http://schemas.openxmlformats.org/officeDocument/2006/relationships/hyperlink" Target="https://dym.asia/services/web-promotion/seo/" TargetMode="External" Id="rId1273"/><Relationship Type="http://schemas.openxmlformats.org/officeDocument/2006/relationships/hyperlink" Target="https://dym.asia/media/bags-under-the-eyes/" TargetMode="External" Id="rId1274"/><Relationship Type="http://schemas.openxmlformats.org/officeDocument/2006/relationships/hyperlink" Target="https://dym.asia/services/medicine/" TargetMode="External" Id="rId1275"/><Relationship Type="http://schemas.openxmlformats.org/officeDocument/2006/relationships/hyperlink" Target="https://dym.asia/services/medicine/" TargetMode="External" Id="rId1276"/><Relationship Type="http://schemas.openxmlformats.org/officeDocument/2006/relationships/hyperlink" Target="https://dym.asia/media/banner-ad/" TargetMode="External" Id="rId1277"/><Relationship Type="http://schemas.openxmlformats.org/officeDocument/2006/relationships/hyperlink" Target="https://dym.asia/services/web-promotion/dsp-native-ads/" TargetMode="External" Id="rId1278"/><Relationship Type="http://schemas.openxmlformats.org/officeDocument/2006/relationships/hyperlink" Target="https://dym.asia/services/web-promotion/dsp-native-ads/" TargetMode="External" Id="rId1279"/><Relationship Type="http://schemas.openxmlformats.org/officeDocument/2006/relationships/hyperlink" Target="https://dym.asia/media/banner_production/" TargetMode="External" Id="rId1280"/><Relationship Type="http://schemas.openxmlformats.org/officeDocument/2006/relationships/hyperlink" Target="https://dym.asia/services/web-promotion/production-operation/" TargetMode="External" Id="rId1281"/><Relationship Type="http://schemas.openxmlformats.org/officeDocument/2006/relationships/hyperlink" Target="https://dym.asia/services/web-promotion/production-operation/" TargetMode="External" Id="rId1282"/><Relationship Type="http://schemas.openxmlformats.org/officeDocument/2006/relationships/hyperlink" Target="https://dym.asia/media/beautiful-skin/" TargetMode="External" Id="rId1283"/><Relationship Type="http://schemas.openxmlformats.org/officeDocument/2006/relationships/hyperlink" Target="https://dym.asia/services/medicine/" TargetMode="External" Id="rId1284"/><Relationship Type="http://schemas.openxmlformats.org/officeDocument/2006/relationships/hyperlink" Target="https://dym.asia/services/medicine/" TargetMode="External" Id="rId1285"/><Relationship Type="http://schemas.openxmlformats.org/officeDocument/2006/relationships/hyperlink" Target="https://dym.asia/media/beauty-clinic-mna/" TargetMode="External" Id="rId1286"/><Relationship Type="http://schemas.openxmlformats.org/officeDocument/2006/relationships/hyperlink" Target="https://dym.asia/services/m&amp;a/consulting/" TargetMode="External" Id="rId1287"/><Relationship Type="http://schemas.openxmlformats.org/officeDocument/2006/relationships/hyperlink" Target="https://dym.asia/services/m&amp;a/consulting/" TargetMode="External" Id="rId1288"/><Relationship Type="http://schemas.openxmlformats.org/officeDocument/2006/relationships/hyperlink" Target="https://dym.asia/media/beauty-clinic-transfer/" TargetMode="External" Id="rId1289"/><Relationship Type="http://schemas.openxmlformats.org/officeDocument/2006/relationships/hyperlink" Target="https://dym.asia/media/thailand-health-insurance/" TargetMode="External" Id="rId1290"/><Relationship Type="http://schemas.openxmlformats.org/officeDocument/2006/relationships/hyperlink" Target="https://dym.asia/services/medicine/thailand-clinic/" TargetMode="External" Id="rId1291"/><Relationship Type="http://schemas.openxmlformats.org/officeDocument/2006/relationships/hyperlink" Target="https://dym.asia/services/medicine/thailand-clinic/" TargetMode="External" Id="rId1292"/><Relationship Type="http://schemas.openxmlformats.org/officeDocument/2006/relationships/hyperlink" Target="https://dym.asia/media/vietnam-hospital-cost/" TargetMode="External" Id="rId1293"/><Relationship Type="http://schemas.openxmlformats.org/officeDocument/2006/relationships/hyperlink" Target="https://dym.asia/services/medicine/vietnam-clinic/" TargetMode="External" Id="rId1294"/><Relationship Type="http://schemas.openxmlformats.org/officeDocument/2006/relationships/hyperlink" Target="https://dym.asia/services/medicine/vietnam-clinic/" TargetMode="External" Id="rId1295"/><Relationship Type="http://schemas.openxmlformats.org/officeDocument/2006/relationships/hyperlink" Target="https://dym.asia/media/thailand_healthcare/" TargetMode="External" Id="rId1296"/><Relationship Type="http://schemas.openxmlformats.org/officeDocument/2006/relationships/hyperlink" Target="https://dym.asia/services/medicine/thailand-clinic/" TargetMode="External" Id="rId1297"/><Relationship Type="http://schemas.openxmlformats.org/officeDocument/2006/relationships/hyperlink" Target="https://dym.asia/services/medicine/thailand-clinic/" TargetMode="External" Id="rId1298"/><Relationship Type="http://schemas.openxmlformats.org/officeDocument/2006/relationships/hyperlink" Target="https://dym.asia/media/hanoi-hospital-japanese/" TargetMode="External" Id="rId1299"/><Relationship Type="http://schemas.openxmlformats.org/officeDocument/2006/relationships/hyperlink" Target="https://dym.asia/services/medicine/vietnam-clinic/" TargetMode="External" Id="rId1300"/><Relationship Type="http://schemas.openxmlformats.org/officeDocument/2006/relationships/hyperlink" Target="https://dym.asia/services/medicine/vietnam-clinic/" TargetMode="External" Id="rId1301"/><Relationship Type="http://schemas.openxmlformats.org/officeDocument/2006/relationships/hyperlink" Target="https://dym.asia/media/vietnam-health-insurance/" TargetMode="External" Id="rId1302"/><Relationship Type="http://schemas.openxmlformats.org/officeDocument/2006/relationships/hyperlink" Target="https://dym.asia/services/medicine/vietnam-clinic/" TargetMode="External" Id="rId1303"/><Relationship Type="http://schemas.openxmlformats.org/officeDocument/2006/relationships/hyperlink" Target="https://dym.asia/services/medicine/vietnam-clinic/" TargetMode="External" Id="rId1304"/><Relationship Type="http://schemas.openxmlformats.org/officeDocument/2006/relationships/hyperlink" Target="https://dym.asia/media/vietnam-insurance/" TargetMode="External" Id="rId1305"/><Relationship Type="http://schemas.openxmlformats.org/officeDocument/2006/relationships/hyperlink" Target="https://dym.asia/services/medicine/vietnam-clinic/" TargetMode="External" Id="rId1306"/><Relationship Type="http://schemas.openxmlformats.org/officeDocument/2006/relationships/hyperlink" Target="https://dym.asia/services/medicine/vietnam-clinic/" TargetMode="External" Id="rId1307"/><Relationship Type="http://schemas.openxmlformats.org/officeDocument/2006/relationships/hyperlink" Target="https://dym.asia/media/america-hospital-cost/" TargetMode="External" Id="rId1308"/><Relationship Type="http://schemas.openxmlformats.org/officeDocument/2006/relationships/hyperlink" Target="https://dym.asia/services/medicine/america-clinic/" TargetMode="External" Id="rId1309"/><Relationship Type="http://schemas.openxmlformats.org/officeDocument/2006/relationships/hyperlink" Target="https://dym.asia/services/medicine/america-clinic/" TargetMode="External" Id="rId1310"/><Relationship Type="http://schemas.openxmlformats.org/officeDocument/2006/relationships/hyperlink" Target="https://dym.asia/media/new-york-hospital-cost/" TargetMode="External" Id="rId1311"/><Relationship Type="http://schemas.openxmlformats.org/officeDocument/2006/relationships/hyperlink" Target="https://dym.asia/services/medicine/america-clinic/" TargetMode="External" Id="rId1312"/><Relationship Type="http://schemas.openxmlformats.org/officeDocument/2006/relationships/hyperlink" Target="https://dym.asia/services/medicine/america-clinic/" TargetMode="External" Id="rId1313"/><Relationship Type="http://schemas.openxmlformats.org/officeDocument/2006/relationships/hyperlink" Target="https://dym.asia/media/vietnam_healthcare/" TargetMode="External" Id="rId1314"/><Relationship Type="http://schemas.openxmlformats.org/officeDocument/2006/relationships/hyperlink" Target="https://dym.asia/services/medicine/vietnam-clinic/" TargetMode="External" Id="rId1315"/><Relationship Type="http://schemas.openxmlformats.org/officeDocument/2006/relationships/hyperlink" Target="https://dym.asia/services/medicine/vietnam-clinic/" TargetMode="External" Id="rId1316"/><Relationship Type="http://schemas.openxmlformats.org/officeDocument/2006/relationships/hyperlink" Target="https://dym.asia/media/america-insurance/" TargetMode="External" Id="rId1317"/><Relationship Type="http://schemas.openxmlformats.org/officeDocument/2006/relationships/hyperlink" Target="https://dym.asia/services/medicine/america-clinic/" TargetMode="External" Id="rId1318"/><Relationship Type="http://schemas.openxmlformats.org/officeDocument/2006/relationships/hyperlink" Target="https://dym.asia/services/medicine/america-clinic/" TargetMode="External" Id="rId1319"/><Relationship Type="http://schemas.openxmlformats.org/officeDocument/2006/relationships/hyperlink" Target="https://dym.asia/media/thailand-vaccine-before-traveling/" TargetMode="External" Id="rId1320"/><Relationship Type="http://schemas.openxmlformats.org/officeDocument/2006/relationships/hyperlink" Target="https://dym.asia/services/medicine/thailand-clinic/" TargetMode="External" Id="rId1321"/><Relationship Type="http://schemas.openxmlformats.org/officeDocument/2006/relationships/hyperlink" Target="https://dym.asia/services/medicine/thailand-clinic/" TargetMode="External" Id="rId1322"/><Relationship Type="http://schemas.openxmlformats.org/officeDocument/2006/relationships/hyperlink" Target="https://dym.asia/media/hongkong-hospital-japanese/" TargetMode="External" Id="rId1323"/><Relationship Type="http://schemas.openxmlformats.org/officeDocument/2006/relationships/hyperlink" Target="https://dym.asia/services/medicine/hongkong/" TargetMode="External" Id="rId1324"/><Relationship Type="http://schemas.openxmlformats.org/officeDocument/2006/relationships/hyperlink" Target="https://dym.asia/services/medicine/hongkong/" TargetMode="External" Id="rId1325"/><Relationship Type="http://schemas.openxmlformats.org/officeDocument/2006/relationships/hyperlink" Target="https://dym.asia/media/hongkong-hospital-cost/" TargetMode="External" Id="rId1326"/><Relationship Type="http://schemas.openxmlformats.org/officeDocument/2006/relationships/hyperlink" Target="https://dym.asia/services/medicine/hongkong/" TargetMode="External" Id="rId1327"/><Relationship Type="http://schemas.openxmlformats.org/officeDocument/2006/relationships/hyperlink" Target="https://dym.asia/services/medicine/hongkong/" TargetMode="External" Id="rId1328"/><Relationship Type="http://schemas.openxmlformats.org/officeDocument/2006/relationships/hyperlink" Target="https://dym.asia/media/america-health-insurance/" TargetMode="External" Id="rId1329"/><Relationship Type="http://schemas.openxmlformats.org/officeDocument/2006/relationships/hyperlink" Target="https://dym.asia/services/medicine/america-clinic/" TargetMode="External" Id="rId1330"/><Relationship Type="http://schemas.openxmlformats.org/officeDocument/2006/relationships/hyperlink" Target="https://dym.asia/services/medicine/vietnam-clinic/" TargetMode="External" Id="rId1331"/><Relationship Type="http://schemas.openxmlformats.org/officeDocument/2006/relationships/hyperlink" Target="https://dym.asia/media/thailand-hospital-cost/" TargetMode="External" Id="rId1332"/><Relationship Type="http://schemas.openxmlformats.org/officeDocument/2006/relationships/hyperlink" Target="https://dym.asia/services/medicine/thailand-clinic/" TargetMode="External" Id="rId1333"/><Relationship Type="http://schemas.openxmlformats.org/officeDocument/2006/relationships/hyperlink" Target="https://dym.asia/services/medicine/thailand-clinic/" TargetMode="External" Id="rId1334"/><Relationship Type="http://schemas.openxmlformats.org/officeDocument/2006/relationships/hyperlink" Target="https://dym.asia/media/thailand-hospital-japanese/" TargetMode="External" Id="rId1335"/><Relationship Type="http://schemas.openxmlformats.org/officeDocument/2006/relationships/hyperlink" Target="https://dym.asia/services/medicine/thailand-clinic/" TargetMode="External" Id="rId1336"/><Relationship Type="http://schemas.openxmlformats.org/officeDocument/2006/relationships/hyperlink" Target="https://dym.asia/services/medicine/thailand-clinic/" TargetMode="External" Id="rId1337"/><Relationship Type="http://schemas.openxmlformats.org/officeDocument/2006/relationships/hyperlink" Target="https://dym.asia/media/thailand-insurance/" TargetMode="External" Id="rId1338"/><Relationship Type="http://schemas.openxmlformats.org/officeDocument/2006/relationships/hyperlink" Target="https://dym.asia/services/medicine/thailand-clinic/" TargetMode="External" Id="rId1339"/><Relationship Type="http://schemas.openxmlformats.org/officeDocument/2006/relationships/hyperlink" Target="https://dym.asia/services/medicine/thailand-clinic/" TargetMode="External" Id="rId1340"/><Relationship Type="http://schemas.openxmlformats.org/officeDocument/2006/relationships/hyperlink" Target="https://dym.asia/media/hongkong-health-insurance/" TargetMode="External" Id="rId1341"/><Relationship Type="http://schemas.openxmlformats.org/officeDocument/2006/relationships/hyperlink" Target="https://dym.asia/services/medicine/hongkong/" TargetMode="External" Id="rId1342"/><Relationship Type="http://schemas.openxmlformats.org/officeDocument/2006/relationships/hyperlink" Target="https://dym.asia/services/medicine/hongkong/" TargetMode="External" Id="rId1343"/><Relationship Type="http://schemas.openxmlformats.org/officeDocument/2006/relationships/hyperlink" Target="https://dym.asia/media/hongkong-insurance/" TargetMode="External" Id="rId1344"/><Relationship Type="http://schemas.openxmlformats.org/officeDocument/2006/relationships/hyperlink" Target="https://dym.asia/services/medicine/hongkong/" TargetMode="External" Id="rId1345"/><Relationship Type="http://schemas.openxmlformats.org/officeDocument/2006/relationships/hyperlink" Target="https://dym.asia/services/medicine/hongkong/" TargetMode="External" Id="rId1346"/><Relationship Type="http://schemas.openxmlformats.org/officeDocument/2006/relationships/hyperlink" Target="https://dym.asia/media/inbound_call/" TargetMode="External" Id="rId1347"/><Relationship Type="http://schemas.openxmlformats.org/officeDocument/2006/relationships/hyperlink" Target="https://dym.asia/services/hr-tech/call-center/" TargetMode="External" Id="rId1348"/><Relationship Type="http://schemas.openxmlformats.org/officeDocument/2006/relationships/hyperlink" Target="https://dym.asia/services/hr-tech/call-center/" TargetMode="External" Id="rId1349"/><Relationship Type="http://schemas.openxmlformats.org/officeDocument/2006/relationships/hyperlink" Target="https://dym.asia/media/indeed_advertisement/" TargetMode="External" Id="rId1350"/><Relationship Type="http://schemas.openxmlformats.org/officeDocument/2006/relationships/hyperlink" Target="https://dym.asia/services/hr-tech/indeed/" TargetMode="External" Id="rId1351"/><Relationship Type="http://schemas.openxmlformats.org/officeDocument/2006/relationships/hyperlink" Target="https://dym.asia/services/hr-tech/indeed/" TargetMode="External" Id="rId1352"/><Relationship Type="http://schemas.openxmlformats.org/officeDocument/2006/relationships/hyperlink" Target="https://dym.asia/media/thailand_bangkok_health_checkup/" TargetMode="External" Id="rId1353"/><Relationship Type="http://schemas.openxmlformats.org/officeDocument/2006/relationships/hyperlink" Target="https://dym.asia/services/medicine/thailand-clinic/" TargetMode="External" Id="rId1354"/><Relationship Type="http://schemas.openxmlformats.org/officeDocument/2006/relationships/hyperlink" Target="https://dym.asia/services/medicine/thailand-clinic/" TargetMode="External" Id="rId1355"/><Relationship Type="http://schemas.openxmlformats.org/officeDocument/2006/relationships/hyperlink" Target="https://dym.asia/media/vietnam-hospital-japanese/" TargetMode="External" Id="rId1356"/><Relationship Type="http://schemas.openxmlformats.org/officeDocument/2006/relationships/hyperlink" Target="https://dym.asia/services/medicine/vietnam-clinic/" TargetMode="External" Id="rId1357"/><Relationship Type="http://schemas.openxmlformats.org/officeDocument/2006/relationships/hyperlink" Target="https://dym.asia/services/medicine/vietnam-clinic/" TargetMode="External" Id="rId1358"/><Relationship Type="http://schemas.openxmlformats.org/officeDocument/2006/relationships/hyperlink" Target="https://dym.asia/media/bangkok_healthcare/" TargetMode="External" Id="rId1359"/><Relationship Type="http://schemas.openxmlformats.org/officeDocument/2006/relationships/hyperlink" Target="https://dym.asia/services/medicine/thailand-clinic/" TargetMode="External" Id="rId1360"/><Relationship Type="http://schemas.openxmlformats.org/officeDocument/2006/relationships/hyperlink" Target="https://dym.asia/services/medicine/thailand-clinic/" TargetMode="External" Id="rId1361"/><Relationship Type="http://schemas.openxmlformats.org/officeDocument/2006/relationships/hyperlink" Target="https://dym.asia/media/hong_kong_healthcare/" TargetMode="External" Id="rId1362"/><Relationship Type="http://schemas.openxmlformats.org/officeDocument/2006/relationships/hyperlink" Target="https://dym.asia/services/medicine/hongkong/" TargetMode="External" Id="rId1363"/><Relationship Type="http://schemas.openxmlformats.org/officeDocument/2006/relationships/hyperlink" Target="https://dym.asia/services/medicine/hongkong/" TargetMode="External" Id="rId1364"/><Relationship Type="http://schemas.openxmlformats.org/officeDocument/2006/relationships/hyperlink" Target="https://dym.asia/media/new-york-insurance/" TargetMode="External" Id="rId1365"/><Relationship Type="http://schemas.openxmlformats.org/officeDocument/2006/relationships/hyperlink" Target="https://dym.asia/services/medicine/america-clinic/" TargetMode="External" Id="rId1366"/><Relationship Type="http://schemas.openxmlformats.org/officeDocument/2006/relationships/hyperlink" Target="https://dym.asia/services/medicine/america-clinic/" TargetMode="External" Id="rId1367"/><Relationship Type="http://schemas.openxmlformats.org/officeDocument/2006/relationships/hyperlink" Target="https://dym.asia/media/ho-chi-minh-hospital-japanese/" TargetMode="External" Id="rId1368"/><Relationship Type="http://schemas.openxmlformats.org/officeDocument/2006/relationships/hyperlink" Target="https://dym.asia/services/medicine/vietnam-clinic/" TargetMode="External" Id="rId1369"/><Relationship Type="http://schemas.openxmlformats.org/officeDocument/2006/relationships/hyperlink" Target="https://dym.asia/services/medicine/vietnam-clinic/" TargetMode="External" Id="rId1370"/><Relationship Type="http://schemas.openxmlformats.org/officeDocument/2006/relationships/hyperlink" Target="https://dym.asia/media/health-check-tumor-marker/" TargetMode="External" Id="rId1371"/><Relationship Type="http://schemas.openxmlformats.org/officeDocument/2006/relationships/hyperlink" Target="https://dym.asia/services/medicine/" TargetMode="External" Id="rId1372"/><Relationship Type="http://schemas.openxmlformats.org/officeDocument/2006/relationships/hyperlink" Target="https://dym.asia/services/medicine/" TargetMode="External" Id="rId1373"/><Relationship Type="http://schemas.openxmlformats.org/officeDocument/2006/relationships/hyperlink" Target="https://dym.asia/media/ho-chi-minh-insurance/" TargetMode="External" Id="rId1374"/><Relationship Type="http://schemas.openxmlformats.org/officeDocument/2006/relationships/hyperlink" Target="https://dym.asia/services/medicine/vietnam-clinic/" TargetMode="External" Id="rId1375"/><Relationship Type="http://schemas.openxmlformats.org/officeDocument/2006/relationships/hyperlink" Target="https://dym.asia/services/medicine/vietnam-clinic/" TargetMode="External" Id="rId1376"/><Relationship Type="http://schemas.openxmlformats.org/officeDocument/2006/relationships/hyperlink" Target="https://dym.asia/media/with-disabilities-recruitment-manager/" TargetMode="External" Id="rId1377"/><Relationship Type="http://schemas.openxmlformats.org/officeDocument/2006/relationships/hyperlink" Target="https://dym.asia/services/new-graduates/with-disabilities/" TargetMode="External" Id="rId1378"/><Relationship Type="http://schemas.openxmlformats.org/officeDocument/2006/relationships/hyperlink" Target="https://dym.asia/services/new-graduates/with-disabilities/" TargetMode="External" Id="rId1379"/><Relationship Type="http://schemas.openxmlformats.org/officeDocument/2006/relationships/hyperlink" Target="https://dym.asia/media/potenza/" TargetMode="External" Id="rId1380"/><Relationship Type="http://schemas.openxmlformats.org/officeDocument/2006/relationships/hyperlink" Target="https://dym.asia/services/medicine/" TargetMode="External" Id="rId1381"/><Relationship Type="http://schemas.openxmlformats.org/officeDocument/2006/relationships/hyperlink" Target="https://dym.asia/services/medicine/" TargetMode="External" Id="rId1382"/><Relationship Type="http://schemas.openxmlformats.org/officeDocument/2006/relationships/hyperlink" Target="https://dym.asia/media/health-checkup-upon-employment/" TargetMode="External" Id="rId1383"/><Relationship Type="http://schemas.openxmlformats.org/officeDocument/2006/relationships/hyperlink" Target="https://dym.asia/services/medicine/" TargetMode="External" Id="rId1384"/><Relationship Type="http://schemas.openxmlformats.org/officeDocument/2006/relationships/hyperlink" Target="https://dym.asia/services/medicine/" TargetMode="External" Id="rId1385"/><Relationship Type="http://schemas.openxmlformats.org/officeDocument/2006/relationships/hyperlink" Target="https://dym.asia/media/parttime-fulltime-employee-differences/" TargetMode="External" Id="rId1386"/><Relationship Type="http://schemas.openxmlformats.org/officeDocument/2006/relationships/hyperlink" Target="https://dym.asia/services/hr-tech/resume-plus/" TargetMode="External" Id="rId1387"/><Relationship Type="http://schemas.openxmlformats.org/officeDocument/2006/relationships/hyperlink" Target="https://dym.asia/services/new-graduates/" TargetMode="External" Id="rId1388"/><Relationship Type="http://schemas.openxmlformats.org/officeDocument/2006/relationships/hyperlink" Target="https://dym.asia/media/thorough-physical-checkup-50s/" TargetMode="External" Id="rId1389"/><Relationship Type="http://schemas.openxmlformats.org/officeDocument/2006/relationships/hyperlink" Target="https://dym.asia/services/medicine/" TargetMode="External" Id="rId1390"/><Relationship Type="http://schemas.openxmlformats.org/officeDocument/2006/relationships/hyperlink" Target="https://dym.asia/services/medicine/" TargetMode="External" Id="rId1391"/><Relationship Type="http://schemas.openxmlformats.org/officeDocument/2006/relationships/hyperlink" Target="https://dym.asia/media/fasting/" TargetMode="External" Id="rId1392"/><Relationship Type="http://schemas.openxmlformats.org/officeDocument/2006/relationships/hyperlink" Target="https://dym.asia/services/medicine/" TargetMode="External" Id="rId1393"/><Relationship Type="http://schemas.openxmlformats.org/officeDocument/2006/relationships/hyperlink" Target="https://dym.asia/services/medicine/" TargetMode="External" Id="rId1394"/><Relationship Type="http://schemas.openxmlformats.org/officeDocument/2006/relationships/hyperlink" Target="https://dym.asia/media/thorough-physical-checkup-30s/" TargetMode="External" Id="rId1395"/><Relationship Type="http://schemas.openxmlformats.org/officeDocument/2006/relationships/hyperlink" Target="https://dym.asia/services/medicine/" TargetMode="External" Id="rId1396"/><Relationship Type="http://schemas.openxmlformats.org/officeDocument/2006/relationships/hyperlink" Target="https://dym.asia/services/medicine/" TargetMode="External" Id="rId1397"/><Relationship Type="http://schemas.openxmlformats.org/officeDocument/2006/relationships/hyperlink" Target="https://dym.asia/media/thorough-physical-checkup-40s/" TargetMode="External" Id="rId1398"/><Relationship Type="http://schemas.openxmlformats.org/officeDocument/2006/relationships/hyperlink" Target="https://dym.asia/services/medicine/" TargetMode="External" Id="rId1399"/><Relationship Type="http://schemas.openxmlformats.org/officeDocument/2006/relationships/hyperlink" Target="https://dym.asia/services/medicine/" TargetMode="External" Id="rId1400"/><Relationship Type="http://schemas.openxmlformats.org/officeDocument/2006/relationships/hyperlink" Target="https://dym.asia/media/thorough-physical-checkup/" TargetMode="External" Id="rId1401"/><Relationship Type="http://schemas.openxmlformats.org/officeDocument/2006/relationships/hyperlink" Target="https://dym.asia/services/medicine/" TargetMode="External" Id="rId1402"/><Relationship Type="http://schemas.openxmlformats.org/officeDocument/2006/relationships/hyperlink" Target="https://dym.asia/services/medicine/" TargetMode="External" Id="rId1403"/><Relationship Type="http://schemas.openxmlformats.org/officeDocument/2006/relationships/hyperlink" Target="https://dym.asia/media/america-vaccine-before-traveling/" TargetMode="External" Id="rId1404"/><Relationship Type="http://schemas.openxmlformats.org/officeDocument/2006/relationships/hyperlink" Target="https://dym.asia/services/medicine/america-clinic/" TargetMode="External" Id="rId1405"/><Relationship Type="http://schemas.openxmlformats.org/officeDocument/2006/relationships/hyperlink" Target="https://dym.asia/services/medicine/america-clinic/" TargetMode="External" Id="rId1406"/><Relationship Type="http://schemas.openxmlformats.org/officeDocument/2006/relationships/hyperlink" Target="https://dym.asia/media/complete-medical-blood-test/" TargetMode="External" Id="rId1407"/><Relationship Type="http://schemas.openxmlformats.org/officeDocument/2006/relationships/hyperlink" Target="https://dym.asia/services/medicine/" TargetMode="External" Id="rId1408"/><Relationship Type="http://schemas.openxmlformats.org/officeDocument/2006/relationships/hyperlink" Target="https://dym.asia/services/medicine/" TargetMode="External" Id="rId1409"/><Relationship Type="http://schemas.openxmlformats.org/officeDocument/2006/relationships/hyperlink" Target="https://dym.asia/media/health-check-age/" TargetMode="External" Id="rId1410"/><Relationship Type="http://schemas.openxmlformats.org/officeDocument/2006/relationships/hyperlink" Target="https://dym.asia/services/medicine/" TargetMode="External" Id="rId1411"/><Relationship Type="http://schemas.openxmlformats.org/officeDocument/2006/relationships/hyperlink" Target="https://dym.asia/services/medicine/" TargetMode="External" Id="rId1412"/><Relationship Type="http://schemas.openxmlformats.org/officeDocument/2006/relationships/hyperlink" Target="https://dym.asia/media/health-check-whole-body/" TargetMode="External" Id="rId1413"/><Relationship Type="http://schemas.openxmlformats.org/officeDocument/2006/relationships/hyperlink" Target="https://dym.asia/media/health-check-whole-body/" TargetMode="External" Id="rId1414"/><Relationship Type="http://schemas.openxmlformats.org/officeDocument/2006/relationships/hyperlink" Target="https://dym.asia/services/medicine/" TargetMode="External" Id="rId1415"/><Relationship Type="http://schemas.openxmlformats.org/officeDocument/2006/relationships/hyperlink" Target="https://dym.asia/media/health-check-20s/" TargetMode="External" Id="rId1416"/><Relationship Type="http://schemas.openxmlformats.org/officeDocument/2006/relationships/hyperlink" Target="https://dym.asia/services/medicine/" TargetMode="External" Id="rId1417"/><Relationship Type="http://schemas.openxmlformats.org/officeDocument/2006/relationships/hyperlink" Target="https://dym.asia/services/medicine/" TargetMode="External" Id="rId1418"/><Relationship Type="http://schemas.openxmlformats.org/officeDocument/2006/relationships/hyperlink" Target="https://dym.asia/media/health-check-30s/" TargetMode="External" Id="rId1419"/><Relationship Type="http://schemas.openxmlformats.org/officeDocument/2006/relationships/hyperlink" Target="https://dym.asia/services/medicine/" TargetMode="External" Id="rId1420"/><Relationship Type="http://schemas.openxmlformats.org/officeDocument/2006/relationships/hyperlink" Target="https://dym.asia/services/medicine/" TargetMode="External" Id="rId1421"/><Relationship Type="http://schemas.openxmlformats.org/officeDocument/2006/relationships/hyperlink" Target="https://dym.asia/media/thorough-physical-checkup-heart/" TargetMode="External" Id="rId1422"/><Relationship Type="http://schemas.openxmlformats.org/officeDocument/2006/relationships/hyperlink" Target="https://dym.asia/services/medicine/" TargetMode="External" Id="rId1423"/><Relationship Type="http://schemas.openxmlformats.org/officeDocument/2006/relationships/hyperlink" Target="https://dym.asia/services/medicine/" TargetMode="External" Id="rId1424"/><Relationship Type="http://schemas.openxmlformats.org/officeDocument/2006/relationships/hyperlink" Target="https://dym.asia/media/thorough-physical-checkup-20s/" TargetMode="External" Id="rId1425"/><Relationship Type="http://schemas.openxmlformats.org/officeDocument/2006/relationships/hyperlink" Target="https://dym.asia/services/medicine/" TargetMode="External" Id="rId1426"/><Relationship Type="http://schemas.openxmlformats.org/officeDocument/2006/relationships/hyperlink" Target="https://dym.asia/services/medicine/" TargetMode="External" Id="rId1427"/><Relationship Type="http://schemas.openxmlformats.org/officeDocument/2006/relationships/hyperlink" Target="https://dym.asia/media/thorough-physical-checkup-cancer-screening/" TargetMode="External" Id="rId1428"/><Relationship Type="http://schemas.openxmlformats.org/officeDocument/2006/relationships/hyperlink" Target="https://dym.asia/services/medicine/" TargetMode="External" Id="rId1429"/><Relationship Type="http://schemas.openxmlformats.org/officeDocument/2006/relationships/hyperlink" Target="https://dym.asia/services/medicine/" TargetMode="External" Id="rId1430"/><Relationship Type="http://schemas.openxmlformats.org/officeDocument/2006/relationships/hyperlink" Target="https://dym.asia/media/thorough-physical-checkup-how-old/" TargetMode="External" Id="rId1431"/><Relationship Type="http://schemas.openxmlformats.org/officeDocument/2006/relationships/hyperlink" Target="https://dym.asia/services/medicine/" TargetMode="External" Id="rId1432"/><Relationship Type="http://schemas.openxmlformats.org/officeDocument/2006/relationships/hyperlink" Target="https://dym.asia/services/medicine/" TargetMode="External" Id="rId1433"/><Relationship Type="http://schemas.openxmlformats.org/officeDocument/2006/relationships/hyperlink" Target="https://dym.asia/media/thorough-physical-checkup-items/" TargetMode="External" Id="rId1434"/><Relationship Type="http://schemas.openxmlformats.org/officeDocument/2006/relationships/hyperlink" Target="https://dym.asia/services/medicine/" TargetMode="External" Id="rId1435"/><Relationship Type="http://schemas.openxmlformats.org/officeDocument/2006/relationships/hyperlink" Target="https://dym.asia/services/medicine/" TargetMode="External" Id="rId1436"/><Relationship Type="http://schemas.openxmlformats.org/officeDocument/2006/relationships/hyperlink" Target="https://dym.asia/media/thorough-physical-checkup-should/" TargetMode="External" Id="rId1437"/><Relationship Type="http://schemas.openxmlformats.org/officeDocument/2006/relationships/hyperlink" Target="https://dym.asia/services/medicine/" TargetMode="External" Id="rId1438"/><Relationship Type="http://schemas.openxmlformats.org/officeDocument/2006/relationships/hyperlink" Target="https://dym.asia/services/medicine/" TargetMode="External" Id="rId1439"/><Relationship Type="http://schemas.openxmlformats.org/officeDocument/2006/relationships/hyperlink" Target="https://dym.asia/media/vietnam_hospital/" TargetMode="External" Id="rId1440"/><Relationship Type="http://schemas.openxmlformats.org/officeDocument/2006/relationships/hyperlink" Target="https://dym.asia/services/medicine/vietnam-clinic/" TargetMode="External" Id="rId1441"/><Relationship Type="http://schemas.openxmlformats.org/officeDocument/2006/relationships/hyperlink" Target="https://dym.asia/services/medicine/vietnam-clinic/" TargetMode="External" Id="rId1442"/><Relationship Type="http://schemas.openxmlformats.org/officeDocument/2006/relationships/hyperlink" Target="https://dym.asia/media/recruiting/basic-salary/" TargetMode="External" Id="rId1443"/><Relationship Type="http://schemas.openxmlformats.org/officeDocument/2006/relationships/hyperlink" Target="https://www.meetscompany.jp/" TargetMode="External" Id="rId1444"/><Relationship Type="http://schemas.openxmlformats.org/officeDocument/2006/relationships/hyperlink" Target="https://dym.asia/services/new-graduates/new-graduate-recruitment/" TargetMode="External" Id="rId1445"/><Relationship Type="http://schemas.openxmlformats.org/officeDocument/2006/relationships/hyperlink" Target="https://dym.asia/media/recruiting/intp/" TargetMode="External" Id="rId1446"/><Relationship Type="http://schemas.openxmlformats.org/officeDocument/2006/relationships/hyperlink" Target="https://www.dshu.jp/" TargetMode="External" Id="rId1447"/><Relationship Type="http://schemas.openxmlformats.org/officeDocument/2006/relationships/hyperlink" Target="https://dym.asia/services/new-graduates/Former-graduate/" TargetMode="External" Id="rId1448"/><Relationship Type="http://schemas.openxmlformats.org/officeDocument/2006/relationships/hyperlink" Target="https://dym.asia/media/recruiting/infp/" TargetMode="External" Id="rId1449"/><Relationship Type="http://schemas.openxmlformats.org/officeDocument/2006/relationships/hyperlink" Target="https://www.dshu.jp/" TargetMode="External" Id="rId1450"/><Relationship Type="http://schemas.openxmlformats.org/officeDocument/2006/relationships/hyperlink" Target="https://dym.asia/services/new-graduates/Former-graduate/" TargetMode="External" Id="rId1451"/><Relationship Type="http://schemas.openxmlformats.org/officeDocument/2006/relationships/hyperlink" Target="https://dym.asia/media/recruiting/esfj/" TargetMode="External" Id="rId1452"/><Relationship Type="http://schemas.openxmlformats.org/officeDocument/2006/relationships/hyperlink" Target="https://www.dshu.jp/" TargetMode="External" Id="rId1453"/><Relationship Type="http://schemas.openxmlformats.org/officeDocument/2006/relationships/hyperlink" Target="https://dym.asia/services/new-graduates/Former-graduate/" TargetMode="External" Id="rId1454"/><Relationship Type="http://schemas.openxmlformats.org/officeDocument/2006/relationships/hyperlink" Target="https://dym.asia/media/recruiting/enfp/" TargetMode="External" Id="rId1455"/><Relationship Type="http://schemas.openxmlformats.org/officeDocument/2006/relationships/hyperlink" Target="https://www.dshu.jp/" TargetMode="External" Id="rId1456"/><Relationship Type="http://schemas.openxmlformats.org/officeDocument/2006/relationships/hyperlink" Target="https://dym.asia/services/new-graduates/Former-graduate/" TargetMode="External" Id="rId1457"/><Relationship Type="http://schemas.openxmlformats.org/officeDocument/2006/relationships/hyperlink" Target="https://dym.asia/media/recruiting/estp/" TargetMode="External" Id="rId1458"/><Relationship Type="http://schemas.openxmlformats.org/officeDocument/2006/relationships/hyperlink" Target="https://www.dshu.jp/" TargetMode="External" Id="rId1459"/><Relationship Type="http://schemas.openxmlformats.org/officeDocument/2006/relationships/hyperlink" Target="https://dym.asia/services/new-graduates/Former-graduate/" TargetMode="External" Id="rId1460"/><Relationship Type="http://schemas.openxmlformats.org/officeDocument/2006/relationships/hyperlink" Target="https://dym.asia/media/recruiting/istp/" TargetMode="External" Id="rId1461"/><Relationship Type="http://schemas.openxmlformats.org/officeDocument/2006/relationships/hyperlink" Target="https://www.dshu.jp/" TargetMode="External" Id="rId1462"/><Relationship Type="http://schemas.openxmlformats.org/officeDocument/2006/relationships/hyperlink" Target="https://dym.asia/services/new-graduates/Former-graduate/" TargetMode="External" Id="rId1463"/><Relationship Type="http://schemas.openxmlformats.org/officeDocument/2006/relationships/hyperlink" Target="https://dym.asia/media/recruiting/entp/" TargetMode="External" Id="rId1464"/><Relationship Type="http://schemas.openxmlformats.org/officeDocument/2006/relationships/hyperlink" Target="https://www.dshu.jp/" TargetMode="External" Id="rId1465"/><Relationship Type="http://schemas.openxmlformats.org/officeDocument/2006/relationships/hyperlink" Target="https://dym.asia/services/new-graduates/Former-graduate/" TargetMode="External" Id="rId1466"/><Relationship Type="http://schemas.openxmlformats.org/officeDocument/2006/relationships/hyperlink" Target="https://dym.asia/media/recruiting/infj/" TargetMode="External" Id="rId1467"/><Relationship Type="http://schemas.openxmlformats.org/officeDocument/2006/relationships/hyperlink" Target="https://www.dshu.jp/" TargetMode="External" Id="rId1468"/><Relationship Type="http://schemas.openxmlformats.org/officeDocument/2006/relationships/hyperlink" Target="https://dym.asia/services/new-graduates/Former-graduate/" TargetMode="External" Id="rId1469"/><Relationship Type="http://schemas.openxmlformats.org/officeDocument/2006/relationships/hyperlink" Target="https://dym.asia/media/recruiting/how-to-strengthen-mentality/" TargetMode="External" Id="rId1470"/><Relationship Type="http://schemas.openxmlformats.org/officeDocument/2006/relationships/hyperlink" Target="https://www.meetscompany.jp/" TargetMode="External" Id="rId1471"/><Relationship Type="http://schemas.openxmlformats.org/officeDocument/2006/relationships/hyperlink" Target="https://dym.asia/services/new-graduates/new-graduate-recruitment/" TargetMode="External" Id="rId1472"/><Relationship Type="http://schemas.openxmlformats.org/officeDocument/2006/relationships/hyperlink" Target="https://dym.asia/media/recruiting/istj/" TargetMode="External" Id="rId1473"/><Relationship Type="http://schemas.openxmlformats.org/officeDocument/2006/relationships/hyperlink" Target="https://www.dshu.jp/" TargetMode="External" Id="rId1474"/><Relationship Type="http://schemas.openxmlformats.org/officeDocument/2006/relationships/hyperlink" Target="https://dym.asia/services/new-graduates/Former-graduate/" TargetMode="External" Id="rId1475"/><Relationship Type="http://schemas.openxmlformats.org/officeDocument/2006/relationships/hyperlink" Target="https://dym.asia/media/recruiting/humanities/" TargetMode="External" Id="rId1476"/><Relationship Type="http://schemas.openxmlformats.org/officeDocument/2006/relationships/hyperlink" Target="https://dym.asia/services/new-graduates/dym-tech/" TargetMode="External" Id="rId1477"/><Relationship Type="http://schemas.openxmlformats.org/officeDocument/2006/relationships/hyperlink" Target="https://dym.asia/services/new-graduates/new-graduate-recruitment/" TargetMode="External" Id="rId1478"/><Relationship Type="http://schemas.openxmlformats.org/officeDocument/2006/relationships/hyperlink" Target="https://dym.asia/media/recruiting/15-jobs-for-not-working/" TargetMode="External" Id="rId1479"/><Relationship Type="http://schemas.openxmlformats.org/officeDocument/2006/relationships/hyperlink" Target="https://www.dshu.jp/" TargetMode="External" Id="rId1480"/><Relationship Type="http://schemas.openxmlformats.org/officeDocument/2006/relationships/hyperlink" Target="https://dym.asia/services/new-graduates/Former-graduate/" TargetMode="External" Id="rId1481"/><Relationship Type="http://schemas.openxmlformats.org/officeDocument/2006/relationships/hyperlink" Target="https://dym.asia/media/recruiting/entj/" TargetMode="External" Id="rId1482"/><Relationship Type="http://schemas.openxmlformats.org/officeDocument/2006/relationships/hyperlink" Target="https://www.dshu.jp/" TargetMode="External" Id="rId1483"/><Relationship Type="http://schemas.openxmlformats.org/officeDocument/2006/relationships/hyperlink" Target="https://dym.asia/services/new-graduates/Former-graduate/" TargetMode="External" Id="rId1484"/><Relationship Type="http://schemas.openxmlformats.org/officeDocument/2006/relationships/hyperlink" Target="https://dym.asia/media/recruiting/isfj/" TargetMode="External" Id="rId1485"/><Relationship Type="http://schemas.openxmlformats.org/officeDocument/2006/relationships/hyperlink" Target="https://www.dshu.jp/" TargetMode="External" Id="rId1486"/><Relationship Type="http://schemas.openxmlformats.org/officeDocument/2006/relationships/hyperlink" Target="https://dym.asia/services/new-graduates/Former-graduate/" TargetMode="External" Id="rId1487"/><Relationship Type="http://schemas.openxmlformats.org/officeDocument/2006/relationships/hyperlink" Target="https://dym.asia/media/recruiting/estj/" TargetMode="External" Id="rId1488"/><Relationship Type="http://schemas.openxmlformats.org/officeDocument/2006/relationships/hyperlink" Target="https://www.dshu.jp/" TargetMode="External" Id="rId1489"/><Relationship Type="http://schemas.openxmlformats.org/officeDocument/2006/relationships/hyperlink" Target="https://dym.asia/services/new-graduates/Former-graduate/" TargetMode="External" Id="rId1490"/><Relationship Type="http://schemas.openxmlformats.org/officeDocument/2006/relationships/hyperlink" Target="https://dym.asia/media/recruiting/enfj/" TargetMode="External" Id="rId1491"/><Relationship Type="http://schemas.openxmlformats.org/officeDocument/2006/relationships/hyperlink" Target="https://www.dshu.jp/" TargetMode="External" Id="rId1492"/><Relationship Type="http://schemas.openxmlformats.org/officeDocument/2006/relationships/hyperlink" Target="https://dym.asia/services/new-graduates/Former-graduate/" TargetMode="External" Id="rId1493"/><Relationship Type="http://schemas.openxmlformats.org/officeDocument/2006/relationships/hyperlink" Target="https://dym.asia/media/recruiting/intj/" TargetMode="External" Id="rId1494"/><Relationship Type="http://schemas.openxmlformats.org/officeDocument/2006/relationships/hyperlink" Target="https://www.dshu.jp/" TargetMode="External" Id="rId1495"/><Relationship Type="http://schemas.openxmlformats.org/officeDocument/2006/relationships/hyperlink" Target="https://dym.asia/services/new-graduates/Former-graduate/" TargetMode="External" Id="rId1496"/><Relationship Type="http://schemas.openxmlformats.org/officeDocument/2006/relationships/hyperlink" Target="https://dym.asia/media/recruiting/high-income-women-jobs-2025/" TargetMode="External" Id="rId1497"/><Relationship Type="http://schemas.openxmlformats.org/officeDocument/2006/relationships/hyperlink" Target="https://www.dshu.jp/" TargetMode="External" Id="rId1498"/><Relationship Type="http://schemas.openxmlformats.org/officeDocument/2006/relationships/hyperlink" Target="https://dym.asia/services/new-graduates/Former-graduate/" TargetMode="External" Id="rId1499"/><Relationship Type="http://schemas.openxmlformats.org/officeDocument/2006/relationships/hyperlink" Target="https://dym.asia/media/recruiting/mega-venture-major-company/" TargetMode="External" Id="rId1500"/><Relationship Type="http://schemas.openxmlformats.org/officeDocument/2006/relationships/hyperlink" Target="https://www.meetscompany.jp/" TargetMode="External" Id="rId1501"/><Relationship Type="http://schemas.openxmlformats.org/officeDocument/2006/relationships/hyperlink" Target="https://dym.asia/services/new-graduates/new-graduate-recruitment/" TargetMode="External" Id="rId1502"/><Relationship Type="http://schemas.openxmlformats.org/officeDocument/2006/relationships/hyperlink" Target="https://dym.asia/media/recruiting/session-wearing/" TargetMode="External" Id="rId1503"/><Relationship Type="http://schemas.openxmlformats.org/officeDocument/2006/relationships/hyperlink" Target="https://www.meetscompany.jp/" TargetMode="External" Id="rId1504"/><Relationship Type="http://schemas.openxmlformats.org/officeDocument/2006/relationships/hyperlink" Target="https://dym.asia/services/new-graduates/new-graduate-recruitment/" TargetMode="External" Id="rId1505"/><Relationship Type="http://schemas.openxmlformats.org/officeDocument/2006/relationships/hyperlink" Target="https://dym.asia/media/recruiting/jobselect-important/" TargetMode="External" Id="rId1506"/><Relationship Type="http://schemas.openxmlformats.org/officeDocument/2006/relationships/hyperlink" Target="https://www.meetscompany.jp/" TargetMode="External" Id="rId1507"/><Relationship Type="http://schemas.openxmlformats.org/officeDocument/2006/relationships/hyperlink" Target="https://dym.asia/services/new-graduates/new-graduate-recruitment/" TargetMode="External" Id="rId1508"/><Relationship Type="http://schemas.openxmlformats.org/officeDocument/2006/relationships/hyperlink" Target="https://dym.asia/media/recruiting/isfp/" TargetMode="External" Id="rId1509"/><Relationship Type="http://schemas.openxmlformats.org/officeDocument/2006/relationships/hyperlink" Target="https://www.dshu.jp/" TargetMode="External" Id="rId1510"/><Relationship Type="http://schemas.openxmlformats.org/officeDocument/2006/relationships/hyperlink" Target="https://dym.asia/services/new-graduates/Former-graduate/" TargetMode="External" Id="rId1511"/><Relationship Type="http://schemas.openxmlformats.org/officeDocument/2006/relationships/hyperlink" Target="https://dym.asia/media/recruiting/mbti/" TargetMode="External" Id="rId1512"/><Relationship Type="http://schemas.openxmlformats.org/officeDocument/2006/relationships/hyperlink" Target="https://www.dshu.jp/" TargetMode="External" Id="rId1513"/><Relationship Type="http://schemas.openxmlformats.org/officeDocument/2006/relationships/hyperlink" Target="https://dym.asia/services/new-graduates/Former-graduate/" TargetMode="External" Id="rId1514"/><Relationship Type="http://schemas.openxmlformats.org/officeDocument/2006/relationships/hyperlink" Target="https://dym.asia/media/recruiting/find-dream-job/" TargetMode="External" Id="rId1515"/><Relationship Type="http://schemas.openxmlformats.org/officeDocument/2006/relationships/hyperlink" Target="https://www.dshu.jp/" TargetMode="External" Id="rId1516"/><Relationship Type="http://schemas.openxmlformats.org/officeDocument/2006/relationships/hyperlink" Target="https://dym.asia/services/new-graduates/" TargetMode="External" Id="rId1517"/><Relationship Type="http://schemas.openxmlformats.org/officeDocument/2006/relationships/hyperlink" Target="https://dym.asia/media/recruiting/decline-an-offer-after-consent/" TargetMode="External" Id="rId1518"/><Relationship Type="http://schemas.openxmlformats.org/officeDocument/2006/relationships/hyperlink" Target="https://www.meetscompany.jp/" TargetMode="External" Id="rId1519"/><Relationship Type="http://schemas.openxmlformats.org/officeDocument/2006/relationships/hyperlink" Target="https://dym.asia/services/new-graduates/new-graduate-recruitment/" TargetMode="External" Id="rId1520"/><Relationship Type="http://schemas.openxmlformats.org/officeDocument/2006/relationships/hyperlink" Target="https://dym.asia/media/recruiting/fail-the-interview/" TargetMode="External" Id="rId1521"/><Relationship Type="http://schemas.openxmlformats.org/officeDocument/2006/relationships/hyperlink" Target="https://dym.asia/services/new-graduates/dym-tech/" TargetMode="External" Id="rId1522"/><Relationship Type="http://schemas.openxmlformats.org/officeDocument/2006/relationships/hyperlink" Target="https://dym.asia/services/new-graduates/new-graduate-recruitment/" TargetMode="External" Id="rId1523"/><Relationship Type="http://schemas.openxmlformats.org/officeDocument/2006/relationships/hyperlink" Target="https://dym.asia/media/recruiting/new-graduate-final-interview/" TargetMode="External" Id="rId1524"/><Relationship Type="http://schemas.openxmlformats.org/officeDocument/2006/relationships/hyperlink" Target="https://www.meetscompany.jp/" TargetMode="External" Id="rId1525"/><Relationship Type="http://schemas.openxmlformats.org/officeDocument/2006/relationships/hyperlink" Target="https://dym.asia/services/new-graduates/new-graduate-recruitment/" TargetMode="External" Id="rId1526"/><Relationship Type="http://schemas.openxmlformats.org/officeDocument/2006/relationships/hyperlink" Target="https://dym.asia/media/recruiting/basic-salary/" TargetMode="External" Id="rId1527"/><Relationship Type="http://schemas.openxmlformats.org/officeDocument/2006/relationships/hyperlink" Target="https://www.meetscompany.jp/" TargetMode="External" Id="rId1528"/><Relationship Type="http://schemas.openxmlformats.org/officeDocument/2006/relationships/hyperlink" Target="https://dym.asia/services/new-graduates/" TargetMode="External" Id="rId1529"/><Relationship Type="http://schemas.openxmlformats.org/officeDocument/2006/relationships/hyperlink" Target="https://dym.asia/media/recruiting/new-graduate-taking-job-hunting-year/" TargetMode="External" Id="rId1530"/><Relationship Type="http://schemas.openxmlformats.org/officeDocument/2006/relationships/hyperlink" Target="https://www.meetscompany.jp/" TargetMode="External" Id="rId1531"/><Relationship Type="http://schemas.openxmlformats.org/officeDocument/2006/relationships/hyperlink" Target="https://dym.asia/services/new-graduates/new-graduate-recruitment/" TargetMode="External" Id="rId1532"/><Relationship Type="http://schemas.openxmlformats.org/officeDocument/2006/relationships/hyperlink" Target="https://dym.asia/media/recruiting/early-job-hunting/" TargetMode="External" Id="rId1533"/><Relationship Type="http://schemas.openxmlformats.org/officeDocument/2006/relationships/hyperlink" Target="https://www.meetscompany.jp/" TargetMode="External" Id="rId1534"/><Relationship Type="http://schemas.openxmlformats.org/officeDocument/2006/relationships/hyperlink" Target="https://dym.asia/services/new-graduates/new-graduate-recruitment/" TargetMode="External" Id="rId1535"/><Relationship Type="http://schemas.openxmlformats.org/officeDocument/2006/relationships/hyperlink" Target="https://dym.asia/media/recruiting/ratio-of-job-openings-to-job-applicants/" TargetMode="External" Id="rId1536"/><Relationship Type="http://schemas.openxmlformats.org/officeDocument/2006/relationships/hyperlink" Target="https://www.meetscompany.jp/" TargetMode="External" Id="rId1537"/><Relationship Type="http://schemas.openxmlformats.org/officeDocument/2006/relationships/hyperlink" Target="https://dym.asia/services/new-graduates/new-graduate-recruitment/" TargetMode="External" Id="rId1538"/><Relationship Type="http://schemas.openxmlformats.org/officeDocument/2006/relationships/hyperlink" Target="https://dym.asia/media/recruiting/esfp/" TargetMode="External" Id="rId1539"/><Relationship Type="http://schemas.openxmlformats.org/officeDocument/2006/relationships/hyperlink" Target="https://www.dshu.jp/" TargetMode="External" Id="rId1540"/><Relationship Type="http://schemas.openxmlformats.org/officeDocument/2006/relationships/hyperlink" Target="https://dym.asia/services/new-graduates/Former-graduate/" TargetMode="External" Id="rId1541"/><Relationship Type="http://schemas.openxmlformats.org/officeDocument/2006/relationships/hyperlink" Target="https://dym.asia/media/recruiting/former-recruitment-age/" TargetMode="External" Id="rId1542"/><Relationship Type="http://schemas.openxmlformats.org/officeDocument/2006/relationships/hyperlink" Target="https://www.dshu.jp/" TargetMode="External" Id="rId1543"/><Relationship Type="http://schemas.openxmlformats.org/officeDocument/2006/relationships/hyperlink" Target="https://dym.asia/services/new-graduates/Former-graduate/" TargetMode="External" Id="rId1544"/><Relationship Type="http://schemas.openxmlformats.org/officeDocument/2006/relationships/hyperlink" Target="https://dym.asia/media/recruiting/voluntary-unemployment-insurance/" TargetMode="External" Id="rId1545"/><Relationship Type="http://schemas.openxmlformats.org/officeDocument/2006/relationships/hyperlink" Target="https://www.meetscompany.jp/" TargetMode="External" Id="rId1546"/><Relationship Type="http://schemas.openxmlformats.org/officeDocument/2006/relationships/hyperlink" Target="https://dym.asia/services/new-graduates/Former-graduate/" TargetMode="External" Id="rId1547"/><Relationship Type="http://schemas.openxmlformats.org/officeDocument/2006/relationships/hyperlink" Target="https://dym.asia/media/recruiting/black-company/" TargetMode="External" Id="rId1548"/><Relationship Type="http://schemas.openxmlformats.org/officeDocument/2006/relationships/hyperlink" Target="https://www.meetscompany.jp/" TargetMode="External" Id="rId1549"/><Relationship Type="http://schemas.openxmlformats.org/officeDocument/2006/relationships/hyperlink" Target="https://dym.asia/services/new-graduates/new-graduate-recruitment/" TargetMode="External" Id="rId1550"/><Relationship Type="http://schemas.openxmlformats.org/officeDocument/2006/relationships/hyperlink" Target="https://dym.asia/media/recruiting/non-regular-employment-female/" TargetMode="External" Id="rId1551"/><Relationship Type="http://schemas.openxmlformats.org/officeDocument/2006/relationships/hyperlink" Target="https://dymcareer.jp/?_gl=1*uhetlw*_ga*MTI1MjE5NTY3My4xNzU2NDMyNTY0*_ga_ZXCZZJJ72V*czE3Njg5NTc1NTAkbzI3JGcxJHQxNzY4OTY2OTYwJGo2MCRsMCRoMA.." TargetMode="External" Id="rId1552"/><Relationship Type="http://schemas.openxmlformats.org/officeDocument/2006/relationships/hyperlink" Target="https://dym.asia/services/new-graduates/ready-career/" TargetMode="External" Id="rId1553"/><Relationship Type="http://schemas.openxmlformats.org/officeDocument/2006/relationships/hyperlink" Target="https://dym.asia/media/recruiting/about-former-graduate/" TargetMode="External" Id="rId1554"/><Relationship Type="http://schemas.openxmlformats.org/officeDocument/2006/relationships/hyperlink" Target="https://www.dshu.jp/" TargetMode="External" Id="rId1555"/><Relationship Type="http://schemas.openxmlformats.org/officeDocument/2006/relationships/hyperlink" Target="https://dym.asia/services/new-graduates/Former-graduate/" TargetMode="External" Id="rId1556"/><Relationship Type="http://schemas.openxmlformats.org/officeDocument/2006/relationships/hyperlink" Target="https://dym.asia/media/recruiting/session-bag/" TargetMode="External" Id="rId1557"/><Relationship Type="http://schemas.openxmlformats.org/officeDocument/2006/relationships/hyperlink" Target="https://www.meetscompany.jp/" TargetMode="External" Id="rId1558"/><Relationship Type="http://schemas.openxmlformats.org/officeDocument/2006/relationships/hyperlink" Target="https://dym.asia/services/new-graduates/new-graduate-recruitment/" TargetMode="External" Id="rId1559"/><Relationship Type="http://schemas.openxmlformats.org/officeDocument/2006/relationships/hyperlink" Target="https://dym.asia/media/recruiting/online-session-wearing/" TargetMode="External" Id="rId1560"/><Relationship Type="http://schemas.openxmlformats.org/officeDocument/2006/relationships/hyperlink" Target="https://www.meetscompany.jp/" TargetMode="External" Id="rId1561"/><Relationship Type="http://schemas.openxmlformats.org/officeDocument/2006/relationships/hyperlink" Target="https://dym.asia/services/new-graduates/new-graduate-recruitment/" TargetMode="External" Id="rId1562"/><Relationship Type="http://schemas.openxmlformats.org/officeDocument/2006/relationships/hyperlink" Target="https://dym.asia/media/recruiting/career-fair-should/" TargetMode="External" Id="rId1563"/><Relationship Type="http://schemas.openxmlformats.org/officeDocument/2006/relationships/hyperlink" Target="https://www.meetscompany.jp/" TargetMode="External" Id="rId1564"/><Relationship Type="http://schemas.openxmlformats.org/officeDocument/2006/relationships/hyperlink" Target="https://dym.asia/services/new-graduates/new-graduate-recruitment/" TargetMode="External" Id="rId1565"/><Relationship Type="http://schemas.openxmlformats.org/officeDocument/2006/relationships/hyperlink" Target="https://dym.asia/media/recruiting/new-graduate-resume-self-promotion/" TargetMode="External" Id="rId1566"/><Relationship Type="http://schemas.openxmlformats.org/officeDocument/2006/relationships/hyperlink" Target="https://www.meetscompany.jp/" TargetMode="External" Id="rId1567"/><Relationship Type="http://schemas.openxmlformats.org/officeDocument/2006/relationships/hyperlink" Target="https://dym.asia/services/new-graduates/new-graduate-recruitment/" TargetMode="External" Id="rId1568"/><Relationship Type="http://schemas.openxmlformats.org/officeDocument/2006/relationships/hyperlink" Target="https://dym.asia/media/recruiting/online-session-wearing-no-note/" TargetMode="External" Id="rId1569"/><Relationship Type="http://schemas.openxmlformats.org/officeDocument/2006/relationships/hyperlink" Target="https://www.meetscompany.jp/" TargetMode="External" Id="rId1570"/><Relationship Type="http://schemas.openxmlformats.org/officeDocument/2006/relationships/hyperlink" Target="https://dym.asia/services/new-graduates/new-graduate-recruitment/" TargetMode="External" Id="rId1571"/><Relationship Type="http://schemas.openxmlformats.org/officeDocument/2006/relationships/hyperlink" Target="https://dym.asia/media/recruiting/spi/" TargetMode="External" Id="rId1572"/><Relationship Type="http://schemas.openxmlformats.org/officeDocument/2006/relationships/hyperlink" Target="https://www.meetscompany.jp/" TargetMode="External" Id="rId1573"/><Relationship Type="http://schemas.openxmlformats.org/officeDocument/2006/relationships/hyperlink" Target="https://dym.asia/services/new-graduates/" TargetMode="External" Id="rId1574"/><Relationship Type="http://schemas.openxmlformats.org/officeDocument/2006/relationships/hyperlink" Target="https://dym.asia/media/recruiting/woman-highschool-graduation/" TargetMode="External" Id="rId1575"/><Relationship Type="http://schemas.openxmlformats.org/officeDocument/2006/relationships/hyperlink" Target="https://www.dshu.jp/" TargetMode="External" Id="rId1576"/><Relationship Type="http://schemas.openxmlformats.org/officeDocument/2006/relationships/hyperlink" Target="https://dym.asia/services/new-graduates/Former-graduate/" TargetMode="External" Id="rId1577"/><Relationship Type="http://schemas.openxmlformats.org/officeDocument/2006/relationships/hyperlink" Target="https://dym.asia/media/recruiting/suitable-job/" TargetMode="External" Id="rId1578"/><Relationship Type="http://schemas.openxmlformats.org/officeDocument/2006/relationships/hyperlink" Target="https://www.dshu.jp/" TargetMode="External" Id="rId1579"/><Relationship Type="http://schemas.openxmlformats.org/officeDocument/2006/relationships/hyperlink" Target="https://dym.asia/services/new-graduates/Former-graduate/" TargetMode="External" Id="rId1580"/><Relationship Type="http://schemas.openxmlformats.org/officeDocument/2006/relationships/hyperlink" Target="https://dym.asia/media/recruiting/early-selection/" TargetMode="External" Id="rId1581"/><Relationship Type="http://schemas.openxmlformats.org/officeDocument/2006/relationships/hyperlink" Target="https://www.meetscompany.jp/" TargetMode="External" Id="rId1582"/><Relationship Type="http://schemas.openxmlformats.org/officeDocument/2006/relationships/hyperlink" Target="https://dym.asia/services/new-graduates/new-graduate-recruitment/" TargetMode="External" Id="rId1583"/><Relationship Type="http://schemas.openxmlformats.org/officeDocument/2006/relationships/hyperlink" Target="https://dym.asia/media/recruiting/shinsotsu-rirekisho-guide/" TargetMode="External" Id="rId1584"/><Relationship Type="http://schemas.openxmlformats.org/officeDocument/2006/relationships/hyperlink" Target="https://www.meetscompany.jp/" TargetMode="External" Id="rId1585"/><Relationship Type="http://schemas.openxmlformats.org/officeDocument/2006/relationships/hyperlink" Target="https://dym.asia/services/new-graduates/new-graduate-recruitment/" TargetMode="External" Id="rId1586"/><Relationship Type="http://schemas.openxmlformats.org/officeDocument/2006/relationships/hyperlink" Target="https://dym.asia/media/recruiting/counter-question/" TargetMode="External" Id="rId1587"/><Relationship Type="http://schemas.openxmlformats.org/officeDocument/2006/relationships/hyperlink" Target="https://www.meetscompany.jp/" TargetMode="External" Id="rId1588"/><Relationship Type="http://schemas.openxmlformats.org/officeDocument/2006/relationships/hyperlink" Target="https://dym.asia/services/new-graduates/new-graduate-recruitment/" TargetMode="External" Id="rId1589"/><Relationship Type="http://schemas.openxmlformats.org/officeDocument/2006/relationships/hyperlink" Target="https://dym.asia/media/recruiting/declining-selection/" TargetMode="External" Id="rId1590"/><Relationship Type="http://schemas.openxmlformats.org/officeDocument/2006/relationships/hyperlink" Target="https://dym.asia/services/new-graduates/new-graduate-recruitment/" TargetMode="External" Id="rId1591"/><Relationship Type="http://schemas.openxmlformats.org/officeDocument/2006/relationships/hyperlink" Target="https://dym.asia/media/recruiting/general-position/" TargetMode="External" Id="rId1592"/><Relationship Type="http://schemas.openxmlformats.org/officeDocument/2006/relationships/hyperlink" Target="https://www.meetscompany.jp/" TargetMode="External" Id="rId1593"/><Relationship Type="http://schemas.openxmlformats.org/officeDocument/2006/relationships/hyperlink" Target="https://dym.asia/services/new-graduates/new-graduate-recruitment/" TargetMode="External" Id="rId1594"/><Relationship Type="http://schemas.openxmlformats.org/officeDocument/2006/relationships/hyperlink" Target="https://dym.asia/media/recruiting/new-graduate-salary-ranking/" TargetMode="External" Id="rId1595"/><Relationship Type="http://schemas.openxmlformats.org/officeDocument/2006/relationships/hyperlink" Target="https://www.meetscompany.jp/" TargetMode="External" Id="rId1596"/><Relationship Type="http://schemas.openxmlformats.org/officeDocument/2006/relationships/hyperlink" Target="https://dym.asia/services/new-graduates/new-graduate-recruitment/" TargetMode="External" Id="rId1597"/><Relationship Type="http://schemas.openxmlformats.org/officeDocument/2006/relationships/hyperlink" Target="https://dym.asia/media/recruiting/strengths/" TargetMode="External" Id="rId1598"/><Relationship Type="http://schemas.openxmlformats.org/officeDocument/2006/relationships/hyperlink" Target="https://www.meetscompany.jp/" TargetMode="External" Id="rId1599"/><Relationship Type="http://schemas.openxmlformats.org/officeDocument/2006/relationships/hyperlink" Target="https://dym.asia/services/new-graduates/Former-graduate/" TargetMode="External" Id="rId1600"/><Relationship Type="http://schemas.openxmlformats.org/officeDocument/2006/relationships/hyperlink" Target="https://dym.asia/media/recruiting/university-filter/" TargetMode="External" Id="rId1601"/><Relationship Type="http://schemas.openxmlformats.org/officeDocument/2006/relationships/hyperlink" Target="https://www.meetscompany.jp/" TargetMode="External" Id="rId1602"/><Relationship Type="http://schemas.openxmlformats.org/officeDocument/2006/relationships/hyperlink" Target="https://dym.asia/services/new-graduates/new-graduate-recruitment/" TargetMode="External" Id="rId1603"/><Relationship Type="http://schemas.openxmlformats.org/officeDocument/2006/relationships/hyperlink" Target="https://dym.asia/media/recruiting/40s-job-change-woman/" TargetMode="External" Id="rId1604"/><Relationship Type="http://schemas.openxmlformats.org/officeDocument/2006/relationships/hyperlink" Target="https://www.dshu.jp/" TargetMode="External" Id="rId1605"/><Relationship Type="http://schemas.openxmlformats.org/officeDocument/2006/relationships/hyperlink" Target="https://dym.asia/services/new-graduates/Former-graduate/" TargetMode="External" Id="rId1606"/><Relationship Type="http://schemas.openxmlformats.org/officeDocument/2006/relationships/hyperlink" Target="https://dym.asia/media/recruiting/former-recruitment-reason/" TargetMode="External" Id="rId1607"/><Relationship Type="http://schemas.openxmlformats.org/officeDocument/2006/relationships/hyperlink" Target="https://www.dshu.jp/" TargetMode="External" Id="rId1608"/><Relationship Type="http://schemas.openxmlformats.org/officeDocument/2006/relationships/hyperlink" Target="https://dym.asia/services/new-graduates/Former-graduate/" TargetMode="External" Id="rId1609"/><Relationship Type="http://schemas.openxmlformats.org/officeDocument/2006/relationships/hyperlink" Target="https://dym.asia/media/recruiting/internship-student/" TargetMode="External" Id="rId1610"/><Relationship Type="http://schemas.openxmlformats.org/officeDocument/2006/relationships/hyperlink" Target="https://www.meetscompany.jp/" TargetMode="External" Id="rId1611"/><Relationship Type="http://schemas.openxmlformats.org/officeDocument/2006/relationships/hyperlink" Target="https://dym.asia/services/new-graduates/new-graduate-recruitment/" TargetMode="External" Id="rId1612"/><Relationship Type="http://schemas.openxmlformats.org/officeDocument/2006/relationships/hyperlink" Target="https://dym.asia/media/recruiting/new-graduate-treated-when/" TargetMode="External" Id="rId1613"/><Relationship Type="http://schemas.openxmlformats.org/officeDocument/2006/relationships/hyperlink" Target="https://www.meetscompany.jp/" TargetMode="External" Id="rId1614"/><Relationship Type="http://schemas.openxmlformats.org/officeDocument/2006/relationships/hyperlink" Target="https://dym.asia/services/new-graduates/new-graduate-recruitment/" TargetMode="External" Id="rId1615"/><Relationship Type="http://schemas.openxmlformats.org/officeDocument/2006/relationships/hyperlink" Target="https://dym.asia/media/recruiting/40s-job-change/" TargetMode="External" Id="rId1616"/><Relationship Type="http://schemas.openxmlformats.org/officeDocument/2006/relationships/hyperlink" Target="https://www.dshu.jp/" TargetMode="External" Id="rId1617"/><Relationship Type="http://schemas.openxmlformats.org/officeDocument/2006/relationships/hyperlink" Target="https://dym.asia/services/new-graduates/high-class/" TargetMode="External" Id="rId1618"/><Relationship Type="http://schemas.openxmlformats.org/officeDocument/2006/relationships/hyperlink" Target="https://dym.asia/media/recruiting/athlete-recruitment/" TargetMode="External" Id="rId1619"/><Relationship Type="http://schemas.openxmlformats.org/officeDocument/2006/relationships/hyperlink" Target="https://dym.asia/services/new-graduates/new-graduate-recruitment/" TargetMode="External" Id="rId1620"/><Relationship Type="http://schemas.openxmlformats.org/officeDocument/2006/relationships/hyperlink" Target="https://dym.asia/services/new-graduates/new-graduate-recruitment/" TargetMode="External" Id="rId1621"/><Relationship Type="http://schemas.openxmlformats.org/officeDocument/2006/relationships/hyperlink" Target="https://dym.asia/media/recruiting/internship-transportation-expenses/" TargetMode="External" Id="rId1622"/><Relationship Type="http://schemas.openxmlformats.org/officeDocument/2006/relationships/hyperlink" Target="https://www.meetscompany.jp/" TargetMode="External" Id="rId1623"/><Relationship Type="http://schemas.openxmlformats.org/officeDocument/2006/relationships/hyperlink" Target="https://dym.asia/services/new-graduates/new-graduate-recruitment/" TargetMode="External" Id="rId1624"/><Relationship Type="http://schemas.openxmlformats.org/officeDocument/2006/relationships/hyperlink" Target="https://dym.asia/media/recruiting/long-term-internship/" TargetMode="External" Id="rId1625"/><Relationship Type="http://schemas.openxmlformats.org/officeDocument/2006/relationships/hyperlink" Target="https://www.meetscompany.jp/" TargetMode="External" Id="rId1626"/><Relationship Type="http://schemas.openxmlformats.org/officeDocument/2006/relationships/hyperlink" Target="https://dym.asia/services/new-graduates/new-graduate-recruitment/" TargetMode="External" Id="rId1627"/><Relationship Type="http://schemas.openxmlformats.org/officeDocument/2006/relationships/hyperlink" Target="https://dym.asia/media/recruiting/jikobunseki-10-tips/" TargetMode="External" Id="rId1628"/><Relationship Type="http://schemas.openxmlformats.org/officeDocument/2006/relationships/hyperlink" Target="https://www.meetscompany.jp/" TargetMode="External" Id="rId1629"/><Relationship Type="http://schemas.openxmlformats.org/officeDocument/2006/relationships/hyperlink" Target="https://dym.asia/services/new-graduates/new-graduate-recruitment/" TargetMode="External" Id="rId1630"/><Relationship Type="http://schemas.openxmlformats.org/officeDocument/2006/relationships/hyperlink" Target="https://dym.asia/media/recruiting/part-time-advisor/" TargetMode="External" Id="rId1631"/><Relationship Type="http://schemas.openxmlformats.org/officeDocument/2006/relationships/hyperlink" Target="https://dym.asia/services/new-graduates/exe-part/" TargetMode="External" Id="rId1632"/><Relationship Type="http://schemas.openxmlformats.org/officeDocument/2006/relationships/hyperlink" Target="https://dym.asia/media/recruiting/former-resume3/" TargetMode="External" Id="rId1633"/><Relationship Type="http://schemas.openxmlformats.org/officeDocument/2006/relationships/hyperlink" Target="https://www.dshu.jp/" TargetMode="External" Id="rId1634"/><Relationship Type="http://schemas.openxmlformats.org/officeDocument/2006/relationships/hyperlink" Target="https://dym.asia/services/new-graduates/Former-graduate/" TargetMode="External" Id="rId1635"/><Relationship Type="http://schemas.openxmlformats.org/officeDocument/2006/relationships/hyperlink" Target="https://dym.asia/media/recruiting/highscool-employment/" TargetMode="External" Id="rId1636"/><Relationship Type="http://schemas.openxmlformats.org/officeDocument/2006/relationships/hyperlink" Target="https://www.dshu.jp/" TargetMode="External" Id="rId1637"/><Relationship Type="http://schemas.openxmlformats.org/officeDocument/2006/relationships/hyperlink" Target="https://dym.asia/services/new-graduates/Former-graduate/" TargetMode="External" Id="rId1638"/><Relationship Type="http://schemas.openxmlformats.org/officeDocument/2006/relationships/hyperlink" Target="https://dym.asia/media/recruiting/hsp/" TargetMode="External" Id="rId1639"/><Relationship Type="http://schemas.openxmlformats.org/officeDocument/2006/relationships/hyperlink" Target="https://www.meetscompany.jp/" TargetMode="External" Id="rId1640"/><Relationship Type="http://schemas.openxmlformats.org/officeDocument/2006/relationships/hyperlink" Target="https://dym.asia/services/new-graduates/new-graduate-recruitment/" TargetMode="External" Id="rId1641"/><Relationship Type="http://schemas.openxmlformats.org/officeDocument/2006/relationships/hyperlink" Target="https://dym.asia/media/recruiting/inexperienced/" TargetMode="External" Id="rId1642"/><Relationship Type="http://schemas.openxmlformats.org/officeDocument/2006/relationships/hyperlink" Target="https://www.dshu.jp/" TargetMode="External" Id="rId1643"/><Relationship Type="http://schemas.openxmlformats.org/officeDocument/2006/relationships/hyperlink" Target="https://dym.asia/services/new-graduates/Former-graduate/" TargetMode="External" Id="rId1644"/><Relationship Type="http://schemas.openxmlformats.org/officeDocument/2006/relationships/hyperlink" Target="https://dym.asia/media/recruiting/internship-interview/" TargetMode="External" Id="rId1645"/><Relationship Type="http://schemas.openxmlformats.org/officeDocument/2006/relationships/hyperlink" Target="https://www.meetscompany.jp/" TargetMode="External" Id="rId1646"/><Relationship Type="http://schemas.openxmlformats.org/officeDocument/2006/relationships/hyperlink" Target="https://dym.asia/services/new-graduates/new-graduate-recruitment/" TargetMode="External" Id="rId1647"/><Relationship Type="http://schemas.openxmlformats.org/officeDocument/2006/relationships/hyperlink" Target="https://dym.asia/media/recruiting/session-when-arrive/" TargetMode="External" Id="rId1648"/><Relationship Type="http://schemas.openxmlformats.org/officeDocument/2006/relationships/hyperlink" Target="https://www.meetscompany.jp/" TargetMode="External" Id="rId1649"/><Relationship Type="http://schemas.openxmlformats.org/officeDocument/2006/relationships/hyperlink" Target="https://dym.asia/services/new-graduates/new-graduate-recruitment/" TargetMode="External" Id="rId1650"/><Relationship Type="http://schemas.openxmlformats.org/officeDocument/2006/relationships/hyperlink" Target="https://dym.asia/media/recruiting/35-job-change/" TargetMode="External" Id="rId1651"/><Relationship Type="http://schemas.openxmlformats.org/officeDocument/2006/relationships/hyperlink" Target="https://www.dshu.jp/" TargetMode="External" Id="rId1652"/><Relationship Type="http://schemas.openxmlformats.org/officeDocument/2006/relationships/hyperlink" Target="https://dym.asia/services/new-graduates/high-class/" TargetMode="External" Id="rId1653"/><Relationship Type="http://schemas.openxmlformats.org/officeDocument/2006/relationships/hyperlink" Target="https://dym.asia/media/recruiting/interview-practice/" TargetMode="External" Id="rId1654"/><Relationship Type="http://schemas.openxmlformats.org/officeDocument/2006/relationships/hyperlink" Target="https://www.meetscompany.jp/" TargetMode="External" Id="rId1655"/><Relationship Type="http://schemas.openxmlformats.org/officeDocument/2006/relationships/hyperlink" Target="https://dym.asia/services/new-graduates/new-graduate-recruitment/" TargetMode="External" Id="rId1656"/><Relationship Type="http://schemas.openxmlformats.org/officeDocument/2006/relationships/hyperlink" Target="https://dym.asia/media/recruiting/management-experience/" TargetMode="External" Id="rId1657"/><Relationship Type="http://schemas.openxmlformats.org/officeDocument/2006/relationships/hyperlink" Target="https://www.dshu.jp/" TargetMode="External" Id="rId1658"/><Relationship Type="http://schemas.openxmlformats.org/officeDocument/2006/relationships/hyperlink" Target="https://dym.asia/services/new-graduates/Former-graduate/" TargetMode="External" Id="rId1659"/><Relationship Type="http://schemas.openxmlformats.org/officeDocument/2006/relationships/hyperlink" Target="https://dym.asia/media/recruiting/marketing-temporary-inexperienced/" TargetMode="External" Id="rId1660"/><Relationship Type="http://schemas.openxmlformats.org/officeDocument/2006/relationships/hyperlink" Target="https://dym-tech.jp/" TargetMode="External" Id="rId1661"/><Relationship Type="http://schemas.openxmlformats.org/officeDocument/2006/relationships/hyperlink" Target="https://dym.asia/services/new-graduates/dym-tech/" TargetMode="External" Id="rId1662"/><Relationship Type="http://schemas.openxmlformats.org/officeDocument/2006/relationships/hyperlink" Target="https://dym.asia/media/recruiting/new-graduate-event/" TargetMode="External" Id="rId1663"/><Relationship Type="http://schemas.openxmlformats.org/officeDocument/2006/relationships/hyperlink" Target="https://www.meetscompany.jp/" TargetMode="External" Id="rId1664"/><Relationship Type="http://schemas.openxmlformats.org/officeDocument/2006/relationships/hyperlink" Target="https://dym.asia/services/new-graduates/new-graduate-recruitment/" TargetMode="External" Id="rId1665"/><Relationship Type="http://schemas.openxmlformats.org/officeDocument/2006/relationships/hyperlink" Target="https://dym.asia/media/recruiting/summer-internship/" TargetMode="External" Id="rId1666"/><Relationship Type="http://schemas.openxmlformats.org/officeDocument/2006/relationships/hyperlink" Target="https://www.meetscompany.jp/" TargetMode="External" Id="rId1667"/><Relationship Type="http://schemas.openxmlformats.org/officeDocument/2006/relationships/hyperlink" Target="https://dym.asia/services/new-graduates/new-graduate-recruitment/" TargetMode="External" Id="rId1668"/><Relationship Type="http://schemas.openxmlformats.org/officeDocument/2006/relationships/hyperlink" Target="https://dym.asia/media/recruiting/about-company-session/" TargetMode="External" Id="rId1669"/><Relationship Type="http://schemas.openxmlformats.org/officeDocument/2006/relationships/hyperlink" Target="https://www.meetscompany.jp/" TargetMode="External" Id="rId1670"/><Relationship Type="http://schemas.openxmlformats.org/officeDocument/2006/relationships/hyperlink" Target="https://dym.asia/services/new-graduates/new-graduate-recruitment/" TargetMode="External" Id="rId1671"/><Relationship Type="http://schemas.openxmlformats.org/officeDocument/2006/relationships/hyperlink" Target="https://dym.asia/media/recruiting/job-seeker-support/" TargetMode="External" Id="rId1672"/><Relationship Type="http://schemas.openxmlformats.org/officeDocument/2006/relationships/hyperlink" Target="https://www.meetscompany.jp/" TargetMode="External" Id="rId1673"/><Relationship Type="http://schemas.openxmlformats.org/officeDocument/2006/relationships/hyperlink" Target="https://dym.asia/services/new-graduates/new-graduate-recruitment/" TargetMode="External" Id="rId1674"/><Relationship Type="http://schemas.openxmlformats.org/officeDocument/2006/relationships/hyperlink" Target="https://dym.asia/media/recruiting/session-mail/" TargetMode="External" Id="rId1675"/><Relationship Type="http://schemas.openxmlformats.org/officeDocument/2006/relationships/hyperlink" Target="https://www.meetscompany.jp/" TargetMode="External" Id="rId1676"/><Relationship Type="http://schemas.openxmlformats.org/officeDocument/2006/relationships/hyperlink" Target="https://dym.asia/services/new-graduates/new-graduate-recruitment/" TargetMode="External" Id="rId1677"/><Relationship Type="http://schemas.openxmlformats.org/officeDocument/2006/relationships/hyperlink" Target="https://dym.asia/media/recruiting/informal-acceptance-letter/" TargetMode="External" Id="rId1678"/><Relationship Type="http://schemas.openxmlformats.org/officeDocument/2006/relationships/hyperlink" Target="https://www.meetscompany.jp/" TargetMode="External" Id="rId1679"/><Relationship Type="http://schemas.openxmlformats.org/officeDocument/2006/relationships/hyperlink" Target="https://dym.asia/services/new-graduates/new-graduate-recruitment/" TargetMode="External" Id="rId1680"/><Relationship Type="http://schemas.openxmlformats.org/officeDocument/2006/relationships/hyperlink" Target="https://dym.asia/media/recruiting/self-analysis/" TargetMode="External" Id="rId1681"/><Relationship Type="http://schemas.openxmlformats.org/officeDocument/2006/relationships/hyperlink" Target="https://www.meetscompany.jp/" TargetMode="External" Id="rId1682"/><Relationship Type="http://schemas.openxmlformats.org/officeDocument/2006/relationships/hyperlink" Target="https://dym.asia/services/new-graduates/new-graduate-recruitment/" TargetMode="External" Id="rId1683"/><Relationship Type="http://schemas.openxmlformats.org/officeDocument/2006/relationships/hyperlink" Target="https://dym.asia/media/recruiting/session-hairstyle/" TargetMode="External" Id="rId1684"/><Relationship Type="http://schemas.openxmlformats.org/officeDocument/2006/relationships/hyperlink" Target="https://www.meetscompany.jp/" TargetMode="External" Id="rId1685"/><Relationship Type="http://schemas.openxmlformats.org/officeDocument/2006/relationships/hyperlink" Target="https://dym.asia/services/new-graduates/new-graduate-recruitment/" TargetMode="External" Id="rId1686"/><Relationship Type="http://schemas.openxmlformats.org/officeDocument/2006/relationships/hyperlink" Target="https://dym.asia/media/recruiting/internship-early-selection/" TargetMode="External" Id="rId1687"/><Relationship Type="http://schemas.openxmlformats.org/officeDocument/2006/relationships/hyperlink" Target="https://www.meetscompany.jp/" TargetMode="External" Id="rId1688"/><Relationship Type="http://schemas.openxmlformats.org/officeDocument/2006/relationships/hyperlink" Target="https://dym.asia/services/new-graduates/new-graduate-recruitment/" TargetMode="External" Id="rId1689"/><Relationship Type="http://schemas.openxmlformats.org/officeDocument/2006/relationships/hyperlink" Target="https://dym.asia/media/recruiting/new-graduate-startup/" TargetMode="External" Id="rId1690"/><Relationship Type="http://schemas.openxmlformats.org/officeDocument/2006/relationships/hyperlink" Target="https://www.meetscompany.jp/" TargetMode="External" Id="rId1691"/><Relationship Type="http://schemas.openxmlformats.org/officeDocument/2006/relationships/hyperlink" Target="https://dym.asia/services/new-graduates/new-graduate-recruitment/" TargetMode="External" Id="rId1692"/><Relationship Type="http://schemas.openxmlformats.org/officeDocument/2006/relationships/hyperlink" Target="https://dym.asia/media/recruiting/self-affirmation/" TargetMode="External" Id="rId1693"/><Relationship Type="http://schemas.openxmlformats.org/officeDocument/2006/relationships/hyperlink" Target="https://www.meetscompany.jp/" TargetMode="External" Id="rId1694"/><Relationship Type="http://schemas.openxmlformats.org/officeDocument/2006/relationships/hyperlink" Target="https://dym.asia/services/new-graduates/new-graduate-recruitment/" TargetMode="External" Id="rId1695"/><Relationship Type="http://schemas.openxmlformats.org/officeDocument/2006/relationships/hyperlink" Target="https://dym.asia/media/recruiting/session-bringing/" TargetMode="External" Id="rId1696"/><Relationship Type="http://schemas.openxmlformats.org/officeDocument/2006/relationships/hyperlink" Target="https://www.meetscompany.jp/" TargetMode="External" Id="rId1697"/><Relationship Type="http://schemas.openxmlformats.org/officeDocument/2006/relationships/hyperlink" Target="https://dym.asia/services/new-graduates/new-graduate-recruitment/" TargetMode="External" Id="rId1698"/><Relationship Type="http://schemas.openxmlformats.org/officeDocument/2006/relationships/hyperlink" Target="https://dym.asia/media/recruiting/career/" TargetMode="External" Id="rId1699"/><Relationship Type="http://schemas.openxmlformats.org/officeDocument/2006/relationships/hyperlink" Target="https://www.meetscompany.jp/" TargetMode="External" Id="rId1700"/><Relationship Type="http://schemas.openxmlformats.org/officeDocument/2006/relationships/hyperlink" Target="https://dym.asia/services/new-graduates/new-graduate-recruitment/" TargetMode="External" Id="rId1701"/><Relationship Type="http://schemas.openxmlformats.org/officeDocument/2006/relationships/hyperlink" Target="https://dym.asia/media/recruiting/final-interview-rejection/" TargetMode="External" Id="rId1702"/><Relationship Type="http://schemas.openxmlformats.org/officeDocument/2006/relationships/hyperlink" Target="https://www.meetscompany.jp/" TargetMode="External" Id="rId1703"/><Relationship Type="http://schemas.openxmlformats.org/officeDocument/2006/relationships/hyperlink" Target="https://dym.asia/services/new-graduates/new-graduate-recruitment/" TargetMode="External" Id="rId1704"/><Relationship Type="http://schemas.openxmlformats.org/officeDocument/2006/relationships/hyperlink" Target="https://dym.asia/media/recruiting/30s-job-change/" TargetMode="External" Id="rId1705"/><Relationship Type="http://schemas.openxmlformats.org/officeDocument/2006/relationships/hyperlink" Target="https://dym.asia/services/new-graduates/Former-graduate/" TargetMode="External" Id="rId1706"/><Relationship Type="http://schemas.openxmlformats.org/officeDocument/2006/relationships/hyperlink" Target="https://dym.asia/media/recruiting/casual-interview/" TargetMode="External" Id="rId1707"/><Relationship Type="http://schemas.openxmlformats.org/officeDocument/2006/relationships/hyperlink" Target="https://www.meetscompany.jp/" TargetMode="External" Id="rId1708"/><Relationship Type="http://schemas.openxmlformats.org/officeDocument/2006/relationships/hyperlink" Target="https://dym.asia/services/new-graduates/new-graduate-recruitment/" TargetMode="External" Id="rId1709"/><Relationship Type="http://schemas.openxmlformats.org/officeDocument/2006/relationships/hyperlink" Target="https://dym.asia/media/recruiting/differance-former2/" TargetMode="External" Id="rId1710"/><Relationship Type="http://schemas.openxmlformats.org/officeDocument/2006/relationships/hyperlink" Target="https://www.dshu.jp/" TargetMode="External" Id="rId1711"/><Relationship Type="http://schemas.openxmlformats.org/officeDocument/2006/relationships/hyperlink" Target="https://dym.asia/services/new-graduates/Former-graduate/" TargetMode="External" Id="rId1712"/><Relationship Type="http://schemas.openxmlformats.org/officeDocument/2006/relationships/hyperlink" Target="https://dym.asia/media/recruiting/tekisei-test-countermeasures/" TargetMode="External" Id="rId1713"/><Relationship Type="http://schemas.openxmlformats.org/officeDocument/2006/relationships/hyperlink" Target="https://www.meetscompany.jp/" TargetMode="External" Id="rId1714"/><Relationship Type="http://schemas.openxmlformats.org/officeDocument/2006/relationships/hyperlink" Target="https://dym.asia/services/new-graduates/new-graduate-recruitment/" TargetMode="External" Id="rId1715"/><Relationship Type="http://schemas.openxmlformats.org/officeDocument/2006/relationships/hyperlink" Target="https://dym.asia/media/recruiting/the-rule-of-mehrabian/" TargetMode="External" Id="rId1716"/><Relationship Type="http://schemas.openxmlformats.org/officeDocument/2006/relationships/hyperlink" Target="https://www.meetscompany.jp/" TargetMode="External" Id="rId1717"/><Relationship Type="http://schemas.openxmlformats.org/officeDocument/2006/relationships/hyperlink" Target="https://dym.asia/services/new-graduates/new-graduate-recruitment/" TargetMode="External" Id="rId1718"/><Relationship Type="http://schemas.openxmlformats.org/officeDocument/2006/relationships/hyperlink" Target="https://dym.asia/media/recruiting/athlete-job-hunting/" TargetMode="External" Id="rId1719"/><Relationship Type="http://schemas.openxmlformats.org/officeDocument/2006/relationships/hyperlink" Target="https://www.meetscompany.jp/" TargetMode="External" Id="rId1720"/><Relationship Type="http://schemas.openxmlformats.org/officeDocument/2006/relationships/hyperlink" Target="https://dym.asia/services/new-graduates/new-graduate-recruitment/" TargetMode="External" Id="rId1721"/><Relationship Type="http://schemas.openxmlformats.org/officeDocument/2006/relationships/hyperlink" Target="https://dym.asia/media/recruiting/career-fair-question/" TargetMode="External" Id="rId1722"/><Relationship Type="http://schemas.openxmlformats.org/officeDocument/2006/relationships/hyperlink" Target="https://www.meetscompany.jp/" TargetMode="External" Id="rId1723"/><Relationship Type="http://schemas.openxmlformats.org/officeDocument/2006/relationships/hyperlink" Target="https://dym.asia/services/new-graduates/new-graduate-recruitment/" TargetMode="External" Id="rId1724"/><Relationship Type="http://schemas.openxmlformats.org/officeDocument/2006/relationships/hyperlink" Target="https://dym.asia/media/recruiting/esfj/" TargetMode="External" Id="rId1725"/><Relationship Type="http://schemas.openxmlformats.org/officeDocument/2006/relationships/hyperlink" Target="https://www.dshu.jp/" TargetMode="External" Id="rId1726"/><Relationship Type="http://schemas.openxmlformats.org/officeDocument/2006/relationships/hyperlink" Target="https://dym.asia/services/new-graduates/Former-graduate/" TargetMode="External" Id="rId1727"/><Relationship Type="http://schemas.openxmlformats.org/officeDocument/2006/relationships/hyperlink" Target="https://dym.asia/media/recruiting/job-interview/" TargetMode="External" Id="rId1728"/><Relationship Type="http://schemas.openxmlformats.org/officeDocument/2006/relationships/hyperlink" Target="https://www.dshu.jp/" TargetMode="External" Id="rId1729"/><Relationship Type="http://schemas.openxmlformats.org/officeDocument/2006/relationships/hyperlink" Target="https://dym.asia/services/new-graduates/Former-graduate/" TargetMode="External" Id="rId1730"/><Relationship Type="http://schemas.openxmlformats.org/officeDocument/2006/relationships/hyperlink" Target="https://dym.asia/media/recruiting/career-agent/" TargetMode="External" Id="rId1731"/><Relationship Type="http://schemas.openxmlformats.org/officeDocument/2006/relationships/hyperlink" Target="https://www.meetscompany.jp/" TargetMode="External" Id="rId1732"/><Relationship Type="http://schemas.openxmlformats.org/officeDocument/2006/relationships/hyperlink" Target="https://dym.asia/services/new-graduates/new-graduate-recruitment/" TargetMode="External" Id="rId1733"/><Relationship Type="http://schemas.openxmlformats.org/officeDocument/2006/relationships/hyperlink" Target="https://dym.asia/media/recruiting/career-change-no-skills/" TargetMode="External" Id="rId1734"/><Relationship Type="http://schemas.openxmlformats.org/officeDocument/2006/relationships/hyperlink" Target="https://www.dshu.jp/" TargetMode="External" Id="rId1735"/><Relationship Type="http://schemas.openxmlformats.org/officeDocument/2006/relationships/hyperlink" Target="https://dym.asia/services/new-graduates/Former-graduate/" TargetMode="External" Id="rId1736"/><Relationship Type="http://schemas.openxmlformats.org/officeDocument/2006/relationships/hyperlink" Target="https://dym.asia/media/recruiting/complete-five-day-weekend-system/" TargetMode="External" Id="rId1737"/><Relationship Type="http://schemas.openxmlformats.org/officeDocument/2006/relationships/hyperlink" Target="https://www.dshu.jp/" TargetMode="External" Id="rId1738"/><Relationship Type="http://schemas.openxmlformats.org/officeDocument/2006/relationships/hyperlink" Target="https://dym.asia/services/new-graduates/Former-graduate/" TargetMode="External" Id="rId1739"/><Relationship Type="http://schemas.openxmlformats.org/officeDocument/2006/relationships/hyperlink" Target="https://dym.asia/media/recruiting/manager-job-change/" TargetMode="External" Id="rId1740"/><Relationship Type="http://schemas.openxmlformats.org/officeDocument/2006/relationships/hyperlink" Target="https://www.dshu.jp/" TargetMode="External" Id="rId1741"/><Relationship Type="http://schemas.openxmlformats.org/officeDocument/2006/relationships/hyperlink" Target="https://dym.asia/services/new-graduates/Former-graduate/" TargetMode="External" Id="rId1742"/><Relationship Type="http://schemas.openxmlformats.org/officeDocument/2006/relationships/hyperlink" Target="https://dym.asia/media/recruiting/office-workers/" TargetMode="External" Id="rId1743"/><Relationship Type="http://schemas.openxmlformats.org/officeDocument/2006/relationships/hyperlink" Target="https://dymcareer.jp/?_gl=1*18cw4rt*_ga*MTI1MjE5NTY3My4xNzU2NDMyNTY0*_ga_ZXCZZJJ72V*czE3Njg5NTc1NTAkbzI3JGcxJHQxNzY4OTcwMTg2JGo2MCRsMCRoMA.." TargetMode="External" Id="rId1744"/><Relationship Type="http://schemas.openxmlformats.org/officeDocument/2006/relationships/hyperlink" Target="https://dym.asia/services/new-graduates/Former-graduate/" TargetMode="External" Id="rId1745"/><Relationship Type="http://schemas.openxmlformats.org/officeDocument/2006/relationships/hyperlink" Target="https://dym.asia/media/recruiting/resume-guide/" TargetMode="External" Id="rId1746"/><Relationship Type="http://schemas.openxmlformats.org/officeDocument/2006/relationships/hyperlink" Target="https://www.dshu.jp/" TargetMode="External" Id="rId1747"/><Relationship Type="http://schemas.openxmlformats.org/officeDocument/2006/relationships/hyperlink" Target="https://dym.asia/services/new-graduates/new-graduate-recruitment/" TargetMode="External" Id="rId1748"/><Relationship Type="http://schemas.openxmlformats.org/officeDocument/2006/relationships/hyperlink" Target="https://dym.asia/media/recruiting/science-field-employment/" TargetMode="External" Id="rId1749"/><Relationship Type="http://schemas.openxmlformats.org/officeDocument/2006/relationships/hyperlink" Target="https://dymscout.jp/" TargetMode="External" Id="rId1750"/><Relationship Type="http://schemas.openxmlformats.org/officeDocument/2006/relationships/hyperlink" Target="https://dym.asia/services/new-graduates/new-graduate-recruitment/" TargetMode="External" Id="rId1751"/><Relationship Type="http://schemas.openxmlformats.org/officeDocument/2006/relationships/hyperlink" Target="https://dym.asia/media/recruiting/system-engineer/" TargetMode="External" Id="rId1752"/><Relationship Type="http://schemas.openxmlformats.org/officeDocument/2006/relationships/hyperlink" Target="https://www.dshu.jp/" TargetMode="External" Id="rId1753"/><Relationship Type="http://schemas.openxmlformats.org/officeDocument/2006/relationships/hyperlink" Target="https://dym.asia/services/new-graduates/dym-tech/" TargetMode="External" Id="rId1754"/><Relationship Type="http://schemas.openxmlformats.org/officeDocument/2006/relationships/hyperlink" Target="https://dym.asia/media/recruiting/venture-company/" TargetMode="External" Id="rId1755"/><Relationship Type="http://schemas.openxmlformats.org/officeDocument/2006/relationships/hyperlink" Target="https://www.meetscompany.jp/" TargetMode="External" Id="rId1756"/><Relationship Type="http://schemas.openxmlformats.org/officeDocument/2006/relationships/hyperlink" Target="https://dym.asia/services/new-graduates/new-graduate-recruitment/" TargetMode="External" Id="rId1757"/><Relationship Type="http://schemas.openxmlformats.org/officeDocument/2006/relationships/hyperlink" Target="https://dym.asia/media/recruiting/final-interview/" TargetMode="External" Id="rId1758"/><Relationship Type="http://schemas.openxmlformats.org/officeDocument/2006/relationships/hyperlink" Target="https://www.dshu.jp/" TargetMode="External" Id="rId1759"/><Relationship Type="http://schemas.openxmlformats.org/officeDocument/2006/relationships/hyperlink" Target="https://dym.asia/services/new-graduates/Former-graduate/" TargetMode="External" Id="rId1760"/><Relationship Type="http://schemas.openxmlformats.org/officeDocument/2006/relationships/hyperlink" Target="https://dym.asia/media/recruiting/it-consulting-job-change/" TargetMode="External" Id="rId1761"/><Relationship Type="http://schemas.openxmlformats.org/officeDocument/2006/relationships/hyperlink" Target="https://www.dshu.jp/" TargetMode="External" Id="rId1762"/><Relationship Type="http://schemas.openxmlformats.org/officeDocument/2006/relationships/hyperlink" Target="https://dym.asia/services/new-graduates/high-class/" TargetMode="External" Id="rId1763"/><Relationship Type="http://schemas.openxmlformats.org/officeDocument/2006/relationships/hyperlink" Target="https://dym.asia/media/recruiting/session-question/" TargetMode="External" Id="rId1764"/><Relationship Type="http://schemas.openxmlformats.org/officeDocument/2006/relationships/hyperlink" Target="https://www.meetscompany.jp/" TargetMode="External" Id="rId1765"/><Relationship Type="http://schemas.openxmlformats.org/officeDocument/2006/relationships/hyperlink" Target="https://dym.asia/services/new-graduates/new-graduate-recruitment/" TargetMode="External" Id="rId1766"/><Relationship Type="http://schemas.openxmlformats.org/officeDocument/2006/relationships/hyperlink" Target="https://dym.asia/media/recruiting/shukatsu-2026-prepare-now/" TargetMode="External" Id="rId1767"/><Relationship Type="http://schemas.openxmlformats.org/officeDocument/2006/relationships/hyperlink" Target="https://www.meetscompany.jp/" TargetMode="External" Id="rId1768"/><Relationship Type="http://schemas.openxmlformats.org/officeDocument/2006/relationships/hyperlink" Target="https://dym.asia/services/new-graduates/new-graduate-recruitment/" TargetMode="External" Id="rId1769"/><Relationship Type="http://schemas.openxmlformats.org/officeDocument/2006/relationships/hyperlink" Target="https://dym.asia/media/recruiting/confort-zone/" TargetMode="External" Id="rId1770"/><Relationship Type="http://schemas.openxmlformats.org/officeDocument/2006/relationships/hyperlink" Target="https://www.meetscompany.jp/" TargetMode="External" Id="rId1771"/><Relationship Type="http://schemas.openxmlformats.org/officeDocument/2006/relationships/hyperlink" Target="https://dym.asia/services/new-graduates/new-graduate-recruitment/" TargetMode="External" Id="rId1772"/><Relationship Type="http://schemas.openxmlformats.org/officeDocument/2006/relationships/hyperlink" Target="https://dym.asia/media/recruiting/it-engineer/" TargetMode="External" Id="rId1773"/><Relationship Type="http://schemas.openxmlformats.org/officeDocument/2006/relationships/hyperlink" Target="https://www.dshu.jp/" TargetMode="External" Id="rId1774"/><Relationship Type="http://schemas.openxmlformats.org/officeDocument/2006/relationships/hyperlink" Target="https://dym.asia/services/new-graduates/dym-tech/" TargetMode="External" Id="rId1775"/><Relationship Type="http://schemas.openxmlformats.org/officeDocument/2006/relationships/hyperlink" Target="https://dym.asia/media/recruiting/strength-finder/" TargetMode="External" Id="rId1776"/><Relationship Type="http://schemas.openxmlformats.org/officeDocument/2006/relationships/hyperlink" Target="https://www.meetscompany.jp/" TargetMode="External" Id="rId1777"/><Relationship Type="http://schemas.openxmlformats.org/officeDocument/2006/relationships/hyperlink" Target="https://dym.asia/services/new-graduates/new-graduate-recruitment/" TargetMode="External" Id="rId1778"/><Relationship Type="http://schemas.openxmlformats.org/officeDocument/2006/relationships/hyperlink" Target="https://dym.asia/media/recruiting/30s-job-change-woman/" TargetMode="External" Id="rId1779"/><Relationship Type="http://schemas.openxmlformats.org/officeDocument/2006/relationships/hyperlink" Target="https://www.dshu.jp/" TargetMode="External" Id="rId1780"/><Relationship Type="http://schemas.openxmlformats.org/officeDocument/2006/relationships/hyperlink" Target="https://dym.asia/services/new-graduates/Former-graduate/" TargetMode="External" Id="rId1781"/><Relationship Type="http://schemas.openxmlformats.org/officeDocument/2006/relationships/hyperlink" Target="https://dym.asia/media/recruiting/35-job-change-inexperienced/" TargetMode="External" Id="rId1782"/><Relationship Type="http://schemas.openxmlformats.org/officeDocument/2006/relationships/hyperlink" Target="https://www.dshu.jp/" TargetMode="External" Id="rId1783"/><Relationship Type="http://schemas.openxmlformats.org/officeDocument/2006/relationships/hyperlink" Target="https://dym.asia/services/new-graduates/Former-graduate/" TargetMode="External" Id="rId1784"/><Relationship Type="http://schemas.openxmlformats.org/officeDocument/2006/relationships/hyperlink" Target="https://dym.asia/media/recruiting/40s-job-change-inexperienced/" TargetMode="External" Id="rId1785"/><Relationship Type="http://schemas.openxmlformats.org/officeDocument/2006/relationships/hyperlink" Target="https://www.dshu.jp/" TargetMode="External" Id="rId1786"/><Relationship Type="http://schemas.openxmlformats.org/officeDocument/2006/relationships/hyperlink" Target="https://dym.asia/services/new-graduates/high-class/" TargetMode="External" Id="rId1787"/><Relationship Type="http://schemas.openxmlformats.org/officeDocument/2006/relationships/hyperlink" Target="https://dym.asia/media/recruiting/ad-ope-freelance/" TargetMode="External" Id="rId1788"/><Relationship Type="http://schemas.openxmlformats.org/officeDocument/2006/relationships/hyperlink" Target="https://dym-tech.jp/" TargetMode="External" Id="rId1789"/><Relationship Type="http://schemas.openxmlformats.org/officeDocument/2006/relationships/hyperlink" Target="https://dym.asia/services/new-graduates/dym-tech/" TargetMode="External" Id="rId1790"/><Relationship Type="http://schemas.openxmlformats.org/officeDocument/2006/relationships/hyperlink" Target="https://dym.asia/media/recruiting/career-advice-contact/" TargetMode="External" Id="rId1791"/><Relationship Type="http://schemas.openxmlformats.org/officeDocument/2006/relationships/hyperlink" Target="https://www.dshu.jp/" TargetMode="External" Id="rId1792"/><Relationship Type="http://schemas.openxmlformats.org/officeDocument/2006/relationships/hyperlink" Target="https://dym.asia/services/new-graduates/Former-graduate/" TargetMode="External" Id="rId1793"/><Relationship Type="http://schemas.openxmlformats.org/officeDocument/2006/relationships/hyperlink" Target="https://dym.asia/media/recruiting/career-fair-bringing/" TargetMode="External" Id="rId1794"/><Relationship Type="http://schemas.openxmlformats.org/officeDocument/2006/relationships/hyperlink" Target="https://www.meetscompany.jp/" TargetMode="External" Id="rId1795"/><Relationship Type="http://schemas.openxmlformats.org/officeDocument/2006/relationships/hyperlink" Target="https://dym.asia/services/new-graduates/new-graduate-recruitment/" TargetMode="External" Id="rId1796"/><Relationship Type="http://schemas.openxmlformats.org/officeDocument/2006/relationships/hyperlink" Target="https://dym.asia/media/recruiting/differance-former/" TargetMode="External" Id="rId1797"/><Relationship Type="http://schemas.openxmlformats.org/officeDocument/2006/relationships/hyperlink" Target="https://www.dshu.jp/" TargetMode="External" Id="rId1798"/><Relationship Type="http://schemas.openxmlformats.org/officeDocument/2006/relationships/hyperlink" Target="https://dym.asia/services/new-graduates/Former-graduate/" TargetMode="External" Id="rId1799"/><Relationship Type="http://schemas.openxmlformats.org/officeDocument/2006/relationships/hyperlink" Target="https://dym.asia/media/recruiting/former-graduate/" TargetMode="External" Id="rId1800"/><Relationship Type="http://schemas.openxmlformats.org/officeDocument/2006/relationships/hyperlink" Target="https://www.dshu.jp/" TargetMode="External" Id="rId1801"/><Relationship Type="http://schemas.openxmlformats.org/officeDocument/2006/relationships/hyperlink" Target="https://dym.asia/services/new-graduates/Former-graduate/" TargetMode="External" Id="rId1802"/><Relationship Type="http://schemas.openxmlformats.org/officeDocument/2006/relationships/hyperlink" Target="https://dym.asia/media/recruiting/former-resume2/" TargetMode="External" Id="rId1803"/><Relationship Type="http://schemas.openxmlformats.org/officeDocument/2006/relationships/hyperlink" Target="https://www.dshu.jp/" TargetMode="External" Id="rId1804"/><Relationship Type="http://schemas.openxmlformats.org/officeDocument/2006/relationships/hyperlink" Target="https://dym.asia/services/new-graduates/Former-graduate/" TargetMode="External" Id="rId1805"/><Relationship Type="http://schemas.openxmlformats.org/officeDocument/2006/relationships/hyperlink" Target="https://dym.asia/media/recruiting/internship-recruitment/" TargetMode="External" Id="rId1806"/><Relationship Type="http://schemas.openxmlformats.org/officeDocument/2006/relationships/hyperlink" Target="https://www.meetscompany.jp/" TargetMode="External" Id="rId1807"/><Relationship Type="http://schemas.openxmlformats.org/officeDocument/2006/relationships/hyperlink" Target="https://dym.asia/services/new-graduates/new-graduate-recruitment/" TargetMode="External" Id="rId1808"/><Relationship Type="http://schemas.openxmlformats.org/officeDocument/2006/relationships/hyperlink" Target="https://dym.asia/media/recruiting/internship/" TargetMode="External" Id="rId1809"/><Relationship Type="http://schemas.openxmlformats.org/officeDocument/2006/relationships/hyperlink" Target="https://www.meetscompany.jp/" TargetMode="External" Id="rId1810"/><Relationship Type="http://schemas.openxmlformats.org/officeDocument/2006/relationships/hyperlink" Target="https://dym.asia/services/new-graduates/new-graduate-recruitment/" TargetMode="External" Id="rId1811"/><Relationship Type="http://schemas.openxmlformats.org/officeDocument/2006/relationships/hyperlink" Target="https://dym.asia/media/recruiting/self-pr/" TargetMode="External" Id="rId1812"/><Relationship Type="http://schemas.openxmlformats.org/officeDocument/2006/relationships/hyperlink" Target="https://www.dshu.jp/" TargetMode="External" Id="rId1813"/><Relationship Type="http://schemas.openxmlformats.org/officeDocument/2006/relationships/hyperlink" Target="https://dym.asia/services/new-graduates/Former-graduate/" TargetMode="External" Id="rId1814"/><Relationship Type="http://schemas.openxmlformats.org/officeDocument/2006/relationships/hyperlink" Target="https://dym.asia/media/recruiting/dispatch-salary/" TargetMode="External" Id="rId1815"/><Relationship Type="http://schemas.openxmlformats.org/officeDocument/2006/relationships/hyperlink" Target="https://dymcareer.jp/?_gl=1*1h28dvt*_ga*MTY1NDA3OTI2OC4xNzYwNTgxMjEy*_ga_ZXCZZJJ72V*czE3NjkwNjkzMjYkbzIxJGcxJHQxNzY5MDcxMjcwJGoyNyRsMCRoMA.." TargetMode="External" Id="rId1816"/><Relationship Type="http://schemas.openxmlformats.org/officeDocument/2006/relationships/hyperlink" Target="https://dym.asia/services/new-graduates/ready-career/" TargetMode="External" Id="rId1817"/><Relationship Type="http://schemas.openxmlformats.org/officeDocument/2006/relationships/hyperlink" Target="https://dym.asia/media/recruiting/how-to-search-long-term-internship/" TargetMode="External" Id="rId1818"/><Relationship Type="http://schemas.openxmlformats.org/officeDocument/2006/relationships/hyperlink" Target="https://www.meetscompany.jp/" TargetMode="External" Id="rId1819"/><Relationship Type="http://schemas.openxmlformats.org/officeDocument/2006/relationships/hyperlink" Target="https://dym.asia/services/new-graduates/new-graduate-recruitment/" TargetMode="External" Id="rId1820"/><Relationship Type="http://schemas.openxmlformats.org/officeDocument/2006/relationships/hyperlink" Target="https://dym.asia/media/recruiting/intp/" TargetMode="External" Id="rId1821"/><Relationship Type="http://schemas.openxmlformats.org/officeDocument/2006/relationships/hyperlink" Target="https://www.dshu.jp/" TargetMode="External" Id="rId1822"/><Relationship Type="http://schemas.openxmlformats.org/officeDocument/2006/relationships/hyperlink" Target="https://dym.asia/services/new-graduates/Former-graduate/" TargetMode="External" Id="rId1823"/><Relationship Type="http://schemas.openxmlformats.org/officeDocument/2006/relationships/hyperlink" Target="https://dym.asia/media/recruiting/new-graduate-interview-flow/" TargetMode="External" Id="rId1824"/><Relationship Type="http://schemas.openxmlformats.org/officeDocument/2006/relationships/hyperlink" Target="https://www.meetscompany.jp/" TargetMode="External" Id="rId1825"/><Relationship Type="http://schemas.openxmlformats.org/officeDocument/2006/relationships/hyperlink" Target="https://dym.asia/services/new-graduates/new-graduate-recruitment/" TargetMode="External" Id="rId1826"/><Relationship Type="http://schemas.openxmlformats.org/officeDocument/2006/relationships/hyperlink" Target="https://dym.asia/media/recruiting/scouting_service/" TargetMode="External" Id="rId1827"/><Relationship Type="http://schemas.openxmlformats.org/officeDocument/2006/relationships/hyperlink" Target="https://dymscout.jp/" TargetMode="External" Id="rId1828"/><Relationship Type="http://schemas.openxmlformats.org/officeDocument/2006/relationships/hyperlink" Target="https://dym.asia/services/new-graduates/new-graduate-recruitment/" TargetMode="External" Id="rId1829"/><Relationship Type="http://schemas.openxmlformats.org/officeDocument/2006/relationships/hyperlink" Target="https://dym.asia/media/recruiting/spi-2/" TargetMode="External" Id="rId1830"/><Relationship Type="http://schemas.openxmlformats.org/officeDocument/2006/relationships/hyperlink" Target="https://www.meetscompany.jp/" TargetMode="External" Id="rId1831"/><Relationship Type="http://schemas.openxmlformats.org/officeDocument/2006/relationships/hyperlink" Target="https://dym.asia/services/new-graduates/new-graduate-recruitment/" TargetMode="External" Id="rId1832"/><Relationship Type="http://schemas.openxmlformats.org/officeDocument/2006/relationships/hyperlink" Target="https://dym.asia/media/recruiting/30s-job-change-inexperienced/" TargetMode="External" Id="rId1833"/><Relationship Type="http://schemas.openxmlformats.org/officeDocument/2006/relationships/hyperlink" Target="https://www.dshu.jp/" TargetMode="External" Id="rId1834"/><Relationship Type="http://schemas.openxmlformats.org/officeDocument/2006/relationships/hyperlink" Target="https://dym.asia/services/new-graduates/Former-graduate/" TargetMode="External" Id="rId1835"/><Relationship Type="http://schemas.openxmlformats.org/officeDocument/2006/relationships/hyperlink" Target="https://dym.asia/media/recruiting/about-aptitude-test/" TargetMode="External" Id="rId1836"/><Relationship Type="http://schemas.openxmlformats.org/officeDocument/2006/relationships/hyperlink" Target="https://www.meetscompany.jp/" TargetMode="External" Id="rId1837"/><Relationship Type="http://schemas.openxmlformats.org/officeDocument/2006/relationships/hyperlink" Target="https://dym.asia/services/new-graduates/new-graduate-recruitment/" TargetMode="External" Id="rId1838"/><Relationship Type="http://schemas.openxmlformats.org/officeDocument/2006/relationships/hyperlink" Target="https://dym.asia/media/recruiting/b-to-c/" TargetMode="External" Id="rId1839"/><Relationship Type="http://schemas.openxmlformats.org/officeDocument/2006/relationships/hyperlink" Target="https://dym.asia/services/new-graduates/new-graduate-recruitment/" TargetMode="External" Id="rId1840"/><Relationship Type="http://schemas.openxmlformats.org/officeDocument/2006/relationships/hyperlink" Target="https://dym.asia/media/recruiting/career-fair-wearing/" TargetMode="External" Id="rId1841"/><Relationship Type="http://schemas.openxmlformats.org/officeDocument/2006/relationships/hyperlink" Target="https://www.meetscompany.jp/" TargetMode="External" Id="rId1842"/><Relationship Type="http://schemas.openxmlformats.org/officeDocument/2006/relationships/hyperlink" Target="https://dym.asia/services/new-graduates/new-graduate-recruitment/" TargetMode="External" Id="rId1843"/><Relationship Type="http://schemas.openxmlformats.org/officeDocument/2006/relationships/hyperlink" Target="https://dym.asia/media/recruiting/commuting-allowance/" TargetMode="External" Id="rId1844"/><Relationship Type="http://schemas.openxmlformats.org/officeDocument/2006/relationships/hyperlink" Target="https://www.dshu.jp/" TargetMode="External" Id="rId1845"/><Relationship Type="http://schemas.openxmlformats.org/officeDocument/2006/relationships/hyperlink" Target="https://dym.asia/services/new-graduates/" TargetMode="External" Id="rId1846"/><Relationship Type="http://schemas.openxmlformats.org/officeDocument/2006/relationships/hyperlink" Target="https://dym.asia/media/recruiting/company-briefing-flow-questions/" TargetMode="External" Id="rId1847"/><Relationship Type="http://schemas.openxmlformats.org/officeDocument/2006/relationships/hyperlink" Target="https://www.meetscompany.jp/" TargetMode="External" Id="rId1848"/><Relationship Type="http://schemas.openxmlformats.org/officeDocument/2006/relationships/hyperlink" Target="https://dym.asia/services/new-graduates/new-graduate-recruitment/" TargetMode="External" Id="rId1849"/><Relationship Type="http://schemas.openxmlformats.org/officeDocument/2006/relationships/hyperlink" Target="https://dym.asia/media/recruiting/differance-former-newgraduate/" TargetMode="External" Id="rId1850"/><Relationship Type="http://schemas.openxmlformats.org/officeDocument/2006/relationships/hyperlink" Target="https://www.dshu.jp/" TargetMode="External" Id="rId1851"/><Relationship Type="http://schemas.openxmlformats.org/officeDocument/2006/relationships/hyperlink" Target="https://dym.asia/services/new-graduates/Former-graduate/" TargetMode="External" Id="rId1852"/><Relationship Type="http://schemas.openxmlformats.org/officeDocument/2006/relationships/hyperlink" Target="https://dym.asia/media/recruiting/dispatch-se/" TargetMode="External" Id="rId1853"/><Relationship Type="http://schemas.openxmlformats.org/officeDocument/2006/relationships/hyperlink" Target="https://dym-tech.jp/" TargetMode="External" Id="rId1854"/><Relationship Type="http://schemas.openxmlformats.org/officeDocument/2006/relationships/hyperlink" Target="https://dym.asia/services/new-graduates/dym-tech/" TargetMode="External" Id="rId1855"/><Relationship Type="http://schemas.openxmlformats.org/officeDocument/2006/relationships/hyperlink" Target="https://dym.asia/media/recruiting/estj/" TargetMode="External" Id="rId1856"/><Relationship Type="http://schemas.openxmlformats.org/officeDocument/2006/relationships/hyperlink" Target="https://www.dshu.jp/" TargetMode="External" Id="rId1857"/><Relationship Type="http://schemas.openxmlformats.org/officeDocument/2006/relationships/hyperlink" Target="https://dym.asia/services/new-graduates/Former-graduate/" TargetMode="External" Id="rId1858"/><Relationship Type="http://schemas.openxmlformats.org/officeDocument/2006/relationships/hyperlink" Target="https://dym.asia/media/recruiting/estp/" TargetMode="External" Id="rId1859"/><Relationship Type="http://schemas.openxmlformats.org/officeDocument/2006/relationships/hyperlink" Target="https://www.dshu.jp/" TargetMode="External" Id="rId1860"/><Relationship Type="http://schemas.openxmlformats.org/officeDocument/2006/relationships/hyperlink" Target="https://dym.asia/services/new-graduates/Former-graduate/" TargetMode="External" Id="rId1861"/><Relationship Type="http://schemas.openxmlformats.org/officeDocument/2006/relationships/hyperlink" Target="https://dym.asia/media/recruiting/estp/" TargetMode="External" Id="rId1862"/><Relationship Type="http://schemas.openxmlformats.org/officeDocument/2006/relationships/hyperlink" Target="https://www.dshu.jp/" TargetMode="External" Id="rId1863"/><Relationship Type="http://schemas.openxmlformats.org/officeDocument/2006/relationships/hyperlink" Target="https://dym.asia/services/new-graduates/Former-graduate/" TargetMode="External" Id="rId1864"/><Relationship Type="http://schemas.openxmlformats.org/officeDocument/2006/relationships/hyperlink" Target="https://dym.asia/media/recruiting/high-class-job-change/" TargetMode="External" Id="rId1865"/><Relationship Type="http://schemas.openxmlformats.org/officeDocument/2006/relationships/hyperlink" Target="https://www.dshu.jp/" TargetMode="External" Id="rId1866"/><Relationship Type="http://schemas.openxmlformats.org/officeDocument/2006/relationships/hyperlink" Target="https://dym.asia/services/new-graduates/high-class/" TargetMode="External" Id="rId1867"/><Relationship Type="http://schemas.openxmlformats.org/officeDocument/2006/relationships/hyperlink" Target="https://dym.asia/media/recruiting/highschool-job-change/" TargetMode="External" Id="rId1868"/><Relationship Type="http://schemas.openxmlformats.org/officeDocument/2006/relationships/hyperlink" Target="https://www.dshu.jp/" TargetMode="External" Id="rId1869"/><Relationship Type="http://schemas.openxmlformats.org/officeDocument/2006/relationships/hyperlink" Target="https://dym.asia/services/new-graduates/Former-graduate/" TargetMode="External" Id="rId1870"/><Relationship Type="http://schemas.openxmlformats.org/officeDocument/2006/relationships/hyperlink" Target="https://dym.asia/media/recruiting/how-to-strengthen-mentality/" TargetMode="External" Id="rId1871"/><Relationship Type="http://schemas.openxmlformats.org/officeDocument/2006/relationships/hyperlink" Target="https://www.meetscompany.jp/" TargetMode="External" Id="rId1872"/><Relationship Type="http://schemas.openxmlformats.org/officeDocument/2006/relationships/hyperlink" Target="https://dym.asia/services/new-graduates/new-graduate-recruitment/" TargetMode="External" Id="rId1873"/><Relationship Type="http://schemas.openxmlformats.org/officeDocument/2006/relationships/hyperlink" Target="https://dym.asia/media/recruiting/how-to-strengthen-mentality/" TargetMode="External" Id="rId1874"/><Relationship Type="http://schemas.openxmlformats.org/officeDocument/2006/relationships/hyperlink" Target="https://www.meetscompany.jp/" TargetMode="External" Id="rId1875"/><Relationship Type="http://schemas.openxmlformats.org/officeDocument/2006/relationships/hyperlink" Target="https://dym.asia/services/new-graduates/new-graduate-recruitment/" TargetMode="External" Id="rId1876"/><Relationship Type="http://schemas.openxmlformats.org/officeDocument/2006/relationships/hyperlink" Target="https://dym.asia/media/recruiting/rirekisho-photo-manner/" TargetMode="External" Id="rId1877"/><Relationship Type="http://schemas.openxmlformats.org/officeDocument/2006/relationships/hyperlink" Target="https://www.meetscompany.jp/" TargetMode="External" Id="rId1878"/><Relationship Type="http://schemas.openxmlformats.org/officeDocument/2006/relationships/hyperlink" Target="https://dym.asia/services/new-graduates/new-graduate-recruitment/" TargetMode="External" Id="rId1879"/><Relationship Type="http://schemas.openxmlformats.org/officeDocument/2006/relationships/hyperlink" Target="https://dym.asia/media/recruiting/session-manners/" TargetMode="External" Id="rId1880"/><Relationship Type="http://schemas.openxmlformats.org/officeDocument/2006/relationships/hyperlink" Target="https://www.meetscompany.jp/" TargetMode="External" Id="rId1881"/><Relationship Type="http://schemas.openxmlformats.org/officeDocument/2006/relationships/hyperlink" Target="https://dym.asia/services/new-graduates/new-graduate-recruitment/" TargetMode="External" Id="rId1882"/><Relationship Type="http://schemas.openxmlformats.org/officeDocument/2006/relationships/hyperlink" Target="https://dym.asia/media/recruiting/welfare-pension/" TargetMode="External" Id="rId1883"/><Relationship Type="http://schemas.openxmlformats.org/officeDocument/2006/relationships/hyperlink" Target="https://www.meetscompany.jp/" TargetMode="External" Id="rId1884"/><Relationship Type="http://schemas.openxmlformats.org/officeDocument/2006/relationships/hyperlink" Target="https://dym.asia/services/new-graduates/new-graduate-recruitment/" TargetMode="External" Id="rId1885"/><Relationship Type="http://schemas.openxmlformats.org/officeDocument/2006/relationships/hyperlink" Target="https://dym.asia/media/recruiting/winter-internship/" TargetMode="External" Id="rId1886"/><Relationship Type="http://schemas.openxmlformats.org/officeDocument/2006/relationships/hyperlink" Target="https://www.meetscompany.jp/" TargetMode="External" Id="rId1887"/><Relationship Type="http://schemas.openxmlformats.org/officeDocument/2006/relationships/hyperlink" Target="https://dym.asia/services/new-graduates/new-graduate-recruitment/" TargetMode="External" Id="rId1888"/><Relationship Type="http://schemas.openxmlformats.org/officeDocument/2006/relationships/hyperlink" Target="https://dym.asia/media/recruiting/career-fair/" TargetMode="External" Id="rId1889"/><Relationship Type="http://schemas.openxmlformats.org/officeDocument/2006/relationships/hyperlink" Target="https://www.meetscompany.jp/" TargetMode="External" Id="rId1890"/><Relationship Type="http://schemas.openxmlformats.org/officeDocument/2006/relationships/hyperlink" Target="https://dym.asia/services/new-graduates/new-graduate-recruitment/" TargetMode="External" Id="rId1891"/><Relationship Type="http://schemas.openxmlformats.org/officeDocument/2006/relationships/hyperlink" Target="https://dym.asia/media/recruiting/employment-consultation-university-student/" TargetMode="External" Id="rId1892"/><Relationship Type="http://schemas.openxmlformats.org/officeDocument/2006/relationships/hyperlink" Target="https://www.meetscompany.jp/" TargetMode="External" Id="rId1893"/><Relationship Type="http://schemas.openxmlformats.org/officeDocument/2006/relationships/hyperlink" Target="https://dym.asia/services/new-graduates/new-graduate-recruitment/" TargetMode="External" Id="rId1894"/><Relationship Type="http://schemas.openxmlformats.org/officeDocument/2006/relationships/hyperlink" Target="https://dym.asia/media/recruiting/esfj/" TargetMode="External" Id="rId1895"/><Relationship Type="http://schemas.openxmlformats.org/officeDocument/2006/relationships/hyperlink" Target="https://www.dshu.jp/" TargetMode="External" Id="rId1896"/><Relationship Type="http://schemas.openxmlformats.org/officeDocument/2006/relationships/hyperlink" Target="https://dym.asia/services/new-graduates/Former-graduate/" TargetMode="External" Id="rId1897"/><Relationship Type="http://schemas.openxmlformats.org/officeDocument/2006/relationships/hyperlink" Target="https://dym.asia/media/recruiting/fail-the-interview/" TargetMode="External" Id="rId1898"/><Relationship Type="http://schemas.openxmlformats.org/officeDocument/2006/relationships/hyperlink" Target="https://www.meetscompany.jp/" TargetMode="External" Id="rId1899"/><Relationship Type="http://schemas.openxmlformats.org/officeDocument/2006/relationships/hyperlink" Target="https://dym.asia/services/new-graduates/new-graduate-recruitment/" TargetMode="External" Id="rId1900"/><Relationship Type="http://schemas.openxmlformats.org/officeDocument/2006/relationships/hyperlink" Target="https://dym.asia/media/recruiting/female_dispatch/" TargetMode="External" Id="rId1901"/><Relationship Type="http://schemas.openxmlformats.org/officeDocument/2006/relationships/hyperlink" Target="https://dymcareer.jp/?_gl=1*1qj0azx*_ga*MTY1NDA3OTI2OC4xNzYwNTgxMjEy*_ga_ZXCZZJJ72V*czE3NjkwNjkzMjYkbzIxJGcxJHQxNzY5MDcwMzkzJGozMCRsMCRoMA.." TargetMode="External" Id="rId1902"/><Relationship Type="http://schemas.openxmlformats.org/officeDocument/2006/relationships/hyperlink" Target="https://dym.asia/services/new-graduates/ready-career/" TargetMode="External" Id="rId1903"/><Relationship Type="http://schemas.openxmlformats.org/officeDocument/2006/relationships/hyperlink" Target="https://dym.asia/media/recruiting/former-graduate-woman/" TargetMode="External" Id="rId1904"/><Relationship Type="http://schemas.openxmlformats.org/officeDocument/2006/relationships/hyperlink" Target="https://www.dshu.jp/" TargetMode="External" Id="rId1905"/><Relationship Type="http://schemas.openxmlformats.org/officeDocument/2006/relationships/hyperlink" Target="https://dym.asia/services/new-graduates/Former-graduate/" TargetMode="External" Id="rId1906"/><Relationship Type="http://schemas.openxmlformats.org/officeDocument/2006/relationships/hyperlink" Target="https://dym.asia/media/recruiting/gakuchika/" TargetMode="External" Id="rId1907"/><Relationship Type="http://schemas.openxmlformats.org/officeDocument/2006/relationships/hyperlink" Target="https://www.meetscompany.jp/" TargetMode="External" Id="rId1908"/><Relationship Type="http://schemas.openxmlformats.org/officeDocument/2006/relationships/hyperlink" Target="https://dym.asia/services/new-graduates/new-graduate-recruitment/" TargetMode="External" Id="rId1909"/><Relationship Type="http://schemas.openxmlformats.org/officeDocument/2006/relationships/hyperlink" Target="https://dym.asia/media/recruiting/how-to-strengthen-mentality/" TargetMode="External" Id="rId1910"/><Relationship Type="http://schemas.openxmlformats.org/officeDocument/2006/relationships/hyperlink" Target="https://www.meetscompany.jp/" TargetMode="External" Id="rId1911"/><Relationship Type="http://schemas.openxmlformats.org/officeDocument/2006/relationships/hyperlink" Target="https://dym.asia/services/new-graduates/new-graduate-recruitment/" TargetMode="External" Id="rId1912"/><Relationship Type="http://schemas.openxmlformats.org/officeDocument/2006/relationships/hyperlink" Target="https://dym.asia/media/recruiting/infp/" TargetMode="External" Id="rId1913"/><Relationship Type="http://schemas.openxmlformats.org/officeDocument/2006/relationships/hyperlink" Target="https://www.dshu.jp/" TargetMode="External" Id="rId1914"/><Relationship Type="http://schemas.openxmlformats.org/officeDocument/2006/relationships/hyperlink" Target="https://dym.asia/services/new-graduates/new-graduate-recruitment/" TargetMode="External" Id="rId1915"/><Relationship Type="http://schemas.openxmlformats.org/officeDocument/2006/relationships/hyperlink" Target="https://dym.asia/media/recruiting/infp/" TargetMode="External" Id="rId1916"/><Relationship Type="http://schemas.openxmlformats.org/officeDocument/2006/relationships/hyperlink" Target="https://www.dshu.jp/" TargetMode="External" Id="rId1917"/><Relationship Type="http://schemas.openxmlformats.org/officeDocument/2006/relationships/hyperlink" Target="https://dym.asia/services/new-graduates/Former-graduate/" TargetMode="External" Id="rId1918"/><Relationship Type="http://schemas.openxmlformats.org/officeDocument/2006/relationships/hyperlink" Target="https://dym.asia/media/recruiting/infp/" TargetMode="External" Id="rId1919"/><Relationship Type="http://schemas.openxmlformats.org/officeDocument/2006/relationships/hyperlink" Target="https://www.dshu.jp/" TargetMode="External" Id="rId1920"/><Relationship Type="http://schemas.openxmlformats.org/officeDocument/2006/relationships/hyperlink" Target="https://dym.asia/services/new-graduates/Former-graduate/" TargetMode="External" Id="rId1921"/><Relationship Type="http://schemas.openxmlformats.org/officeDocument/2006/relationships/hyperlink" Target="https://dym.asia/media/recruiting/istj/" TargetMode="External" Id="rId1922"/><Relationship Type="http://schemas.openxmlformats.org/officeDocument/2006/relationships/hyperlink" Target="https://www.dshu.jp/" TargetMode="External" Id="rId1923"/><Relationship Type="http://schemas.openxmlformats.org/officeDocument/2006/relationships/hyperlink" Target="https://dym.asia/services/new-graduates/Former-graduate/" TargetMode="External" Id="rId1924"/><Relationship Type="http://schemas.openxmlformats.org/officeDocument/2006/relationships/hyperlink" Target="https://dym.asia/media/recruiting/job-change-head-hunting/" TargetMode="External" Id="rId1925"/><Relationship Type="http://schemas.openxmlformats.org/officeDocument/2006/relationships/hyperlink" Target="https://www.dshu.jp/" TargetMode="External" Id="rId1926"/><Relationship Type="http://schemas.openxmlformats.org/officeDocument/2006/relationships/hyperlink" Target="https://dym.asia/services/new-graduates/Former-graduate/" TargetMode="External" Id="rId1927"/><Relationship Type="http://schemas.openxmlformats.org/officeDocument/2006/relationships/hyperlink" Target="https://dym.asia/media/recruiting/job-hunting-criteria/" TargetMode="External" Id="rId1928"/><Relationship Type="http://schemas.openxmlformats.org/officeDocument/2006/relationships/hyperlink" Target="https://www.meetscompany.jp/" TargetMode="External" Id="rId1929"/><Relationship Type="http://schemas.openxmlformats.org/officeDocument/2006/relationships/hyperlink" Target="https://dym.asia/services/new-graduates/new-graduate-recruitment/" TargetMode="External" Id="rId1930"/><Relationship Type="http://schemas.openxmlformats.org/officeDocument/2006/relationships/hyperlink" Target="https://dym.asia/media/recruiting/job-hunting-schedule/" TargetMode="External" Id="rId1931"/><Relationship Type="http://schemas.openxmlformats.org/officeDocument/2006/relationships/hyperlink" Target="https://www.meetscompany.jp/" TargetMode="External" Id="rId1932"/><Relationship Type="http://schemas.openxmlformats.org/officeDocument/2006/relationships/hyperlink" Target="https://dym.asia/services/new-graduates/new-graduate-recruitment/" TargetMode="External" Id="rId1933"/><Relationship Type="http://schemas.openxmlformats.org/officeDocument/2006/relationships/hyperlink" Target="https://dym.asia/media/recruiting/job-search-period/" TargetMode="External" Id="rId1934"/><Relationship Type="http://schemas.openxmlformats.org/officeDocument/2006/relationships/hyperlink" Target="https://www.dshu.jp/" TargetMode="External" Id="rId1935"/><Relationship Type="http://schemas.openxmlformats.org/officeDocument/2006/relationships/hyperlink" Target="https://dym.asia/services/new-graduates/Former-graduate/" TargetMode="External" Id="rId1936"/><Relationship Type="http://schemas.openxmlformats.org/officeDocument/2006/relationships/hyperlink" Target="https://dym.asia/media/recruiting/neet_job/" TargetMode="External" Id="rId1937"/><Relationship Type="http://schemas.openxmlformats.org/officeDocument/2006/relationships/hyperlink" Target="https://www.dshu.jp/" TargetMode="External" Id="rId1938"/><Relationship Type="http://schemas.openxmlformats.org/officeDocument/2006/relationships/hyperlink" Target="https://dym.asia/services/new-graduates/Former-graduate/" TargetMode="External" Id="rId1939"/><Relationship Type="http://schemas.openxmlformats.org/officeDocument/2006/relationships/hyperlink" Target="https://dym.asia/media/recruiting/new-graduate-how-to-write-motivation/" TargetMode="External" Id="rId1940"/><Relationship Type="http://schemas.openxmlformats.org/officeDocument/2006/relationships/hyperlink" Target="https://www.meetscompany.jp/" TargetMode="External" Id="rId1941"/><Relationship Type="http://schemas.openxmlformats.org/officeDocument/2006/relationships/hyperlink" Target="https://dym.asia/services/new-graduates/new-graduate-recruitment/" TargetMode="External" Id="rId1942"/><Relationship Type="http://schemas.openxmlformats.org/officeDocument/2006/relationships/hyperlink" Target="https://dym.asia/media/recruiting/new-graduation-study-abroard/" TargetMode="External" Id="rId1943"/><Relationship Type="http://schemas.openxmlformats.org/officeDocument/2006/relationships/hyperlink" Target="https://www.meetscompany.jp/" TargetMode="External" Id="rId1944"/><Relationship Type="http://schemas.openxmlformats.org/officeDocument/2006/relationships/hyperlink" Target="https://dym.asia/services/new-graduates/new-graduate-recruitment/" TargetMode="External" Id="rId1945"/><Relationship Type="http://schemas.openxmlformats.org/officeDocument/2006/relationships/hyperlink" Target="https://dym.asia/media/recruiting/office-work/" TargetMode="External" Id="rId1946"/><Relationship Type="http://schemas.openxmlformats.org/officeDocument/2006/relationships/hyperlink" Target="https://dymcareer.jp/?_gl=1*wy70q0*_ga*MTY1NDA3OTI2OC4xNzYwNTgxMjEy*_ga_ZXCZZJJ72V*czE3NjkwNjkzMjYkbzIxJGcxJHQxNzY5MDcwNDE3JGo2JGwwJGgw" TargetMode="External" Id="rId1947"/><Relationship Type="http://schemas.openxmlformats.org/officeDocument/2006/relationships/hyperlink" Target="https://dym.asia/services/new-graduates/ready-career/" TargetMode="External" Id="rId1948"/><Relationship Type="http://schemas.openxmlformats.org/officeDocument/2006/relationships/hyperlink" Target="https://dym.asia/media/recruiting/re-schedule/" TargetMode="External" Id="rId1949"/><Relationship Type="http://schemas.openxmlformats.org/officeDocument/2006/relationships/hyperlink" Target="https://www.meetscompany.jp/" TargetMode="External" Id="rId1950"/><Relationship Type="http://schemas.openxmlformats.org/officeDocument/2006/relationships/hyperlink" Target="https://dym.asia/services/new-graduates/new-graduate-recruitment/" TargetMode="External" Id="rId1951"/><Relationship Type="http://schemas.openxmlformats.org/officeDocument/2006/relationships/hyperlink" Target="https://dym.asia/media/recruiting/recruitment-consultant/" TargetMode="External" Id="rId1952"/><Relationship Type="http://schemas.openxmlformats.org/officeDocument/2006/relationships/hyperlink" Target="https://www.dshu.jp/" TargetMode="External" Id="rId1953"/><Relationship Type="http://schemas.openxmlformats.org/officeDocument/2006/relationships/hyperlink" Target="https://dym.asia/services/new-graduates/Former-graduate/" TargetMode="External" Id="rId1954"/><Relationship Type="http://schemas.openxmlformats.org/officeDocument/2006/relationships/hyperlink" Target="https://dym.asia/media/recruiting/shinsotsu-2026-trend-guide/" TargetMode="External" Id="rId1955"/><Relationship Type="http://schemas.openxmlformats.org/officeDocument/2006/relationships/hyperlink" Target="https://www.meetscompany.jp/" TargetMode="External" Id="rId1956"/><Relationship Type="http://schemas.openxmlformats.org/officeDocument/2006/relationships/hyperlink" Target="https://dym.asia/services/new-graduates/new-graduate-recruitment/" TargetMode="External" Id="rId1957"/><Relationship Type="http://schemas.openxmlformats.org/officeDocument/2006/relationships/hyperlink" Target="https://dym.asia/media/recruiting/shukatsu-start-schedule/" TargetMode="External" Id="rId1958"/><Relationship Type="http://schemas.openxmlformats.org/officeDocument/2006/relationships/hyperlink" Target="https://www.meetscompany.jp/" TargetMode="External" Id="rId1959"/><Relationship Type="http://schemas.openxmlformats.org/officeDocument/2006/relationships/hyperlink" Target="https://dym.asia/services/new-graduates/new-graduate-recruitment/" TargetMode="External" Id="rId1960"/><Relationship Type="http://schemas.openxmlformats.org/officeDocument/2006/relationships/hyperlink" Target="https://dym.asia/media/recruiting/summer-internship-2/" TargetMode="External" Id="rId1961"/><Relationship Type="http://schemas.openxmlformats.org/officeDocument/2006/relationships/hyperlink" Target="https://www.meetscompany.jp/" TargetMode="External" Id="rId1962"/><Relationship Type="http://schemas.openxmlformats.org/officeDocument/2006/relationships/hyperlink" Target="https://dym.asia/services/new-graduates/new-graduate-recruitment/" TargetMode="External" Id="rId1963"/><Relationship Type="http://schemas.openxmlformats.org/officeDocument/2006/relationships/hyperlink" Target="https://dym.asia/media/recruiting/15-jobs-for-not-working/" TargetMode="External" Id="rId1964"/><Relationship Type="http://schemas.openxmlformats.org/officeDocument/2006/relationships/hyperlink" Target="https://www.dshu.jp/" TargetMode="External" Id="rId1965"/><Relationship Type="http://schemas.openxmlformats.org/officeDocument/2006/relationships/hyperlink" Target="https://dym.asia/services/new-graduates/Former-graduate/" TargetMode="External" Id="rId1966"/><Relationship Type="http://schemas.openxmlformats.org/officeDocument/2006/relationships/hyperlink" Target="https://dym.asia/media/recruiting/15-jobs-for-not-working/" TargetMode="External" Id="rId1967"/><Relationship Type="http://schemas.openxmlformats.org/officeDocument/2006/relationships/hyperlink" Target="https://www.dshu.jp/" TargetMode="External" Id="rId1968"/><Relationship Type="http://schemas.openxmlformats.org/officeDocument/2006/relationships/hyperlink" Target="https://dym.asia/services/new-graduates/Former-graduate/" TargetMode="External" Id="rId1969"/><Relationship Type="http://schemas.openxmlformats.org/officeDocument/2006/relationships/hyperlink" Target="https://dym.asia/media/recruiting/15-jobs-for-not-working/" TargetMode="External" Id="rId1970"/><Relationship Type="http://schemas.openxmlformats.org/officeDocument/2006/relationships/hyperlink" Target="https://www.dshu.jp/" TargetMode="External" Id="rId1971"/><Relationship Type="http://schemas.openxmlformats.org/officeDocument/2006/relationships/hyperlink" Target="https://dym.asia/services/new-graduates/Former-graduate/" TargetMode="External" Id="rId1972"/><Relationship Type="http://schemas.openxmlformats.org/officeDocument/2006/relationships/hyperlink" Target="https://dym.asia/media/recruiting/30s-job-change-woman/" TargetMode="External" Id="rId1973"/><Relationship Type="http://schemas.openxmlformats.org/officeDocument/2006/relationships/hyperlink" Target="https://www.dshu.jp/" TargetMode="External" Id="rId1974"/><Relationship Type="http://schemas.openxmlformats.org/officeDocument/2006/relationships/hyperlink" Target="https://dym.asia/services/new-graduates/high-class/" TargetMode="External" Id="rId1975"/><Relationship Type="http://schemas.openxmlformats.org/officeDocument/2006/relationships/hyperlink" Target="https://dym.asia/media/recruiting/35-job-change-women/" TargetMode="External" Id="rId1976"/><Relationship Type="http://schemas.openxmlformats.org/officeDocument/2006/relationships/hyperlink" Target="https://www.dshu.jp/" TargetMode="External" Id="rId1977"/><Relationship Type="http://schemas.openxmlformats.org/officeDocument/2006/relationships/hyperlink" Target="https://dym.asia/services/new-graduates/high-class/" TargetMode="External" Id="rId1978"/><Relationship Type="http://schemas.openxmlformats.org/officeDocument/2006/relationships/hyperlink" Target="https://dym.asia/media/recruiting/35-job-change/" TargetMode="External" Id="rId1979"/><Relationship Type="http://schemas.openxmlformats.org/officeDocument/2006/relationships/hyperlink" Target="https://www.dshu.jp/" TargetMode="External" Id="rId1980"/><Relationship Type="http://schemas.openxmlformats.org/officeDocument/2006/relationships/hyperlink" Target="https://dym.asia/services/new-graduates/high-class/" TargetMode="External" Id="rId1981"/><Relationship Type="http://schemas.openxmlformats.org/officeDocument/2006/relationships/hyperlink" Target="https://dym.asia/media/recruiting/40s-job-change-woman/" TargetMode="External" Id="rId1982"/><Relationship Type="http://schemas.openxmlformats.org/officeDocument/2006/relationships/hyperlink" Target="https://www.dshu.jp/" TargetMode="External" Id="rId1983"/><Relationship Type="http://schemas.openxmlformats.org/officeDocument/2006/relationships/hyperlink" Target="https://dym.asia/services/new-graduates/high-class/" TargetMode="External" Id="rId1984"/><Relationship Type="http://schemas.openxmlformats.org/officeDocument/2006/relationships/hyperlink" Target="https://dym.asia/media/recruiting/40s-job-change/" TargetMode="External" Id="rId1985"/><Relationship Type="http://schemas.openxmlformats.org/officeDocument/2006/relationships/hyperlink" Target="https://www.dshu.jp/" TargetMode="External" Id="rId1986"/><Relationship Type="http://schemas.openxmlformats.org/officeDocument/2006/relationships/hyperlink" Target="https://dym.asia/services/new-graduates/high-class/" TargetMode="External" Id="rId1987"/><Relationship Type="http://schemas.openxmlformats.org/officeDocument/2006/relationships/hyperlink" Target="https://dym.asia/media/recruiting/40s-job-change/" TargetMode="External" Id="rId1988"/><Relationship Type="http://schemas.openxmlformats.org/officeDocument/2006/relationships/hyperlink" Target="https://www.dshu.jp/" TargetMode="External" Id="rId1989"/><Relationship Type="http://schemas.openxmlformats.org/officeDocument/2006/relationships/hyperlink" Target="https://dym.asia/services/new-graduates/high-class/" TargetMode="External" Id="rId1990"/><Relationship Type="http://schemas.openxmlformats.org/officeDocument/2006/relationships/hyperlink" Target="https://dym.asia/media/recruiting/alumni-vsit/" TargetMode="External" Id="rId1991"/><Relationship Type="http://schemas.openxmlformats.org/officeDocument/2006/relationships/hyperlink" Target="https://www.meetscompany.jp/" TargetMode="External" Id="rId1992"/><Relationship Type="http://schemas.openxmlformats.org/officeDocument/2006/relationships/hyperlink" Target="https://dym.asia/services/new-graduates/new-graduate-recruitment/" TargetMode="External" Id="rId1993"/><Relationship Type="http://schemas.openxmlformats.org/officeDocument/2006/relationships/hyperlink" Target="https://dym.asia/media/recruiting/anger-management/" TargetMode="External" Id="rId1994"/><Relationship Type="http://schemas.openxmlformats.org/officeDocument/2006/relationships/hyperlink" Target="https://dym.asia/services/new-graduates/development-training/" TargetMode="External" Id="rId1995"/><Relationship Type="http://schemas.openxmlformats.org/officeDocument/2006/relationships/hyperlink" Target="https://dym.asia/media/recruiting/athlete-recruitment/" TargetMode="External" Id="rId1996"/><Relationship Type="http://schemas.openxmlformats.org/officeDocument/2006/relationships/hyperlink" Target="https://www.meetscompany.jp/" TargetMode="External" Id="rId1997"/><Relationship Type="http://schemas.openxmlformats.org/officeDocument/2006/relationships/hyperlink" Target="https://dym.asia/services/new-graduates/new-graduate-recruitment/" TargetMode="External" Id="rId1998"/><Relationship Type="http://schemas.openxmlformats.org/officeDocument/2006/relationships/hyperlink" Target="https://dym.asia/media/recruiting/basic-salary/" TargetMode="External" Id="rId1999"/><Relationship Type="http://schemas.openxmlformats.org/officeDocument/2006/relationships/hyperlink" Target="https://www.meetscompany.jp/" TargetMode="External" Id="rId2000"/><Relationship Type="http://schemas.openxmlformats.org/officeDocument/2006/relationships/hyperlink" Target="https://dym.asia/services/new-graduates/new-graduate-recruitment/" TargetMode="External" Id="rId2001"/><Relationship Type="http://schemas.openxmlformats.org/officeDocument/2006/relationships/hyperlink" Target="https://dym.asia/media/recruiting/career-plan/" TargetMode="External" Id="rId2002"/><Relationship Type="http://schemas.openxmlformats.org/officeDocument/2006/relationships/hyperlink" Target="https://www.dshu.jp/" TargetMode="External" Id="rId2003"/><Relationship Type="http://schemas.openxmlformats.org/officeDocument/2006/relationships/hyperlink" Target="https://dym.asia/services/new-graduates/new-graduate-recruitment/" TargetMode="External" Id="rId2004"/><Relationship Type="http://schemas.openxmlformats.org/officeDocument/2006/relationships/hyperlink" Target="https://dym.asia/media/recruiting/communication-ability/" TargetMode="External" Id="rId2005"/><Relationship Type="http://schemas.openxmlformats.org/officeDocument/2006/relationships/hyperlink" Target="https://www.meetscompany.jp/" TargetMode="External" Id="rId2006"/><Relationship Type="http://schemas.openxmlformats.org/officeDocument/2006/relationships/hyperlink" Target="https://dym.asia/services/new-graduates/new-graduate-recruitment/" TargetMode="External" Id="rId2007"/><Relationship Type="http://schemas.openxmlformats.org/officeDocument/2006/relationships/hyperlink" Target="https://dym.asia/media/recruiting/consulting-job-change/" TargetMode="External" Id="rId2008"/><Relationship Type="http://schemas.openxmlformats.org/officeDocument/2006/relationships/hyperlink" Target="https://www.dshu.jp/" TargetMode="External" Id="rId2009"/><Relationship Type="http://schemas.openxmlformats.org/officeDocument/2006/relationships/hyperlink" Target="https://dym.asia/services/new-graduates/high-class/" TargetMode="External" Id="rId2010"/><Relationship Type="http://schemas.openxmlformats.org/officeDocument/2006/relationships/hyperlink" Target="https://dym.asia/media/recruiting/differance-former/" TargetMode="External" Id="rId2011"/><Relationship Type="http://schemas.openxmlformats.org/officeDocument/2006/relationships/hyperlink" Target="https://www.dshu.jp/" TargetMode="External" Id="rId2012"/><Relationship Type="http://schemas.openxmlformats.org/officeDocument/2006/relationships/hyperlink" Target="https://dym.asia/services/new-graduates/Former-graduate/" TargetMode="External" Id="rId2013"/><Relationship Type="http://schemas.openxmlformats.org/officeDocument/2006/relationships/hyperlink" Target="https://dym.asia/media/recruiting/differance-former2/" TargetMode="External" Id="rId2014"/><Relationship Type="http://schemas.openxmlformats.org/officeDocument/2006/relationships/hyperlink" Target="https://www.dshu.jp/" TargetMode="External" Id="rId2015"/><Relationship Type="http://schemas.openxmlformats.org/officeDocument/2006/relationships/hyperlink" Target="https://dym.asia/services/new-graduates/Former-graduate/" TargetMode="External" Id="rId2016"/><Relationship Type="http://schemas.openxmlformats.org/officeDocument/2006/relationships/hyperlink" Target="https://dym.asia/media/recruiting/differance-former2/" TargetMode="External" Id="rId2017"/><Relationship Type="http://schemas.openxmlformats.org/officeDocument/2006/relationships/hyperlink" Target="https://www.dshu.jp/" TargetMode="External" Id="rId2018"/><Relationship Type="http://schemas.openxmlformats.org/officeDocument/2006/relationships/hyperlink" Target="https://dym.asia/services/new-graduates/Former-graduate/" TargetMode="External" Id="rId2019"/><Relationship Type="http://schemas.openxmlformats.org/officeDocument/2006/relationships/hyperlink" Target="https://dym.asia/media/recruiting/early-job-hunting/" TargetMode="External" Id="rId2020"/><Relationship Type="http://schemas.openxmlformats.org/officeDocument/2006/relationships/hyperlink" Target="https://www.meetscompany.jp/" TargetMode="External" Id="rId2021"/><Relationship Type="http://schemas.openxmlformats.org/officeDocument/2006/relationships/hyperlink" Target="https://dym.asia/services/new-graduates/new-graduate-recruitment/" TargetMode="External" Id="rId2022"/><Relationship Type="http://schemas.openxmlformats.org/officeDocument/2006/relationships/hyperlink" Target="https://dym.asia/media/recruiting/early-job-hunting/" TargetMode="External" Id="rId2023"/><Relationship Type="http://schemas.openxmlformats.org/officeDocument/2006/relationships/hyperlink" Target="https://www.meetscompany.jp/" TargetMode="External" Id="rId2024"/><Relationship Type="http://schemas.openxmlformats.org/officeDocument/2006/relationships/hyperlink" Target="https://dym.asia/services/new-graduates/new-graduate-recruitment/" TargetMode="External" Id="rId2025"/><Relationship Type="http://schemas.openxmlformats.org/officeDocument/2006/relationships/hyperlink" Target="https://dym.asia/media/recruiting/early-selection/" TargetMode="External" Id="rId2026"/><Relationship Type="http://schemas.openxmlformats.org/officeDocument/2006/relationships/hyperlink" Target="https://www.meetscompany.jp/" TargetMode="External" Id="rId2027"/><Relationship Type="http://schemas.openxmlformats.org/officeDocument/2006/relationships/hyperlink" Target="https://dym.asia/services/new-graduates/new-graduate-recruitment/" TargetMode="External" Id="rId2028"/><Relationship Type="http://schemas.openxmlformats.org/officeDocument/2006/relationships/hyperlink" Target="https://dym.asia/media/recruiting/employment-consultation-university-student/" TargetMode="External" Id="rId2029"/><Relationship Type="http://schemas.openxmlformats.org/officeDocument/2006/relationships/hyperlink" Target="https://www.meetscompany.jp/" TargetMode="External" Id="rId2030"/><Relationship Type="http://schemas.openxmlformats.org/officeDocument/2006/relationships/hyperlink" Target="https://dym.asia/services/new-graduates/new-graduate-recruitment/" TargetMode="External" Id="rId2031"/><Relationship Type="http://schemas.openxmlformats.org/officeDocument/2006/relationships/hyperlink" Target="https://dym.asia/media/recruiting/enfp/" TargetMode="External" Id="rId2032"/><Relationship Type="http://schemas.openxmlformats.org/officeDocument/2006/relationships/hyperlink" Target="https://www.dshu.jp/" TargetMode="External" Id="rId2033"/><Relationship Type="http://schemas.openxmlformats.org/officeDocument/2006/relationships/hyperlink" Target="https://dym.asia/services/new-graduates/Former-graduate/" TargetMode="External" Id="rId2034"/><Relationship Type="http://schemas.openxmlformats.org/officeDocument/2006/relationships/hyperlink" Target="https://dym.asia/media/recruiting/enfp/" TargetMode="External" Id="rId2035"/><Relationship Type="http://schemas.openxmlformats.org/officeDocument/2006/relationships/hyperlink" Target="https://www.dshu.jp/" TargetMode="External" Id="rId2036"/><Relationship Type="http://schemas.openxmlformats.org/officeDocument/2006/relationships/hyperlink" Target="https://dym.asia/services/new-graduates/Former-graduate/" TargetMode="External" Id="rId2037"/><Relationship Type="http://schemas.openxmlformats.org/officeDocument/2006/relationships/hyperlink" Target="https://dym.asia/media/recruiting/entj/" TargetMode="External" Id="rId2038"/><Relationship Type="http://schemas.openxmlformats.org/officeDocument/2006/relationships/hyperlink" Target="https://www.dshu.jp/" TargetMode="External" Id="rId2039"/><Relationship Type="http://schemas.openxmlformats.org/officeDocument/2006/relationships/hyperlink" Target="https://dym.asia/services/new-graduates/Former-graduate/" TargetMode="External" Id="rId2040"/><Relationship Type="http://schemas.openxmlformats.org/officeDocument/2006/relationships/hyperlink" Target="https://dym.asia/media/recruiting/entp/" TargetMode="External" Id="rId2041"/><Relationship Type="http://schemas.openxmlformats.org/officeDocument/2006/relationships/hyperlink" Target="https://www.dshu.jp/" TargetMode="External" Id="rId2042"/><Relationship Type="http://schemas.openxmlformats.org/officeDocument/2006/relationships/hyperlink" Target="https://dym.asia/services/new-graduates/Former-graduate/" TargetMode="External" Id="rId2043"/><Relationship Type="http://schemas.openxmlformats.org/officeDocument/2006/relationships/hyperlink" Target="https://dym.asia/media/recruiting/es/" TargetMode="External" Id="rId2044"/><Relationship Type="http://schemas.openxmlformats.org/officeDocument/2006/relationships/hyperlink" Target="https://www.meetscompany.jp/" TargetMode="External" Id="rId2045"/><Relationship Type="http://schemas.openxmlformats.org/officeDocument/2006/relationships/hyperlink" Target="https://dym.asia/services/new-graduates/new-graduate-recruitment/" TargetMode="External" Id="rId2046"/><Relationship Type="http://schemas.openxmlformats.org/officeDocument/2006/relationships/hyperlink" Target="https://dym.asia/media/recruiting/esfj/" TargetMode="External" Id="rId2047"/><Relationship Type="http://schemas.openxmlformats.org/officeDocument/2006/relationships/hyperlink" Target="https://www.dshu.jp/" TargetMode="External" Id="rId2048"/><Relationship Type="http://schemas.openxmlformats.org/officeDocument/2006/relationships/hyperlink" Target="https://dym.asia/services/new-graduates/Former-graduate/" TargetMode="External" Id="rId2049"/><Relationship Type="http://schemas.openxmlformats.org/officeDocument/2006/relationships/hyperlink" Target="https://dym.asia/media/recruiting/esfj/" TargetMode="External" Id="rId2050"/><Relationship Type="http://schemas.openxmlformats.org/officeDocument/2006/relationships/hyperlink" Target="https://www.dshu.jp/" TargetMode="External" Id="rId2051"/><Relationship Type="http://schemas.openxmlformats.org/officeDocument/2006/relationships/hyperlink" Target="https://dym.asia/services/new-graduates/Former-graduate/" TargetMode="External" Id="rId2052"/><Relationship Type="http://schemas.openxmlformats.org/officeDocument/2006/relationships/hyperlink" Target="https://dym.asia/media/recruiting/estj/" TargetMode="External" Id="rId2053"/><Relationship Type="http://schemas.openxmlformats.org/officeDocument/2006/relationships/hyperlink" Target="https://www.dshu.jp/" TargetMode="External" Id="rId2054"/><Relationship Type="http://schemas.openxmlformats.org/officeDocument/2006/relationships/hyperlink" Target="https://dym.asia/services/new-graduates/Former-graduate/" TargetMode="External" Id="rId2055"/><Relationship Type="http://schemas.openxmlformats.org/officeDocument/2006/relationships/hyperlink" Target="https://dym.asia/media/recruiting/final-interview-rejection/" TargetMode="External" Id="rId2056"/><Relationship Type="http://schemas.openxmlformats.org/officeDocument/2006/relationships/hyperlink" Target="https://www.meetscompany.jp/" TargetMode="External" Id="rId2057"/><Relationship Type="http://schemas.openxmlformats.org/officeDocument/2006/relationships/hyperlink" Target="https://dym.asia/services/new-graduates/new-graduate-recruitment/" TargetMode="External" Id="rId2058"/><Relationship Type="http://schemas.openxmlformats.org/officeDocument/2006/relationships/hyperlink" Target="https://dym.asia/media/recruiting/former-graduate-when/" TargetMode="External" Id="rId2059"/><Relationship Type="http://schemas.openxmlformats.org/officeDocument/2006/relationships/hyperlink" Target="https://www.dshu.jp/" TargetMode="External" Id="rId2060"/><Relationship Type="http://schemas.openxmlformats.org/officeDocument/2006/relationships/hyperlink" Target="https://dym.asia/services/new-graduates/exe-part/" TargetMode="External" Id="rId2061"/><Relationship Type="http://schemas.openxmlformats.org/officeDocument/2006/relationships/hyperlink" Target="https://dym.asia/media/recruiting/former-recruitment-age/" TargetMode="External" Id="rId2062"/><Relationship Type="http://schemas.openxmlformats.org/officeDocument/2006/relationships/hyperlink" Target="https://www.dshu.jp/" TargetMode="External" Id="rId2063"/><Relationship Type="http://schemas.openxmlformats.org/officeDocument/2006/relationships/hyperlink" Target="https://dym.asia/services/new-graduates/exe-part/" TargetMode="External" Id="rId2064"/><Relationship Type="http://schemas.openxmlformats.org/officeDocument/2006/relationships/hyperlink" Target="https://dym.asia/media/recruiting/head-hunting-company/" TargetMode="External" Id="rId2065"/><Relationship Type="http://schemas.openxmlformats.org/officeDocument/2006/relationships/hyperlink" Target="https://www.dshu.jp/" TargetMode="External" Id="rId2066"/><Relationship Type="http://schemas.openxmlformats.org/officeDocument/2006/relationships/hyperlink" Target="https://dym.asia/services/new-graduates/exe-part/" TargetMode="External" Id="rId2067"/><Relationship Type="http://schemas.openxmlformats.org/officeDocument/2006/relationships/hyperlink" Target="https://dym.asia/media/recruiting/high-class-agent/" TargetMode="External" Id="rId2068"/><Relationship Type="http://schemas.openxmlformats.org/officeDocument/2006/relationships/hyperlink" Target="https://www.dshu.jp/" TargetMode="External" Id="rId2069"/><Relationship Type="http://schemas.openxmlformats.org/officeDocument/2006/relationships/hyperlink" Target="https://dym.asia/services/new-graduates/exe-part/" TargetMode="External" Id="rId2070"/><Relationship Type="http://schemas.openxmlformats.org/officeDocument/2006/relationships/hyperlink" Target="https://dym.asia/media/recruiting/highclass-job-change-salary/" TargetMode="External" Id="rId2071"/><Relationship Type="http://schemas.openxmlformats.org/officeDocument/2006/relationships/hyperlink" Target="https://www.dshu.jp/" TargetMode="External" Id="rId2072"/><Relationship Type="http://schemas.openxmlformats.org/officeDocument/2006/relationships/hyperlink" Target="https://dym.asia/services/new-graduates/exe-part/" TargetMode="External" Id="rId2073"/><Relationship Type="http://schemas.openxmlformats.org/officeDocument/2006/relationships/hyperlink" Target="https://dym.asia/media/recruiting/how-to-strengthen-mentality/" TargetMode="External" Id="rId2074"/><Relationship Type="http://schemas.openxmlformats.org/officeDocument/2006/relationships/hyperlink" Target="https://www.meetscompany.jp/" TargetMode="External" Id="rId2075"/><Relationship Type="http://schemas.openxmlformats.org/officeDocument/2006/relationships/hyperlink" Target="https://dym.asia/services/new-graduates/new-graduate-recruitment/" TargetMode="External" Id="rId2076"/><Relationship Type="http://schemas.openxmlformats.org/officeDocument/2006/relationships/hyperlink" Target="https://dym.asia/media/recruiting/humanities/" TargetMode="External" Id="rId2077"/><Relationship Type="http://schemas.openxmlformats.org/officeDocument/2006/relationships/hyperlink" Target="https://www.meetscompany.jp/" TargetMode="External" Id="rId2078"/><Relationship Type="http://schemas.openxmlformats.org/officeDocument/2006/relationships/hyperlink" Target="https://dym.asia/services/new-graduates/new-graduate-recruitment/" TargetMode="External" Id="rId2079"/><Relationship Type="http://schemas.openxmlformats.org/officeDocument/2006/relationships/hyperlink" Target="https://dym.asia/media/recruiting/humanities/" TargetMode="External" Id="rId2080"/><Relationship Type="http://schemas.openxmlformats.org/officeDocument/2006/relationships/hyperlink" Target="https://www.meetscompany.jp/" TargetMode="External" Id="rId2081"/><Relationship Type="http://schemas.openxmlformats.org/officeDocument/2006/relationships/hyperlink" Target="https://dym.asia/services/new-graduates/new-graduate-recruitment/" TargetMode="External" Id="rId2082"/><Relationship Type="http://schemas.openxmlformats.org/officeDocument/2006/relationships/hyperlink" Target="https://dym.asia/media/recruiting/humanities/" TargetMode="External" Id="rId2083"/><Relationship Type="http://schemas.openxmlformats.org/officeDocument/2006/relationships/hyperlink" Target="https://www.meetscompany.jp/" TargetMode="External" Id="rId2084"/><Relationship Type="http://schemas.openxmlformats.org/officeDocument/2006/relationships/hyperlink" Target="https://dym.asia/services/new-graduates/new-graduate-recruitment/" TargetMode="External" Id="rId2085"/><Relationship Type="http://schemas.openxmlformats.org/officeDocument/2006/relationships/hyperlink" Target="https://dym.asia/media/recruiting/independence/" TargetMode="External" Id="rId2086"/><Relationship Type="http://schemas.openxmlformats.org/officeDocument/2006/relationships/hyperlink" Target="https://www.meetscompany.jp/" TargetMode="External" Id="rId2087"/><Relationship Type="http://schemas.openxmlformats.org/officeDocument/2006/relationships/hyperlink" Target="https://dym.asia/services/new-graduates/new-graduate-recruitment/" TargetMode="External" Id="rId2088"/><Relationship Type="http://schemas.openxmlformats.org/officeDocument/2006/relationships/hyperlink" Target="https://dym.asia/media/recruiting/industry-research/" TargetMode="External" Id="rId2089"/><Relationship Type="http://schemas.openxmlformats.org/officeDocument/2006/relationships/hyperlink" Target="https://www.meetscompany.jp/" TargetMode="External" Id="rId2090"/><Relationship Type="http://schemas.openxmlformats.org/officeDocument/2006/relationships/hyperlink" Target="https://dym.asia/services/new-graduates/new-graduate-recruitment/" TargetMode="External" Id="rId2091"/><Relationship Type="http://schemas.openxmlformats.org/officeDocument/2006/relationships/hyperlink" Target="https://dym.asia/media/recruiting/infj/" TargetMode="External" Id="rId2092"/><Relationship Type="http://schemas.openxmlformats.org/officeDocument/2006/relationships/hyperlink" Target="https://www.dshu.jp/" TargetMode="External" Id="rId2093"/><Relationship Type="http://schemas.openxmlformats.org/officeDocument/2006/relationships/hyperlink" Target="https://dym.asia/services/new-graduates/Former-graduate/" TargetMode="External" Id="rId2094"/><Relationship Type="http://schemas.openxmlformats.org/officeDocument/2006/relationships/hyperlink" Target="https://dym.asia/media/recruiting/infj/" TargetMode="External" Id="rId2095"/><Relationship Type="http://schemas.openxmlformats.org/officeDocument/2006/relationships/hyperlink" Target="https://www.dshu.jp/" TargetMode="External" Id="rId2096"/><Relationship Type="http://schemas.openxmlformats.org/officeDocument/2006/relationships/hyperlink" Target="https://dym.asia/services/new-graduates/Former-graduate/" TargetMode="External" Id="rId2097"/><Relationship Type="http://schemas.openxmlformats.org/officeDocument/2006/relationships/hyperlink" Target="https://dym.asia/media/recruiting/infp/" TargetMode="External" Id="rId2098"/><Relationship Type="http://schemas.openxmlformats.org/officeDocument/2006/relationships/hyperlink" Target="https://www.dshu.jp/" TargetMode="External" Id="rId2099"/><Relationship Type="http://schemas.openxmlformats.org/officeDocument/2006/relationships/hyperlink" Target="https://dym.asia/services/new-graduates/Former-graduate/" TargetMode="External" Id="rId2100"/><Relationship Type="http://schemas.openxmlformats.org/officeDocument/2006/relationships/hyperlink" Target="https://dym.asia/media/recruiting/infp/" TargetMode="External" Id="rId2101"/><Relationship Type="http://schemas.openxmlformats.org/officeDocument/2006/relationships/hyperlink" Target="https://www.dshu.jp/" TargetMode="External" Id="rId2102"/><Relationship Type="http://schemas.openxmlformats.org/officeDocument/2006/relationships/hyperlink" Target="https://dym.asia/services/new-graduates/Former-graduate/" TargetMode="External" Id="rId2103"/><Relationship Type="http://schemas.openxmlformats.org/officeDocument/2006/relationships/hyperlink" Target="https://dym.asia/media/recruiting/infp/" TargetMode="External" Id="rId2104"/><Relationship Type="http://schemas.openxmlformats.org/officeDocument/2006/relationships/hyperlink" Target="https://www.dshu.jp/" TargetMode="External" Id="rId2105"/><Relationship Type="http://schemas.openxmlformats.org/officeDocument/2006/relationships/hyperlink" Target="https://dym.asia/services/new-graduates/Former-graduate/" TargetMode="External" Id="rId2106"/><Relationship Type="http://schemas.openxmlformats.org/officeDocument/2006/relationships/hyperlink" Target="https://dym.asia/media/recruiting/internship-early-selection/" TargetMode="External" Id="rId2107"/><Relationship Type="http://schemas.openxmlformats.org/officeDocument/2006/relationships/hyperlink" Target="https://www.meetscompany.jp/" TargetMode="External" Id="rId2108"/><Relationship Type="http://schemas.openxmlformats.org/officeDocument/2006/relationships/hyperlink" Target="https://dym.asia/services/new-graduates/new-graduate-recruitment/" TargetMode="External" Id="rId2109"/><Relationship Type="http://schemas.openxmlformats.org/officeDocument/2006/relationships/hyperlink" Target="https://dym.asia/media/recruiting/internship-merit/" TargetMode="External" Id="rId2110"/><Relationship Type="http://schemas.openxmlformats.org/officeDocument/2006/relationships/hyperlink" Target="https://www.meetscompany.jp/" TargetMode="External" Id="rId2111"/><Relationship Type="http://schemas.openxmlformats.org/officeDocument/2006/relationships/hyperlink" Target="https://dym.asia/services/new-graduates/new-graduate-recruitment/" TargetMode="External" Id="rId2112"/><Relationship Type="http://schemas.openxmlformats.org/officeDocument/2006/relationships/hyperlink" Target="https://dym.asia/media/recruiting/interview-practice/" TargetMode="External" Id="rId2113"/><Relationship Type="http://schemas.openxmlformats.org/officeDocument/2006/relationships/hyperlink" Target="https://www.meetscompany.jp/" TargetMode="External" Id="rId2114"/><Relationship Type="http://schemas.openxmlformats.org/officeDocument/2006/relationships/hyperlink" Target="https://dym.asia/services/new-graduates/new-graduate-recruitment/" TargetMode="External" Id="rId2115"/><Relationship Type="http://schemas.openxmlformats.org/officeDocument/2006/relationships/hyperlink" Target="https://dym.asia/media/recruiting/intp/" TargetMode="External" Id="rId2116"/><Relationship Type="http://schemas.openxmlformats.org/officeDocument/2006/relationships/hyperlink" Target="https://www.dshu.jp/" TargetMode="External" Id="rId2117"/><Relationship Type="http://schemas.openxmlformats.org/officeDocument/2006/relationships/hyperlink" Target="https://dym.asia/services/new-graduates/Former-graduate/" TargetMode="External" Id="rId2118"/><Relationship Type="http://schemas.openxmlformats.org/officeDocument/2006/relationships/hyperlink" Target="https://dym.asia/media/recruiting/intp/" TargetMode="External" Id="rId2119"/><Relationship Type="http://schemas.openxmlformats.org/officeDocument/2006/relationships/hyperlink" Target="https://www.dshu.jp/" TargetMode="External" Id="rId2120"/><Relationship Type="http://schemas.openxmlformats.org/officeDocument/2006/relationships/hyperlink" Target="https://dym.asia/services/new-graduates/Former-graduate/" TargetMode="External" Id="rId2121"/><Relationship Type="http://schemas.openxmlformats.org/officeDocument/2006/relationships/hyperlink" Target="https://dym.asia/media/recruiting/intp/" TargetMode="External" Id="rId2122"/><Relationship Type="http://schemas.openxmlformats.org/officeDocument/2006/relationships/hyperlink" Target="https://www.dshu.jp/" TargetMode="External" Id="rId2123"/><Relationship Type="http://schemas.openxmlformats.org/officeDocument/2006/relationships/hyperlink" Target="https://dym.asia/services/new-graduates/Former-graduate/" TargetMode="External" Id="rId2124"/><Relationship Type="http://schemas.openxmlformats.org/officeDocument/2006/relationships/hyperlink" Target="https://dym.asia/media/recruiting/intp/" TargetMode="External" Id="rId2125"/><Relationship Type="http://schemas.openxmlformats.org/officeDocument/2006/relationships/hyperlink" Target="https://www.dshu.jp/" TargetMode="External" Id="rId2126"/><Relationship Type="http://schemas.openxmlformats.org/officeDocument/2006/relationships/hyperlink" Target="https://dym.asia/services/new-graduates/Former-graduate/" TargetMode="External" Id="rId2127"/><Relationship Type="http://schemas.openxmlformats.org/officeDocument/2006/relationships/hyperlink" Target="https://dym.asia/media/recruiting/isfj/" TargetMode="External" Id="rId2128"/><Relationship Type="http://schemas.openxmlformats.org/officeDocument/2006/relationships/hyperlink" Target="https://www.dshu.jp/" TargetMode="External" Id="rId2129"/><Relationship Type="http://schemas.openxmlformats.org/officeDocument/2006/relationships/hyperlink" Target="https://dym.asia/services/new-graduates/Former-graduate/" TargetMode="External" Id="rId2130"/><Relationship Type="http://schemas.openxmlformats.org/officeDocument/2006/relationships/hyperlink" Target="https://dym.asia/media/recruiting/istj/" TargetMode="External" Id="rId2131"/><Relationship Type="http://schemas.openxmlformats.org/officeDocument/2006/relationships/hyperlink" Target="https://www.dshu.jp/" TargetMode="External" Id="rId2132"/><Relationship Type="http://schemas.openxmlformats.org/officeDocument/2006/relationships/hyperlink" Target="https://dym.asia/services/new-graduates/Former-graduate/" TargetMode="External" Id="rId2133"/><Relationship Type="http://schemas.openxmlformats.org/officeDocument/2006/relationships/hyperlink" Target="https://dym.asia/media/recruiting/istj/" TargetMode="External" Id="rId2134"/><Relationship Type="http://schemas.openxmlformats.org/officeDocument/2006/relationships/hyperlink" Target="https://www.dshu.jp/" TargetMode="External" Id="rId2135"/><Relationship Type="http://schemas.openxmlformats.org/officeDocument/2006/relationships/hyperlink" Target="https://dym.asia/services/new-graduates/Former-graduate/" TargetMode="External" Id="rId2136"/><Relationship Type="http://schemas.openxmlformats.org/officeDocument/2006/relationships/hyperlink" Target="https://dym.asia/media/recruiting/istj/" TargetMode="External" Id="rId2137"/><Relationship Type="http://schemas.openxmlformats.org/officeDocument/2006/relationships/hyperlink" Target="https://www.dshu.jp/" TargetMode="External" Id="rId2138"/><Relationship Type="http://schemas.openxmlformats.org/officeDocument/2006/relationships/hyperlink" Target="https://dym.asia/services/new-graduates/Former-graduate/" TargetMode="External" Id="rId2139"/><Relationship Type="http://schemas.openxmlformats.org/officeDocument/2006/relationships/hyperlink" Target="https://dym.asia/media/recruiting/istp/" TargetMode="External" Id="rId2140"/><Relationship Type="http://schemas.openxmlformats.org/officeDocument/2006/relationships/hyperlink" Target="https://www.dshu.jp/" TargetMode="External" Id="rId2141"/><Relationship Type="http://schemas.openxmlformats.org/officeDocument/2006/relationships/hyperlink" Target="https://dym.asia/services/new-graduates/Former-graduate/" TargetMode="External" Id="rId2142"/><Relationship Type="http://schemas.openxmlformats.org/officeDocument/2006/relationships/hyperlink" Target="https://dym.asia/media/recruiting/istp/" TargetMode="External" Id="rId2143"/><Relationship Type="http://schemas.openxmlformats.org/officeDocument/2006/relationships/hyperlink" Target="https://www.meetscompany.jp/" TargetMode="External" Id="rId2144"/><Relationship Type="http://schemas.openxmlformats.org/officeDocument/2006/relationships/hyperlink" Target="https://dym.asia/services/new-graduates/Former-graduate/" TargetMode="External" Id="rId2145"/><Relationship Type="http://schemas.openxmlformats.org/officeDocument/2006/relationships/hyperlink" Target="https://dym.asia/media/recruiting/istp/" TargetMode="External" Id="rId2146"/><Relationship Type="http://schemas.openxmlformats.org/officeDocument/2006/relationships/hyperlink" Target="https://www.meetscompany.jp/" TargetMode="External" Id="rId2147"/><Relationship Type="http://schemas.openxmlformats.org/officeDocument/2006/relationships/hyperlink" Target="https://dym.asia/services/new-graduates/Former-graduate/" TargetMode="External" Id="rId2148"/><Relationship Type="http://schemas.openxmlformats.org/officeDocument/2006/relationships/hyperlink" Target="https://dym.asia/media/recruiting/jobselect-important/" TargetMode="External" Id="rId2149"/><Relationship Type="http://schemas.openxmlformats.org/officeDocument/2006/relationships/hyperlink" Target="https://www.meetscompany.jp/" TargetMode="External" Id="rId2150"/><Relationship Type="http://schemas.openxmlformats.org/officeDocument/2006/relationships/hyperlink" Target="https://dym.asia/services/new-graduates/new-graduate-recruitment/" TargetMode="External" Id="rId2151"/><Relationship Type="http://schemas.openxmlformats.org/officeDocument/2006/relationships/hyperlink" Target="https://dym.asia/media/recruiting/jobselect-important/" TargetMode="External" Id="rId2152"/><Relationship Type="http://schemas.openxmlformats.org/officeDocument/2006/relationships/hyperlink" Target="https://www.meetscompany.jp/" TargetMode="External" Id="rId2153"/><Relationship Type="http://schemas.openxmlformats.org/officeDocument/2006/relationships/hyperlink" Target="https://dym.asia/services/new-graduates/new-graduate-recruitment/" TargetMode="External" Id="rId2154"/><Relationship Type="http://schemas.openxmlformats.org/officeDocument/2006/relationships/hyperlink" Target="https://dym.asia/media/recruiting/jobselect-important/" TargetMode="External" Id="rId2155"/><Relationship Type="http://schemas.openxmlformats.org/officeDocument/2006/relationships/hyperlink" Target="https://www.meetscompany.jp/" TargetMode="External" Id="rId2156"/><Relationship Type="http://schemas.openxmlformats.org/officeDocument/2006/relationships/hyperlink" Target="https://dym.asia/services/new-graduates/new-graduate-recruitment/" TargetMode="External" Id="rId2157"/><Relationship Type="http://schemas.openxmlformats.org/officeDocument/2006/relationships/hyperlink" Target="https://dym.asia/media/recruiting/listing-personal/" TargetMode="External" Id="rId2158"/><Relationship Type="http://schemas.openxmlformats.org/officeDocument/2006/relationships/hyperlink" Target="https://dym-tech.jp/" TargetMode="External" Id="rId2159"/><Relationship Type="http://schemas.openxmlformats.org/officeDocument/2006/relationships/hyperlink" Target="https://dym.asia/services/new-graduates/dym-tech/" TargetMode="External" Id="rId2160"/><Relationship Type="http://schemas.openxmlformats.org/officeDocument/2006/relationships/hyperlink" Target="https://dym.asia/media/recruiting/maternity-leave-when/" TargetMode="External" Id="rId2161"/><Relationship Type="http://schemas.openxmlformats.org/officeDocument/2006/relationships/hyperlink" Target="https://www.meetscompany.jp/" TargetMode="External" Id="rId2162"/><Relationship Type="http://schemas.openxmlformats.org/officeDocument/2006/relationships/hyperlink" Target="https://dym.asia/services/new-graduates/new-graduate-recruitment/" TargetMode="External" Id="rId2163"/><Relationship Type="http://schemas.openxmlformats.org/officeDocument/2006/relationships/hyperlink" Target="https://dym.asia/media/recruiting/mensetsu-practice-alone/" TargetMode="External" Id="rId2164"/><Relationship Type="http://schemas.openxmlformats.org/officeDocument/2006/relationships/hyperlink" Target="https://www.meetscompany.jp/" TargetMode="External" Id="rId2165"/><Relationship Type="http://schemas.openxmlformats.org/officeDocument/2006/relationships/hyperlink" Target="https://dym.asia/services/new-graduates/new-graduate-recruitment/" TargetMode="External" Id="rId2166"/><Relationship Type="http://schemas.openxmlformats.org/officeDocument/2006/relationships/hyperlink" Target="https://dym.asia/media/recruiting/motivation-graph/" TargetMode="External" Id="rId2167"/><Relationship Type="http://schemas.openxmlformats.org/officeDocument/2006/relationships/hyperlink" Target="https://www.meetscompany.jp/" TargetMode="External" Id="rId2168"/><Relationship Type="http://schemas.openxmlformats.org/officeDocument/2006/relationships/hyperlink" Target="https://dym.asia/services/new-graduates/new-graduate-recruitment/" TargetMode="External" Id="rId2169"/><Relationship Type="http://schemas.openxmlformats.org/officeDocument/2006/relationships/hyperlink" Target="https://dym.asia/media/recruiting/new-graduate-interview-manners/" TargetMode="External" Id="rId2170"/><Relationship Type="http://schemas.openxmlformats.org/officeDocument/2006/relationships/hyperlink" Target="https://www.meetscompany.jp/" TargetMode="External" Id="rId2171"/><Relationship Type="http://schemas.openxmlformats.org/officeDocument/2006/relationships/hyperlink" Target="https://dym.asia/services/new-graduates/new-graduate-recruitment/" TargetMode="External" Id="rId2172"/><Relationship Type="http://schemas.openxmlformats.org/officeDocument/2006/relationships/hyperlink" Target="https://dym.asia/media/recruiting/new-graduate-interview-motivation/" TargetMode="External" Id="rId2173"/><Relationship Type="http://schemas.openxmlformats.org/officeDocument/2006/relationships/hyperlink" Target="https://www.meetscompany.jp/" TargetMode="External" Id="rId2174"/><Relationship Type="http://schemas.openxmlformats.org/officeDocument/2006/relationships/hyperlink" Target="https://dym.asia/services/new-graduates/new-graduate-recruitment/" TargetMode="External" Id="rId2175"/><Relationship Type="http://schemas.openxmlformats.org/officeDocument/2006/relationships/hyperlink" Target="https://dym.asia/media/recruiting/new-graduate-interview-questions/" TargetMode="External" Id="rId2176"/><Relationship Type="http://schemas.openxmlformats.org/officeDocument/2006/relationships/hyperlink" Target="https://www.meetscompany.jp/" TargetMode="External" Id="rId2177"/><Relationship Type="http://schemas.openxmlformats.org/officeDocument/2006/relationships/hyperlink" Target="https://dym.asia/services/new-graduates/new-graduate-recruitment/" TargetMode="External" Id="rId2178"/><Relationship Type="http://schemas.openxmlformats.org/officeDocument/2006/relationships/hyperlink" Target="https://dym.asia/media/recruiting/new-graduate-self-introduction/" TargetMode="External" Id="rId2179"/><Relationship Type="http://schemas.openxmlformats.org/officeDocument/2006/relationships/hyperlink" Target="https://www.meetscompany.jp/" TargetMode="External" Id="rId2180"/><Relationship Type="http://schemas.openxmlformats.org/officeDocument/2006/relationships/hyperlink" Target="https://dym.asia/services/new-graduates/new-graduate-recruitment/" TargetMode="External" Id="rId2181"/><Relationship Type="http://schemas.openxmlformats.org/officeDocument/2006/relationships/hyperlink" Target="https://dym.asia/media/recruiting/new-graduate-taking-job-hunting-year/" TargetMode="External" Id="rId2182"/><Relationship Type="http://schemas.openxmlformats.org/officeDocument/2006/relationships/hyperlink" Target="https://www.meetscompany.jp/" TargetMode="External" Id="rId2183"/><Relationship Type="http://schemas.openxmlformats.org/officeDocument/2006/relationships/hyperlink" Target="https://dym.asia/services/new-graduates/new-graduate-recruitment/" TargetMode="External" Id="rId2184"/><Relationship Type="http://schemas.openxmlformats.org/officeDocument/2006/relationships/hyperlink" Target="https://dym.asia/media/recruiting/new-graduate-taking-job-hunting-year/" TargetMode="External" Id="rId2185"/><Relationship Type="http://schemas.openxmlformats.org/officeDocument/2006/relationships/hyperlink" Target="https://www.meetscompany.jp/" TargetMode="External" Id="rId2186"/><Relationship Type="http://schemas.openxmlformats.org/officeDocument/2006/relationships/hyperlink" Target="https://dym.asia/services/new-graduates/new-graduate-recruitment/" TargetMode="External" Id="rId2187"/><Relationship Type="http://schemas.openxmlformats.org/officeDocument/2006/relationships/hyperlink" Target="https://dym.asia/media/recruiting/new-graduate-treated-when/" TargetMode="External" Id="rId2188"/><Relationship Type="http://schemas.openxmlformats.org/officeDocument/2006/relationships/hyperlink" Target="https://www.meetscompany.jp/" TargetMode="External" Id="rId2189"/><Relationship Type="http://schemas.openxmlformats.org/officeDocument/2006/relationships/hyperlink" Target="https://dym.asia/services/new-graduates/new-graduate-recruitment/" TargetMode="External" Id="rId2190"/><Relationship Type="http://schemas.openxmlformats.org/officeDocument/2006/relationships/hyperlink" Target="https://dym.asia/media/recruiting/new-graduate-venture/" TargetMode="External" Id="rId2191"/><Relationship Type="http://schemas.openxmlformats.org/officeDocument/2006/relationships/hyperlink" Target="https://www.meetscompany.jp/" TargetMode="External" Id="rId2192"/><Relationship Type="http://schemas.openxmlformats.org/officeDocument/2006/relationships/hyperlink" Target="https://dym.asia/services/new-graduates/new-graduate-recruitment/" TargetMode="External" Id="rId2193"/><Relationship Type="http://schemas.openxmlformats.org/officeDocument/2006/relationships/hyperlink" Target="https://dym.asia/media/recruiting/new-graduation-agent-scientific/" TargetMode="External" Id="rId2194"/><Relationship Type="http://schemas.openxmlformats.org/officeDocument/2006/relationships/hyperlink" Target="https://www.meetscompany.jp/" TargetMode="External" Id="rId2195"/><Relationship Type="http://schemas.openxmlformats.org/officeDocument/2006/relationships/hyperlink" Target="https://dym.asia/services/new-graduates/new-graduate-recruitment/" TargetMode="External" Id="rId2196"/><Relationship Type="http://schemas.openxmlformats.org/officeDocument/2006/relationships/hyperlink" Target="https://dym.asia/media/recruiting/non-regular-employment-female/" TargetMode="External" Id="rId2197"/><Relationship Type="http://schemas.openxmlformats.org/officeDocument/2006/relationships/hyperlink" Target="https://dymcareer.jp/?_gl=1*1omsvpz*_ga*MTY1NDA3OTI2OC4xNzYwNTgxMjEy*_ga_ZXCZZJJ72V*czE3NjkwNTYzNDMkbzIwJGcxJHQxNzY5MDYxNTg2JGo2MCRsMCRoMA.." TargetMode="External" Id="rId2198"/><Relationship Type="http://schemas.openxmlformats.org/officeDocument/2006/relationships/hyperlink" Target="https://dym.asia/services/new-graduates/ready-career/" TargetMode="External" Id="rId2199"/><Relationship Type="http://schemas.openxmlformats.org/officeDocument/2006/relationships/hyperlink" Target="https://dym.asia/media/recruiting/office-workers/" TargetMode="External" Id="rId2200"/><Relationship Type="http://schemas.openxmlformats.org/officeDocument/2006/relationships/hyperlink" Target="https://dymcareer.jp/?_gl=1*1omsvpz*_ga*MTY1NDA3OTI2OC4xNzYwNTgxMjEy*_ga_ZXCZZJJ72V*czE3NjkwNTYzNDMkbzIwJGcxJHQxNzY5MDYxNTg2JGo2MCRsMCRoMA.." TargetMode="External" Id="rId2201"/><Relationship Type="http://schemas.openxmlformats.org/officeDocument/2006/relationships/hyperlink" Target="https://dym.asia/services/new-graduates/ready-career/" TargetMode="External" Id="rId2202"/><Relationship Type="http://schemas.openxmlformats.org/officeDocument/2006/relationships/hyperlink" Target="https://dym.asia/media/recruiting/office-workers/" TargetMode="External" Id="rId2203"/><Relationship Type="http://schemas.openxmlformats.org/officeDocument/2006/relationships/hyperlink" Target="https://dymcareer.jp/?_gl=1*1omsvpz*_ga*MTY1NDA3OTI2OC4xNzYwNTgxMjEy*_ga_ZXCZZJJ72V*czE3NjkwNTYzNDMkbzIwJGcxJHQxNzY5MDYxNTg2JGo2MCRsMCRoMA.." TargetMode="External" Id="rId2204"/><Relationship Type="http://schemas.openxmlformats.org/officeDocument/2006/relationships/hyperlink" Target="https://dym.asia/services/new-graduates/ready-career/" TargetMode="External" Id="rId2205"/><Relationship Type="http://schemas.openxmlformats.org/officeDocument/2006/relationships/hyperlink" Target="https://dym.asia/media/recruiting/online-session-wearing-no-note/" TargetMode="External" Id="rId2206"/><Relationship Type="http://schemas.openxmlformats.org/officeDocument/2006/relationships/hyperlink" Target="https://www.meetscompany.jp/" TargetMode="External" Id="rId2207"/><Relationship Type="http://schemas.openxmlformats.org/officeDocument/2006/relationships/hyperlink" Target="https://dym.asia/services/new-graduates/new-graduate-recruitment/" TargetMode="External" Id="rId2208"/><Relationship Type="http://schemas.openxmlformats.org/officeDocument/2006/relationships/hyperlink" Target="https://dym.asia/media/recruiting/online-session-wearing-no-note/" TargetMode="External" Id="rId2209"/><Relationship Type="http://schemas.openxmlformats.org/officeDocument/2006/relationships/hyperlink" Target="https://www.meetscompany.jp/" TargetMode="External" Id="rId2210"/><Relationship Type="http://schemas.openxmlformats.org/officeDocument/2006/relationships/hyperlink" Target="https://dym.asia/services/new-graduates/new-graduate-recruitment/" TargetMode="External" Id="rId2211"/><Relationship Type="http://schemas.openxmlformats.org/officeDocument/2006/relationships/hyperlink" Target="https://dym.asia/media/recruiting/online-session-wearing/" TargetMode="External" Id="rId2212"/><Relationship Type="http://schemas.openxmlformats.org/officeDocument/2006/relationships/hyperlink" Target="https://www.meetscompany.jp/" TargetMode="External" Id="rId2213"/><Relationship Type="http://schemas.openxmlformats.org/officeDocument/2006/relationships/hyperlink" Target="https://dym.asia/services/new-graduates/new-graduate-recruitment/" TargetMode="External" Id="rId2214"/><Relationship Type="http://schemas.openxmlformats.org/officeDocument/2006/relationships/hyperlink" Target="https://dym.asia/media/recruiting/online-session-wearing/" TargetMode="External" Id="rId2215"/><Relationship Type="http://schemas.openxmlformats.org/officeDocument/2006/relationships/hyperlink" Target="https://www.meetscompany.jp/" TargetMode="External" Id="rId2216"/><Relationship Type="http://schemas.openxmlformats.org/officeDocument/2006/relationships/hyperlink" Target="https://dym.asia/services/new-graduates/new-graduate-recruitment/" TargetMode="External" Id="rId2217"/><Relationship Type="http://schemas.openxmlformats.org/officeDocument/2006/relationships/hyperlink" Target="https://dym.asia/media/recruiting/part-time-advisor/" TargetMode="External" Id="rId2218"/><Relationship Type="http://schemas.openxmlformats.org/officeDocument/2006/relationships/hyperlink" Target="https://dym.asia/services/new-graduates/dym-tech/" TargetMode="External" Id="rId2219"/><Relationship Type="http://schemas.openxmlformats.org/officeDocument/2006/relationships/hyperlink" Target="https://dym.asia/media/recruiting/programmer-outsourcing/" TargetMode="External" Id="rId2220"/><Relationship Type="http://schemas.openxmlformats.org/officeDocument/2006/relationships/hyperlink" Target="https://dym-tech.jp/" TargetMode="External" Id="rId2221"/><Relationship Type="http://schemas.openxmlformats.org/officeDocument/2006/relationships/hyperlink" Target="https://dym.asia/services/new-graduates/Former-graduate/" TargetMode="External" Id="rId2222"/><Relationship Type="http://schemas.openxmlformats.org/officeDocument/2006/relationships/hyperlink" Target="https://dym.asia/media/recruiting/qualification/" TargetMode="External" Id="rId2223"/><Relationship Type="http://schemas.openxmlformats.org/officeDocument/2006/relationships/hyperlink" Target="https://www.dshu.jp/" TargetMode="External" Id="rId2224"/><Relationship Type="http://schemas.openxmlformats.org/officeDocument/2006/relationships/hyperlink" Target="https://dym.asia/services/new-graduates/Former-graduate/" TargetMode="External" Id="rId2225"/><Relationship Type="http://schemas.openxmlformats.org/officeDocument/2006/relationships/hyperlink" Target="https://dym.asia/media/recruiting/rirekisho-photo-manner/" TargetMode="External" Id="rId2226"/><Relationship Type="http://schemas.openxmlformats.org/officeDocument/2006/relationships/hyperlink" Target="https://www.meetscompany.jp/" TargetMode="External" Id="rId2227"/><Relationship Type="http://schemas.openxmlformats.org/officeDocument/2006/relationships/hyperlink" Target="https://dym.asia/services/new-graduates/new-graduate-recruitment/" TargetMode="External" Id="rId2228"/><Relationship Type="http://schemas.openxmlformats.org/officeDocument/2006/relationships/hyperlink" Target="https://dym.asia/media/recruiting/self-introduction/" TargetMode="External" Id="rId2229"/><Relationship Type="http://schemas.openxmlformats.org/officeDocument/2006/relationships/hyperlink" Target="https://www.meetscompany.jp/" TargetMode="External" Id="rId2230"/><Relationship Type="http://schemas.openxmlformats.org/officeDocument/2006/relationships/hyperlink" Target="https://dym.asia/services/new-graduates/new-graduate-recruitment/" TargetMode="External" Id="rId2231"/><Relationship Type="http://schemas.openxmlformats.org/officeDocument/2006/relationships/hyperlink" Target="https://dym.asia/media/recruiting/sellers-market/" TargetMode="External" Id="rId2232"/><Relationship Type="http://schemas.openxmlformats.org/officeDocument/2006/relationships/hyperlink" Target="https://www.meetscompany.jp/" TargetMode="External" Id="rId2233"/><Relationship Type="http://schemas.openxmlformats.org/officeDocument/2006/relationships/hyperlink" Target="https://dym.asia/services/new-graduates/new-graduate-recruitment/" TargetMode="External" Id="rId2234"/><Relationship Type="http://schemas.openxmlformats.org/officeDocument/2006/relationships/hyperlink" Target="https://dym.asia/media/recruiting/session-bag/" TargetMode="External" Id="rId2235"/><Relationship Type="http://schemas.openxmlformats.org/officeDocument/2006/relationships/hyperlink" Target="https://www.meetscompany.jp/" TargetMode="External" Id="rId2236"/><Relationship Type="http://schemas.openxmlformats.org/officeDocument/2006/relationships/hyperlink" Target="https://dym.asia/services/new-graduates/new-graduate-recruitment/" TargetMode="External" Id="rId2237"/><Relationship Type="http://schemas.openxmlformats.org/officeDocument/2006/relationships/hyperlink" Target="https://dym.asia/media/recruiting/session-casual/" TargetMode="External" Id="rId2238"/><Relationship Type="http://schemas.openxmlformats.org/officeDocument/2006/relationships/hyperlink" Target="https://www.meetscompany.jp/" TargetMode="External" Id="rId2239"/><Relationship Type="http://schemas.openxmlformats.org/officeDocument/2006/relationships/hyperlink" Target="https://dym.asia/services/new-graduates/new-graduate-recruitment/" TargetMode="External" Id="rId2240"/><Relationship Type="http://schemas.openxmlformats.org/officeDocument/2006/relationships/hyperlink" Target="https://dym.asia/media/recruiting/session-wearing/" TargetMode="External" Id="rId2241"/><Relationship Type="http://schemas.openxmlformats.org/officeDocument/2006/relationships/hyperlink" Target="https://www.meetscompany.jp/" TargetMode="External" Id="rId2242"/><Relationship Type="http://schemas.openxmlformats.org/officeDocument/2006/relationships/hyperlink" Target="https://dym.asia/services/new-graduates/new-graduate-recruitment/" TargetMode="External" Id="rId2243"/><Relationship Type="http://schemas.openxmlformats.org/officeDocument/2006/relationships/hyperlink" Target="https://dym.asia/media/recruiting/session-wearing/" TargetMode="External" Id="rId2244"/><Relationship Type="http://schemas.openxmlformats.org/officeDocument/2006/relationships/hyperlink" Target="https://www.meetscompany.jp/" TargetMode="External" Id="rId2245"/><Relationship Type="http://schemas.openxmlformats.org/officeDocument/2006/relationships/hyperlink" Target="https://dym.asia/services/new-graduates/new-graduate-recruitment/" TargetMode="External" Id="rId2246"/><Relationship Type="http://schemas.openxmlformats.org/officeDocument/2006/relationships/hyperlink" Target="https://dym.asia/media/recruiting/session-when-arrive/" TargetMode="External" Id="rId2247"/><Relationship Type="http://schemas.openxmlformats.org/officeDocument/2006/relationships/hyperlink" Target="https://www.meetscompany.jp/" TargetMode="External" Id="rId2248"/><Relationship Type="http://schemas.openxmlformats.org/officeDocument/2006/relationships/hyperlink" Target="https://dym.asia/services/new-graduates/new-graduate-recruitment/" TargetMode="External" Id="rId2249"/><Relationship Type="http://schemas.openxmlformats.org/officeDocument/2006/relationships/hyperlink" Target="https://dym.asia/media/recruiting/shokumu-keirekisho-complete-guide/" TargetMode="External" Id="rId2250"/><Relationship Type="http://schemas.openxmlformats.org/officeDocument/2006/relationships/hyperlink" Target="https://www.dshu.jp/" TargetMode="External" Id="rId2251"/><Relationship Type="http://schemas.openxmlformats.org/officeDocument/2006/relationships/hyperlink" Target="https://dym.asia/services/new-graduates/new-graduate-recruitment/" TargetMode="External" Id="rId2252"/><Relationship Type="http://schemas.openxmlformats.org/officeDocument/2006/relationships/hyperlink" Target="https://dym.asia/media/recruiting/strengths/" TargetMode="External" Id="rId2253"/><Relationship Type="http://schemas.openxmlformats.org/officeDocument/2006/relationships/hyperlink" Target="https://www.dshu.jp/" TargetMode="External" Id="rId2254"/><Relationship Type="http://schemas.openxmlformats.org/officeDocument/2006/relationships/hyperlink" Target="https://dym.asia/services/new-graduates/Former-graduate/" TargetMode="External" Id="rId2255"/><Relationship Type="http://schemas.openxmlformats.org/officeDocument/2006/relationships/hyperlink" Target="https://dym.asia/media/recruiting/strengths/" TargetMode="External" Id="rId2256"/><Relationship Type="http://schemas.openxmlformats.org/officeDocument/2006/relationships/hyperlink" Target="https://www.dshu.jp/" TargetMode="External" Id="rId2257"/><Relationship Type="http://schemas.openxmlformats.org/officeDocument/2006/relationships/hyperlink" Target="https://dym.asia/services/new-graduates/Former-graduate/" TargetMode="External" Id="rId2258"/><Relationship Type="http://schemas.openxmlformats.org/officeDocument/2006/relationships/hyperlink" Target="https://dym.asia/media/recruiting/venture-company/" TargetMode="External" Id="rId2259"/><Relationship Type="http://schemas.openxmlformats.org/officeDocument/2006/relationships/hyperlink" Target="https://www.dshu.jp/" TargetMode="External" Id="rId2260"/><Relationship Type="http://schemas.openxmlformats.org/officeDocument/2006/relationships/hyperlink" Target="https://dym.asia/services/new-graduates/new-graduate-recruitment/" TargetMode="External" Id="rId2261"/><Relationship Type="http://schemas.openxmlformats.org/officeDocument/2006/relationships/hyperlink" Target="https://dym.asia/media/recruiting/voluntary-unemployment-insurance/" TargetMode="External" Id="rId2262"/><Relationship Type="http://schemas.openxmlformats.org/officeDocument/2006/relationships/hyperlink" Target="https://www.meetscompany.jp/" TargetMode="External" Id="rId2263"/><Relationship Type="http://schemas.openxmlformats.org/officeDocument/2006/relationships/hyperlink" Target="https://dym.asia/services/new-graduates/new-graduate-recruitment/" TargetMode="External" Id="rId2264"/><Relationship Type="http://schemas.openxmlformats.org/officeDocument/2006/relationships/hyperlink" Target="https://dym.asia/media/recruiting/woman-highschool-graduation/" TargetMode="External" Id="rId2265"/><Relationship Type="http://schemas.openxmlformats.org/officeDocument/2006/relationships/hyperlink" Target="https://www.dshu.jp/" TargetMode="External" Id="rId2266"/><Relationship Type="http://schemas.openxmlformats.org/officeDocument/2006/relationships/hyperlink" Target="https://dym.asia/services/new-graduates/Former-graduate/" TargetMode="External" Id="rId226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ym.asia/services/exe-part/" TargetMode="External" Id="rId1"/><Relationship Type="http://schemas.openxmlformats.org/officeDocument/2006/relationships/hyperlink" Target="https://dym.asia/media/advisors-directory/" TargetMode="External" Id="rId2"/><Relationship Type="http://schemas.openxmlformats.org/officeDocument/2006/relationships/hyperlink" Target="https://dym.asia/media/advisor/" TargetMode="External" Id="rId3"/><Relationship Type="http://schemas.openxmlformats.org/officeDocument/2006/relationships/hyperlink" Target="https://dym.asia/media/board-member/" TargetMode="External" Id="rId4"/><Relationship Type="http://schemas.openxmlformats.org/officeDocument/2006/relationships/hyperlink" Target="https://dym.asia/media/advisor-bank/" TargetMode="External" Id="rId5"/><Relationship Type="http://schemas.openxmlformats.org/officeDocument/2006/relationships/hyperlink" Target="https://dym.asia/media/advisor-introduction/" TargetMode="External" Id="rId6"/><Relationship Type="http://schemas.openxmlformats.org/officeDocument/2006/relationships/hyperlink" Target="https://dym.asia/media/advisors-directory/" TargetMode="External" Id="rId7"/><Relationship Type="http://schemas.openxmlformats.org/officeDocument/2006/relationships/hyperlink" Target="https://dym.asia/services/web-promotion/listing/" TargetMode="External" Id="rId8"/><Relationship Type="http://schemas.openxmlformats.org/officeDocument/2006/relationships/hyperlink" Target="https://dym.asia/media/google-ads-keywords/" TargetMode="External" Id="rId9"/><Relationship Type="http://schemas.openxmlformats.org/officeDocument/2006/relationships/hyperlink" Target="https://dym.asia/media/listing-ads/" TargetMode="External" Id="rId10"/><Relationship Type="http://schemas.openxmlformats.org/officeDocument/2006/relationships/hyperlink" Target="https://dym.asia/media/listing-ads-type/" TargetMode="External" Id="rId11"/><Relationship Type="http://schemas.openxmlformats.org/officeDocument/2006/relationships/hyperlink" Target="https://dym.asia/media/listing_advertisement/" TargetMode="External" Id="rId12"/><Relationship Type="http://schemas.openxmlformats.org/officeDocument/2006/relationships/hyperlink" Target="https://dym.asia/media/listing-display-ads/" TargetMode="External" Id="rId13"/><Relationship Type="http://schemas.openxmlformats.org/officeDocument/2006/relationships/hyperlink" Target="https://dym.asia/media/listing-display-ads/" TargetMode="External" Id="rId14"/><Relationship Type="http://schemas.openxmlformats.org/officeDocument/2006/relationships/hyperlink" Target="https://dym.asia/services/web-promotion/seo/" TargetMode="External" Id="rId15"/><Relationship Type="http://schemas.openxmlformats.org/officeDocument/2006/relationships/hyperlink" Target="https://dym.asia/media/seo-cost/" TargetMode="External" Id="rId16"/><Relationship Type="http://schemas.openxmlformats.org/officeDocument/2006/relationships/hyperlink" Target="https://dym.asia/media/google-algorithm/" TargetMode="External" Id="rId17"/><Relationship Type="http://schemas.openxmlformats.org/officeDocument/2006/relationships/hyperlink" Target="https://dym.asia/media/how-to-seo/" TargetMode="External" Id="rId18"/><Relationship Type="http://schemas.openxmlformats.org/officeDocument/2006/relationships/hyperlink" Target="https://dym.asia/media/keyword-selection/" TargetMode="External" Id="rId19"/><Relationship Type="http://schemas.openxmlformats.org/officeDocument/2006/relationships/hyperlink" Target="https://dym.asia/media/seo-title-number-of-words/" TargetMode="External" Id="rId20"/><Relationship Type="http://schemas.openxmlformats.org/officeDocument/2006/relationships/hyperlink" Target="https://dym.asia/services/web-promotion/sns-ads/" TargetMode="External" Id="rId21"/><Relationship Type="http://schemas.openxmlformats.org/officeDocument/2006/relationships/hyperlink" Target="https://dym.asia/media/sns-ad-operation/" TargetMode="External" Id="rId22"/><Relationship Type="http://schemas.openxmlformats.org/officeDocument/2006/relationships/hyperlink" Target="https://dym.asia/media/sns-ad-cost/" TargetMode="External" Id="rId23"/><Relationship Type="http://schemas.openxmlformats.org/officeDocument/2006/relationships/hyperlink" Target="https://dym.asia/media/sns-ad-type/" TargetMode="External" Id="rId24"/><Relationship Type="http://schemas.openxmlformats.org/officeDocument/2006/relationships/hyperlink" Target="https://dym.asia/media/influencer/" TargetMode="External" Id="rId25"/><Relationship Type="http://schemas.openxmlformats.org/officeDocument/2006/relationships/hyperlink" Target="https://dym.asia/media/sns-ad-example/" TargetMode="External" Id="rId26"/><Relationship Type="http://schemas.openxmlformats.org/officeDocument/2006/relationships/hyperlink" Target="https://dym.asia/services/web-promotion/dsp-native-ads/" TargetMode="External" Id="rId27"/><Relationship Type="http://schemas.openxmlformats.org/officeDocument/2006/relationships/hyperlink" Target="https://dym.asia/media/native-ads-medium/" TargetMode="External" Id="rId28"/><Relationship Type="http://schemas.openxmlformats.org/officeDocument/2006/relationships/hyperlink" Target="https://dym.asia/media/remarketing/" TargetMode="External" Id="rId29"/><Relationship Type="http://schemas.openxmlformats.org/officeDocument/2006/relationships/hyperlink" Target="https://dym.asia/media/criteo_advertisement/" TargetMode="External" Id="rId30"/><Relationship Type="http://schemas.openxmlformats.org/officeDocument/2006/relationships/hyperlink" Target="https://dym.asia/media/logicad/" TargetMode="External" Id="rId31"/><Relationship Type="http://schemas.openxmlformats.org/officeDocument/2006/relationships/hyperlink" Target="https://dym.asia/media/infeed-ad/" TargetMode="External" Id="rId32"/><Relationship Type="http://schemas.openxmlformats.org/officeDocument/2006/relationships/hyperlink" Target="https://dym.asia/services/web-promotion/affiliate/" TargetMode="External" Id="rId33"/><Relationship Type="http://schemas.openxmlformats.org/officeDocument/2006/relationships/hyperlink" Target="https://dym.asia/media/affiliate-how-to-start/" TargetMode="External" Id="rId34"/><Relationship Type="http://schemas.openxmlformats.org/officeDocument/2006/relationships/hyperlink" Target="https://dym.asia/media/affiliate-site/" TargetMode="External" Id="rId35"/><Relationship Type="http://schemas.openxmlformats.org/officeDocument/2006/relationships/hyperlink" Target="https://dym.asia/media/affiliate-blog/" TargetMode="External" Id="rId36"/><Relationship Type="http://schemas.openxmlformats.org/officeDocument/2006/relationships/hyperlink" Target="https://dym.asia/media/affiliate-demerit/" TargetMode="External" Id="rId37"/><Relationship Type="http://schemas.openxmlformats.org/officeDocument/2006/relationships/hyperlink" Target="https://dym.asia/media/affiliate/" TargetMode="External" Id="rId38"/><Relationship Type="http://schemas.openxmlformats.org/officeDocument/2006/relationships/hyperlink" Target="https://dym.asia/services/web-promotion/production-operation/" TargetMode="External" Id="rId39"/><Relationship Type="http://schemas.openxmlformats.org/officeDocument/2006/relationships/hyperlink" Target="https://dym.asia/media/favicon/" TargetMode="External" Id="rId40"/><Relationship Type="http://schemas.openxmlformats.org/officeDocument/2006/relationships/hyperlink" Target="https://dym.asia/media/htaccess/" TargetMode="External" Id="rId41"/><Relationship Type="http://schemas.openxmlformats.org/officeDocument/2006/relationships/hyperlink" Target="https://dym.asia/media/html/" TargetMode="External" Id="rId42"/><Relationship Type="http://schemas.openxmlformats.org/officeDocument/2006/relationships/hyperlink" Target="https://dym.asia/media/gas/" TargetMode="External" Id="rId43"/><Relationship Type="http://schemas.openxmlformats.org/officeDocument/2006/relationships/hyperlink" Target="https://dym.asia/media/ip-address/" TargetMode="External" Id="rId44"/><Relationship Type="http://schemas.openxmlformats.org/officeDocument/2006/relationships/hyperlink" Target="https://dym.asia/services/web-promotion/sns-consulting/" TargetMode="External" Id="rId45"/><Relationship Type="http://schemas.openxmlformats.org/officeDocument/2006/relationships/hyperlink" Target="https://dym.asia/media/sns-market/" TargetMode="External" Id="rId46"/><Relationship Type="http://schemas.openxmlformats.org/officeDocument/2006/relationships/hyperlink" Target="https://dym.asia/media/sns_consulting/" TargetMode="External" Id="rId47"/><Relationship Type="http://schemas.openxmlformats.org/officeDocument/2006/relationships/hyperlink" Target="https://dym.asia/media/facebook-operation/" TargetMode="External" Id="rId48"/><Relationship Type="http://schemas.openxmlformats.org/officeDocument/2006/relationships/hyperlink" Target="https://dym.asia/media/sns-company/" TargetMode="External" Id="rId49"/><Relationship Type="http://schemas.openxmlformats.org/officeDocument/2006/relationships/hyperlink" Target="https://dym.asia/media/line-official-delete/" TargetMode="External" Id="rId50"/><Relationship Type="http://schemas.openxmlformats.org/officeDocument/2006/relationships/hyperlink" Target="https://dym.asia/services/web-promotion/talents-share/" TargetMode="External" Id="rId51"/><Relationship Type="http://schemas.openxmlformats.org/officeDocument/2006/relationships/hyperlink" Target="https://dym.asia/media/ai-cast/" TargetMode="External" Id="rId52"/><Relationship Type="http://schemas.openxmlformats.org/officeDocument/2006/relationships/hyperlink" Target="https://dym.asia/media/talent-subscription/" TargetMode="External" Id="rId53"/><Relationship Type="http://schemas.openxmlformats.org/officeDocument/2006/relationships/hyperlink" Target="https://dym.asia/media/tarent-casting-cost/" TargetMode="External" Id="rId54"/><Relationship Type="http://schemas.openxmlformats.org/officeDocument/2006/relationships/hyperlink" Target="https://dym.asia/media/ad-talent/" TargetMode="External" Id="rId55"/><Relationship Type="http://schemas.openxmlformats.org/officeDocument/2006/relationships/hyperlink" Target="https://dym.asia/services/web-promotion/thailand/" TargetMode="External" Id="rId56"/><Relationship Type="http://schemas.openxmlformats.org/officeDocument/2006/relationships/hyperlink" Target="https://dym.asia/media/seo-cost/" TargetMode="External" Id="rId57"/><Relationship Type="http://schemas.openxmlformats.org/officeDocument/2006/relationships/hyperlink" Target="https://dym.asia/media/how-to-seo/" TargetMode="External" Id="rId58"/><Relationship Type="http://schemas.openxmlformats.org/officeDocument/2006/relationships/hyperlink" Target="https://dym.asia/media/site-create-company/" TargetMode="External" Id="rId59"/><Relationship Type="http://schemas.openxmlformats.org/officeDocument/2006/relationships/hyperlink" Target="https://dym.asia/media/site-create-hearing/" TargetMode="External" Id="rId60"/><Relationship Type="http://schemas.openxmlformats.org/officeDocument/2006/relationships/hyperlink" Target="https://dym.asia/services/hr-tech/indeed/" TargetMode="External" Id="rId61"/><Relationship Type="http://schemas.openxmlformats.org/officeDocument/2006/relationships/hyperlink" Target="https://dym.asia/media/indeed-description/" TargetMode="External" Id="rId62"/><Relationship Type="http://schemas.openxmlformats.org/officeDocument/2006/relationships/hyperlink" Target="https://dym.asia/media/indeed-how-to-use/" TargetMode="External" Id="rId63"/><Relationship Type="http://schemas.openxmlformats.org/officeDocument/2006/relationships/hyperlink" Target="https://dym.asia/media/indeed-plus-guide/" TargetMode="External" Id="rId64"/><Relationship Type="http://schemas.openxmlformats.org/officeDocument/2006/relationships/hyperlink" Target="https://dym.asia/media/what-is-hrtech/" TargetMode="External" Id="rId65"/><Relationship Type="http://schemas.openxmlformats.org/officeDocument/2006/relationships/hyperlink" Target="https://dym.asia/media/indeed_operation/" TargetMode="External" Id="rId66"/><Relationship Type="http://schemas.openxmlformats.org/officeDocument/2006/relationships/hyperlink" Target="https://dym.asia/services/hr-tech/stanby-kyujinbox/" TargetMode="External" Id="rId67"/><Relationship Type="http://schemas.openxmlformats.org/officeDocument/2006/relationships/hyperlink" Target="https://dym.asia/media/kyujinbox_agency/" TargetMode="External" Id="rId68"/><Relationship Type="http://schemas.openxmlformats.org/officeDocument/2006/relationships/hyperlink" Target="https://dym.asia/media/kyujinbox/" TargetMode="External" Id="rId69"/><Relationship Type="http://schemas.openxmlformats.org/officeDocument/2006/relationships/hyperlink" Target="https://dym.asia/media/kyujinbox-cost/" TargetMode="External" Id="rId70"/><Relationship Type="http://schemas.openxmlformats.org/officeDocument/2006/relationships/hyperlink" Target="https://dym.asia/media/rpo-meaning-merit/" TargetMode="External" Id="rId71"/><Relationship Type="http://schemas.openxmlformats.org/officeDocument/2006/relationships/hyperlink" Target="https://dym.asia/media/kyujinbox-about/" TargetMode="External" Id="rId72"/><Relationship Type="http://schemas.openxmlformats.org/officeDocument/2006/relationships/hyperlink" Target="https://dym.asia/services/hr-tech/rakusai/" TargetMode="External" Id="rId73"/><Relationship Type="http://schemas.openxmlformats.org/officeDocument/2006/relationships/hyperlink" Target="https://dym.asia/media/labor-reduction/" TargetMode="External" Id="rId74"/><Relationship Type="http://schemas.openxmlformats.org/officeDocument/2006/relationships/hyperlink" Target="https://dym.asia/media/ats/" TargetMode="External" Id="rId75"/><Relationship Type="http://schemas.openxmlformats.org/officeDocument/2006/relationships/hyperlink" Target="https://dym.asia/media/reducation-of-labor-cost/" TargetMode="External" Id="rId76"/><Relationship Type="http://schemas.openxmlformats.org/officeDocument/2006/relationships/hyperlink" Target="https://dym.asia/media/resource-shortage/" TargetMode="External" Id="rId77"/><Relationship Type="http://schemas.openxmlformats.org/officeDocument/2006/relationships/hyperlink" Target="https://dym.asia/media/recuruting-workcost/" TargetMode="External" Id="rId78"/><Relationship Type="http://schemas.openxmlformats.org/officeDocument/2006/relationships/hyperlink" Target="https://dym.asia/services/hr-tech/call-center/" TargetMode="External" Id="rId79"/><Relationship Type="http://schemas.openxmlformats.org/officeDocument/2006/relationships/hyperlink" Target="https://dym.asia/media/callcenter-complaint-handling/" TargetMode="External" Id="rId80"/><Relationship Type="http://schemas.openxmlformats.org/officeDocument/2006/relationships/hyperlink" Target="https://dym.asia/media/callcenter-qualification/" TargetMode="External" Id="rId81"/><Relationship Type="http://schemas.openxmlformats.org/officeDocument/2006/relationships/hyperlink" Target="https://dym.asia/media/callcenter-term/" TargetMode="External" Id="rId82"/><Relationship Type="http://schemas.openxmlformats.org/officeDocument/2006/relationships/hyperlink" Target="https://dym.asia/media/call-center-sv/" TargetMode="External" Id="rId83"/><Relationship Type="http://schemas.openxmlformats.org/officeDocument/2006/relationships/hyperlink" Target="https://dym.asia/media/inbound_call/" TargetMode="External" Id="rId84"/><Relationship Type="http://schemas.openxmlformats.org/officeDocument/2006/relationships/hyperlink" Target="https://dym.asia/services/new-graduates/new-graduate-recruitment/" TargetMode="External" Id="rId85"/><Relationship Type="http://schemas.openxmlformats.org/officeDocument/2006/relationships/hyperlink" Target="https://dym.asia/media/proper/" TargetMode="External" Id="rId86"/><Relationship Type="http://schemas.openxmlformats.org/officeDocument/2006/relationships/hyperlink" Target="https://dym.asia/media/rejected-tel/" TargetMode="External" Id="rId87"/><Relationship Type="http://schemas.openxmlformats.org/officeDocument/2006/relationships/hyperlink" Target="https://dym.asia/media/steak-holder/" TargetMode="External" Id="rId88"/><Relationship Type="http://schemas.openxmlformats.org/officeDocument/2006/relationships/hyperlink" Target="https://dym.asia/media/dependent-relatives/" TargetMode="External" Id="rId89"/><Relationship Type="http://schemas.openxmlformats.org/officeDocument/2006/relationships/hyperlink" Target="https://dym.asia/media/new_graduate_agent/" TargetMode="External" Id="rId90"/><Relationship Type="http://schemas.openxmlformats.org/officeDocument/2006/relationships/hyperlink" Target="https://dym.asia/services/new-graduates/Former-graduate/" TargetMode="External" Id="rId91"/><Relationship Type="http://schemas.openxmlformats.org/officeDocument/2006/relationships/hyperlink" Target="https://dym.asia/media/diversity/" TargetMode="External" Id="rId92"/><Relationship Type="http://schemas.openxmlformats.org/officeDocument/2006/relationships/hyperlink" Target="https://dym.asia/media/potential/" TargetMode="External" Id="rId93"/><Relationship Type="http://schemas.openxmlformats.org/officeDocument/2006/relationships/hyperlink" Target="https://dym.asia/media/individual-efforts/" TargetMode="External" Id="rId94"/><Relationship Type="http://schemas.openxmlformats.org/officeDocument/2006/relationships/hyperlink" Target="https://dym.asia/media/paradim-shift/" TargetMode="External" Id="rId95"/><Relationship Type="http://schemas.openxmlformats.org/officeDocument/2006/relationships/hyperlink" Target="https://dym.asia/media/post_graduate_employment/" TargetMode="External" Id="rId96"/><Relationship Type="http://schemas.openxmlformats.org/officeDocument/2006/relationships/hyperlink" Target="https://dym.asia/services/new-graduates/high-class/" TargetMode="External" Id="rId97"/><Relationship Type="http://schemas.openxmlformats.org/officeDocument/2006/relationships/hyperlink" Target="https://dym.asia/media/head-hunting-cost/" TargetMode="External" Id="rId98"/><Relationship Type="http://schemas.openxmlformats.org/officeDocument/2006/relationships/hyperlink" Target="https://dym.asia/media/head-hunting/" TargetMode="External" Id="rId99"/><Relationship Type="http://schemas.openxmlformats.org/officeDocument/2006/relationships/hyperlink" Target="https://dym.asia/media/board-member-training/" TargetMode="External" Id="rId100"/><Relationship Type="http://schemas.openxmlformats.org/officeDocument/2006/relationships/hyperlink" Target="https://dym.asia/media/recruiting/40s-job-change/" TargetMode="External" Id="rId101"/><Relationship Type="http://schemas.openxmlformats.org/officeDocument/2006/relationships/hyperlink" Target="https://dym.asia/media/recruiting/35-job-change/" TargetMode="External" Id="rId102"/><Relationship Type="http://schemas.openxmlformats.org/officeDocument/2006/relationships/hyperlink" Target="https://dym.asia/services/new-graduates/development-training/" TargetMode="External" Id="rId103"/><Relationship Type="http://schemas.openxmlformats.org/officeDocument/2006/relationships/hyperlink" Target="https://dym.asia/media/listening-ability/" TargetMode="External" Id="rId104"/><Relationship Type="http://schemas.openxmlformats.org/officeDocument/2006/relationships/hyperlink" Target="https://dym.asia/media/hr/" TargetMode="External" Id="rId105"/><Relationship Type="http://schemas.openxmlformats.org/officeDocument/2006/relationships/hyperlink" Target="https://dym.asia/media/industrial-accident/" TargetMode="External" Id="rId106"/><Relationship Type="http://schemas.openxmlformats.org/officeDocument/2006/relationships/hyperlink" Target="https://dym.asia/media/metacognition/" TargetMode="External" Id="rId107"/><Relationship Type="http://schemas.openxmlformats.org/officeDocument/2006/relationships/hyperlink" Target="https://dym.asia/media/eq/" TargetMode="External" Id="rId108"/><Relationship Type="http://schemas.openxmlformats.org/officeDocument/2006/relationships/hyperlink" Target="https://dym.asia/services/new-graduates/exe-part/" TargetMode="External" Id="rId109"/><Relationship Type="http://schemas.openxmlformats.org/officeDocument/2006/relationships/hyperlink" Target="https://dym.asia/media/personality/" TargetMode="External" Id="rId110"/><Relationship Type="http://schemas.openxmlformats.org/officeDocument/2006/relationships/hyperlink" Target="https://dym.asia/media/advisors-directory/" TargetMode="External" Id="rId111"/><Relationship Type="http://schemas.openxmlformats.org/officeDocument/2006/relationships/hyperlink" Target="https://dym.asia/media/advisors/" TargetMode="External" Id="rId112"/><Relationship Type="http://schemas.openxmlformats.org/officeDocument/2006/relationships/hyperlink" Target="https://dym.asia/media/external-advisor/" TargetMode="External" Id="rId113"/><Relationship Type="http://schemas.openxmlformats.org/officeDocument/2006/relationships/hyperlink" Target="https://dym.asia/media/board-member/" TargetMode="External" Id="rId114"/><Relationship Type="http://schemas.openxmlformats.org/officeDocument/2006/relationships/hyperlink" Target="https://dym.asia/services/new-graduates/dym-tech/" TargetMode="External" Id="rId115"/><Relationship Type="http://schemas.openxmlformats.org/officeDocument/2006/relationships/hyperlink" Target="https://dym.asia/media/permanent_dispatch/" TargetMode="External" Id="rId116"/><Relationship Type="http://schemas.openxmlformats.org/officeDocument/2006/relationships/hyperlink" Target="https://dym.asia/media/degital-marketing-outsourcing/" TargetMode="External" Id="rId117"/><Relationship Type="http://schemas.openxmlformats.org/officeDocument/2006/relationships/hyperlink" Target="https://dym.asia/media/general_dispatch/" TargetMode="External" Id="rId118"/><Relationship Type="http://schemas.openxmlformats.org/officeDocument/2006/relationships/hyperlink" Target="https://dym.asia/media/it-advisor/" TargetMode="External" Id="rId119"/><Relationship Type="http://schemas.openxmlformats.org/officeDocument/2006/relationships/hyperlink" Target="https://dym.asia/media/ses-temporary/" TargetMode="External" Id="rId120"/><Relationship Type="http://schemas.openxmlformats.org/officeDocument/2006/relationships/hyperlink" Target="https://dym.asia/services/new-graduates/ready-career/" TargetMode="External" Id="rId121"/><Relationship Type="http://schemas.openxmlformats.org/officeDocument/2006/relationships/hyperlink" Target="https://dym.asia/media/recruiting/non-regular-employment-female/" TargetMode="External" Id="rId122"/><Relationship Type="http://schemas.openxmlformats.org/officeDocument/2006/relationships/hyperlink" Target="https://dym.asia/media/recruiting/dispatch-salary/" TargetMode="External" Id="rId123"/><Relationship Type="http://schemas.openxmlformats.org/officeDocument/2006/relationships/hyperlink" Target="https://dym.asia/media/recruiting/female_dispatch/" TargetMode="External" Id="rId124"/><Relationship Type="http://schemas.openxmlformats.org/officeDocument/2006/relationships/hyperlink" Target="https://dym.asia/media/recruiting/office-work/" TargetMode="External" Id="rId125"/><Relationship Type="http://schemas.openxmlformats.org/officeDocument/2006/relationships/hyperlink" Target="https://dym.asia/media/recruiting/non-regular-employment-female/" TargetMode="External" Id="rId126"/><Relationship Type="http://schemas.openxmlformats.org/officeDocument/2006/relationships/hyperlink" Target="https://dym.asia/services/new-graduates/with-disabilities/" TargetMode="External" Id="rId127"/><Relationship Type="http://schemas.openxmlformats.org/officeDocument/2006/relationships/hyperlink" Target="https://dym.asia/media/with-disabilities-grant/" TargetMode="External" Id="rId128"/><Relationship Type="http://schemas.openxmlformats.org/officeDocument/2006/relationships/hyperlink" Target="https://dym.asia/media/with-disabilities-farming/" TargetMode="External" Id="rId129"/><Relationship Type="http://schemas.openxmlformats.org/officeDocument/2006/relationships/hyperlink" Target="https://dym.asia/media/with-disabilities-recruitment-trial/" TargetMode="External" Id="rId130"/><Relationship Type="http://schemas.openxmlformats.org/officeDocument/2006/relationships/hyperlink" Target="https://dym.asia/media/with-disabilities-recruitment-manager/" TargetMode="External" Id="rId131"/><Relationship Type="http://schemas.openxmlformats.org/officeDocument/2006/relationships/hyperlink" Target="https://dym.asia/services/new-graduates/welfare/" TargetMode="External" Id="rId132"/><Relationship Type="http://schemas.openxmlformats.org/officeDocument/2006/relationships/hyperlink" Target="https://dym.asia/media/the-number-of-paid/" TargetMode="External" Id="rId133"/><Relationship Type="http://schemas.openxmlformats.org/officeDocument/2006/relationships/hyperlink" Target="https://dym.asia/media/bonus/" TargetMode="External" Id="rId134"/><Relationship Type="http://schemas.openxmlformats.org/officeDocument/2006/relationships/hyperlink" Target="https://dym.asia/media/strike/" TargetMode="External" Id="rId135"/><Relationship Type="http://schemas.openxmlformats.org/officeDocument/2006/relationships/hyperlink" Target="https://dym.asia/media/overtime-upper-limit/" TargetMode="External" Id="rId136"/><Relationship Type="http://schemas.openxmlformats.org/officeDocument/2006/relationships/hyperlink" Target="https://dym.asia/media/may-day/" TargetMode="External" Id="rId137"/><Relationship Type="http://schemas.openxmlformats.org/officeDocument/2006/relationships/hyperlink" Target="https://dym.asia/services/m&amp;a/consulting/" TargetMode="External" Id="rId138"/><Relationship Type="http://schemas.openxmlformats.org/officeDocument/2006/relationships/hyperlink" Target="https://dym.asia/media/dormant-company/" TargetMode="External" Id="rId139"/><Relationship Type="http://schemas.openxmlformats.org/officeDocument/2006/relationships/hyperlink" Target="https://dym.asia/media/lbo/" TargetMode="External" Id="rId140"/><Relationship Type="http://schemas.openxmlformats.org/officeDocument/2006/relationships/hyperlink" Target="https://dym.asia/media/business-transfer/" TargetMode="External" Id="rId141"/><Relationship Type="http://schemas.openxmlformats.org/officeDocument/2006/relationships/hyperlink" Target="https://dym.asia/media/business-succession/" TargetMode="External" Id="rId142"/><Relationship Type="http://schemas.openxmlformats.org/officeDocument/2006/relationships/hyperlink" Target="https://dym.asia/media/clinic-mna/" TargetMode="External" Id="rId143"/><Relationship Type="http://schemas.openxmlformats.org/officeDocument/2006/relationships/hyperlink" Target="https://dym.asia/services/m&amp;a/investment/" TargetMode="External" Id="rId144"/><Relationship Type="http://schemas.openxmlformats.org/officeDocument/2006/relationships/hyperlink" Target="https://dym.asia/media/investment-development-company/" TargetMode="External" Id="rId145"/><Relationship Type="http://schemas.openxmlformats.org/officeDocument/2006/relationships/hyperlink" Target="https://dym.asia/media/stock-transfer-tax/" TargetMode="External" Id="rId146"/><Relationship Type="http://schemas.openxmlformats.org/officeDocument/2006/relationships/hyperlink" Target="https://dym.asia/media/funding/" TargetMode="External" Id="rId147"/><Relationship Type="http://schemas.openxmlformats.org/officeDocument/2006/relationships/hyperlink" Target="https://dym.asia/services/medicine/thailand-clinic/" TargetMode="External" Id="rId148"/><Relationship Type="http://schemas.openxmlformats.org/officeDocument/2006/relationships/hyperlink" Target="https://dym.asia/media/bangkok_hospital/" TargetMode="External" Id="rId149"/><Relationship Type="http://schemas.openxmlformats.org/officeDocument/2006/relationships/hyperlink" Target="https://dym.asia/media/thailand-vaccine-before-traveling/" TargetMode="External" Id="rId150"/><Relationship Type="http://schemas.openxmlformats.org/officeDocument/2006/relationships/hyperlink" Target="https://dym.asia/media/thailand-hospital-japanese/" TargetMode="External" Id="rId151"/><Relationship Type="http://schemas.openxmlformats.org/officeDocument/2006/relationships/hyperlink" Target="https://dym.asia/media/thailand_bangkok_health_checkup/" TargetMode="External" Id="rId152"/><Relationship Type="http://schemas.openxmlformats.org/officeDocument/2006/relationships/hyperlink" Target="https://dym.asia/media/bangkok_healthcare/" TargetMode="External" Id="rId153"/><Relationship Type="http://schemas.openxmlformats.org/officeDocument/2006/relationships/hyperlink" Target="https://dym.asia/services/medicine/hongkong/" TargetMode="External" Id="rId154"/><Relationship Type="http://schemas.openxmlformats.org/officeDocument/2006/relationships/hyperlink" Target="https://dym.asia/media/hongkong-hospital-japanese/" TargetMode="External" Id="rId155"/><Relationship Type="http://schemas.openxmlformats.org/officeDocument/2006/relationships/hyperlink" Target="https://dym.asia/media/hongkong-hospital-cost/" TargetMode="External" Id="rId156"/><Relationship Type="http://schemas.openxmlformats.org/officeDocument/2006/relationships/hyperlink" Target="https://dym.asia/media/hongkong-health-insurance/" TargetMode="External" Id="rId157"/><Relationship Type="http://schemas.openxmlformats.org/officeDocument/2006/relationships/hyperlink" Target="https://dym.asia/media/hongkong-insurance/" TargetMode="External" Id="rId158"/><Relationship Type="http://schemas.openxmlformats.org/officeDocument/2006/relationships/hyperlink" Target="https://dym.asia/media/hong_kong_healthcare/" TargetMode="External" Id="rId159"/><Relationship Type="http://schemas.openxmlformats.org/officeDocument/2006/relationships/hyperlink" Target="https://dym.asia/services/medicine/america-clinic/" TargetMode="External" Id="rId160"/><Relationship Type="http://schemas.openxmlformats.org/officeDocument/2006/relationships/hyperlink" Target="https://dym.asia/media/america-hospital-cost/" TargetMode="External" Id="rId161"/><Relationship Type="http://schemas.openxmlformats.org/officeDocument/2006/relationships/hyperlink" Target="https://dym.asia/media/new-york-hospital-cost/" TargetMode="External" Id="rId162"/><Relationship Type="http://schemas.openxmlformats.org/officeDocument/2006/relationships/hyperlink" Target="https://dym.asia/media/america-insurance/" TargetMode="External" Id="rId163"/><Relationship Type="http://schemas.openxmlformats.org/officeDocument/2006/relationships/hyperlink" Target="https://dym.asia/media/new-york-insurance/" TargetMode="External" Id="rId164"/><Relationship Type="http://schemas.openxmlformats.org/officeDocument/2006/relationships/hyperlink" Target="https://dym.asia/media/america-vaccine-before-traveling/" TargetMode="External" Id="rId165"/><Relationship Type="http://schemas.openxmlformats.org/officeDocument/2006/relationships/hyperlink" Target="https://dym.asia/services/medicine/vietnam-clinic/" TargetMode="External" Id="rId166"/><Relationship Type="http://schemas.openxmlformats.org/officeDocument/2006/relationships/hyperlink" Target="https://dym.asia/media/vietnam-hospital-cost/" TargetMode="External" Id="rId167"/><Relationship Type="http://schemas.openxmlformats.org/officeDocument/2006/relationships/hyperlink" Target="https://dym.asia/media/vietnam-health-insurance/" TargetMode="External" Id="rId168"/><Relationship Type="http://schemas.openxmlformats.org/officeDocument/2006/relationships/hyperlink" Target="https://dym.asia/media/vietnam_healthcare/" TargetMode="External" Id="rId169"/><Relationship Type="http://schemas.openxmlformats.org/officeDocument/2006/relationships/hyperlink" Target="https://dym.asia/media/america-health-insurance/" TargetMode="External" Id="rId170"/><Relationship Type="http://schemas.openxmlformats.org/officeDocument/2006/relationships/hyperlink" Target="https://dym.asia/media/ho-chi-minh-insurance/" TargetMode="External" Id="rId171"/><Relationship Type="http://schemas.openxmlformats.org/officeDocument/2006/relationships/hyperlink" Target="https://dym.asia/services/new-business/relocation/" TargetMode="External" Id="rId172"/><Relationship Type="http://schemas.openxmlformats.org/officeDocument/2006/relationships/hyperlink" Target="https://dym.asia/media/agent-cost/" TargetMode="External" Id="rId173"/><Relationship Type="http://schemas.openxmlformats.org/officeDocument/2006/relationships/hyperlink" Target="https://dym.asia/media/land-sales-agent-cost/" TargetMode="External" Id="rId174"/><Relationship Type="http://schemas.openxmlformats.org/officeDocument/2006/relationships/hyperlink" Target="https://dym.asia/media/how-to-search-empty-property/" TargetMode="External" Id="rId175"/><Relationship Type="http://schemas.openxmlformats.org/officeDocument/2006/relationships/hyperlink" Target="https://dym.asia/media/office_brokerage/" TargetMode="External" Id="rId176"/><Relationship Type="http://schemas.openxmlformats.org/officeDocument/2006/relationships/hyperlink" Target="https://dym.asia/media/real-estate-sale-agent-cost/" TargetMode="External" Id="rId177"/><Relationship Type="http://schemas.openxmlformats.org/officeDocument/2006/relationships/hyperlink" Target="https://dym.asia/services/sports/" TargetMode="External" Id="rId178"/><Relationship Type="http://schemas.openxmlformats.org/officeDocument/2006/relationships/hyperlink" Target="https://dym.asia/media/sponsor-about/" TargetMode="External" Id="rId179"/><Relationship Type="http://schemas.openxmlformats.org/officeDocument/2006/relationships/hyperlink" Target="https://dym.asia/media/sponsor-merit/" TargetMode="External" Id="rId180"/><Relationship Type="http://schemas.openxmlformats.org/officeDocument/2006/relationships/hyperlink" Target="https://dym.asia/media/sponsor-sales/" TargetMode="External" Id="rId181"/><Relationship Type="http://schemas.openxmlformats.org/officeDocument/2006/relationships/hyperlink" Target="https://dym.asia/media/sports-sponsor-merit/" TargetMode="External" Id="rId182"/><Relationship Type="http://schemas.openxmlformats.org/officeDocument/2006/relationships/hyperlink" Target="https://dym.asia/media/soccer-sponsor/" TargetMode="External" Id="rId183"/></Relationships>
</file>

<file path=xl/worksheets/_rels/sheet3.xml.rels><Relationships xmlns="http://schemas.openxmlformats.org/package/2006/relationships"><Relationship Type="http://schemas.openxmlformats.org/officeDocument/2006/relationships/hyperlink" Target="https://dym.asia/media/sponsor-about/" TargetMode="External" Id="rId1"/><Relationship Type="http://schemas.openxmlformats.org/officeDocument/2006/relationships/hyperlink" Target="https://dym.asia/media/health-check-liver-20s/" TargetMode="External" Id="rId2"/><Relationship Type="http://schemas.openxmlformats.org/officeDocument/2006/relationships/hyperlink" Target="https://dym.asia/media/health-check-worry-stress/" TargetMode="External" Id="rId3"/><Relationship Type="http://schemas.openxmlformats.org/officeDocument/2006/relationships/hyperlink" Target="https://dym.asia/media/the-number-of-paid/" TargetMode="External" Id="rId4"/><Relationship Type="http://schemas.openxmlformats.org/officeDocument/2006/relationships/hyperlink" Target="https://dym.asia/media/end-of-year-tax-adjustments-until/" TargetMode="External" Id="rId5"/><Relationship Type="http://schemas.openxmlformats.org/officeDocument/2006/relationships/hyperlink" Target="https://dym.asia/media/health-check-stool-test/" TargetMode="External" Id="rId6"/><Relationship Type="http://schemas.openxmlformats.org/officeDocument/2006/relationships/hyperlink" Target="https://dym.asia/media/indeed-description/" TargetMode="External" Id="rId7"/><Relationship Type="http://schemas.openxmlformats.org/officeDocument/2006/relationships/hyperlink" Target="https://dym.asia/contact/" TargetMode="External" Id="rId8"/><Relationship Type="http://schemas.openxmlformats.org/officeDocument/2006/relationships/hyperlink" Target="https://dym.asia/media/modal-window/" TargetMode="External" Id="rId9"/><Relationship Type="http://schemas.openxmlformats.org/officeDocument/2006/relationships/hyperlink" Target="https://dym.asia/media/trade-off/" TargetMode="External" Id="rId10"/><Relationship Type="http://schemas.openxmlformats.org/officeDocument/2006/relationships/hyperlink" Target="https://dym.asia/media/villa-tax-measures/" TargetMode="External" Id="rId11"/><Relationship Type="http://schemas.openxmlformats.org/officeDocument/2006/relationships/hyperlink" Target="https://dym.asia/media/personality/" TargetMode="External" Id="rId12"/><Relationship Type="http://schemas.openxmlformats.org/officeDocument/2006/relationships/hyperlink" Target="https://dym.asia/media/affiliate-how-to-start/" TargetMode="External" Id="rId13"/><Relationship Type="http://schemas.openxmlformats.org/officeDocument/2006/relationships/hyperlink" Target="https://dym.asia/media/favicon/" TargetMode="External" Id="rId14"/><Relationship Type="http://schemas.openxmlformats.org/officeDocument/2006/relationships/hyperlink" Target="https://dym.asia/contact/" TargetMode="External" Id="rId15"/><Relationship Type="http://schemas.openxmlformats.org/officeDocument/2006/relationships/hyperlink" Target="https://dym.asia/media/htaccess/" TargetMode="External" Id="rId16"/><Relationship Type="http://schemas.openxmlformats.org/officeDocument/2006/relationships/hyperlink" Target="https://dym.asia/media/advisors-directory/" TargetMode="External" Id="rId17"/><Relationship Type="http://schemas.openxmlformats.org/officeDocument/2006/relationships/hyperlink" Target="https://dym.asia/contact/" TargetMode="External" Id="rId18"/><Relationship Type="http://schemas.openxmlformats.org/officeDocument/2006/relationships/hyperlink" Target="https://dym.asia/media/sponsor-merit/" TargetMode="External" Id="rId19"/><Relationship Type="http://schemas.openxmlformats.org/officeDocument/2006/relationships/hyperlink" Target="https://dym.asia/media/office-relocation-vendor/" TargetMode="External" Id="rId20"/><Relationship Type="http://schemas.openxmlformats.org/officeDocument/2006/relationships/hyperlink" Target="https://dym.asia/media/notice-of-offer/" TargetMode="External" Id="rId21"/><Relationship Type="http://schemas.openxmlformats.org/officeDocument/2006/relationships/hyperlink" Target="https://dym.asia/media/html/" TargetMode="External" Id="rId22"/><Relationship Type="http://schemas.openxmlformats.org/officeDocument/2006/relationships/hyperlink" Target="https://dym.asia/contact/" TargetMode="External" Id="rId23"/><Relationship Type="http://schemas.openxmlformats.org/officeDocument/2006/relationships/hyperlink" Target="https://dym.asia/media/query/" TargetMode="External" Id="rId24"/><Relationship Type="http://schemas.openxmlformats.org/officeDocument/2006/relationships/hyperlink" Target="https://dym.asia/contact/" TargetMode="External" Id="rId25"/><Relationship Type="http://schemas.openxmlformats.org/officeDocument/2006/relationships/hyperlink" Target="https://dym.asia/media/investment-development-company/" TargetMode="External" Id="rId26"/><Relationship Type="http://schemas.openxmlformats.org/officeDocument/2006/relationships/hyperlink" Target="https://dym.asia/media/ai-cast/" TargetMode="External" Id="rId27"/><Relationship Type="http://schemas.openxmlformats.org/officeDocument/2006/relationships/hyperlink" Target="https://dym.asia/contact/" TargetMode="External" Id="rId28"/><Relationship Type="http://schemas.openxmlformats.org/officeDocument/2006/relationships/hyperlink" Target="https://dym.asia/media/sponsor-sales/" TargetMode="External" Id="rId29"/><Relationship Type="http://schemas.openxmlformats.org/officeDocument/2006/relationships/hyperlink" Target="https://dym.asia/contact/" TargetMode="External" Id="rId30"/><Relationship Type="http://schemas.openxmlformats.org/officeDocument/2006/relationships/hyperlink" Target="https://dym.asia/media/sports-sponsor-merit/" TargetMode="External" Id="rId31"/><Relationship Type="http://schemas.openxmlformats.org/officeDocument/2006/relationships/hyperlink" Target="https://dym.asia/media/bonus/" TargetMode="External" Id="rId32"/><Relationship Type="http://schemas.openxmlformats.org/officeDocument/2006/relationships/hyperlink" Target="https://dym.asia/media/criteo_advertisement/" TargetMode="External" Id="rId33"/><Relationship Type="http://schemas.openxmlformats.org/officeDocument/2006/relationships/hyperlink" Target="https://dym.asia/media/stock-transfer-tax/" TargetMode="External" Id="rId34"/><Relationship Type="http://schemas.openxmlformats.org/officeDocument/2006/relationships/hyperlink" Target="https://dym.asia/media/advisor/" TargetMode="External" Id="rId35"/><Relationship Type="http://schemas.openxmlformats.org/officeDocument/2006/relationships/hyperlink" Target="https://dym.asia/media/proper/" TargetMode="External" Id="rId36"/><Relationship Type="http://schemas.openxmlformats.org/officeDocument/2006/relationships/hyperlink" Target="https://dym.asia/media/rejected-tel/" TargetMode="External" Id="rId37"/><Relationship Type="http://schemas.openxmlformats.org/officeDocument/2006/relationships/hyperlink" Target="https://dym.asia/media/callcenter-wording/" TargetMode="External" Id="rId38"/><Relationship Type="http://schemas.openxmlformats.org/officeDocument/2006/relationships/hyperlink" Target="https://dym.asia/media/steak-holder/" TargetMode="External" Id="rId39"/><Relationship Type="http://schemas.openxmlformats.org/officeDocument/2006/relationships/hyperlink" Target="https://dym.asia/media/callcenter-complaint-handling/" TargetMode="External" Id="rId40"/><Relationship Type="http://schemas.openxmlformats.org/officeDocument/2006/relationships/hyperlink" Target="https://dym.asia/media/strike/" TargetMode="External" Id="rId41"/><Relationship Type="http://schemas.openxmlformats.org/officeDocument/2006/relationships/hyperlink" Target="https://dym.asia/media/dependent-relatives/" TargetMode="External" Id="rId42"/><Relationship Type="http://schemas.openxmlformats.org/officeDocument/2006/relationships/hyperlink" Target="https://dym.asia/media/gas/" TargetMode="External" Id="rId43"/><Relationship Type="http://schemas.openxmlformats.org/officeDocument/2006/relationships/hyperlink" Target="https://dym.asia/media/office-fire-service-law/" TargetMode="External" Id="rId44"/><Relationship Type="http://schemas.openxmlformats.org/officeDocument/2006/relationships/hyperlink" Target="https://dym.asia/media/parttime-worker-contract-employee-differences/" TargetMode="External" Id="rId45"/><Relationship Type="http://schemas.openxmlformats.org/officeDocument/2006/relationships/hyperlink" Target="https://dym.asia/media/tiktok-recruitment/" TargetMode="External" Id="rId46"/><Relationship Type="http://schemas.openxmlformats.org/officeDocument/2006/relationships/hyperlink" Target="https://dym.asia/media/listening-ability/" TargetMode="External" Id="rId47"/><Relationship Type="http://schemas.openxmlformats.org/officeDocument/2006/relationships/hyperlink" Target="https://dym.asia/media/hr/" TargetMode="External" Id="rId48"/><Relationship Type="http://schemas.openxmlformats.org/officeDocument/2006/relationships/hyperlink" Target="https://dym.asia/media/indeed-how-to-use/" TargetMode="External" Id="rId49"/><Relationship Type="http://schemas.openxmlformats.org/officeDocument/2006/relationships/hyperlink" Target="https://dym.asia/contact/?sid=681795991" TargetMode="External" Id="rId50"/><Relationship Type="http://schemas.openxmlformats.org/officeDocument/2006/relationships/hyperlink" Target="https://dym.asia/media/industrial-accident/" TargetMode="External" Id="rId51"/><Relationship Type="http://schemas.openxmlformats.org/officeDocument/2006/relationships/hyperlink" Target="https://dym.asia/media/sns-market/" TargetMode="External" Id="rId52"/><Relationship Type="http://schemas.openxmlformats.org/officeDocument/2006/relationships/hyperlink" Target="https://dym.asia/contact/" TargetMode="External" Id="rId53"/><Relationship Type="http://schemas.openxmlformats.org/officeDocument/2006/relationships/hyperlink" Target="https://dym.asia/media/metacognition/" TargetMode="External" Id="rId54"/><Relationship Type="http://schemas.openxmlformats.org/officeDocument/2006/relationships/hyperlink" Target="https://dym.asia/media/eq/" TargetMode="External" Id="rId55"/><Relationship Type="http://schemas.openxmlformats.org/officeDocument/2006/relationships/hyperlink" Target="https://dym.asia/media/influencer/" TargetMode="External" Id="rId56"/><Relationship Type="http://schemas.openxmlformats.org/officeDocument/2006/relationships/hyperlink" Target="https://dym.asia/media/satori-generation/" TargetMode="External" Id="rId57"/><Relationship Type="http://schemas.openxmlformats.org/officeDocument/2006/relationships/hyperlink" Target="https://dym.asia/media/sns_consulting/" TargetMode="External" Id="rId58"/><Relationship Type="http://schemas.openxmlformats.org/officeDocument/2006/relationships/hyperlink" Target="https://dym.asia/contact/" TargetMode="External" Id="rId59"/><Relationship Type="http://schemas.openxmlformats.org/officeDocument/2006/relationships/hyperlink" Target="https://dym.asia/media/vuca/" TargetMode="External" Id="rId60"/><Relationship Type="http://schemas.openxmlformats.org/officeDocument/2006/relationships/hyperlink" Target="https://dym.asia/media/advisors/" TargetMode="External" Id="rId61"/><Relationship Type="http://schemas.openxmlformats.org/officeDocument/2006/relationships/hyperlink" Target="https://dym.asia/media/business-ojt/" TargetMode="External" Id="rId62"/><Relationship Type="http://schemas.openxmlformats.org/officeDocument/2006/relationships/hyperlink" Target="https://dym.asia/media/soccer-sponsor/" TargetMode="External" Id="rId63"/><Relationship Type="http://schemas.openxmlformats.org/officeDocument/2006/relationships/hyperlink" Target="https://dym.asia/media/advisor-company/" TargetMode="External" Id="rId64"/><Relationship Type="http://schemas.openxmlformats.org/officeDocument/2006/relationships/hyperlink" Target="https://dym.asia/media/dormant-company/" TargetMode="External" Id="rId65"/><Relationship Type="http://schemas.openxmlformats.org/officeDocument/2006/relationships/hyperlink" Target="https://dym.asia/media/overtime-upper-limit/" TargetMode="External" Id="rId66"/><Relationship Type="http://schemas.openxmlformats.org/officeDocument/2006/relationships/hyperlink" Target="https://dym.asia/media/early-retirement/" TargetMode="External" Id="rId67"/><Relationship Type="http://schemas.openxmlformats.org/officeDocument/2006/relationships/hyperlink" Target="https://dym.asia/media/board-member/" TargetMode="External" Id="rId68"/><Relationship Type="http://schemas.openxmlformats.org/officeDocument/2006/relationships/hyperlink" Target="https://dym.asia/media/kyujinbox_agency/" TargetMode="External" Id="rId69"/><Relationship Type="http://schemas.openxmlformats.org/officeDocument/2006/relationships/hyperlink" Target="https://dym.asia/contact/" TargetMode="External" Id="rId70"/><Relationship Type="http://schemas.openxmlformats.org/officeDocument/2006/relationships/hyperlink" Target="https://dym.asia/media/logicad/" TargetMode="External" Id="rId71"/><Relationship Type="http://schemas.openxmlformats.org/officeDocument/2006/relationships/hyperlink" Target="https://dym.asia/media/maintenance-management/" TargetMode="External" Id="rId72"/><Relationship Type="http://schemas.openxmlformats.org/officeDocument/2006/relationships/hyperlink" Target="https://dym.asia/media/roi/" TargetMode="External" Id="rId73"/><Relationship Type="http://schemas.openxmlformats.org/officeDocument/2006/relationships/hyperlink" Target="https://dym.asia/media/sns-ad-operation/" TargetMode="External" Id="rId74"/><Relationship Type="http://schemas.openxmlformats.org/officeDocument/2006/relationships/hyperlink" Target="https://dym.asia/contact/?sid=681795991" TargetMode="External" Id="rId75"/><Relationship Type="http://schemas.openxmlformats.org/officeDocument/2006/relationships/hyperlink" Target="https://dym.asia/media/new_graduate_agent/" TargetMode="External" Id="rId76"/><Relationship Type="http://schemas.openxmlformats.org/officeDocument/2006/relationships/hyperlink" Target="https://dym.asia/media/sponsorship-about/" TargetMode="External" Id="rId77"/><Relationship Type="http://schemas.openxmlformats.org/officeDocument/2006/relationships/hyperlink" Target="https://dym.asia/media/d-league/" TargetMode="External" Id="rId78"/><Relationship Type="http://schemas.openxmlformats.org/officeDocument/2006/relationships/hyperlink" Target="https://dym.asia/contact/" TargetMode="External" Id="rId79"/><Relationship Type="http://schemas.openxmlformats.org/officeDocument/2006/relationships/hyperlink" Target="https://dym.asia/media/google_agency/" TargetMode="External" Id="rId80"/><Relationship Type="http://schemas.openxmlformats.org/officeDocument/2006/relationships/hyperlink" Target="https://dym.asia/contact/" TargetMode="External" Id="rId81"/><Relationship Type="http://schemas.openxmlformats.org/officeDocument/2006/relationships/hyperlink" Target="https://dym.asia/media/mail-signature-template/" TargetMode="External" Id="rId82"/><Relationship Type="http://schemas.openxmlformats.org/officeDocument/2006/relationships/hyperlink" Target="https://dym.asia/media/moral-harassment/" TargetMode="External" Id="rId83"/><Relationship Type="http://schemas.openxmlformats.org/officeDocument/2006/relationships/hyperlink" Target="https://dym.asia/media/office-layout-feng-shui/" TargetMode="External" Id="rId84"/><Relationship Type="http://schemas.openxmlformats.org/officeDocument/2006/relationships/hyperlink" Target="https://dym.asia/media/others-search/" TargetMode="External" Id="rId85"/><Relationship Type="http://schemas.openxmlformats.org/officeDocument/2006/relationships/hyperlink" Target="https://dym.asia/media/concorde-effect/" TargetMode="External" Id="rId86"/><Relationship Type="http://schemas.openxmlformats.org/officeDocument/2006/relationships/hyperlink" Target="https://dym.asia/media/indeed-plus-guide/" TargetMode="External" Id="rId87"/><Relationship Type="http://schemas.openxmlformats.org/officeDocument/2006/relationships/hyperlink" Target="https://dym.asia/media/ip-address/" TargetMode="External" Id="rId88"/><Relationship Type="http://schemas.openxmlformats.org/officeDocument/2006/relationships/hyperlink" Target="https://dym.asia/media/404-error/" TargetMode="External" Id="rId89"/><Relationship Type="http://schemas.openxmlformats.org/officeDocument/2006/relationships/hyperlink" Target="https://dym.asia/media/advertising/" TargetMode="External" Id="rId90"/><Relationship Type="http://schemas.openxmlformats.org/officeDocument/2006/relationships/hyperlink" Target="https://dym.asia/contact/?sid=681795991" TargetMode="External" Id="rId91"/><Relationship Type="http://schemas.openxmlformats.org/officeDocument/2006/relationships/hyperlink" Target="https://dym.asia/media/diversity/" TargetMode="External" Id="rId92"/><Relationship Type="http://schemas.openxmlformats.org/officeDocument/2006/relationships/hyperlink" Target="https://dym.asia/media/general-mediation-brokerage-fee/" TargetMode="External" Id="rId93"/><Relationship Type="http://schemas.openxmlformats.org/officeDocument/2006/relationships/hyperlink" Target="https://dym.asia/media/head-hunting-cost/" TargetMode="External" Id="rId94"/><Relationship Type="http://schemas.openxmlformats.org/officeDocument/2006/relationships/hyperlink" Target="https://dym.asia/contact/" TargetMode="External" Id="rId95"/><Relationship Type="http://schemas.openxmlformats.org/officeDocument/2006/relationships/hyperlink" Target="https://dym.asia/media/may-day/" TargetMode="External" Id="rId96"/><Relationship Type="http://schemas.openxmlformats.org/officeDocument/2006/relationships/hyperlink" Target="https://dym.asia/media/overtime-pay-calculation/" TargetMode="External" Id="rId97"/><Relationship Type="http://schemas.openxmlformats.org/officeDocument/2006/relationships/hyperlink" Target="https://dym.asia/media/paid-about/" TargetMode="External" Id="rId98"/><Relationship Type="http://schemas.openxmlformats.org/officeDocument/2006/relationships/hyperlink" Target="https://dym.asia/contact/" TargetMode="External" Id="rId99"/><Relationship Type="http://schemas.openxmlformats.org/officeDocument/2006/relationships/hyperlink" Target="https://dym.asia/media/permanent_dispatch/" TargetMode="External" Id="rId100"/><Relationship Type="http://schemas.openxmlformats.org/officeDocument/2006/relationships/hyperlink" Target="https://dym.asia/media/skin-care/" TargetMode="External" Id="rId101"/><Relationship Type="http://schemas.openxmlformats.org/officeDocument/2006/relationships/hyperlink" Target="https://dym.asia/media/what-is-hrtech/" TargetMode="External" Id="rId102"/><Relationship Type="http://schemas.openxmlformats.org/officeDocument/2006/relationships/hyperlink" Target="https://dym.asia/contact/" TargetMode="External" Id="rId103"/><Relationship Type="http://schemas.openxmlformats.org/officeDocument/2006/relationships/hyperlink" Target="https://dym.asia/media/403erorr/" TargetMode="External" Id="rId104"/><Relationship Type="http://schemas.openxmlformats.org/officeDocument/2006/relationships/hyperlink" Target="https://dym.asia/contact/" TargetMode="External" Id="rId105"/><Relationship Type="http://schemas.openxmlformats.org/officeDocument/2006/relationships/hyperlink" Target="https://dym.asia/media/affiliate-site/" TargetMode="External" Id="rId106"/><Relationship Type="http://schemas.openxmlformats.org/officeDocument/2006/relationships/hyperlink" Target="https://dym.asia/media/anchoring-effect/" TargetMode="External" Id="rId107"/><Relationship Type="http://schemas.openxmlformats.org/officeDocument/2006/relationships/hyperlink" Target="https://dym.asia/media/degital-marketing-outsourcing/" TargetMode="External" Id="rId108"/><Relationship Type="http://schemas.openxmlformats.org/officeDocument/2006/relationships/hyperlink" Target="https://dym.asia/contact/?sid=681795991" TargetMode="External" Id="rId109"/><Relationship Type="http://schemas.openxmlformats.org/officeDocument/2006/relationships/hyperlink" Target="https://dym.asia/media/lbo/" TargetMode="External" Id="rId110"/><Relationship Type="http://schemas.openxmlformats.org/officeDocument/2006/relationships/hyperlink" Target="https://dym.asia/contact/" TargetMode="External" Id="rId111"/><Relationship Type="http://schemas.openxmlformats.org/officeDocument/2006/relationships/hyperlink" Target="https://dym.asia/media/new-graduation-introduction-commission/" TargetMode="External" Id="rId112"/><Relationship Type="http://schemas.openxmlformats.org/officeDocument/2006/relationships/hyperlink" Target="https://dym.asia/media/recruitment-advertisement-agent/" TargetMode="External" Id="rId113"/><Relationship Type="http://schemas.openxmlformats.org/officeDocument/2006/relationships/hyperlink" Target="https://dym.asia/contact/" TargetMode="External" Id="rId114"/><Relationship Type="http://schemas.openxmlformats.org/officeDocument/2006/relationships/hyperlink" Target="https://dym.asia/media/redirect/" TargetMode="External" Id="rId115"/><Relationship Type="http://schemas.openxmlformats.org/officeDocument/2006/relationships/hyperlink" Target="https://dym.asia/media/withholding-tax-slip/" TargetMode="External" Id="rId116"/><Relationship Type="http://schemas.openxmlformats.org/officeDocument/2006/relationships/hyperlink" Target="https://dym.asia/media/advisor-bank/" TargetMode="External" Id="rId117"/><Relationship Type="http://schemas.openxmlformats.org/officeDocument/2006/relationships/hyperlink" Target="https://dym.asia/contact/" TargetMode="External" Id="rId118"/><Relationship Type="http://schemas.openxmlformats.org/officeDocument/2006/relationships/hyperlink" Target="https://dym.asia/media/advisor-introduction/" TargetMode="External" Id="rId119"/><Relationship Type="http://schemas.openxmlformats.org/officeDocument/2006/relationships/hyperlink" Target="https://dym.asia/contact/" TargetMode="External" Id="rId120"/><Relationship Type="http://schemas.openxmlformats.org/officeDocument/2006/relationships/hyperlink" Target="https://dym.asia/media/callcenter-unsuitable/" TargetMode="External" Id="rId121"/><Relationship Type="http://schemas.openxmlformats.org/officeDocument/2006/relationships/hyperlink" Target="https://dym.asia/media/disciplinary-action/" TargetMode="External" Id="rId122"/><Relationship Type="http://schemas.openxmlformats.org/officeDocument/2006/relationships/hyperlink" Target="https://dym.asia/media/domain/" TargetMode="External" Id="rId123"/><Relationship Type="http://schemas.openxmlformats.org/officeDocument/2006/relationships/hyperlink" Target="https://dym.asia/media/external-advisor/" TargetMode="External" Id="rId124"/><Relationship Type="http://schemas.openxmlformats.org/officeDocument/2006/relationships/hyperlink" Target="https://dym.asia/media/health-check-50s/" TargetMode="External" Id="rId125"/><Relationship Type="http://schemas.openxmlformats.org/officeDocument/2006/relationships/hyperlink" Target="https://dym.asia/media/health-checkup-upon-employment-cost/" TargetMode="External" Id="rId126"/><Relationship Type="http://schemas.openxmlformats.org/officeDocument/2006/relationships/hyperlink" Target="https://dym.asia/contact/" TargetMode="External" Id="rId127"/><Relationship Type="http://schemas.openxmlformats.org/officeDocument/2006/relationships/hyperlink" Target="https://dym.asia/media/monetization/" TargetMode="External" Id="rId128"/><Relationship Type="http://schemas.openxmlformats.org/officeDocument/2006/relationships/hyperlink" Target="https://dym.asia/media/new-graduate-training/" TargetMode="External" Id="rId129"/><Relationship Type="http://schemas.openxmlformats.org/officeDocument/2006/relationships/hyperlink" Target="https://dym.asia/media/office-consulting/" TargetMode="External" Id="rId130"/><Relationship Type="http://schemas.openxmlformats.org/officeDocument/2006/relationships/hyperlink" Target="https://dym.asia/media/rtb/" TargetMode="External" Id="rId131"/><Relationship Type="http://schemas.openxmlformats.org/officeDocument/2006/relationships/hyperlink" Target="https://dym.asia/media/web-promotion/" TargetMode="External" Id="rId132"/><Relationship Type="http://schemas.openxmlformats.org/officeDocument/2006/relationships/hyperlink" Target="https://dym.asia/media/what-is-reputation-risk/" TargetMode="External" Id="rId133"/><Relationship Type="http://schemas.openxmlformats.org/officeDocument/2006/relationships/hyperlink" Target="https://dym.asia/media/business-transfer/" TargetMode="External" Id="rId134"/><Relationship Type="http://schemas.openxmlformats.org/officeDocument/2006/relationships/hyperlink" Target="https://dym.asia/contact/" TargetMode="External" Id="rId135"/><Relationship Type="http://schemas.openxmlformats.org/officeDocument/2006/relationships/hyperlink" Target="https://dym.asia/media/labor-reduction/" TargetMode="External" Id="rId136"/><Relationship Type="http://schemas.openxmlformats.org/officeDocument/2006/relationships/hyperlink" Target="https://dym.asia/media/line-business-fee/" TargetMode="External" Id="rId137"/><Relationship Type="http://schemas.openxmlformats.org/officeDocument/2006/relationships/hyperlink" Target="https://dym.asia/media/potential/" TargetMode="External" Id="rId138"/><Relationship Type="http://schemas.openxmlformats.org/officeDocument/2006/relationships/hyperlink" Target="https://dym.asia/media/recruitment-letter/" TargetMode="External" Id="rId139"/><Relationship Type="http://schemas.openxmlformats.org/officeDocument/2006/relationships/hyperlink" Target="https://dym.asia/media/search-engine/" TargetMode="External" Id="rId140"/><Relationship Type="http://schemas.openxmlformats.org/officeDocument/2006/relationships/hyperlink" Target="https://dym.asia/contact/" TargetMode="External" Id="rId141"/><Relationship Type="http://schemas.openxmlformats.org/officeDocument/2006/relationships/hyperlink" Target="https://dym.asia/media/503erorr/" TargetMode="External" Id="rId142"/><Relationship Type="http://schemas.openxmlformats.org/officeDocument/2006/relationships/hyperlink" Target="https://dym.asia/media/administration-advisor/" TargetMode="External" Id="rId143"/><Relationship Type="http://schemas.openxmlformats.org/officeDocument/2006/relationships/hyperlink" Target="https://dym.asia/media/ahrefs/" TargetMode="External" Id="rId144"/><Relationship Type="http://schemas.openxmlformats.org/officeDocument/2006/relationships/hyperlink" Target="https://dym.asia/contact/" TargetMode="External" Id="rId145"/><Relationship Type="http://schemas.openxmlformats.org/officeDocument/2006/relationships/hyperlink" Target="https://dym.asia/media/business-5w1h/" TargetMode="External" Id="rId146"/><Relationship Type="http://schemas.openxmlformats.org/officeDocument/2006/relationships/hyperlink" Target="https://dym.asia/media/callcenter-qualification/" TargetMode="External" Id="rId147"/><Relationship Type="http://schemas.openxmlformats.org/officeDocument/2006/relationships/hyperlink" Target="https://dym.asia/media/cookie/" TargetMode="External" Id="rId148"/><Relationship Type="http://schemas.openxmlformats.org/officeDocument/2006/relationships/hyperlink" Target="https://dym.asia/media/dance-sponsor/" TargetMode="External" Id="rId149"/><Relationship Type="http://schemas.openxmlformats.org/officeDocument/2006/relationships/hyperlink" Target="https://dym.asia/contact/" TargetMode="External" Id="rId150"/><Relationship Type="http://schemas.openxmlformats.org/officeDocument/2006/relationships/hyperlink" Target="https://dym.asia/media/domain-power/" TargetMode="External" Id="rId151"/><Relationship Type="http://schemas.openxmlformats.org/officeDocument/2006/relationships/hyperlink" Target="https://dym.asia/contact/" TargetMode="External" Id="rId152"/><Relationship Type="http://schemas.openxmlformats.org/officeDocument/2006/relationships/hyperlink" Target="https://dym.asia/media/elysian-essence/" TargetMode="External" Id="rId153"/><Relationship Type="http://schemas.openxmlformats.org/officeDocument/2006/relationships/hyperlink" Target="https://dym.asia/media/google-ads-cost/" TargetMode="External" Id="rId154"/><Relationship Type="http://schemas.openxmlformats.org/officeDocument/2006/relationships/hyperlink" Target="https://dym.asia/contact/" TargetMode="External" Id="rId155"/><Relationship Type="http://schemas.openxmlformats.org/officeDocument/2006/relationships/hyperlink" Target="https://dym.asia/media/google-search-about/" TargetMode="External" Id="rId156"/><Relationship Type="http://schemas.openxmlformats.org/officeDocument/2006/relationships/hyperlink" Target="https://dym.asia/contact/" TargetMode="External" Id="rId157"/><Relationship Type="http://schemas.openxmlformats.org/officeDocument/2006/relationships/hyperlink" Target="https://dym.asia/media/ice-break/" TargetMode="External" Id="rId158"/><Relationship Type="http://schemas.openxmlformats.org/officeDocument/2006/relationships/hyperlink" Target="https://dym.asia/media/indeed_operation/" TargetMode="External" Id="rId159"/><Relationship Type="http://schemas.openxmlformats.org/officeDocument/2006/relationships/hyperlink" Target="https://dym.asia/media/individual-efforts/" TargetMode="External" Id="rId160"/><Relationship Type="http://schemas.openxmlformats.org/officeDocument/2006/relationships/hyperlink" Target="https://dym.asia/media/job-assignment-system/" TargetMode="External" Id="rId161"/><Relationship Type="http://schemas.openxmlformats.org/officeDocument/2006/relationships/hyperlink" Target="https://dym.asia/media/johari-window/" TargetMode="External" Id="rId162"/><Relationship Type="http://schemas.openxmlformats.org/officeDocument/2006/relationships/hyperlink" Target="https://dym.asia/media/kyujinbox/" TargetMode="External" Id="rId163"/><Relationship Type="http://schemas.openxmlformats.org/officeDocument/2006/relationships/hyperlink" Target="https://dym.asia/media/line-ad-cost/" TargetMode="External" Id="rId164"/><Relationship Type="http://schemas.openxmlformats.org/officeDocument/2006/relationships/hyperlink" Target="https://dym.asia/contact/" TargetMode="External" Id="rId165"/><Relationship Type="http://schemas.openxmlformats.org/officeDocument/2006/relationships/hyperlink" Target="https://dym.asia/media/new_graduate_introduction_agent/" TargetMode="External" Id="rId166"/><Relationship Type="http://schemas.openxmlformats.org/officeDocument/2006/relationships/hyperlink" Target="https://dym.asia/contact/" TargetMode="External" Id="rId167"/><Relationship Type="http://schemas.openxmlformats.org/officeDocument/2006/relationships/hyperlink" Target="https://dym.asia/media/portal-site/" TargetMode="External" Id="rId168"/><Relationship Type="http://schemas.openxmlformats.org/officeDocument/2006/relationships/hyperlink" Target="https://dym.asia/media/roas/" TargetMode="External" Id="rId169"/><Relationship Type="http://schemas.openxmlformats.org/officeDocument/2006/relationships/hyperlink" Target="https://dym.asia/contact/" TargetMode="External" Id="rId170"/><Relationship Type="http://schemas.openxmlformats.org/officeDocument/2006/relationships/hyperlink" Target="https://dym.asia/media/society-training/" TargetMode="External" Id="rId171"/><Relationship Type="http://schemas.openxmlformats.org/officeDocument/2006/relationships/hyperlink" Target="https://dym.asia/media/tail-word/" TargetMode="External" Id="rId172"/><Relationship Type="http://schemas.openxmlformats.org/officeDocument/2006/relationships/hyperlink" Target="https://dym.asia/contact/" TargetMode="External" Id="rId173"/><Relationship Type="http://schemas.openxmlformats.org/officeDocument/2006/relationships/hyperlink" Target="https://dym.asia/media/talent-subscription/" TargetMode="External" Id="rId174"/><Relationship Type="http://schemas.openxmlformats.org/officeDocument/2006/relationships/hyperlink" Target="https://dym.asia/media/tiktok-ad-target/" TargetMode="External" Id="rId175"/><Relationship Type="http://schemas.openxmlformats.org/officeDocument/2006/relationships/hyperlink" Target="https://dym.asia/contact/" TargetMode="External" Id="rId176"/><Relationship Type="http://schemas.openxmlformats.org/officeDocument/2006/relationships/hyperlink" Target="https://dym.asia/media/banner-size/" TargetMode="External" Id="rId177"/><Relationship Type="http://schemas.openxmlformats.org/officeDocument/2006/relationships/hyperlink" Target="https://dym.asia/media/business-motivation/" TargetMode="External" Id="rId178"/><Relationship Type="http://schemas.openxmlformats.org/officeDocument/2006/relationships/hyperlink" Target="https://dym.asia/media/business_revitalization/" TargetMode="External" Id="rId179"/><Relationship Type="http://schemas.openxmlformats.org/officeDocument/2006/relationships/hyperlink" Target="https://dym.asia/media/callcenter-term/" TargetMode="External" Id="rId180"/><Relationship Type="http://schemas.openxmlformats.org/officeDocument/2006/relationships/hyperlink" Target="https://dym.asia/media/critical-thinking/" TargetMode="External" Id="rId181"/><Relationship Type="http://schemas.openxmlformats.org/officeDocument/2006/relationships/hyperlink" Target="https://dym.asia/media/dmca/" TargetMode="External" Id="rId182"/><Relationship Type="http://schemas.openxmlformats.org/officeDocument/2006/relationships/hyperlink" Target="https://dym.asia/media/feed-back/" TargetMode="External" Id="rId183"/><Relationship Type="http://schemas.openxmlformats.org/officeDocument/2006/relationships/hyperlink" Target="https://dym.asia/media/general_dispatch/" TargetMode="External" Id="rId184"/><Relationship Type="http://schemas.openxmlformats.org/officeDocument/2006/relationships/hyperlink" Target="https://dym.asia/media/head-hunting/" TargetMode="External" Id="rId185"/><Relationship Type="http://schemas.openxmlformats.org/officeDocument/2006/relationships/hyperlink" Target="https://dym.asia/media/hotel-parttime-job/" TargetMode="External" Id="rId186"/><Relationship Type="http://schemas.openxmlformats.org/officeDocument/2006/relationships/hyperlink" Target="https://dym.asia/media/how-to-search-property/" TargetMode="External" Id="rId187"/><Relationship Type="http://schemas.openxmlformats.org/officeDocument/2006/relationships/hyperlink" Target="https://dym.asia/media/how-to-search-tenant/" TargetMode="External" Id="rId188"/><Relationship Type="http://schemas.openxmlformats.org/officeDocument/2006/relationships/hyperlink" Target="https://dym.asia/media/it-advisor/" TargetMode="External" Id="rId189"/><Relationship Type="http://schemas.openxmlformats.org/officeDocument/2006/relationships/hyperlink" Target="https://dym.asia/media/kyujinbox-cost/" TargetMode="External" Id="rId190"/><Relationship Type="http://schemas.openxmlformats.org/officeDocument/2006/relationships/hyperlink" Target="https://dym.asia/contact/" TargetMode="External" Id="rId191"/><Relationship Type="http://schemas.openxmlformats.org/officeDocument/2006/relationships/hyperlink" Target="https://dym.asia/media/lgbt/" TargetMode="External" Id="rId192"/><Relationship Type="http://schemas.openxmlformats.org/officeDocument/2006/relationships/hyperlink" Target="https://dym.asia/media/office-relocation-schedule/" TargetMode="External" Id="rId193"/><Relationship Type="http://schemas.openxmlformats.org/officeDocument/2006/relationships/hyperlink" Target="https://dym.asia/media/paradim-shift/" TargetMode="External" Id="rId194"/><Relationship Type="http://schemas.openxmlformats.org/officeDocument/2006/relationships/hyperlink" Target="https://dym.asia/media/parameter/" TargetMode="External" Id="rId195"/><Relationship Type="http://schemas.openxmlformats.org/officeDocument/2006/relationships/hyperlink" Target="https://dym.asia/media/rpo-meaning-merit/" TargetMode="External" Id="rId196"/><Relationship Type="http://schemas.openxmlformats.org/officeDocument/2006/relationships/hyperlink" Target="https://dym.asia/contact/?sid=681795991" TargetMode="External" Id="rId197"/><Relationship Type="http://schemas.openxmlformats.org/officeDocument/2006/relationships/hyperlink" Target="https://dym.asia/media/sales_advisor/" TargetMode="External" Id="rId198"/><Relationship Type="http://schemas.openxmlformats.org/officeDocument/2006/relationships/hyperlink" Target="https://dym.asia/media/structured-data/" TargetMode="External" Id="rId199"/><Relationship Type="http://schemas.openxmlformats.org/officeDocument/2006/relationships/hyperlink" Target="https://dym.asia/media/tarent-casting-cost/" TargetMode="External" Id="rId200"/><Relationship Type="http://schemas.openxmlformats.org/officeDocument/2006/relationships/hyperlink" Target="https://dym.asia/media/web_advertisement_agency/" TargetMode="External" Id="rId201"/><Relationship Type="http://schemas.openxmlformats.org/officeDocument/2006/relationships/hyperlink" Target="https://dym.asia/contact/" TargetMode="External" Id="rId202"/><Relationship Type="http://schemas.openxmlformats.org/officeDocument/2006/relationships/hyperlink" Target="https://dym.asia/media/welfare-popular/" TargetMode="External" Id="rId203"/><Relationship Type="http://schemas.openxmlformats.org/officeDocument/2006/relationships/hyperlink" Target="https://dym.asia/media/welfare-unique/" TargetMode="External" Id="rId204"/><Relationship Type="http://schemas.openxmlformats.org/officeDocument/2006/relationships/hyperlink" Target="https://dym.asia/media/ad-fraud/" TargetMode="External" Id="rId205"/><Relationship Type="http://schemas.openxmlformats.org/officeDocument/2006/relationships/hyperlink" Target="https://dym.asia/media/ad-network/" TargetMode="External" Id="rId206"/><Relationship Type="http://schemas.openxmlformats.org/officeDocument/2006/relationships/hyperlink" Target="https://dym.asia/contact/" TargetMode="External" Id="rId207"/><Relationship Type="http://schemas.openxmlformats.org/officeDocument/2006/relationships/hyperlink" Target="https://dym.asia/media/affiliate-blog/" TargetMode="External" Id="rId208"/><Relationship Type="http://schemas.openxmlformats.org/officeDocument/2006/relationships/hyperlink" Target="https://dym.asia/media/affiliate-instagram/" TargetMode="External" Id="rId209"/><Relationship Type="http://schemas.openxmlformats.org/officeDocument/2006/relationships/hyperlink" Target="https://dym.asia/media/agent-cost/" TargetMode="External" Id="rId210"/><Relationship Type="http://schemas.openxmlformats.org/officeDocument/2006/relationships/hyperlink" Target="https://dym.asia/contact/" TargetMode="External" Id="rId211"/><Relationship Type="http://schemas.openxmlformats.org/officeDocument/2006/relationships/hyperlink" Target="https://dym.asia/media/board-member-training/" TargetMode="External" Id="rId212"/><Relationship Type="http://schemas.openxmlformats.org/officeDocument/2006/relationships/hyperlink" Target="https://dym.asia/media/browser/" TargetMode="External" Id="rId213"/><Relationship Type="http://schemas.openxmlformats.org/officeDocument/2006/relationships/hyperlink" Target="https://dym.asia/media/business-partnership/" TargetMode="External" Id="rId214"/><Relationship Type="http://schemas.openxmlformats.org/officeDocument/2006/relationships/hyperlink" Target="https://dym.asia/media/call-center-sv/" TargetMode="External" Id="rId215"/><Relationship Type="http://schemas.openxmlformats.org/officeDocument/2006/relationships/hyperlink" Target="https://dym.asia/media/chin-botox/" TargetMode="External" Id="rId216"/><Relationship Type="http://schemas.openxmlformats.org/officeDocument/2006/relationships/hyperlink" Target="https://dym.asia/media/clinic-inheritance/" TargetMode="External" Id="rId217"/><Relationship Type="http://schemas.openxmlformats.org/officeDocument/2006/relationships/hyperlink" Target="https://dym.asia/media/closing/" TargetMode="External" Id="rId218"/><Relationship Type="http://schemas.openxmlformats.org/officeDocument/2006/relationships/hyperlink" Target="https://dym.asia/media/column_tag/d-league/" TargetMode="External" Id="rId219"/><Relationship Type="http://schemas.openxmlformats.org/officeDocument/2006/relationships/hyperlink" Target="https://dym.asia/media/cpc/" TargetMode="External" Id="rId220"/><Relationship Type="http://schemas.openxmlformats.org/officeDocument/2006/relationships/hyperlink" Target="https://dym.asia/media/ctr/" TargetMode="External" Id="rId221"/><Relationship Type="http://schemas.openxmlformats.org/officeDocument/2006/relationships/hyperlink" Target="https://dym.asia/media/dx-about/" TargetMode="External" Id="rId222"/><Relationship Type="http://schemas.openxmlformats.org/officeDocument/2006/relationships/hyperlink" Target="https://dym.asia/contact/" TargetMode="External" Id="rId223"/><Relationship Type="http://schemas.openxmlformats.org/officeDocument/2006/relationships/hyperlink" Target="https://dym.asia/media/end-of-year-tax-adjustments/" TargetMode="External" Id="rId224"/><Relationship Type="http://schemas.openxmlformats.org/officeDocument/2006/relationships/hyperlink" Target="https://dym.asia/media/facebook-operation/" TargetMode="External" Id="rId225"/><Relationship Type="http://schemas.openxmlformats.org/officeDocument/2006/relationships/hyperlink" Target="https://dym.asia/contact/" TargetMode="External" Id="rId226"/><Relationship Type="http://schemas.openxmlformats.org/officeDocument/2006/relationships/hyperlink" Target="https://dym.asia/media/fuhyo-higai-taisaku/" TargetMode="External" Id="rId227"/><Relationship Type="http://schemas.openxmlformats.org/officeDocument/2006/relationships/hyperlink" Target="https://dym.asia/media/gdn/" TargetMode="External" Id="rId228"/><Relationship Type="http://schemas.openxmlformats.org/officeDocument/2006/relationships/hyperlink" Target="https://dym.asia/media/google-ads-keywords/" TargetMode="External" Id="rId229"/><Relationship Type="http://schemas.openxmlformats.org/officeDocument/2006/relationships/hyperlink" Target="https://dym.asia/media/google-yahoo/" TargetMode="External" Id="rId230"/><Relationship Type="http://schemas.openxmlformats.org/officeDocument/2006/relationships/hyperlink" Target="https://dym.asia/media/interview-article-how-to/" TargetMode="External" Id="rId231"/><Relationship Type="http://schemas.openxmlformats.org/officeDocument/2006/relationships/hyperlink" Target="https://dym.asia/media/land-sales-agent-cost/" TargetMode="External" Id="rId232"/><Relationship Type="http://schemas.openxmlformats.org/officeDocument/2006/relationships/hyperlink" Target="https://dym.asia/media/leadership/" TargetMode="External" Id="rId233"/><Relationship Type="http://schemas.openxmlformats.org/officeDocument/2006/relationships/hyperlink" Target="https://dym.asia/media/line-official-consultant/" TargetMode="External" Id="rId234"/><Relationship Type="http://schemas.openxmlformats.org/officeDocument/2006/relationships/hyperlink" Target="https://dym.asia/media/line-official-delete/" TargetMode="External" Id="rId235"/><Relationship Type="http://schemas.openxmlformats.org/officeDocument/2006/relationships/hyperlink" Target="https://dym.asia/media/listing-ads/" TargetMode="External" Id="rId236"/><Relationship Type="http://schemas.openxmlformats.org/officeDocument/2006/relationships/hyperlink" Target="https://dym.asia/media/logical-thinking/" TargetMode="External" Id="rId237"/><Relationship Type="http://schemas.openxmlformats.org/officeDocument/2006/relationships/hyperlink" Target="https://dym.asia/media/medical-corporation-ma/" TargetMode="External" Id="rId238"/><Relationship Type="http://schemas.openxmlformats.org/officeDocument/2006/relationships/hyperlink" Target="https://dym.asia/media/mere-exposure-effect/" TargetMode="External" Id="rId239"/><Relationship Type="http://schemas.openxmlformats.org/officeDocument/2006/relationships/hyperlink" Target="https://dym.asia/media/new-graduation-introduction-consulting/" TargetMode="External" Id="rId240"/><Relationship Type="http://schemas.openxmlformats.org/officeDocument/2006/relationships/hyperlink" Target="https://dym.asia/media/optout/" TargetMode="External" Id="rId241"/><Relationship Type="http://schemas.openxmlformats.org/officeDocument/2006/relationships/hyperlink" Target="https://dym.asia/media/parttime-casual-employee-differences/" TargetMode="External" Id="rId242"/><Relationship Type="http://schemas.openxmlformats.org/officeDocument/2006/relationships/hyperlink" Target="https://dym.asia/media/perplexity/" TargetMode="External" Id="rId243"/><Relationship Type="http://schemas.openxmlformats.org/officeDocument/2006/relationships/hyperlink" Target="https://dym.asia/media/persona-marketnig/" TargetMode="External" Id="rId244"/><Relationship Type="http://schemas.openxmlformats.org/officeDocument/2006/relationships/hyperlink" Target="https://dym.asia/contact/" TargetMode="External" Id="rId245"/><Relationship Type="http://schemas.openxmlformats.org/officeDocument/2006/relationships/hyperlink" Target="https://dym.asia/media/post_graduate_employment/" TargetMode="External" Id="rId246"/><Relationship Type="http://schemas.openxmlformats.org/officeDocument/2006/relationships/hyperlink" Target="https://dym.asia/media/pr/" TargetMode="External" Id="rId247"/><Relationship Type="http://schemas.openxmlformats.org/officeDocument/2006/relationships/hyperlink" Target="https://dym.asia/contact/" TargetMode="External" Id="rId248"/><Relationship Type="http://schemas.openxmlformats.org/officeDocument/2006/relationships/hyperlink" Target="https://dym.asia/media/re-branding/" TargetMode="External" Id="rId249"/><Relationship Type="http://schemas.openxmlformats.org/officeDocument/2006/relationships/hyperlink" Target="https://dym.asia/contact/" TargetMode="External" Id="rId250"/><Relationship Type="http://schemas.openxmlformats.org/officeDocument/2006/relationships/hyperlink" Target="https://dym.asia/media/real-estate-ma/" TargetMode="External" Id="rId251"/><Relationship Type="http://schemas.openxmlformats.org/officeDocument/2006/relationships/hyperlink" Target="https://dym.asia/media/recruiter/" TargetMode="External" Id="rId252"/><Relationship Type="http://schemas.openxmlformats.org/officeDocument/2006/relationships/hyperlink" Target="https://dym.asia/media/remarketing/" TargetMode="External" Id="rId253"/><Relationship Type="http://schemas.openxmlformats.org/officeDocument/2006/relationships/hyperlink" Target="https://dym.asia/media/responsive-style/" TargetMode="External" Id="rId254"/><Relationship Type="http://schemas.openxmlformats.org/officeDocument/2006/relationships/hyperlink" Target="https://dym.asia/media/robots-txt/" TargetMode="External" Id="rId255"/><Relationship Type="http://schemas.openxmlformats.org/officeDocument/2006/relationships/hyperlink" Target="https://dym.asia/media/seo-cost/" TargetMode="External" Id="rId256"/><Relationship Type="http://schemas.openxmlformats.org/officeDocument/2006/relationships/hyperlink" Target="https://dym.asia/contact/" TargetMode="External" Id="rId257"/><Relationship Type="http://schemas.openxmlformats.org/officeDocument/2006/relationships/hyperlink" Target="https://dym.asia/media/ses-temporary/" TargetMode="External" Id="rId258"/><Relationship Type="http://schemas.openxmlformats.org/officeDocument/2006/relationships/hyperlink" Target="https://dym.asia/media/site-create-subsidy/" TargetMode="External" Id="rId259"/><Relationship Type="http://schemas.openxmlformats.org/officeDocument/2006/relationships/hyperlink" Target="https://dym.asia/media/sns-ad-cost/" TargetMode="External" Id="rId260"/><Relationship Type="http://schemas.openxmlformats.org/officeDocument/2006/relationships/hyperlink" Target="https://dym.asia/contact/" TargetMode="External" Id="rId261"/><Relationship Type="http://schemas.openxmlformats.org/officeDocument/2006/relationships/hyperlink" Target="https://dym.asia/media/sunk-cost/" TargetMode="External" Id="rId262"/><Relationship Type="http://schemas.openxmlformats.org/officeDocument/2006/relationships/hyperlink" Target="https://dym.asia/media/tiktok-ad-operation/" TargetMode="External" Id="rId263"/><Relationship Type="http://schemas.openxmlformats.org/officeDocument/2006/relationships/hyperlink" Target="https://dym.asia/contact/" TargetMode="External" Id="rId264"/><Relationship Type="http://schemas.openxmlformats.org/officeDocument/2006/relationships/hyperlink" Target="https://dym.asia/media/tiktok-ad-type/" TargetMode="External" Id="rId265"/><Relationship Type="http://schemas.openxmlformats.org/officeDocument/2006/relationships/hyperlink" Target="https://dym.asia/media/web-directory/" TargetMode="External" Id="rId266"/><Relationship Type="http://schemas.openxmlformats.org/officeDocument/2006/relationships/hyperlink" Target="https://dym.asia/contact/" TargetMode="External" Id="rId267"/><Relationship Type="http://schemas.openxmlformats.org/officeDocument/2006/relationships/hyperlink" Target="https://dym.asia/media/web_advertisement/" TargetMode="External" Id="rId268"/><Relationship Type="http://schemas.openxmlformats.org/officeDocument/2006/relationships/hyperlink" Target="https://dym.asia/media/welfare-company/" TargetMode="External" Id="rId269"/><Relationship Type="http://schemas.openxmlformats.org/officeDocument/2006/relationships/hyperlink" Target="https://dym.asia/media/welfare-type/" TargetMode="External" Id="rId270"/><Relationship Type="http://schemas.openxmlformats.org/officeDocument/2006/relationships/hyperlink" Target="https://dym.asia/media/welfare_benefits_service/" TargetMode="External" Id="rId271"/><Relationship Type="http://schemas.openxmlformats.org/officeDocument/2006/relationships/hyperlink" Target="https://dym.asia/media/with-disabilities-grant/" TargetMode="External" Id="rId272"/><Relationship Type="http://schemas.openxmlformats.org/officeDocument/2006/relationships/hyperlink" Target="https://dym.asia/media/x-recruitment/" TargetMode="External" Id="rId273"/><Relationship Type="http://schemas.openxmlformats.org/officeDocument/2006/relationships/hyperlink" Target="https://dym.asia/media/2025-problem/" TargetMode="External" Id="rId274"/><Relationship Type="http://schemas.openxmlformats.org/officeDocument/2006/relationships/hyperlink" Target="https://dym.asia/media/absorption-type-merger/" TargetMode="External" Id="rId275"/><Relationship Type="http://schemas.openxmlformats.org/officeDocument/2006/relationships/hyperlink" Target="https://dym.asia/media/accounting-goodwill/" TargetMode="External" Id="rId276"/><Relationship Type="http://schemas.openxmlformats.org/officeDocument/2006/relationships/hyperlink" Target="https://dym.asia/media/acquisition/" TargetMode="External" Id="rId277"/><Relationship Type="http://schemas.openxmlformats.org/officeDocument/2006/relationships/hyperlink" Target="https://dym.asia/media/ad-talent/" TargetMode="External" Id="rId278"/><Relationship Type="http://schemas.openxmlformats.org/officeDocument/2006/relationships/hyperlink" Target="https://dym.asia/media/advertising-management/" TargetMode="External" Id="rId279"/><Relationship Type="http://schemas.openxmlformats.org/officeDocument/2006/relationships/hyperlink" Target="https://dym.asia/contact/" TargetMode="External" Id="rId280"/><Relationship Type="http://schemas.openxmlformats.org/officeDocument/2006/relationships/hyperlink" Target="https://dym.asia/media/affiliate-demerit/" TargetMode="External" Id="rId281"/><Relationship Type="http://schemas.openxmlformats.org/officeDocument/2006/relationships/hyperlink" Target="https://dym.asia/media/affiliate-merit/" TargetMode="External" Id="rId282"/><Relationship Type="http://schemas.openxmlformats.org/officeDocument/2006/relationships/hyperlink" Target="https://dym.asia/contact/" TargetMode="External" Id="rId283"/><Relationship Type="http://schemas.openxmlformats.org/officeDocument/2006/relationships/hyperlink" Target="https://dym.asia/media/affiliate/" TargetMode="External" Id="rId284"/><Relationship Type="http://schemas.openxmlformats.org/officeDocument/2006/relationships/hyperlink" Target="https://dym.asia/contact/" TargetMode="External" Id="rId285"/><Relationship Type="http://schemas.openxmlformats.org/officeDocument/2006/relationships/hyperlink" Target="https://dym.asia/media/aidma/" TargetMode="External" Id="rId286"/><Relationship Type="http://schemas.openxmlformats.org/officeDocument/2006/relationships/hyperlink" Target="https://dym.asia/media/anti-aging/" TargetMode="External" Id="rId287"/><Relationship Type="http://schemas.openxmlformats.org/officeDocument/2006/relationships/hyperlink" Target="https://dym.asia/media/api/" TargetMode="External" Id="rId288"/><Relationship Type="http://schemas.openxmlformats.org/officeDocument/2006/relationships/hyperlink" Target="https://dym.asia/contact/" TargetMode="External" Id="rId289"/><Relationship Type="http://schemas.openxmlformats.org/officeDocument/2006/relationships/hyperlink" Target="https://dym.asia/media/b-to-b/" TargetMode="External" Id="rId290"/><Relationship Type="http://schemas.openxmlformats.org/officeDocument/2006/relationships/hyperlink" Target="https://dym.asia/contact/" TargetMode="External" Id="rId291"/><Relationship Type="http://schemas.openxmlformats.org/officeDocument/2006/relationships/hyperlink" Target="https://dym.asia/media/bag-under-the-eyes/" TargetMode="External" Id="rId292"/><Relationship Type="http://schemas.openxmlformats.org/officeDocument/2006/relationships/hyperlink" Target="https://dym.asia/media/bangkok_hospital/" TargetMode="External" Id="rId293"/><Relationship Type="http://schemas.openxmlformats.org/officeDocument/2006/relationships/hyperlink" Target="https://dym.asia/media/basketball-sponsor/" TargetMode="External" Id="rId294"/><Relationship Type="http://schemas.openxmlformats.org/officeDocument/2006/relationships/hyperlink" Target="https://dym.asia/media/before-joining-health-check-hospital/" TargetMode="External" Id="rId295"/><Relationship Type="http://schemas.openxmlformats.org/officeDocument/2006/relationships/hyperlink" Target="https://dym.asia/contact/" TargetMode="External" Id="rId296"/><Relationship Type="http://schemas.openxmlformats.org/officeDocument/2006/relationships/hyperlink" Target="https://dym.asia/media/before-joining-health-check-reasonable/" TargetMode="External" Id="rId297"/><Relationship Type="http://schemas.openxmlformats.org/officeDocument/2006/relationships/hyperlink" Target="https://dym.asia/contact/" TargetMode="External" Id="rId298"/><Relationship Type="http://schemas.openxmlformats.org/officeDocument/2006/relationships/hyperlink" Target="https://dym.asia/media/benefit/" TargetMode="External" Id="rId299"/><Relationship Type="http://schemas.openxmlformats.org/officeDocument/2006/relationships/hyperlink" Target="https://dym.asia/media/blood-test/" TargetMode="External" Id="rId300"/><Relationship Type="http://schemas.openxmlformats.org/officeDocument/2006/relationships/hyperlink" Target="https://dym.asia/media/bpo-guide-for-business/" TargetMode="External" Id="rId301"/><Relationship Type="http://schemas.openxmlformats.org/officeDocument/2006/relationships/hyperlink" Target="https://dym.asia/media/business-coaching/" TargetMode="External" Id="rId302"/><Relationship Type="http://schemas.openxmlformats.org/officeDocument/2006/relationships/hyperlink" Target="https://dym.asia/media/business-succession/" TargetMode="External" Id="rId303"/><Relationship Type="http://schemas.openxmlformats.org/officeDocument/2006/relationships/hyperlink" Target="https://dym.asia/media/business-work-life-balance/" TargetMode="External" Id="rId304"/><Relationship Type="http://schemas.openxmlformats.org/officeDocument/2006/relationships/hyperlink" Target="https://dym.asia/media/business_manners_training/" TargetMode="External" Id="rId305"/><Relationship Type="http://schemas.openxmlformats.org/officeDocument/2006/relationships/hyperlink" Target="https://dym.asia/media/buyout/" TargetMode="External" Id="rId306"/><Relationship Type="http://schemas.openxmlformats.org/officeDocument/2006/relationships/hyperlink" Target="https://dym.asia/media/callcenter-outsourcing/" TargetMode="External" Id="rId307"/><Relationship Type="http://schemas.openxmlformats.org/officeDocument/2006/relationships/hyperlink" Target="https://dym.asia/media/career-up-grant/" TargetMode="External" Id="rId308"/><Relationship Type="http://schemas.openxmlformats.org/officeDocument/2006/relationships/hyperlink" Target="https://dym.asia/media/casting-company/" TargetMode="External" Id="rId309"/><Relationship Type="http://schemas.openxmlformats.org/officeDocument/2006/relationships/hyperlink" Target="https://dym.asia/media/childcare-leave/" TargetMode="External" Id="rId310"/><Relationship Type="http://schemas.openxmlformats.org/officeDocument/2006/relationships/hyperlink" Target="https://dym.asia/media/clinic-mna/" TargetMode="External" Id="rId311"/><Relationship Type="http://schemas.openxmlformats.org/officeDocument/2006/relationships/hyperlink" Target="https://dym.asia/contact/" TargetMode="External" Id="rId312"/><Relationship Type="http://schemas.openxmlformats.org/officeDocument/2006/relationships/hyperlink" Target="https://dym.asia/media/coding/" TargetMode="External" Id="rId313"/><Relationship Type="http://schemas.openxmlformats.org/officeDocument/2006/relationships/hyperlink" Target="https://dym.asia/media/column_tag/hr-tech/" TargetMode="External" Id="rId314"/><Relationship Type="http://schemas.openxmlformats.org/officeDocument/2006/relationships/hyperlink" Target="https://dym.asia/media/complaint-handling/" TargetMode="External" Id="rId315"/><Relationship Type="http://schemas.openxmlformats.org/officeDocument/2006/relationships/hyperlink" Target="https://dym.asia/media/construction-management-employ/" TargetMode="External" Id="rId316"/><Relationship Type="http://schemas.openxmlformats.org/officeDocument/2006/relationships/hyperlink" Target="https://dym.asia/media/cooperativeness/" TargetMode="External" Id="rId317"/><Relationship Type="http://schemas.openxmlformats.org/officeDocument/2006/relationships/hyperlink" Target="https://dym.asia/media/cpm/" TargetMode="External" Id="rId318"/><Relationship Type="http://schemas.openxmlformats.org/officeDocument/2006/relationships/hyperlink" Target="https://dym.asia/media/credo/" TargetMode="External" Id="rId319"/><Relationship Type="http://schemas.openxmlformats.org/officeDocument/2006/relationships/hyperlink" Target="https://dym.asia/media/cs/" TargetMode="External" Id="rId320"/><Relationship Type="http://schemas.openxmlformats.org/officeDocument/2006/relationships/hyperlink" Target="https://dym.asia/contact/" TargetMode="External" Id="rId321"/><Relationship Type="http://schemas.openxmlformats.org/officeDocument/2006/relationships/hyperlink" Target="https://dym.asia/media/csr/" TargetMode="External" Id="rId322"/><Relationship Type="http://schemas.openxmlformats.org/officeDocument/2006/relationships/hyperlink" Target="https://dym.asia/contact/" TargetMode="External" Id="rId323"/><Relationship Type="http://schemas.openxmlformats.org/officeDocument/2006/relationships/hyperlink" Target="https://dym.asia/media/cta/" TargetMode="External" Id="rId324"/><Relationship Type="http://schemas.openxmlformats.org/officeDocument/2006/relationships/hyperlink" Target="https://dym.asia/contact/" TargetMode="External" Id="rId325"/><Relationship Type="http://schemas.openxmlformats.org/officeDocument/2006/relationships/hyperlink" Target="https://dym.asia/media/degital-marketing/" TargetMode="External" Id="rId326"/><Relationship Type="http://schemas.openxmlformats.org/officeDocument/2006/relationships/hyperlink" Target="https://dym.asia/contact/" TargetMode="External" Id="rId327"/><Relationship Type="http://schemas.openxmlformats.org/officeDocument/2006/relationships/hyperlink" Target="https://dym.asia/media/dermapen/" TargetMode="External" Id="rId328"/><Relationship Type="http://schemas.openxmlformats.org/officeDocument/2006/relationships/hyperlink" Target="https://dym.asia/media/due-diligence/" TargetMode="External" Id="rId329"/><Relationship Type="http://schemas.openxmlformats.org/officeDocument/2006/relationships/hyperlink" Target="https://dym.asia/contact/" TargetMode="External" Id="rId330"/><Relationship Type="http://schemas.openxmlformats.org/officeDocument/2006/relationships/hyperlink" Target="https://dym.asia/media/employee-training/" TargetMode="External" Id="rId331"/><Relationship Type="http://schemas.openxmlformats.org/officeDocument/2006/relationships/hyperlink" Target="https://dym.asia/media/engineer-recruitment/" TargetMode="External" Id="rId332"/><Relationship Type="http://schemas.openxmlformats.org/officeDocument/2006/relationships/hyperlink" Target="https://dym.asia/contact/?sid=681795991" TargetMode="External" Id="rId333"/><Relationship Type="http://schemas.openxmlformats.org/officeDocument/2006/relationships/hyperlink" Target="https://dym.asia/media/engineer_dispatch/" TargetMode="External" Id="rId334"/><Relationship Type="http://schemas.openxmlformats.org/officeDocument/2006/relationships/hyperlink" Target="https://dym.asia/media/erabotox/" TargetMode="External" Id="rId335"/><Relationship Type="http://schemas.openxmlformats.org/officeDocument/2006/relationships/hyperlink" Target="https://dym.asia/media/facebook-ad-cost/" TargetMode="External" Id="rId336"/><Relationship Type="http://schemas.openxmlformats.org/officeDocument/2006/relationships/hyperlink" Target="https://dym.asia/contact/" TargetMode="External" Id="rId337"/><Relationship Type="http://schemas.openxmlformats.org/officeDocument/2006/relationships/hyperlink" Target="https://dym.asia/media/fast-diet/" TargetMode="External" Id="rId338"/><Relationship Type="http://schemas.openxmlformats.org/officeDocument/2006/relationships/hyperlink" Target="https://dym.asia/media/follow-up-training/" TargetMode="External" Id="rId339"/><Relationship Type="http://schemas.openxmlformats.org/officeDocument/2006/relationships/hyperlink" Target="https://dym.asia/media/former-recruitment-difficult/" TargetMode="External" Id="rId340"/><Relationship Type="http://schemas.openxmlformats.org/officeDocument/2006/relationships/hyperlink" Target="https://dym.asia/media/freshmen-health-check/" TargetMode="External" Id="rId341"/><Relationship Type="http://schemas.openxmlformats.org/officeDocument/2006/relationships/hyperlink" Target="https://dym.asia/contact/" TargetMode="External" Id="rId342"/><Relationship Type="http://schemas.openxmlformats.org/officeDocument/2006/relationships/hyperlink" Target="https://dym.asia/media/funding/" TargetMode="External" Id="rId343"/><Relationship Type="http://schemas.openxmlformats.org/officeDocument/2006/relationships/hyperlink" Target="https://dym.asia/media/google-algorithm/" TargetMode="External" Id="rId344"/><Relationship Type="http://schemas.openxmlformats.org/officeDocument/2006/relationships/hyperlink" Target="https://dym.asia/contact/" TargetMode="External" Id="rId345"/><Relationship Type="http://schemas.openxmlformats.org/officeDocument/2006/relationships/hyperlink" Target="https://dym.asia/media/gtm/" TargetMode="External" Id="rId346"/><Relationship Type="http://schemas.openxmlformats.org/officeDocument/2006/relationships/hyperlink" Target="https://dym.asia/contact/" TargetMode="External" Id="rId347"/><Relationship Type="http://schemas.openxmlformats.org/officeDocument/2006/relationships/hyperlink" Target="https://dym.asia/media/harassment/" TargetMode="External" Id="rId348"/><Relationship Type="http://schemas.openxmlformats.org/officeDocument/2006/relationships/hyperlink" Target="https://dym.asia/media/health-check-40s/" TargetMode="External" Id="rId349"/><Relationship Type="http://schemas.openxmlformats.org/officeDocument/2006/relationships/hyperlink" Target="https://dym.asia/contact/" TargetMode="External" Id="rId350"/><Relationship Type="http://schemas.openxmlformats.org/officeDocument/2006/relationships/hyperlink" Target="https://dym.asia/media/health-check/" TargetMode="External" Id="rId351"/><Relationship Type="http://schemas.openxmlformats.org/officeDocument/2006/relationships/hyperlink" Target="https://dym.asia/contact/" TargetMode="External" Id="rId352"/><Relationship Type="http://schemas.openxmlformats.org/officeDocument/2006/relationships/hyperlink" Target="https://dym.asia/media/health-checkup-upon-item/" TargetMode="External" Id="rId353"/><Relationship Type="http://schemas.openxmlformats.org/officeDocument/2006/relationships/hyperlink" Target="https://dym.asia/contact/" TargetMode="External" Id="rId354"/><Relationship Type="http://schemas.openxmlformats.org/officeDocument/2006/relationships/hyperlink" Target="https://dym.asia/media/help-wanted-ads/" TargetMode="External" Id="rId355"/><Relationship Type="http://schemas.openxmlformats.org/officeDocument/2006/relationships/hyperlink" Target="https://dym.asia/contact/" TargetMode="External" Id="rId356"/><Relationship Type="http://schemas.openxmlformats.org/officeDocument/2006/relationships/hyperlink" Target="https://dym.asia/media/how-to-search-empty-property/" TargetMode="External" Id="rId357"/><Relationship Type="http://schemas.openxmlformats.org/officeDocument/2006/relationships/hyperlink" Target="https://dym.asia/media/how-to-seo/" TargetMode="External" Id="rId358"/><Relationship Type="http://schemas.openxmlformats.org/officeDocument/2006/relationships/hyperlink" Target="https://dym.asia/media/human-error/" TargetMode="External" Id="rId359"/><Relationship Type="http://schemas.openxmlformats.org/officeDocument/2006/relationships/hyperlink" Target="https://dym.asia/media/impression/" TargetMode="External" Id="rId360"/><Relationship Type="http://schemas.openxmlformats.org/officeDocument/2006/relationships/hyperlink" Target="https://dym.asia/contact/" TargetMode="External" Id="rId361"/><Relationship Type="http://schemas.openxmlformats.org/officeDocument/2006/relationships/hyperlink" Target="https://dym.asia/media/in-house-training/" TargetMode="External" Id="rId362"/><Relationship Type="http://schemas.openxmlformats.org/officeDocument/2006/relationships/hyperlink" Target="https://dym.asia/media/indeed_agency/" TargetMode="External" Id="rId363"/><Relationship Type="http://schemas.openxmlformats.org/officeDocument/2006/relationships/hyperlink" Target="https://dym.asia/media/index/" TargetMode="External" Id="rId364"/><Relationship Type="http://schemas.openxmlformats.org/officeDocument/2006/relationships/hyperlink" Target="https://dym.asia/contact/" TargetMode="External" Id="rId365"/><Relationship Type="http://schemas.openxmlformats.org/officeDocument/2006/relationships/hyperlink" Target="https://dym.asia/media/infeed-ad/" TargetMode="External" Id="rId366"/><Relationship Type="http://schemas.openxmlformats.org/officeDocument/2006/relationships/hyperlink" Target="https://dym.asia/contact/" TargetMode="External" Id="rId367"/><Relationship Type="http://schemas.openxmlformats.org/officeDocument/2006/relationships/hyperlink" Target="https://dym.asia/media/instagram-target/" TargetMode="External" Id="rId368"/><Relationship Type="http://schemas.openxmlformats.org/officeDocument/2006/relationships/hyperlink" Target="https://dym.asia/contact/" TargetMode="External" Id="rId369"/><Relationship Type="http://schemas.openxmlformats.org/officeDocument/2006/relationships/hyperlink" Target="https://dym.asia/media/interview-article/" TargetMode="External" Id="rId370"/><Relationship Type="http://schemas.openxmlformats.org/officeDocument/2006/relationships/hyperlink" Target="https://dym.asia/media/ipo_support/" TargetMode="External" Id="rId371"/><Relationship Type="http://schemas.openxmlformats.org/officeDocument/2006/relationships/hyperlink" Target="https://dym.asia/media/job-offer-site/" TargetMode="External" Id="rId372"/><Relationship Type="http://schemas.openxmlformats.org/officeDocument/2006/relationships/hyperlink" Target="https://dym.asia/contact/" TargetMode="External" Id="rId373"/><Relationship Type="http://schemas.openxmlformats.org/officeDocument/2006/relationships/hyperlink" Target="https://dym.asia/media/kenshin/" TargetMode="External" Id="rId374"/><Relationship Type="http://schemas.openxmlformats.org/officeDocument/2006/relationships/hyperlink" Target="https://dym.asia/contact/" TargetMode="External" Id="rId375"/><Relationship Type="http://schemas.openxmlformats.org/officeDocument/2006/relationships/hyperlink" Target="https://dym.asia/media/keyword-selection/" TargetMode="External" Id="rId376"/><Relationship Type="http://schemas.openxmlformats.org/officeDocument/2006/relationships/hyperlink" Target="https://dym.asia/contact/" TargetMode="External" Id="rId377"/><Relationship Type="http://schemas.openxmlformats.org/officeDocument/2006/relationships/hyperlink" Target="https://dym.asia/media/kgi/" TargetMode="External" Id="rId378"/><Relationship Type="http://schemas.openxmlformats.org/officeDocument/2006/relationships/hyperlink" Target="https://dym.asia/contact/" TargetMode="External" Id="rId379"/><Relationship Type="http://schemas.openxmlformats.org/officeDocument/2006/relationships/hyperlink" Target="https://dym.asia/media/kpi-about/" TargetMode="External" Id="rId380"/><Relationship Type="http://schemas.openxmlformats.org/officeDocument/2006/relationships/hyperlink" Target="https://dym.asia/contact/" TargetMode="External" Id="rId381"/><Relationship Type="http://schemas.openxmlformats.org/officeDocument/2006/relationships/hyperlink" Target="https://dym.asia/media/kyujinbox-2/" TargetMode="External" Id="rId382"/><Relationship Type="http://schemas.openxmlformats.org/officeDocument/2006/relationships/hyperlink" Target="https://dym.asia/contact/" TargetMode="External" Id="rId383"/><Relationship Type="http://schemas.openxmlformats.org/officeDocument/2006/relationships/hyperlink" Target="https://dym.asia/media/kyujinbox-about/" TargetMode="External" Id="rId384"/><Relationship Type="http://schemas.openxmlformats.org/officeDocument/2006/relationships/hyperlink" Target="https://dym.asia/contact/" TargetMode="External" Id="rId385"/><Relationship Type="http://schemas.openxmlformats.org/officeDocument/2006/relationships/hyperlink" Target="https://dym.asia/media/kyujinbox-how-to-use/" TargetMode="External" Id="rId386"/><Relationship Type="http://schemas.openxmlformats.org/officeDocument/2006/relationships/hyperlink" Target="https://dym.asia/contact/" TargetMode="External" Id="rId387"/><Relationship Type="http://schemas.openxmlformats.org/officeDocument/2006/relationships/hyperlink" Target="https://dym.asia/media/labor-standards-act/" TargetMode="External" Id="rId388"/><Relationship Type="http://schemas.openxmlformats.org/officeDocument/2006/relationships/hyperlink" Target="https://dym.asia/media/leader_training/" TargetMode="External" Id="rId389"/><Relationship Type="http://schemas.openxmlformats.org/officeDocument/2006/relationships/hyperlink" Target="https://dym.asia/media/line-ad-target/" TargetMode="External" Id="rId390"/><Relationship Type="http://schemas.openxmlformats.org/officeDocument/2006/relationships/hyperlink" Target="https://dym.asia/contact/" TargetMode="External" Id="rId391"/><Relationship Type="http://schemas.openxmlformats.org/officeDocument/2006/relationships/hyperlink" Target="https://dym.asia/media/line-official-fee/" TargetMode="External" Id="rId392"/><Relationship Type="http://schemas.openxmlformats.org/officeDocument/2006/relationships/hyperlink" Target="https://dym.asia/contact/" TargetMode="External" Id="rId393"/><Relationship Type="http://schemas.openxmlformats.org/officeDocument/2006/relationships/hyperlink" Target="https://dym.asia/media/line-official-login/" TargetMode="External" Id="rId394"/><Relationship Type="http://schemas.openxmlformats.org/officeDocument/2006/relationships/hyperlink" Target="https://dym.asia/media/line-official-message/" TargetMode="External" Id="rId395"/><Relationship Type="http://schemas.openxmlformats.org/officeDocument/2006/relationships/hyperlink" Target="https://dym.asia/contact/" TargetMode="External" Id="rId396"/><Relationship Type="http://schemas.openxmlformats.org/officeDocument/2006/relationships/hyperlink" Target="https://dym.asia/media/line-official-paid/" TargetMode="External" Id="rId397"/><Relationship Type="http://schemas.openxmlformats.org/officeDocument/2006/relationships/hyperlink" Target="https://dym.asia/contact" TargetMode="External" Id="rId398"/><Relationship Type="http://schemas.openxmlformats.org/officeDocument/2006/relationships/hyperlink" Target="https://dym.asia/media/line-official-rich-message/" TargetMode="External" Id="rId399"/><Relationship Type="http://schemas.openxmlformats.org/officeDocument/2006/relationships/hyperlink" Target="https://dym.asia/contact/" TargetMode="External" Id="rId400"/><Relationship Type="http://schemas.openxmlformats.org/officeDocument/2006/relationships/hyperlink" Target="https://dym.asia/media/line-official-search/" TargetMode="External" Id="rId401"/><Relationship Type="http://schemas.openxmlformats.org/officeDocument/2006/relationships/hyperlink" Target="https://dym.asia/contact/" TargetMode="External" Id="rId402"/><Relationship Type="http://schemas.openxmlformats.org/officeDocument/2006/relationships/hyperlink" Target="https://dym.asia/media/line-operation/" TargetMode="External" Id="rId403"/><Relationship Type="http://schemas.openxmlformats.org/officeDocument/2006/relationships/hyperlink" Target="https://dym.asia/contact/" TargetMode="External" Id="rId404"/><Relationship Type="http://schemas.openxmlformats.org/officeDocument/2006/relationships/hyperlink" Target="https://dym.asia/media/listing-ads-type/" TargetMode="External" Id="rId405"/><Relationship Type="http://schemas.openxmlformats.org/officeDocument/2006/relationships/hyperlink" Target="https://dym.asia/contact/" TargetMode="External" Id="rId406"/><Relationship Type="http://schemas.openxmlformats.org/officeDocument/2006/relationships/hyperlink" Target="https://dym.asia/media/listing-display-ads/" TargetMode="External" Id="rId407"/><Relationship Type="http://schemas.openxmlformats.org/officeDocument/2006/relationships/hyperlink" Target="https://dym.asia/contact/" TargetMode="External" Id="rId408"/><Relationship Type="http://schemas.openxmlformats.org/officeDocument/2006/relationships/hyperlink" Target="https://dym.asia/media/listing_advertisement/" TargetMode="External" Id="rId409"/><Relationship Type="http://schemas.openxmlformats.org/officeDocument/2006/relationships/hyperlink" Target="https://dym.asia/contact/" TargetMode="External" Id="rId410"/><Relationship Type="http://schemas.openxmlformats.org/officeDocument/2006/relationships/hyperlink" Target="https://dym.asia/media/logic-tree/" TargetMode="External" Id="rId411"/><Relationship Type="http://schemas.openxmlformats.org/officeDocument/2006/relationships/hyperlink" Target="https://dym.asia/contact/" TargetMode="External" Id="rId412"/><Relationship Type="http://schemas.openxmlformats.org/officeDocument/2006/relationships/hyperlink" Target="https://dym.asia/media/ma_consulting/" TargetMode="External" Id="rId413"/><Relationship Type="http://schemas.openxmlformats.org/officeDocument/2006/relationships/hyperlink" Target="https://dym.asia/contact/" TargetMode="External" Id="rId414"/><Relationship Type="http://schemas.openxmlformats.org/officeDocument/2006/relationships/hyperlink" Target="https://dym.asia/media/management/" TargetMode="External" Id="rId415"/><Relationship Type="http://schemas.openxmlformats.org/officeDocument/2006/relationships/hyperlink" Target="https://dym.asia/media/manager-training/" TargetMode="External" Id="rId416"/><Relationship Type="http://schemas.openxmlformats.org/officeDocument/2006/relationships/hyperlink" Target="https://dym.asia/media/marketer-recruitement/" TargetMode="External" Id="rId417"/><Relationship Type="http://schemas.openxmlformats.org/officeDocument/2006/relationships/hyperlink" Target="https://dym.asia/media/marketing-advisor/" TargetMode="External" Id="rId418"/><Relationship Type="http://schemas.openxmlformats.org/officeDocument/2006/relationships/hyperlink" Target="https://dym.asia/contact/" TargetMode="External" Id="rId419"/><Relationship Type="http://schemas.openxmlformats.org/officeDocument/2006/relationships/hyperlink" Target="https://dym.asia/media/marketing-outsourcing/" TargetMode="External" Id="rId420"/><Relationship Type="http://schemas.openxmlformats.org/officeDocument/2006/relationships/hyperlink" Target="https://dym.asia/media/mbo/" TargetMode="External" Id="rId421"/><Relationship Type="http://schemas.openxmlformats.org/officeDocument/2006/relationships/hyperlink" Target="https://dym.asia/media/mece/" TargetMode="External" Id="rId422"/><Relationship Type="http://schemas.openxmlformats.org/officeDocument/2006/relationships/hyperlink" Target="https://dym.asia/media/meo/" TargetMode="External" Id="rId423"/><Relationship Type="http://schemas.openxmlformats.org/officeDocument/2006/relationships/hyperlink" Target="https://dym.asia/contact/" TargetMode="External" Id="rId424"/><Relationship Type="http://schemas.openxmlformats.org/officeDocument/2006/relationships/hyperlink" Target="https://dym.asia/media/meta-description/" TargetMode="External" Id="rId425"/><Relationship Type="http://schemas.openxmlformats.org/officeDocument/2006/relationships/hyperlink" Target="https://dym.asia/media/mind-set/" TargetMode="External" Id="rId426"/><Relationship Type="http://schemas.openxmlformats.org/officeDocument/2006/relationships/hyperlink" Target="https://dym.asia/media/model-casting/" TargetMode="External" Id="rId427"/><Relationship Type="http://schemas.openxmlformats.org/officeDocument/2006/relationships/hyperlink" Target="https://dym.asia/contact/" TargetMode="External" Id="rId428"/><Relationship Type="http://schemas.openxmlformats.org/officeDocument/2006/relationships/hyperlink" Target="https://dym.asia/media/native-ads-medium/" TargetMode="External" Id="rId429"/><Relationship Type="http://schemas.openxmlformats.org/officeDocument/2006/relationships/hyperlink" Target="https://dym.asia/contact/" TargetMode="External" Id="rId430"/><Relationship Type="http://schemas.openxmlformats.org/officeDocument/2006/relationships/hyperlink" Target="https://dym.asia/media/new-graduate-training-curriculum/" TargetMode="External" Id="rId431"/><Relationship Type="http://schemas.openxmlformats.org/officeDocument/2006/relationships/hyperlink" Target="https://dym.asia/media/new-graduation-agent-cost/" TargetMode="External" Id="rId432"/><Relationship Type="http://schemas.openxmlformats.org/officeDocument/2006/relationships/hyperlink" Target="https://dym.asia/contact/" TargetMode="External" Id="rId433"/><Relationship Type="http://schemas.openxmlformats.org/officeDocument/2006/relationships/hyperlink" Target="https://dym.asia/media/new-graduation-recruitment-cost/" TargetMode="External" Id="rId434"/><Relationship Type="http://schemas.openxmlformats.org/officeDocument/2006/relationships/hyperlink" Target="https://dym.asia/contact/" TargetMode="External" Id="rId435"/><Relationship Type="http://schemas.openxmlformats.org/officeDocument/2006/relationships/hyperlink" Target="https://dym.asia/media/new-graduation-training-term/" TargetMode="External" Id="rId436"/><Relationship Type="http://schemas.openxmlformats.org/officeDocument/2006/relationships/hyperlink" Target="https://dym.asia/media/new_employee_training/" TargetMode="External" Id="rId437"/><Relationship Type="http://schemas.openxmlformats.org/officeDocument/2006/relationships/hyperlink" Target="https://dym.asia/media/new_graduate_recruitment/" TargetMode="External" Id="rId438"/><Relationship Type="http://schemas.openxmlformats.org/officeDocument/2006/relationships/hyperlink" Target="https://dym.asia/media/occupational_physician/" TargetMode="External" Id="rId439"/><Relationship Type="http://schemas.openxmlformats.org/officeDocument/2006/relationships/hyperlink" Target="https://dym.asia/media/office_brokerage/" TargetMode="External" Id="rId440"/><Relationship Type="http://schemas.openxmlformats.org/officeDocument/2006/relationships/hyperlink" Target="https://dym.asia/contact/" TargetMode="External" Id="rId441"/><Relationship Type="http://schemas.openxmlformats.org/officeDocument/2006/relationships/hyperlink" Target="https://dym.asia/media/official-sponsor/" TargetMode="External" Id="rId442"/><Relationship Type="http://schemas.openxmlformats.org/officeDocument/2006/relationships/hyperlink" Target="https://dym.asia/contact/" TargetMode="External" Id="rId443"/><Relationship Type="http://schemas.openxmlformats.org/officeDocument/2006/relationships/hyperlink" Target="https://dym.asia/media/opg/" TargetMode="External" Id="rId444"/><Relationship Type="http://schemas.openxmlformats.org/officeDocument/2006/relationships/hyperlink" Target="https://dym.asia/media/page-speed-insights/" TargetMode="External" Id="rId445"/><Relationship Type="http://schemas.openxmlformats.org/officeDocument/2006/relationships/hyperlink" Target="https://dym.asia/contact/" TargetMode="External" Id="rId446"/><Relationship Type="http://schemas.openxmlformats.org/officeDocument/2006/relationships/hyperlink" Target="https://dym.asia/media/pagenation/" TargetMode="External" Id="rId447"/><Relationship Type="http://schemas.openxmlformats.org/officeDocument/2006/relationships/hyperlink" Target="https://dym.asia/contact/" TargetMode="External" Id="rId448"/><Relationship Type="http://schemas.openxmlformats.org/officeDocument/2006/relationships/hyperlink" Target="https://dym.asia/media/parttime-fulltime-difference/" TargetMode="External" Id="rId449"/><Relationship Type="http://schemas.openxmlformats.org/officeDocument/2006/relationships/hyperlink" Target="https://dym.asia/media/parttime-hiring/" TargetMode="External" Id="rId450"/><Relationship Type="http://schemas.openxmlformats.org/officeDocument/2006/relationships/hyperlink" Target="https://dym.asia/media/pdca-about/" TargetMode="External" Id="rId451"/><Relationship Type="http://schemas.openxmlformats.org/officeDocument/2006/relationships/hyperlink" Target="https://dym.asia/contact/" TargetMode="External" Id="rId452"/><Relationship Type="http://schemas.openxmlformats.org/officeDocument/2006/relationships/hyperlink" Target="https://dym.asia/media/perttime-contract-employee-differences/" TargetMode="External" Id="rId453"/><Relationship Type="http://schemas.openxmlformats.org/officeDocument/2006/relationships/hyperlink" Target="https://dym.asia/media/pest-analysis/" TargetMode="External" Id="rId454"/><Relationship Type="http://schemas.openxmlformats.org/officeDocument/2006/relationships/hyperlink" Target="https://dym.asia/contact/" TargetMode="External" Id="rId455"/><Relationship Type="http://schemas.openxmlformats.org/officeDocument/2006/relationships/hyperlink" Target="https://dym.asia/media/photo-facial/" TargetMode="External" Id="rId456"/><Relationship Type="http://schemas.openxmlformats.org/officeDocument/2006/relationships/hyperlink" Target="https://dym.asia/media/pmi/" TargetMode="External" Id="rId457"/><Relationship Type="http://schemas.openxmlformats.org/officeDocument/2006/relationships/hyperlink" Target="https://dym.asia/contact/" TargetMode="External" Id="rId458"/><Relationship Type="http://schemas.openxmlformats.org/officeDocument/2006/relationships/hyperlink" Target="https://dym.asia/media/potential-recruitment/" TargetMode="External" Id="rId459"/><Relationship Type="http://schemas.openxmlformats.org/officeDocument/2006/relationships/hyperlink" Target="https://dym.asia/media/pre_employment_training/" TargetMode="External" Id="rId460"/><Relationship Type="http://schemas.openxmlformats.org/officeDocument/2006/relationships/hyperlink" Target="https://dym.asia/media/pre_entry_training/" TargetMode="External" Id="rId461"/><Relationship Type="http://schemas.openxmlformats.org/officeDocument/2006/relationships/hyperlink" Target="https://dym.asia/media/pv/" TargetMode="External" Id="rId462"/><Relationship Type="http://schemas.openxmlformats.org/officeDocument/2006/relationships/hyperlink" Target="https://dym.asia/contact/" TargetMode="External" Id="rId463"/><Relationship Type="http://schemas.openxmlformats.org/officeDocument/2006/relationships/hyperlink" Target="https://dym.asia/media/rapport/" TargetMode="External" Id="rId464"/><Relationship Type="http://schemas.openxmlformats.org/officeDocument/2006/relationships/hyperlink" Target="https://dym.asia/media/real-estate-sale-agent-cost/" TargetMode="External" Id="rId465"/><Relationship Type="http://schemas.openxmlformats.org/officeDocument/2006/relationships/hyperlink" Target="https://dym.asia/media/receptionist-parttime-job/" TargetMode="External" Id="rId466"/><Relationship Type="http://schemas.openxmlformats.org/officeDocument/2006/relationships/hyperlink" Target="https://dym.asia/media/recruitment-consulting-guide/" TargetMode="External" Id="rId467"/><Relationship Type="http://schemas.openxmlformats.org/officeDocument/2006/relationships/hyperlink" Target="https://dym.asia/contact/?sid=681795991" TargetMode="External" Id="rId468"/><Relationship Type="http://schemas.openxmlformats.org/officeDocument/2006/relationships/hyperlink" Target="https://dym.asia/media/recruitment-instagram/" TargetMode="External" Id="rId469"/><Relationship Type="http://schemas.openxmlformats.org/officeDocument/2006/relationships/hyperlink" Target="https://dym.asia/media/resource/" TargetMode="External" Id="rId470"/><Relationship Type="http://schemas.openxmlformats.org/officeDocument/2006/relationships/hyperlink" Target="https://dym.asia/media/rumor-control-measures/" TargetMode="External" Id="rId471"/><Relationship Type="http://schemas.openxmlformats.org/officeDocument/2006/relationships/hyperlink" Target="https://dym.asia/contact/" TargetMode="External" Id="rId472"/><Relationship Type="http://schemas.openxmlformats.org/officeDocument/2006/relationships/hyperlink" Target="https://dym.asia/media/search-ads/" TargetMode="External" Id="rId473"/><Relationship Type="http://schemas.openxmlformats.org/officeDocument/2006/relationships/hyperlink" Target="https://dym.asia/contact/?sid=681795991" TargetMode="External" Id="rId474"/><Relationship Type="http://schemas.openxmlformats.org/officeDocument/2006/relationships/hyperlink" Target="https://dym.asia/media/search-keyword/" TargetMode="External" Id="rId475"/><Relationship Type="http://schemas.openxmlformats.org/officeDocument/2006/relationships/hyperlink" Target="https://dym.asia/contact/" TargetMode="External" Id="rId476"/><Relationship Type="http://schemas.openxmlformats.org/officeDocument/2006/relationships/hyperlink" Target="https://dym.asia/media/search-within-page/" TargetMode="External" Id="rId477"/><Relationship Type="http://schemas.openxmlformats.org/officeDocument/2006/relationships/hyperlink" Target="https://dym.asia/contact/" TargetMode="External" Id="rId478"/><Relationship Type="http://schemas.openxmlformats.org/officeDocument/2006/relationships/hyperlink" Target="https://dym.asia/media/second_graduate/" TargetMode="External" Id="rId479"/><Relationship Type="http://schemas.openxmlformats.org/officeDocument/2006/relationships/hyperlink" Target="https://dym.asia/media/sem-about/" TargetMode="External" Id="rId480"/><Relationship Type="http://schemas.openxmlformats.org/officeDocument/2006/relationships/hyperlink" Target="https://dym.asia/contact/" TargetMode="External" Id="rId481"/><Relationship Type="http://schemas.openxmlformats.org/officeDocument/2006/relationships/hyperlink" Target="https://dym.asia/media/seminar-attracting-customers/" TargetMode="External" Id="rId482"/><Relationship Type="http://schemas.openxmlformats.org/officeDocument/2006/relationships/hyperlink" Target="https://dym.asia/media/seo-title-number-of-words/" TargetMode="External" Id="rId483"/><Relationship Type="http://schemas.openxmlformats.org/officeDocument/2006/relationships/hyperlink" Target="https://dym.asia/contact/" TargetMode="External" Id="rId484"/><Relationship Type="http://schemas.openxmlformats.org/officeDocument/2006/relationships/hyperlink" Target="https://dym.asia/media/ses-mna/" TargetMode="External" Id="rId485"/><Relationship Type="http://schemas.openxmlformats.org/officeDocument/2006/relationships/hyperlink" Target="https://dym.asia/media/shoulder-botox/" TargetMode="External" Id="rId486"/><Relationship Type="http://schemas.openxmlformats.org/officeDocument/2006/relationships/hyperlink" Target="https://dym.asia/media/site-create-company/" TargetMode="External" Id="rId487"/><Relationship Type="http://schemas.openxmlformats.org/officeDocument/2006/relationships/hyperlink" Target="https://dym.asia/contact/" TargetMode="External" Id="rId488"/><Relationship Type="http://schemas.openxmlformats.org/officeDocument/2006/relationships/hyperlink" Target="https://dym.asia/media/site-create-hearing/" TargetMode="External" Id="rId489"/><Relationship Type="http://schemas.openxmlformats.org/officeDocument/2006/relationships/hyperlink" Target="https://dym.asia/contact/" TargetMode="External" Id="rId490"/><Relationship Type="http://schemas.openxmlformats.org/officeDocument/2006/relationships/hyperlink" Target="https://dym.asia/media/sns-ad-example/" TargetMode="External" Id="rId491"/><Relationship Type="http://schemas.openxmlformats.org/officeDocument/2006/relationships/hyperlink" Target="https://dym.asia/contact/" TargetMode="External" Id="rId492"/><Relationship Type="http://schemas.openxmlformats.org/officeDocument/2006/relationships/hyperlink" Target="https://dym.asia/media/sns-ad-type/" TargetMode="External" Id="rId493"/><Relationship Type="http://schemas.openxmlformats.org/officeDocument/2006/relationships/hyperlink" Target="https://dym.asia/contact/" TargetMode="External" Id="rId494"/><Relationship Type="http://schemas.openxmlformats.org/officeDocument/2006/relationships/hyperlink" Target="https://dym.asia/media/sns-company/" TargetMode="External" Id="rId495"/><Relationship Type="http://schemas.openxmlformats.org/officeDocument/2006/relationships/hyperlink" Target="https://dym.asia/contact/" TargetMode="External" Id="rId496"/><Relationship Type="http://schemas.openxmlformats.org/officeDocument/2006/relationships/hyperlink" Target="https://dym.asia/media/sns-operation-freerance-market/" TargetMode="External" Id="rId497"/><Relationship Type="http://schemas.openxmlformats.org/officeDocument/2006/relationships/hyperlink" Target="https://dym.asia/contact/" TargetMode="External" Id="rId498"/><Relationship Type="http://schemas.openxmlformats.org/officeDocument/2006/relationships/hyperlink" Target="https://dym.asia/media/sports-sponsorship/" TargetMode="External" Id="rId499"/><Relationship Type="http://schemas.openxmlformats.org/officeDocument/2006/relationships/hyperlink" Target="https://dym.asia/media/staff-shortage/" TargetMode="External" Id="rId500"/><Relationship Type="http://schemas.openxmlformats.org/officeDocument/2006/relationships/hyperlink" Target="https://dym.asia/media/standby-how-to-use/" TargetMode="External" Id="rId501"/><Relationship Type="http://schemas.openxmlformats.org/officeDocument/2006/relationships/hyperlink" Target="https://dym.asia/media/standby/" TargetMode="External" Id="rId502"/><Relationship Type="http://schemas.openxmlformats.org/officeDocument/2006/relationships/hyperlink" Target="https://dym.asia/media/standby_agency/" TargetMode="External" Id="rId503"/><Relationship Type="http://schemas.openxmlformats.org/officeDocument/2006/relationships/hyperlink" Target="https://dym.asia/media/stock-transfer/" TargetMode="External" Id="rId504"/><Relationship Type="http://schemas.openxmlformats.org/officeDocument/2006/relationships/hyperlink" Target="https://dym.asia/media/stp-analysis/" TargetMode="External" Id="rId505"/><Relationship Type="http://schemas.openxmlformats.org/officeDocument/2006/relationships/hyperlink" Target="https://dym.asia/contact/" TargetMode="External" Id="rId506"/><Relationship Type="http://schemas.openxmlformats.org/officeDocument/2006/relationships/hyperlink" Target="https://dym.asia/media/sub-domain/" TargetMode="External" Id="rId507"/><Relationship Type="http://schemas.openxmlformats.org/officeDocument/2006/relationships/hyperlink" Target="https://dym.asia/contact/" TargetMode="External" Id="rId508"/><Relationship Type="http://schemas.openxmlformats.org/officeDocument/2006/relationships/hyperlink" Target="https://dym.asia/media/suggest-leyword/" TargetMode="External" Id="rId509"/><Relationship Type="http://schemas.openxmlformats.org/officeDocument/2006/relationships/hyperlink" Target="https://dym.asia/media/swot-analysis/" TargetMode="External" Id="rId510"/><Relationship Type="http://schemas.openxmlformats.org/officeDocument/2006/relationships/hyperlink" Target="https://dym.asia/media/talent-appoint/" TargetMode="External" Id="rId511"/><Relationship Type="http://schemas.openxmlformats.org/officeDocument/2006/relationships/hyperlink" Target="https://dym.asia/contact/" TargetMode="External" Id="rId512"/><Relationship Type="http://schemas.openxmlformats.org/officeDocument/2006/relationships/hyperlink" Target="https://dym.asia/media/targeting-ad/" TargetMode="External" Id="rId513"/><Relationship Type="http://schemas.openxmlformats.org/officeDocument/2006/relationships/hyperlink" Target="https://dym.asia/contact/" TargetMode="External" Id="rId514"/><Relationship Type="http://schemas.openxmlformats.org/officeDocument/2006/relationships/hyperlink" Target="https://dym.asia/media/tele-marketng/" TargetMode="External" Id="rId515"/><Relationship Type="http://schemas.openxmlformats.org/officeDocument/2006/relationships/hyperlink" Target="https://dym.asia/contact/" TargetMode="External" Id="rId516"/><Relationship Type="http://schemas.openxmlformats.org/officeDocument/2006/relationships/hyperlink" Target="https://dym.asia/media/telephone-appoint/" TargetMode="External" Id="rId517"/><Relationship Type="http://schemas.openxmlformats.org/officeDocument/2006/relationships/hyperlink" Target="https://dym.asia/media/the-model/" TargetMode="External" Id="rId518"/><Relationship Type="http://schemas.openxmlformats.org/officeDocument/2006/relationships/hyperlink" Target="https://dym.asia/contact/" TargetMode="External" Id="rId519"/><Relationship Type="http://schemas.openxmlformats.org/officeDocument/2006/relationships/hyperlink" Target="https://dym.asia/media/tiktok-ad-cost/" TargetMode="External" Id="rId520"/><Relationship Type="http://schemas.openxmlformats.org/officeDocument/2006/relationships/hyperlink" Target="https://dym.asia/contact/" TargetMode="External" Id="rId521"/><Relationship Type="http://schemas.openxmlformats.org/officeDocument/2006/relationships/hyperlink" Target="https://dym.asia/media/tiktok_advertisement/" TargetMode="External" Id="rId522"/><Relationship Type="http://schemas.openxmlformats.org/officeDocument/2006/relationships/hyperlink" Target="https://dym.asia/contact/" TargetMode="External" Id="rId523"/><Relationship Type="http://schemas.openxmlformats.org/officeDocument/2006/relationships/hyperlink" Target="https://dym.asia/media/tob/" TargetMode="External" Id="rId524"/><Relationship Type="http://schemas.openxmlformats.org/officeDocument/2006/relationships/hyperlink" Target="https://dym.asia/media/twitter_x_advertisement/" TargetMode="External" Id="rId525"/><Relationship Type="http://schemas.openxmlformats.org/officeDocument/2006/relationships/hyperlink" Target="https://dym.asia/media/web-ads/" TargetMode="External" Id="rId526"/><Relationship Type="http://schemas.openxmlformats.org/officeDocument/2006/relationships/hyperlink" Target="https://dym.asia/media/web-marketing/" TargetMode="External" Id="rId527"/><Relationship Type="http://schemas.openxmlformats.org/officeDocument/2006/relationships/hyperlink" Target="https://dym.asia/contact/" TargetMode="External" Id="rId528"/><Relationship Type="http://schemas.openxmlformats.org/officeDocument/2006/relationships/hyperlink" Target="https://dym.asia/media/web-site-production-cost-account-item/" TargetMode="External" Id="rId529"/><Relationship Type="http://schemas.openxmlformats.org/officeDocument/2006/relationships/hyperlink" Target="https://dym.asia/media/webinar/" TargetMode="External" Id="rId530"/><Relationship Type="http://schemas.openxmlformats.org/officeDocument/2006/relationships/hyperlink" Target="https://dym.asia/media/welfare-operation/" TargetMode="External" Id="rId531"/><Relationship Type="http://schemas.openxmlformats.org/officeDocument/2006/relationships/hyperlink" Target="https://dym.asia/media/welfare_benefits_outsourcing/" TargetMode="External" Id="rId532"/><Relationship Type="http://schemas.openxmlformats.org/officeDocument/2006/relationships/hyperlink" Target="https://dym.asia/contact/" TargetMode="External" Id="rId533"/><Relationship Type="http://schemas.openxmlformats.org/officeDocument/2006/relationships/hyperlink" Target="https://dym.asia/media/what-is-dns/" TargetMode="External" Id="rId534"/><Relationship Type="http://schemas.openxmlformats.org/officeDocument/2006/relationships/hyperlink" Target="https://dym.asia/contact/" TargetMode="External" Id="rId535"/><Relationship Type="http://schemas.openxmlformats.org/officeDocument/2006/relationships/hyperlink" Target="https://dym.asia/media/what-is-seo/" TargetMode="External" Id="rId536"/><Relationship Type="http://schemas.openxmlformats.org/officeDocument/2006/relationships/hyperlink" Target="https://dym.asia/contact/" TargetMode="External" Id="rId537"/><Relationship Type="http://schemas.openxmlformats.org/officeDocument/2006/relationships/hyperlink" Target="https://dym.asia/media/with-disabilities-farming/" TargetMode="External" Id="rId538"/><Relationship Type="http://schemas.openxmlformats.org/officeDocument/2006/relationships/hyperlink" Target="https://dym.asia/media/with-disabilities-recruitment-trial/" TargetMode="External" Id="rId539"/><Relationship Type="http://schemas.openxmlformats.org/officeDocument/2006/relationships/hyperlink" Target="https://dym.asia/media/work-style-reform/" TargetMode="External" Id="rId540"/><Relationship Type="http://schemas.openxmlformats.org/officeDocument/2006/relationships/hyperlink" Target="https://dym.asia/media/working-person-education/" TargetMode="External" Id="rId541"/><Relationship Type="http://schemas.openxmlformats.org/officeDocument/2006/relationships/hyperlink" Target="https://dym.asia/media/x-ad/" TargetMode="External" Id="rId542"/><Relationship Type="http://schemas.openxmlformats.org/officeDocument/2006/relationships/hyperlink" Target="https://dym.asia/contact/" TargetMode="External" Id="rId543"/><Relationship Type="http://schemas.openxmlformats.org/officeDocument/2006/relationships/hyperlink" Target="https://dym.asia/media/x-operation/" TargetMode="External" Id="rId544"/><Relationship Type="http://schemas.openxmlformats.org/officeDocument/2006/relationships/hyperlink" Target="https://dym.asia/media/yahoo-ad-cost/" TargetMode="External" Id="rId545"/><Relationship Type="http://schemas.openxmlformats.org/officeDocument/2006/relationships/hyperlink" Target="https://dym.asia/media/yahoo_advertisement/" TargetMode="External" Id="rId546"/><Relationship Type="http://schemas.openxmlformats.org/officeDocument/2006/relationships/hyperlink" Target="https://dym.asia/contact/" TargetMode="External" Id="rId547"/><Relationship Type="http://schemas.openxmlformats.org/officeDocument/2006/relationships/hyperlink" Target="https://dym.asia/media/yda-yahoo-display-ads/" TargetMode="External" Id="rId548"/><Relationship Type="http://schemas.openxmlformats.org/officeDocument/2006/relationships/hyperlink" Target="https://dym.asia/contact/" TargetMode="External" Id="rId549"/><Relationship Type="http://schemas.openxmlformats.org/officeDocument/2006/relationships/hyperlink" Target="https://dym.asia/media/" TargetMode="External" Id="rId550"/><Relationship Type="http://schemas.openxmlformats.org/officeDocument/2006/relationships/hyperlink" Target="https://dym.asia/media/36-agreements/" TargetMode="External" Id="rId551"/><Relationship Type="http://schemas.openxmlformats.org/officeDocument/2006/relationships/hyperlink" Target="https://dym.asia/media/3c-analysis/" TargetMode="External" Id="rId552"/><Relationship Type="http://schemas.openxmlformats.org/officeDocument/2006/relationships/hyperlink" Target="https://dym.asia/media/4p-analysis/" TargetMode="External" Id="rId553"/><Relationship Type="http://schemas.openxmlformats.org/officeDocument/2006/relationships/hyperlink" Target="https://dym.asia/media/ab-test/" TargetMode="External" Id="rId554"/><Relationship Type="http://schemas.openxmlformats.org/officeDocument/2006/relationships/hyperlink" Target="https://dym.asia/contact/" TargetMode="External" Id="rId555"/><Relationship Type="http://schemas.openxmlformats.org/officeDocument/2006/relationships/hyperlink" Target="https://dym.asia/media/abm/" TargetMode="External" Id="rId556"/><Relationship Type="http://schemas.openxmlformats.org/officeDocument/2006/relationships/hyperlink" Target="https://dym.asia/media/accessibility/" TargetMode="External" Id="rId557"/><Relationship Type="http://schemas.openxmlformats.org/officeDocument/2006/relationships/hyperlink" Target="https://dym.asia/media/accounting-services/" TargetMode="External" Id="rId558"/><Relationship Type="http://schemas.openxmlformats.org/officeDocument/2006/relationships/hyperlink" Target="https://dym.asia/media/ad-ope-outsourcing/" TargetMode="External" Id="rId559"/><Relationship Type="http://schemas.openxmlformats.org/officeDocument/2006/relationships/hyperlink" Target="https://dym.asia/contact/" TargetMode="External" Id="rId560"/><Relationship Type="http://schemas.openxmlformats.org/officeDocument/2006/relationships/hyperlink" Target="https://dym.asia/media/administrative-services/" TargetMode="External" Id="rId561"/><Relationship Type="http://schemas.openxmlformats.org/officeDocument/2006/relationships/hyperlink" Target="https://dym.asia/contact/" TargetMode="External" Id="rId562"/><Relationship Type="http://schemas.openxmlformats.org/officeDocument/2006/relationships/hyperlink" Target="https://dym.asia/media/ads-type/" TargetMode="External" Id="rId563"/><Relationship Type="http://schemas.openxmlformats.org/officeDocument/2006/relationships/hyperlink" Target="https://dym.asia/contact/" TargetMode="External" Id="rId564"/><Relationship Type="http://schemas.openxmlformats.org/officeDocument/2006/relationships/hyperlink" Target="https://dym.asia/media/advertising-agency-mna/" TargetMode="External" Id="rId565"/><Relationship Type="http://schemas.openxmlformats.org/officeDocument/2006/relationships/hyperlink" Target="https://dym.asia/contact/" TargetMode="External" Id="rId566"/><Relationship Type="http://schemas.openxmlformats.org/officeDocument/2006/relationships/hyperlink" Target="https://dym.asia/media/affiliate-ads/" TargetMode="External" Id="rId567"/><Relationship Type="http://schemas.openxmlformats.org/officeDocument/2006/relationships/hyperlink" Target="https://dym.asia/contact/" TargetMode="External" Id="rId568"/><Relationship Type="http://schemas.openxmlformats.org/officeDocument/2006/relationships/hyperlink" Target="https://dym.asia/media/aggregation-site/" TargetMode="External" Id="rId569"/><Relationship Type="http://schemas.openxmlformats.org/officeDocument/2006/relationships/hyperlink" Target="https://dym.asia/contact/" TargetMode="External" Id="rId570"/><Relationship Type="http://schemas.openxmlformats.org/officeDocument/2006/relationships/hyperlink" Target="https://dym.asia/media/aisas/" TargetMode="External" Id="rId571"/><Relationship Type="http://schemas.openxmlformats.org/officeDocument/2006/relationships/hyperlink" Target="https://dym.asia/media/alliance/" TargetMode="External" Id="rId572"/><Relationship Type="http://schemas.openxmlformats.org/officeDocument/2006/relationships/hyperlink" Target="https://dym.asia/contact/" TargetMode="External" Id="rId573"/><Relationship Type="http://schemas.openxmlformats.org/officeDocument/2006/relationships/hyperlink" Target="https://dym.asia/media/alumni-recruitment/" TargetMode="External" Id="rId574"/><Relationship Type="http://schemas.openxmlformats.org/officeDocument/2006/relationships/hyperlink" Target="https://dym.asia/media/alumni/" TargetMode="External" Id="rId575"/><Relationship Type="http://schemas.openxmlformats.org/officeDocument/2006/relationships/hyperlink" Target="https://dym.asia/media/ats/" TargetMode="External" Id="rId576"/><Relationship Type="http://schemas.openxmlformats.org/officeDocument/2006/relationships/hyperlink" Target="https://dym.asia/contact/" TargetMode="External" Id="rId577"/><Relationship Type="http://schemas.openxmlformats.org/officeDocument/2006/relationships/hyperlink" Target="https://dym.asia/media/auditor_introduction/" TargetMode="External" Id="rId578"/><Relationship Type="http://schemas.openxmlformats.org/officeDocument/2006/relationships/hyperlink" Target="https://dym.asia/media/b-to-b-marketing/" TargetMode="External" Id="rId579"/><Relationship Type="http://schemas.openxmlformats.org/officeDocument/2006/relationships/hyperlink" Target="https://dym.asia/media/backlink/" TargetMode="External" Id="rId580"/><Relationship Type="http://schemas.openxmlformats.org/officeDocument/2006/relationships/hyperlink" Target="https://dym.asia/contact/" TargetMode="External" Id="rId581"/><Relationship Type="http://schemas.openxmlformats.org/officeDocument/2006/relationships/hyperlink" Target="https://dym.asia/media/bags-under-the-eyes/" TargetMode="External" Id="rId582"/><Relationship Type="http://schemas.openxmlformats.org/officeDocument/2006/relationships/hyperlink" Target="https://dym.asia/media/banner-ad/" TargetMode="External" Id="rId583"/><Relationship Type="http://schemas.openxmlformats.org/officeDocument/2006/relationships/hyperlink" Target="https://dym.asia/media/banner_production/" TargetMode="External" Id="rId584"/><Relationship Type="http://schemas.openxmlformats.org/officeDocument/2006/relationships/hyperlink" Target="https://dym.asia/media/basic-salary/" TargetMode="External" Id="rId585"/><Relationship Type="http://schemas.openxmlformats.org/officeDocument/2006/relationships/hyperlink" Target="https://dym.asia/media/beautiful-skin/" TargetMode="External" Id="rId586"/><Relationship Type="http://schemas.openxmlformats.org/officeDocument/2006/relationships/hyperlink" Target="https://dym.asia/media/beauty-clinic-mna/" TargetMode="External" Id="rId587"/><Relationship Type="http://schemas.openxmlformats.org/officeDocument/2006/relationships/hyperlink" Target="https://dym.asia/contact/" TargetMode="External" Id="rId588"/><Relationship Type="http://schemas.openxmlformats.org/officeDocument/2006/relationships/hyperlink" Target="https://dym.asia/media/beauty-clinic-transfer/" TargetMode="External" Id="rId589"/><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dym.asia/media/recruiting-contact/" TargetMode="External" Id="rId1"/><Relationship Type="http://schemas.openxmlformats.org/officeDocument/2006/relationships/hyperlink" Target="https://dym.asia/media/recruiting/intp/" TargetMode="External" Id="rId2"/><Relationship Type="http://schemas.openxmlformats.org/officeDocument/2006/relationships/hyperlink" Target="https://dym.asia/media/recruiting-contact/" TargetMode="External" Id="rId3"/><Relationship Type="http://schemas.openxmlformats.org/officeDocument/2006/relationships/hyperlink" Target="https://dym.asia/media/recruiting/infp/" TargetMode="External" Id="rId4"/><Relationship Type="http://schemas.openxmlformats.org/officeDocument/2006/relationships/hyperlink" Target="https://dym.asia/media/recruiting-contact/" TargetMode="External" Id="rId5"/><Relationship Type="http://schemas.openxmlformats.org/officeDocument/2006/relationships/hyperlink" Target="https://dym.asia/media/recruiting/esfj/" TargetMode="External" Id="rId6"/><Relationship Type="http://schemas.openxmlformats.org/officeDocument/2006/relationships/hyperlink" Target="https://dym.asia/media/recruiting-contact/" TargetMode="External" Id="rId7"/><Relationship Type="http://schemas.openxmlformats.org/officeDocument/2006/relationships/hyperlink" Target="https://dym.asia/media/recruiting/enfp/" TargetMode="External" Id="rId8"/><Relationship Type="http://schemas.openxmlformats.org/officeDocument/2006/relationships/hyperlink" Target="https://dym.asia/media/recruiting-contact/" TargetMode="External" Id="rId9"/><Relationship Type="http://schemas.openxmlformats.org/officeDocument/2006/relationships/hyperlink" Target="https://dym.asia/media/recruiting/estp/" TargetMode="External" Id="rId10"/><Relationship Type="http://schemas.openxmlformats.org/officeDocument/2006/relationships/hyperlink" Target="https://dym.asia/media/recruiting-contact/" TargetMode="External" Id="rId11"/><Relationship Type="http://schemas.openxmlformats.org/officeDocument/2006/relationships/hyperlink" Target="https://dym.asia/media/recruiting/istp/" TargetMode="External" Id="rId12"/><Relationship Type="http://schemas.openxmlformats.org/officeDocument/2006/relationships/hyperlink" Target="https://dym.asia/media/recruiting-contact/" TargetMode="External" Id="rId13"/><Relationship Type="http://schemas.openxmlformats.org/officeDocument/2006/relationships/hyperlink" Target="https://dym.asia/media/recruiting/entp/" TargetMode="External" Id="rId14"/><Relationship Type="http://schemas.openxmlformats.org/officeDocument/2006/relationships/hyperlink" Target="https://dym.asia/media/recruiting-contact/" TargetMode="External" Id="rId15"/><Relationship Type="http://schemas.openxmlformats.org/officeDocument/2006/relationships/hyperlink" Target="https://dym.asia/media/recruiting/infj/" TargetMode="External" Id="rId16"/><Relationship Type="http://schemas.openxmlformats.org/officeDocument/2006/relationships/hyperlink" Target="https://dym.asia/media/recruiting-contact/" TargetMode="External" Id="rId17"/><Relationship Type="http://schemas.openxmlformats.org/officeDocument/2006/relationships/hyperlink" Target="https://dym.asia/media/recruiting/how-to-strengthen-mentality/" TargetMode="External" Id="rId18"/><Relationship Type="http://schemas.openxmlformats.org/officeDocument/2006/relationships/hyperlink" Target="https://dym.asia/media/recruiting-contact/" TargetMode="External" Id="rId19"/><Relationship Type="http://schemas.openxmlformats.org/officeDocument/2006/relationships/hyperlink" Target="https://dym.asia/media/recruiting/istj/" TargetMode="External" Id="rId20"/><Relationship Type="http://schemas.openxmlformats.org/officeDocument/2006/relationships/hyperlink" Target="https://dym.asia/media/recruiting-contact/" TargetMode="External" Id="rId21"/><Relationship Type="http://schemas.openxmlformats.org/officeDocument/2006/relationships/hyperlink" Target="https://dym.asia/media/recruiting/humanities/" TargetMode="External" Id="rId22"/><Relationship Type="http://schemas.openxmlformats.org/officeDocument/2006/relationships/hyperlink" Target="https://dym.asia/media/recruiting-contact/" TargetMode="External" Id="rId23"/><Relationship Type="http://schemas.openxmlformats.org/officeDocument/2006/relationships/hyperlink" Target="https://dym.asia/media/recruiting/15-jobs-for-not-working/" TargetMode="External" Id="rId24"/><Relationship Type="http://schemas.openxmlformats.org/officeDocument/2006/relationships/hyperlink" Target="https://dym.asia/media/recruiting-contact/" TargetMode="External" Id="rId25"/><Relationship Type="http://schemas.openxmlformats.org/officeDocument/2006/relationships/hyperlink" Target="https://dym.asia/media/recruiting/entj/" TargetMode="External" Id="rId26"/><Relationship Type="http://schemas.openxmlformats.org/officeDocument/2006/relationships/hyperlink" Target="https://dym.asia/media/recruiting-contact/" TargetMode="External" Id="rId27"/><Relationship Type="http://schemas.openxmlformats.org/officeDocument/2006/relationships/hyperlink" Target="https://dym.asia/media/recruiting/isfj/" TargetMode="External" Id="rId28"/><Relationship Type="http://schemas.openxmlformats.org/officeDocument/2006/relationships/hyperlink" Target="https://dym.asia/media/recruiting-contact/" TargetMode="External" Id="rId29"/><Relationship Type="http://schemas.openxmlformats.org/officeDocument/2006/relationships/hyperlink" Target="https://dym.asia/media/recruiting/estj/" TargetMode="External" Id="rId30"/><Relationship Type="http://schemas.openxmlformats.org/officeDocument/2006/relationships/hyperlink" Target="https://dym.asia/media/recruiting-contact/" TargetMode="External" Id="rId31"/><Relationship Type="http://schemas.openxmlformats.org/officeDocument/2006/relationships/hyperlink" Target="https://dym.asia/media/recruiting/enfj/" TargetMode="External" Id="rId32"/><Relationship Type="http://schemas.openxmlformats.org/officeDocument/2006/relationships/hyperlink" Target="https://dym.asia/media/recruiting-contact/" TargetMode="External" Id="rId33"/><Relationship Type="http://schemas.openxmlformats.org/officeDocument/2006/relationships/hyperlink" Target="https://dym.asia/media/recruiting/intj/" TargetMode="External" Id="rId34"/><Relationship Type="http://schemas.openxmlformats.org/officeDocument/2006/relationships/hyperlink" Target="https://dym.asia/media/recruiting-contact/" TargetMode="External" Id="rId35"/><Relationship Type="http://schemas.openxmlformats.org/officeDocument/2006/relationships/hyperlink" Target="https://dym.asia/media/recruiting/high-income-women-jobs-2025/" TargetMode="External" Id="rId36"/><Relationship Type="http://schemas.openxmlformats.org/officeDocument/2006/relationships/hyperlink" Target="https://dym.asia/media/recruiting-contact/" TargetMode="External" Id="rId37"/><Relationship Type="http://schemas.openxmlformats.org/officeDocument/2006/relationships/hyperlink" Target="https://dym.asia/media/recruiting/mega-venture-major-company/" TargetMode="External" Id="rId38"/><Relationship Type="http://schemas.openxmlformats.org/officeDocument/2006/relationships/hyperlink" Target="https://dym.asia/media/recruiting/session-wearing/" TargetMode="External" Id="rId39"/><Relationship Type="http://schemas.openxmlformats.org/officeDocument/2006/relationships/hyperlink" Target="https://dym.asia/media/recruiting-contact/" TargetMode="External" Id="rId40"/><Relationship Type="http://schemas.openxmlformats.org/officeDocument/2006/relationships/hyperlink" Target="https://dym.asia/media/recruiting/jobselect-important/" TargetMode="External" Id="rId41"/><Relationship Type="http://schemas.openxmlformats.org/officeDocument/2006/relationships/hyperlink" Target="https://dym.asia/media/recruiting-contact/" TargetMode="External" Id="rId42"/><Relationship Type="http://schemas.openxmlformats.org/officeDocument/2006/relationships/hyperlink" Target="https://dym.asia/media/recruiting/isfp/" TargetMode="External" Id="rId43"/><Relationship Type="http://schemas.openxmlformats.org/officeDocument/2006/relationships/hyperlink" Target="https://dym.asia/media/recruiting-contact/" TargetMode="External" Id="rId44"/><Relationship Type="http://schemas.openxmlformats.org/officeDocument/2006/relationships/hyperlink" Target="https://dym.asia/media/recruiting/mbti/" TargetMode="External" Id="rId45"/><Relationship Type="http://schemas.openxmlformats.org/officeDocument/2006/relationships/hyperlink" Target="https://dym.asia/media/recruiting-contact/" TargetMode="External" Id="rId46"/><Relationship Type="http://schemas.openxmlformats.org/officeDocument/2006/relationships/hyperlink" Target="https://dym.asia/media/recruiting/find-dream-job/" TargetMode="External" Id="rId47"/><Relationship Type="http://schemas.openxmlformats.org/officeDocument/2006/relationships/hyperlink" Target="https://dym.asia/media/recruiting-contact/" TargetMode="External" Id="rId48"/><Relationship Type="http://schemas.openxmlformats.org/officeDocument/2006/relationships/hyperlink" Target="https://dym.asia/media/recruiting/decline-an-offer-after-consent/" TargetMode="External" Id="rId49"/><Relationship Type="http://schemas.openxmlformats.org/officeDocument/2006/relationships/hyperlink" Target="https://dym.asia/media/recruiting-contact/" TargetMode="External" Id="rId50"/><Relationship Type="http://schemas.openxmlformats.org/officeDocument/2006/relationships/hyperlink" Target="https://dym.asia/media/recruiting/fail-the-interview/" TargetMode="External" Id="rId51"/><Relationship Type="http://schemas.openxmlformats.org/officeDocument/2006/relationships/hyperlink" Target="https://dym.asia/media/recruiting/new-graduate-final-interview/" TargetMode="External" Id="rId52"/><Relationship Type="http://schemas.openxmlformats.org/officeDocument/2006/relationships/hyperlink" Target="https://dym.asia/media/recruiting-contact/" TargetMode="External" Id="rId53"/><Relationship Type="http://schemas.openxmlformats.org/officeDocument/2006/relationships/hyperlink" Target="https://dym.asia/media/recruiting/basic-salary/" TargetMode="External" Id="rId54"/><Relationship Type="http://schemas.openxmlformats.org/officeDocument/2006/relationships/hyperlink" Target="https://dym.asia/media/recruiting-contact/" TargetMode="External" Id="rId55"/><Relationship Type="http://schemas.openxmlformats.org/officeDocument/2006/relationships/hyperlink" Target="https://dym.asia/media/recruiting/new-graduate-taking-job-hunting-year/" TargetMode="External" Id="rId56"/><Relationship Type="http://schemas.openxmlformats.org/officeDocument/2006/relationships/hyperlink" Target="https://dym.asia/media/recruiting-contact/" TargetMode="External" Id="rId57"/><Relationship Type="http://schemas.openxmlformats.org/officeDocument/2006/relationships/hyperlink" Target="https://dym.asia/media/recruiting/early-job-hunting/" TargetMode="External" Id="rId58"/><Relationship Type="http://schemas.openxmlformats.org/officeDocument/2006/relationships/hyperlink" Target="https://dym.asia/media/recruiting-contact/" TargetMode="External" Id="rId59"/><Relationship Type="http://schemas.openxmlformats.org/officeDocument/2006/relationships/hyperlink" Target="https://dym.asia/media/recruiting/ratio-of-job-openings-to-job-applicants/" TargetMode="External" Id="rId60"/><Relationship Type="http://schemas.openxmlformats.org/officeDocument/2006/relationships/hyperlink" Target="https://dym.asia/media/recruiting-contact/" TargetMode="External" Id="rId61"/><Relationship Type="http://schemas.openxmlformats.org/officeDocument/2006/relationships/hyperlink" Target="https://dym.asia/media/recruiting/esfp/" TargetMode="External" Id="rId62"/><Relationship Type="http://schemas.openxmlformats.org/officeDocument/2006/relationships/hyperlink" Target="https://dym.asia/media/recruiting-contact/" TargetMode="External" Id="rId63"/><Relationship Type="http://schemas.openxmlformats.org/officeDocument/2006/relationships/hyperlink" Target="https://dym.asia/media/recruiting/former-recruitment-age/" TargetMode="External" Id="rId64"/><Relationship Type="http://schemas.openxmlformats.org/officeDocument/2006/relationships/hyperlink" Target="https://dym.asia/media/recruiting-contact/" TargetMode="External" Id="rId65"/><Relationship Type="http://schemas.openxmlformats.org/officeDocument/2006/relationships/hyperlink" Target="https://dym.asia/media/recruiting/voluntary-unemployment-insurance/" TargetMode="External" Id="rId66"/><Relationship Type="http://schemas.openxmlformats.org/officeDocument/2006/relationships/hyperlink" Target="https://dym.asia/media/recruiting-contact/" TargetMode="External" Id="rId67"/><Relationship Type="http://schemas.openxmlformats.org/officeDocument/2006/relationships/hyperlink" Target="https://dym.asia/media/recruiting/black-company/" TargetMode="External" Id="rId68"/><Relationship Type="http://schemas.openxmlformats.org/officeDocument/2006/relationships/hyperlink" Target="https://dym.asia/media/recruiting-contact/" TargetMode="External" Id="rId69"/><Relationship Type="http://schemas.openxmlformats.org/officeDocument/2006/relationships/hyperlink" Target="https://dym.asia/media/recruiting/non-regular-employment-female/" TargetMode="External" Id="rId70"/><Relationship Type="http://schemas.openxmlformats.org/officeDocument/2006/relationships/hyperlink" Target="https://dym.asia/media/recruiting-contact/" TargetMode="External" Id="rId71"/><Relationship Type="http://schemas.openxmlformats.org/officeDocument/2006/relationships/hyperlink" Target="https://dym.asia/media/recruiting/about-former-graduate/" TargetMode="External" Id="rId72"/><Relationship Type="http://schemas.openxmlformats.org/officeDocument/2006/relationships/hyperlink" Target="https://dym.asia/media/recruiting-contact/" TargetMode="External" Id="rId73"/><Relationship Type="http://schemas.openxmlformats.org/officeDocument/2006/relationships/hyperlink" Target="https://dym.asia/media/recruiting/session-bag/" TargetMode="External" Id="rId74"/><Relationship Type="http://schemas.openxmlformats.org/officeDocument/2006/relationships/hyperlink" Target="https://dym.asia/media/recruiting-contact/" TargetMode="External" Id="rId75"/><Relationship Type="http://schemas.openxmlformats.org/officeDocument/2006/relationships/hyperlink" Target="https://dym.asia/media/recruiting/online-session-wearing/" TargetMode="External" Id="rId76"/><Relationship Type="http://schemas.openxmlformats.org/officeDocument/2006/relationships/hyperlink" Target="https://dym.asia/media/recruiting-contact/" TargetMode="External" Id="rId77"/><Relationship Type="http://schemas.openxmlformats.org/officeDocument/2006/relationships/hyperlink" Target="https://dym.asia/media/recruiting/career-fair-should/" TargetMode="External" Id="rId78"/><Relationship Type="http://schemas.openxmlformats.org/officeDocument/2006/relationships/hyperlink" Target="https://dym.asia/media/recruiting-contact/" TargetMode="External" Id="rId79"/><Relationship Type="http://schemas.openxmlformats.org/officeDocument/2006/relationships/hyperlink" Target="https://dym.asia/media/recruiting/new-graduate-resume-self-promotion/" TargetMode="External" Id="rId80"/><Relationship Type="http://schemas.openxmlformats.org/officeDocument/2006/relationships/hyperlink" Target="https://dym.asia/media/recruiting-contact/" TargetMode="External" Id="rId81"/><Relationship Type="http://schemas.openxmlformats.org/officeDocument/2006/relationships/hyperlink" Target="https://dym.asia/media/recruiting/online-session-wearing-no-note/" TargetMode="External" Id="rId82"/><Relationship Type="http://schemas.openxmlformats.org/officeDocument/2006/relationships/hyperlink" Target="https://dym.asia/media/recruiting-contact/" TargetMode="External" Id="rId83"/><Relationship Type="http://schemas.openxmlformats.org/officeDocument/2006/relationships/hyperlink" Target="https://dym.asia/media/recruiting/spi/" TargetMode="External" Id="rId84"/><Relationship Type="http://schemas.openxmlformats.org/officeDocument/2006/relationships/hyperlink" Target="https://dym.asia/media/recruiting-contact/" TargetMode="External" Id="rId85"/><Relationship Type="http://schemas.openxmlformats.org/officeDocument/2006/relationships/hyperlink" Target="https://dym.asia/media/recruiting/woman-highschool-graduation/" TargetMode="External" Id="rId86"/><Relationship Type="http://schemas.openxmlformats.org/officeDocument/2006/relationships/hyperlink" Target="https://dym.asia/media/recruiting-contact/" TargetMode="External" Id="rId87"/><Relationship Type="http://schemas.openxmlformats.org/officeDocument/2006/relationships/hyperlink" Target="https://dym.asia/media/recruiting/suitable-job/" TargetMode="External" Id="rId88"/><Relationship Type="http://schemas.openxmlformats.org/officeDocument/2006/relationships/hyperlink" Target="https://dym.asia/media/recruiting/early-selection/" TargetMode="External" Id="rId89"/><Relationship Type="http://schemas.openxmlformats.org/officeDocument/2006/relationships/hyperlink" Target="https://dym.asia/media/recruiting-contact/" TargetMode="External" Id="rId90"/><Relationship Type="http://schemas.openxmlformats.org/officeDocument/2006/relationships/hyperlink" Target="https://dym.asia/media/recruiting/shinsotsu-rirekisho-guide/" TargetMode="External" Id="rId91"/><Relationship Type="http://schemas.openxmlformats.org/officeDocument/2006/relationships/hyperlink" Target="https://dym.asia/media/recruiting-contact/" TargetMode="External" Id="rId92"/><Relationship Type="http://schemas.openxmlformats.org/officeDocument/2006/relationships/hyperlink" Target="https://dym.asia/media/recruiting/counter-question/" TargetMode="External" Id="rId93"/><Relationship Type="http://schemas.openxmlformats.org/officeDocument/2006/relationships/hyperlink" Target="https://dym.asia/media/recruiting-contact/" TargetMode="External" Id="rId94"/><Relationship Type="http://schemas.openxmlformats.org/officeDocument/2006/relationships/hyperlink" Target="https://dym.asia/media/recruiting/declining-selection/" TargetMode="External" Id="rId95"/><Relationship Type="http://schemas.openxmlformats.org/officeDocument/2006/relationships/hyperlink" Target="https://dym.asia/media/recruiting-contact/" TargetMode="External" Id="rId96"/><Relationship Type="http://schemas.openxmlformats.org/officeDocument/2006/relationships/hyperlink" Target="https://dym.asia/media/recruiting/general-position/" TargetMode="External" Id="rId97"/><Relationship Type="http://schemas.openxmlformats.org/officeDocument/2006/relationships/hyperlink" Target="https://dym.asia/media/recruiting-contact/" TargetMode="External" Id="rId98"/><Relationship Type="http://schemas.openxmlformats.org/officeDocument/2006/relationships/hyperlink" Target="https://dym.asia/media/recruiting/new-graduate-salary-ranking/" TargetMode="External" Id="rId99"/><Relationship Type="http://schemas.openxmlformats.org/officeDocument/2006/relationships/hyperlink" Target="https://dym.asia/media/recruiting-contact/" TargetMode="External" Id="rId100"/><Relationship Type="http://schemas.openxmlformats.org/officeDocument/2006/relationships/hyperlink" Target="https://dym.asia/media/recruiting/strengths/" TargetMode="External" Id="rId101"/><Relationship Type="http://schemas.openxmlformats.org/officeDocument/2006/relationships/hyperlink" Target="https://dym.asia/media/recruiting-contact/" TargetMode="External" Id="rId102"/><Relationship Type="http://schemas.openxmlformats.org/officeDocument/2006/relationships/hyperlink" Target="https://dym.asia/media/recruiting/university-filter/" TargetMode="External" Id="rId103"/><Relationship Type="http://schemas.openxmlformats.org/officeDocument/2006/relationships/hyperlink" Target="https://dym.asia/media/recruiting-contact/" TargetMode="External" Id="rId104"/><Relationship Type="http://schemas.openxmlformats.org/officeDocument/2006/relationships/hyperlink" Target="https://dym.asia/media/recruiting/40s-job-change-woman/" TargetMode="External" Id="rId105"/><Relationship Type="http://schemas.openxmlformats.org/officeDocument/2006/relationships/hyperlink" Target="https://dym.asia/media/recruiting-contact/" TargetMode="External" Id="rId106"/><Relationship Type="http://schemas.openxmlformats.org/officeDocument/2006/relationships/hyperlink" Target="https://dym.asia/media/recruiting/former-recruitment-reason/" TargetMode="External" Id="rId107"/><Relationship Type="http://schemas.openxmlformats.org/officeDocument/2006/relationships/hyperlink" Target="https://dym.asia/media/recruiting-contact/" TargetMode="External" Id="rId108"/><Relationship Type="http://schemas.openxmlformats.org/officeDocument/2006/relationships/hyperlink" Target="https://dym.asia/media/recruiting/internship-student/" TargetMode="External" Id="rId109"/><Relationship Type="http://schemas.openxmlformats.org/officeDocument/2006/relationships/hyperlink" Target="https://dym.asia/media/recruiting-contact/" TargetMode="External" Id="rId110"/><Relationship Type="http://schemas.openxmlformats.org/officeDocument/2006/relationships/hyperlink" Target="https://dym.asia/media/recruiting/new-graduate-treated-when/" TargetMode="External" Id="rId111"/><Relationship Type="http://schemas.openxmlformats.org/officeDocument/2006/relationships/hyperlink" Target="https://dym.asia/media/recruiting-contact/" TargetMode="External" Id="rId112"/><Relationship Type="http://schemas.openxmlformats.org/officeDocument/2006/relationships/hyperlink" Target="https://dym.asia/media/recruiting/40s-job-change/" TargetMode="External" Id="rId113"/><Relationship Type="http://schemas.openxmlformats.org/officeDocument/2006/relationships/hyperlink" Target="https://dym.asia/media/recruiting-contact/" TargetMode="External" Id="rId114"/><Relationship Type="http://schemas.openxmlformats.org/officeDocument/2006/relationships/hyperlink" Target="https://dym.asia/media/recruiting/athlete-recruitment/" TargetMode="External" Id="rId115"/><Relationship Type="http://schemas.openxmlformats.org/officeDocument/2006/relationships/hyperlink" Target="https://dym.asia/media/recruiting-contact/" TargetMode="External" Id="rId116"/><Relationship Type="http://schemas.openxmlformats.org/officeDocument/2006/relationships/hyperlink" Target="https://dym.asia/media/recruiting/internship-transportation-expenses/" TargetMode="External" Id="rId117"/><Relationship Type="http://schemas.openxmlformats.org/officeDocument/2006/relationships/hyperlink" Target="https://dym.asia/media/recruiting-contact/" TargetMode="External" Id="rId118"/><Relationship Type="http://schemas.openxmlformats.org/officeDocument/2006/relationships/hyperlink" Target="https://dym.asia/media/recruiting/long-term-internship/" TargetMode="External" Id="rId119"/><Relationship Type="http://schemas.openxmlformats.org/officeDocument/2006/relationships/hyperlink" Target="https://dym.asia/media/recruiting-contact/" TargetMode="External" Id="rId120"/><Relationship Type="http://schemas.openxmlformats.org/officeDocument/2006/relationships/hyperlink" Target="https://dym.asia/media/recruiting/jikobunseki-10-tips/" TargetMode="External" Id="rId121"/><Relationship Type="http://schemas.openxmlformats.org/officeDocument/2006/relationships/hyperlink" Target="https://dym.asia/media/recruiting-contact/" TargetMode="External" Id="rId122"/><Relationship Type="http://schemas.openxmlformats.org/officeDocument/2006/relationships/hyperlink" Target="https://dym.asia/media/recruiting/part-time-advisor/" TargetMode="External" Id="rId123"/><Relationship Type="http://schemas.openxmlformats.org/officeDocument/2006/relationships/hyperlink" Target="https://dym.asia/media/recruiting/former-resume3/" TargetMode="External" Id="rId124"/><Relationship Type="http://schemas.openxmlformats.org/officeDocument/2006/relationships/hyperlink" Target="https://dym.asia/media/recruiting-contact/" TargetMode="External" Id="rId125"/><Relationship Type="http://schemas.openxmlformats.org/officeDocument/2006/relationships/hyperlink" Target="https://dym.asia/media/recruiting/highscool-employment/" TargetMode="External" Id="rId126"/><Relationship Type="http://schemas.openxmlformats.org/officeDocument/2006/relationships/hyperlink" Target="https://dym.asia/media/recruiting-contact/" TargetMode="External" Id="rId127"/><Relationship Type="http://schemas.openxmlformats.org/officeDocument/2006/relationships/hyperlink" Target="https://dym.asia/media/recruiting/hsp/" TargetMode="External" Id="rId128"/><Relationship Type="http://schemas.openxmlformats.org/officeDocument/2006/relationships/hyperlink" Target="https://dym.asia/media/recruiting/inexperienced/" TargetMode="External" Id="rId129"/><Relationship Type="http://schemas.openxmlformats.org/officeDocument/2006/relationships/hyperlink" Target="https://dym.asia/media/recruiting-contact/" TargetMode="External" Id="rId130"/><Relationship Type="http://schemas.openxmlformats.org/officeDocument/2006/relationships/hyperlink" Target="https://dym.asia/media/recruiting/internship-interview/" TargetMode="External" Id="rId131"/><Relationship Type="http://schemas.openxmlformats.org/officeDocument/2006/relationships/hyperlink" Target="https://dym.asia/media/recruiting-contact/" TargetMode="External" Id="rId132"/><Relationship Type="http://schemas.openxmlformats.org/officeDocument/2006/relationships/hyperlink" Target="https://dym.asia/media/recruiting/session-when-arrive/" TargetMode="External" Id="rId133"/><Relationship Type="http://schemas.openxmlformats.org/officeDocument/2006/relationships/hyperlink" Target="https://dym.asia/media/recruiting-contact/" TargetMode="External" Id="rId134"/><Relationship Type="http://schemas.openxmlformats.org/officeDocument/2006/relationships/hyperlink" Target="https://dym.asia/media/recruiting/35-job-change/" TargetMode="External" Id="rId135"/><Relationship Type="http://schemas.openxmlformats.org/officeDocument/2006/relationships/hyperlink" Target="https://dym.asia/media/recruiting/interview-practice/" TargetMode="External" Id="rId136"/><Relationship Type="http://schemas.openxmlformats.org/officeDocument/2006/relationships/hyperlink" Target="https://dym.asia/media/recruiting-contact/" TargetMode="External" Id="rId137"/><Relationship Type="http://schemas.openxmlformats.org/officeDocument/2006/relationships/hyperlink" Target="https://dym.asia/media/recruiting/management-experience/" TargetMode="External" Id="rId138"/><Relationship Type="http://schemas.openxmlformats.org/officeDocument/2006/relationships/hyperlink" Target="https://dym.asia/media/recruiting/marketing-temporary-inexperienced/" TargetMode="External" Id="rId139"/><Relationship Type="http://schemas.openxmlformats.org/officeDocument/2006/relationships/hyperlink" Target="https://dym.asia/media/recruiting-contact/" TargetMode="External" Id="rId140"/><Relationship Type="http://schemas.openxmlformats.org/officeDocument/2006/relationships/hyperlink" Target="https://dym.asia/media/recruiting/new-graduate-event/" TargetMode="External" Id="rId141"/><Relationship Type="http://schemas.openxmlformats.org/officeDocument/2006/relationships/hyperlink" Target="https://dym.asia/media/recruiting/summer-internship/" TargetMode="External" Id="rId142"/><Relationship Type="http://schemas.openxmlformats.org/officeDocument/2006/relationships/hyperlink" Target="https://dym.asia/media/recruiting/about-company-session/" TargetMode="External" Id="rId143"/><Relationship Type="http://schemas.openxmlformats.org/officeDocument/2006/relationships/hyperlink" Target="https://dym.asia/media/recruiting/job-seeker-support/" TargetMode="External" Id="rId144"/><Relationship Type="http://schemas.openxmlformats.org/officeDocument/2006/relationships/hyperlink" Target="https://dym.asia/media/recruiting/session-mail/" TargetMode="External" Id="rId145"/><Relationship Type="http://schemas.openxmlformats.org/officeDocument/2006/relationships/hyperlink" Target="https://dym.asia/media/recruiting/informal-acceptance-letter/" TargetMode="External" Id="rId146"/><Relationship Type="http://schemas.openxmlformats.org/officeDocument/2006/relationships/hyperlink" Target="https://dym.asia/media/recruiting-contact/" TargetMode="External" Id="rId147"/><Relationship Type="http://schemas.openxmlformats.org/officeDocument/2006/relationships/hyperlink" Target="https://dym.asia/media/recruiting/self-analysis/" TargetMode="External" Id="rId148"/><Relationship Type="http://schemas.openxmlformats.org/officeDocument/2006/relationships/hyperlink" Target="https://dym.asia/media/recruiting/session-hairstyle/" TargetMode="External" Id="rId149"/><Relationship Type="http://schemas.openxmlformats.org/officeDocument/2006/relationships/hyperlink" Target="https://dym.asia/media/recruiting-contact/" TargetMode="External" Id="rId150"/><Relationship Type="http://schemas.openxmlformats.org/officeDocument/2006/relationships/hyperlink" Target="https://dym.asia/media/recruiting/internship-early-selection/" TargetMode="External" Id="rId151"/><Relationship Type="http://schemas.openxmlformats.org/officeDocument/2006/relationships/hyperlink" Target="https://dym.asia/media/recruiting-contact/" TargetMode="External" Id="rId152"/><Relationship Type="http://schemas.openxmlformats.org/officeDocument/2006/relationships/hyperlink" Target="https://dym.asia/media/recruiting/new-graduate-startup/" TargetMode="External" Id="rId153"/><Relationship Type="http://schemas.openxmlformats.org/officeDocument/2006/relationships/hyperlink" Target="https://dym.asia/media/recruiting-contact/" TargetMode="External" Id="rId154"/><Relationship Type="http://schemas.openxmlformats.org/officeDocument/2006/relationships/hyperlink" Target="https://dym.asia/media/recruiting/self-affirmation/" TargetMode="External" Id="rId155"/><Relationship Type="http://schemas.openxmlformats.org/officeDocument/2006/relationships/hyperlink" Target="https://dym.asia/media/recruiting-contact/" TargetMode="External" Id="rId156"/><Relationship Type="http://schemas.openxmlformats.org/officeDocument/2006/relationships/hyperlink" Target="https://dym.asia/media/recruiting/session-bringing/" TargetMode="External" Id="rId157"/><Relationship Type="http://schemas.openxmlformats.org/officeDocument/2006/relationships/hyperlink" Target="https://dym.asia/media/recruiting/career/" TargetMode="External" Id="rId158"/><Relationship Type="http://schemas.openxmlformats.org/officeDocument/2006/relationships/hyperlink" Target="https://dym.asia/media/recruiting-contact/" TargetMode="External" Id="rId159"/><Relationship Type="http://schemas.openxmlformats.org/officeDocument/2006/relationships/hyperlink" Target="https://dym.asia/media/recruiting/final-interview-rejection/" TargetMode="External" Id="rId160"/><Relationship Type="http://schemas.openxmlformats.org/officeDocument/2006/relationships/hyperlink" Target="https://dym.asia/media/recruiting/30s-job-change/" TargetMode="External" Id="rId161"/><Relationship Type="http://schemas.openxmlformats.org/officeDocument/2006/relationships/hyperlink" Target="https://dym.asia/media/recruiting-contact/" TargetMode="External" Id="rId162"/><Relationship Type="http://schemas.openxmlformats.org/officeDocument/2006/relationships/hyperlink" Target="https://dym.asia/media/recruiting/casual-interview/" TargetMode="External" Id="rId163"/><Relationship Type="http://schemas.openxmlformats.org/officeDocument/2006/relationships/hyperlink" Target="https://dym.asia/media/recruiting-contact/" TargetMode="External" Id="rId164"/><Relationship Type="http://schemas.openxmlformats.org/officeDocument/2006/relationships/hyperlink" Target="https://dym.asia/media/recruiting/differance-former2/" TargetMode="External" Id="rId165"/><Relationship Type="http://schemas.openxmlformats.org/officeDocument/2006/relationships/hyperlink" Target="https://dym.asia/media/recruiting-contact/" TargetMode="External" Id="rId166"/><Relationship Type="http://schemas.openxmlformats.org/officeDocument/2006/relationships/hyperlink" Target="https://dym.asia/media/recruiting/tekisei-test-countermeasures/" TargetMode="External" Id="rId167"/><Relationship Type="http://schemas.openxmlformats.org/officeDocument/2006/relationships/hyperlink" Target="https://dym.asia/media/recruiting-contact/" TargetMode="External" Id="rId168"/><Relationship Type="http://schemas.openxmlformats.org/officeDocument/2006/relationships/hyperlink" Target="https://dym.asia/media/recruiting/the-rule-of-mehrabian/" TargetMode="External" Id="rId169"/><Relationship Type="http://schemas.openxmlformats.org/officeDocument/2006/relationships/hyperlink" Target="https://dym.asia/contact/?sid=681795991" TargetMode="External" Id="rId170"/><Relationship Type="http://schemas.openxmlformats.org/officeDocument/2006/relationships/hyperlink" Target="https://dym.asia/media/recruiting/athlete-job-hunting/" TargetMode="External" Id="rId171"/><Relationship Type="http://schemas.openxmlformats.org/officeDocument/2006/relationships/hyperlink" Target="https://dym.asia/contact/?sid=681795991" TargetMode="External" Id="rId172"/><Relationship Type="http://schemas.openxmlformats.org/officeDocument/2006/relationships/hyperlink" Target="https://dym.asia/media/recruiting/career-fair-question/" TargetMode="External" Id="rId173"/><Relationship Type="http://schemas.openxmlformats.org/officeDocument/2006/relationships/hyperlink" Target="https://dym.asia/media/recruiting-contact/" TargetMode="External" Id="rId174"/><Relationship Type="http://schemas.openxmlformats.org/officeDocument/2006/relationships/hyperlink" Target="https://dym.asia/media/recruiting/esfj/" TargetMode="External" Id="rId175"/><Relationship Type="http://schemas.openxmlformats.org/officeDocument/2006/relationships/hyperlink" Target="https://dym.asia/media/recruiting-contact/" TargetMode="External" Id="rId176"/><Relationship Type="http://schemas.openxmlformats.org/officeDocument/2006/relationships/hyperlink" Target="https://dym.asia/media/recruiting/job-interview/" TargetMode="External" Id="rId177"/><Relationship Type="http://schemas.openxmlformats.org/officeDocument/2006/relationships/hyperlink" Target="https://dym.asia/media/recruiting-contact/" TargetMode="External" Id="rId178"/><Relationship Type="http://schemas.openxmlformats.org/officeDocument/2006/relationships/hyperlink" Target="https://dym.asia/media/recruiting/career-agent/" TargetMode="External" Id="rId179"/><Relationship Type="http://schemas.openxmlformats.org/officeDocument/2006/relationships/hyperlink" Target="https://dym.asia/media/recruiting/career-change-no-skills/" TargetMode="External" Id="rId180"/><Relationship Type="http://schemas.openxmlformats.org/officeDocument/2006/relationships/hyperlink" Target="https://dym.asia/media/recruiting-contact/" TargetMode="External" Id="rId181"/><Relationship Type="http://schemas.openxmlformats.org/officeDocument/2006/relationships/hyperlink" Target="https://dym.asia/media/recruiting/complete-five-day-weekend-system/" TargetMode="External" Id="rId182"/><Relationship Type="http://schemas.openxmlformats.org/officeDocument/2006/relationships/hyperlink" Target="https://dym.asia/media/recruiting-contact/" TargetMode="External" Id="rId183"/><Relationship Type="http://schemas.openxmlformats.org/officeDocument/2006/relationships/hyperlink" Target="https://dym.asia/media/recruiting/manager-job-change/" TargetMode="External" Id="rId184"/><Relationship Type="http://schemas.openxmlformats.org/officeDocument/2006/relationships/hyperlink" Target="https://dym.asia/contact/?sid=681795991" TargetMode="External" Id="rId185"/><Relationship Type="http://schemas.openxmlformats.org/officeDocument/2006/relationships/hyperlink" Target="https://dym.asia/media/recruiting/office-workers/" TargetMode="External" Id="rId186"/><Relationship Type="http://schemas.openxmlformats.org/officeDocument/2006/relationships/hyperlink" Target="https://dym.asia/contact/?sid=681795991" TargetMode="External" Id="rId187"/><Relationship Type="http://schemas.openxmlformats.org/officeDocument/2006/relationships/hyperlink" Target="https://dym.asia/media/recruiting/resume-guide/" TargetMode="External" Id="rId188"/><Relationship Type="http://schemas.openxmlformats.org/officeDocument/2006/relationships/hyperlink" Target="https://dym.asia/media/recruiting-contact/" TargetMode="External" Id="rId189"/><Relationship Type="http://schemas.openxmlformats.org/officeDocument/2006/relationships/hyperlink" Target="https://dym.asia/media/recruiting/science-field-employment/" TargetMode="External" Id="rId190"/><Relationship Type="http://schemas.openxmlformats.org/officeDocument/2006/relationships/hyperlink" Target="https://dym.asia/contact/?sid=681795991" TargetMode="External" Id="rId191"/><Relationship Type="http://schemas.openxmlformats.org/officeDocument/2006/relationships/hyperlink" Target="https://dym.asia/media/recruiting/system-engineer/" TargetMode="External" Id="rId192"/><Relationship Type="http://schemas.openxmlformats.org/officeDocument/2006/relationships/hyperlink" Target="https://dym.asia/media/recruiting-contact/" TargetMode="External" Id="rId193"/><Relationship Type="http://schemas.openxmlformats.org/officeDocument/2006/relationships/hyperlink" Target="https://dym.asia/media/recruiting/venture-company/" TargetMode="External" Id="rId194"/><Relationship Type="http://schemas.openxmlformats.org/officeDocument/2006/relationships/hyperlink" Target="https://dym.asia/contact/?sid=681795991" TargetMode="External" Id="rId195"/><Relationship Type="http://schemas.openxmlformats.org/officeDocument/2006/relationships/hyperlink" Target="https://dym.asia/media/recruiting/" TargetMode="External" Id="rId196"/><Relationship Type="http://schemas.openxmlformats.org/officeDocument/2006/relationships/hyperlink" Target="https://dym.asia/media/recruiting/final-interview/" TargetMode="External" Id="rId197"/><Relationship Type="http://schemas.openxmlformats.org/officeDocument/2006/relationships/hyperlink" Target="https://dym.asia/media/recruiting-contact/" TargetMode="External" Id="rId198"/><Relationship Type="http://schemas.openxmlformats.org/officeDocument/2006/relationships/hyperlink" Target="https://dym.asia/media/recruiting/it-consulting-job-change/" TargetMode="External" Id="rId199"/><Relationship Type="http://schemas.openxmlformats.org/officeDocument/2006/relationships/hyperlink" Target="https://dym.asia/contact/?sid=681795991" TargetMode="External" Id="rId200"/><Relationship Type="http://schemas.openxmlformats.org/officeDocument/2006/relationships/hyperlink" Target="https://dym.asia/media/recruiting/session-question/" TargetMode="External" Id="rId201"/><Relationship Type="http://schemas.openxmlformats.org/officeDocument/2006/relationships/hyperlink" Target="https://dym.asia/media/recruiting-contact/" TargetMode="External" Id="rId202"/><Relationship Type="http://schemas.openxmlformats.org/officeDocument/2006/relationships/hyperlink" Target="https://dym.asia/media/recruiting/shukatsu-2026-prepare-now/" TargetMode="External" Id="rId203"/><Relationship Type="http://schemas.openxmlformats.org/officeDocument/2006/relationships/hyperlink" Target="https://dym.asia/contact/?sid=681795991" TargetMode="External" Id="rId204"/><Relationship Type="http://schemas.openxmlformats.org/officeDocument/2006/relationships/hyperlink" Target="https://dym.asia/media/recruiting/confort-zone/" TargetMode="External" Id="rId205"/><Relationship Type="http://schemas.openxmlformats.org/officeDocument/2006/relationships/hyperlink" Target="https://talk.dshu.jp/6838/?_gl=1*155r6jh*_ga*MTI1MjE5NTY3My4xNzU2NDMyNTY0*_ga_ZXCZZJJ72V*czE3NjU1MDEzNTQkbzkkZzAkdDE3NjU1MDEzNTQkajYwJGwwJGgw" TargetMode="External" Id="rId206"/><Relationship Type="http://schemas.openxmlformats.org/officeDocument/2006/relationships/hyperlink" Target="https://dym.asia/media/recruiting/it-engineer/" TargetMode="External" Id="rId207"/><Relationship Type="http://schemas.openxmlformats.org/officeDocument/2006/relationships/hyperlink" Target="https://dym.asia/media/recruiting/strength-finder/" TargetMode="External" Id="rId208"/><Relationship Type="http://schemas.openxmlformats.org/officeDocument/2006/relationships/hyperlink" Target="https://dym.asia/media/recruiting-contact/" TargetMode="External" Id="rId209"/><Relationship Type="http://schemas.openxmlformats.org/officeDocument/2006/relationships/hyperlink" Target="https://dym.asia/media/recruiting/30s-job-change-woman/" TargetMode="External" Id="rId210"/><Relationship Type="http://schemas.openxmlformats.org/officeDocument/2006/relationships/hyperlink" Target="https://dym.asia/contact/?sid=681795991" TargetMode="External" Id="rId211"/><Relationship Type="http://schemas.openxmlformats.org/officeDocument/2006/relationships/hyperlink" Target="https://dym.asia/media/recruiting/35-job-change-inexperienced/" TargetMode="External" Id="rId212"/><Relationship Type="http://schemas.openxmlformats.org/officeDocument/2006/relationships/hyperlink" Target="https://dym.asia/contact/?sid=681795991" TargetMode="External" Id="rId213"/><Relationship Type="http://schemas.openxmlformats.org/officeDocument/2006/relationships/hyperlink" Target="https://dym.asia/media/recruiting/40s-job-change-inexperienced/" TargetMode="External" Id="rId214"/><Relationship Type="http://schemas.openxmlformats.org/officeDocument/2006/relationships/hyperlink" Target="https://dym.asia/media/recruiting-contact/" TargetMode="External" Id="rId215"/><Relationship Type="http://schemas.openxmlformats.org/officeDocument/2006/relationships/hyperlink" Target="https://dym.asia/media/recruiting/ad-ope-freelance/" TargetMode="External" Id="rId216"/><Relationship Type="http://schemas.openxmlformats.org/officeDocument/2006/relationships/hyperlink" Target="https://dym.asia/media/recruiting-contact/" TargetMode="External" Id="rId217"/><Relationship Type="http://schemas.openxmlformats.org/officeDocument/2006/relationships/hyperlink" Target="https://dym.asia/media/recruiting/career-advice-contact/" TargetMode="External" Id="rId218"/><Relationship Type="http://schemas.openxmlformats.org/officeDocument/2006/relationships/hyperlink" Target="https://dym.asia/contact/?sid=681795991" TargetMode="External" Id="rId219"/><Relationship Type="http://schemas.openxmlformats.org/officeDocument/2006/relationships/hyperlink" Target="https://dym.asia/media/recruiting/career-fair-bringing/" TargetMode="External" Id="rId220"/><Relationship Type="http://schemas.openxmlformats.org/officeDocument/2006/relationships/hyperlink" Target="https://dym.asia/media/recruiting/differance-former/" TargetMode="External" Id="rId221"/><Relationship Type="http://schemas.openxmlformats.org/officeDocument/2006/relationships/hyperlink" Target="https://dym.asia/media/recruiting-contact/" TargetMode="External" Id="rId222"/><Relationship Type="http://schemas.openxmlformats.org/officeDocument/2006/relationships/hyperlink" Target="https://dym.asia/media/recruiting/former-graduate/" TargetMode="External" Id="rId223"/><Relationship Type="http://schemas.openxmlformats.org/officeDocument/2006/relationships/hyperlink" Target="https://dym.asia/media/recruiting-contact/" TargetMode="External" Id="rId224"/><Relationship Type="http://schemas.openxmlformats.org/officeDocument/2006/relationships/hyperlink" Target="https://dym.asia/media/recruiting/former-resume2/" TargetMode="External" Id="rId225"/><Relationship Type="http://schemas.openxmlformats.org/officeDocument/2006/relationships/hyperlink" Target="https://dym.asia/media/recruiting-contact/" TargetMode="External" Id="rId226"/><Relationship Type="http://schemas.openxmlformats.org/officeDocument/2006/relationships/hyperlink" Target="https://dym.asia/media/recruiting/internship-recruitment/" TargetMode="External" Id="rId227"/><Relationship Type="http://schemas.openxmlformats.org/officeDocument/2006/relationships/hyperlink" Target="https://dym.asia/media/recruiting-contact/" TargetMode="External" Id="rId228"/><Relationship Type="http://schemas.openxmlformats.org/officeDocument/2006/relationships/hyperlink" Target="https://dym.asia/media/recruiting/internship/" TargetMode="External" Id="rId229"/><Relationship Type="http://schemas.openxmlformats.org/officeDocument/2006/relationships/hyperlink" Target="https://dym.asia/media/recruiting-contact/" TargetMode="External" Id="rId230"/><Relationship Type="http://schemas.openxmlformats.org/officeDocument/2006/relationships/hyperlink" Target="https://dym.asia/media/recruiting/self-pr/" TargetMode="External" Id="rId231"/><Relationship Type="http://schemas.openxmlformats.org/officeDocument/2006/relationships/hyperlink" Target="https://dym.asia/media/recruiting-contact/" TargetMode="External" Id="rId232"/><Relationship Type="http://schemas.openxmlformats.org/officeDocument/2006/relationships/hyperlink" Target="https://dym.asia/media/recruiting/dispatch-salary/" TargetMode="External" Id="rId233"/><Relationship Type="http://schemas.openxmlformats.org/officeDocument/2006/relationships/hyperlink" Target="https://dym.asia/media/recruiting/how-to-search-long-term-internship/" TargetMode="External" Id="rId234"/><Relationship Type="http://schemas.openxmlformats.org/officeDocument/2006/relationships/hyperlink" Target="https://dym.asia/media/recruiting/intp/" TargetMode="External" Id="rId235"/><Relationship Type="http://schemas.openxmlformats.org/officeDocument/2006/relationships/hyperlink" Target="https://dym.asia/media/recruiting-contact/" TargetMode="External" Id="rId236"/><Relationship Type="http://schemas.openxmlformats.org/officeDocument/2006/relationships/hyperlink" Target="https://dym.asia/media/recruiting/new-graduate-interview-flow/" TargetMode="External" Id="rId237"/><Relationship Type="http://schemas.openxmlformats.org/officeDocument/2006/relationships/hyperlink" Target="https://dym.asia/media/recruiting-contact/" TargetMode="External" Id="rId238"/><Relationship Type="http://schemas.openxmlformats.org/officeDocument/2006/relationships/hyperlink" Target="https://dym.asia/media/recruiting/scouting_service/" TargetMode="External" Id="rId239"/><Relationship Type="http://schemas.openxmlformats.org/officeDocument/2006/relationships/hyperlink" Target="https://dym.asia/media/recruiting-contact/" TargetMode="External" Id="rId240"/><Relationship Type="http://schemas.openxmlformats.org/officeDocument/2006/relationships/hyperlink" Target="https://dym.asia/media/recruiting/spi-2/" TargetMode="External" Id="rId241"/><Relationship Type="http://schemas.openxmlformats.org/officeDocument/2006/relationships/hyperlink" Target="https://dym.asia/media/recruiting/30s-job-change-inexperienced/" TargetMode="External" Id="rId242"/><Relationship Type="http://schemas.openxmlformats.org/officeDocument/2006/relationships/hyperlink" Target="https://dym.asia/media/recruiting-contact/" TargetMode="External" Id="rId243"/><Relationship Type="http://schemas.openxmlformats.org/officeDocument/2006/relationships/hyperlink" Target="https://dym.asia/media/recruiting/about-aptitude-test/" TargetMode="External" Id="rId244"/><Relationship Type="http://schemas.openxmlformats.org/officeDocument/2006/relationships/hyperlink" Target="https://dym.asia/media/recruiting-contact/" TargetMode="External" Id="rId245"/><Relationship Type="http://schemas.openxmlformats.org/officeDocument/2006/relationships/hyperlink" Target="https://dym.asia/media/recruiting/b-to-c/" TargetMode="External" Id="rId246"/><Relationship Type="http://schemas.openxmlformats.org/officeDocument/2006/relationships/hyperlink" Target="https://dym.asia/media/recruiting-contact/" TargetMode="External" Id="rId247"/><Relationship Type="http://schemas.openxmlformats.org/officeDocument/2006/relationships/hyperlink" Target="https://dym.asia/media/recruiting/career-fair-wearing/" TargetMode="External" Id="rId248"/><Relationship Type="http://schemas.openxmlformats.org/officeDocument/2006/relationships/hyperlink" Target="https://dym.asia/media/recruiting-contact/" TargetMode="External" Id="rId249"/><Relationship Type="http://schemas.openxmlformats.org/officeDocument/2006/relationships/hyperlink" Target="https://dym.asia/media/recruiting/commuting-allowance/" TargetMode="External" Id="rId250"/><Relationship Type="http://schemas.openxmlformats.org/officeDocument/2006/relationships/hyperlink" Target="https://dym.asia/media/recruiting-contact/" TargetMode="External" Id="rId251"/><Relationship Type="http://schemas.openxmlformats.org/officeDocument/2006/relationships/hyperlink" Target="https://dym.asia/media/recruiting/company-briefing-flow-questions/" TargetMode="External" Id="rId252"/><Relationship Type="http://schemas.openxmlformats.org/officeDocument/2006/relationships/hyperlink" Target="https://dym.asia/media/recruiting-contact/" TargetMode="External" Id="rId253"/><Relationship Type="http://schemas.openxmlformats.org/officeDocument/2006/relationships/hyperlink" Target="https://dym.asia/media/recruiting/differance-former-newgraduate/" TargetMode="External" Id="rId254"/><Relationship Type="http://schemas.openxmlformats.org/officeDocument/2006/relationships/hyperlink" Target="https://dym.asia/media/recruiting-contact/" TargetMode="External" Id="rId255"/><Relationship Type="http://schemas.openxmlformats.org/officeDocument/2006/relationships/hyperlink" Target="https://dym.asia/media/recruiting/dispatch-se/" TargetMode="External" Id="rId256"/><Relationship Type="http://schemas.openxmlformats.org/officeDocument/2006/relationships/hyperlink" Target="https://dym.asia/media/recruiting/estj/" TargetMode="External" Id="rId257"/><Relationship Type="http://schemas.openxmlformats.org/officeDocument/2006/relationships/hyperlink" Target="https://dym.asia/media/recruiting-contact/" TargetMode="External" Id="rId258"/><Relationship Type="http://schemas.openxmlformats.org/officeDocument/2006/relationships/hyperlink" Target="https://dym.asia/media/recruiting/estp/" TargetMode="External" Id="rId259"/><Relationship Type="http://schemas.openxmlformats.org/officeDocument/2006/relationships/hyperlink" Target="https://dym.asia/media/recruiting-contact/" TargetMode="External" Id="rId260"/><Relationship Type="http://schemas.openxmlformats.org/officeDocument/2006/relationships/hyperlink" Target="https://dym.asia/media/recruiting/estp/" TargetMode="External" Id="rId261"/><Relationship Type="http://schemas.openxmlformats.org/officeDocument/2006/relationships/hyperlink" Target="https://discussion.meetscompany.jp/1281/?_gl=1*6x96d3*_ga*MTI1MjE5NTY3My4xNzU2NDMyNTY0*_ga_ZXCZZJJ72V*czE3NjU1MDEzNTQkbzkkZzAkdDE3NjU1MDEzNTQkajYwJGwwJGgw" TargetMode="External" Id="rId262"/><Relationship Type="http://schemas.openxmlformats.org/officeDocument/2006/relationships/hyperlink" Target="https://dym.asia/media/recruiting/high-class-job-change/" TargetMode="External" Id="rId263"/><Relationship Type="http://schemas.openxmlformats.org/officeDocument/2006/relationships/hyperlink" Target="https://dym.asia/media/recruiting-contact/" TargetMode="External" Id="rId264"/><Relationship Type="http://schemas.openxmlformats.org/officeDocument/2006/relationships/hyperlink" Target="https://dym.asia/media/recruiting/highschool-job-change/" TargetMode="External" Id="rId265"/><Relationship Type="http://schemas.openxmlformats.org/officeDocument/2006/relationships/hyperlink" Target="https://dym.asia/media/recruiting-contact/" TargetMode="External" Id="rId266"/><Relationship Type="http://schemas.openxmlformats.org/officeDocument/2006/relationships/hyperlink" Target="https://dym.asia/media/recruiting/how-to-strengthen-mentality/" TargetMode="External" Id="rId267"/><Relationship Type="http://schemas.openxmlformats.org/officeDocument/2006/relationships/hyperlink" Target="https://dym.asia/media/recruiting-contact/" TargetMode="External" Id="rId268"/><Relationship Type="http://schemas.openxmlformats.org/officeDocument/2006/relationships/hyperlink" Target="https://dym.asia/media/recruiting/how-to-strengthen-mentality/" TargetMode="External" Id="rId269"/><Relationship Type="http://schemas.openxmlformats.org/officeDocument/2006/relationships/hyperlink" Target="https://dym.asia/media/recruiting-contact/" TargetMode="External" Id="rId270"/><Relationship Type="http://schemas.openxmlformats.org/officeDocument/2006/relationships/hyperlink" Target="https://dym.asia/media/recruiting/rirekisho-photo-manner/" TargetMode="External" Id="rId271"/><Relationship Type="http://schemas.openxmlformats.org/officeDocument/2006/relationships/hyperlink" Target="https://dym.asia/media/recruiting-contact/" TargetMode="External" Id="rId272"/><Relationship Type="http://schemas.openxmlformats.org/officeDocument/2006/relationships/hyperlink" Target="https://dym.asia/media/recruiting/session-manners/" TargetMode="External" Id="rId273"/><Relationship Type="http://schemas.openxmlformats.org/officeDocument/2006/relationships/hyperlink" Target="https://dym.asia/media/recruiting-contact/" TargetMode="External" Id="rId274"/><Relationship Type="http://schemas.openxmlformats.org/officeDocument/2006/relationships/hyperlink" Target="https://dym.asia/media/recruiting/welfare-pension/" TargetMode="External" Id="rId275"/><Relationship Type="http://schemas.openxmlformats.org/officeDocument/2006/relationships/hyperlink" Target="https://dym.asia/media/recruiting-contact/" TargetMode="External" Id="rId276"/><Relationship Type="http://schemas.openxmlformats.org/officeDocument/2006/relationships/hyperlink" Target="https://dym.asia/media/recruiting/winter-internship/" TargetMode="External" Id="rId277"/><Relationship Type="http://schemas.openxmlformats.org/officeDocument/2006/relationships/hyperlink" Target="https://dym.asia/media/recruiting-contact/" TargetMode="External" Id="rId278"/><Relationship Type="http://schemas.openxmlformats.org/officeDocument/2006/relationships/hyperlink" Target="https://dym.asia/media/recruiting/career-fair/" TargetMode="External" Id="rId279"/><Relationship Type="http://schemas.openxmlformats.org/officeDocument/2006/relationships/hyperlink" Target="https://dym.asia/media/recruiting-contact/" TargetMode="External" Id="rId280"/><Relationship Type="http://schemas.openxmlformats.org/officeDocument/2006/relationships/hyperlink" Target="https://dym.asia/media/recruiting/employment-consultation-university-student/" TargetMode="External" Id="rId281"/><Relationship Type="http://schemas.openxmlformats.org/officeDocument/2006/relationships/hyperlink" Target="https://dym.asia/media/recruiting-contact/" TargetMode="External" Id="rId282"/><Relationship Type="http://schemas.openxmlformats.org/officeDocument/2006/relationships/hyperlink" Target="https://dym.asia/media/recruiting/esfj/" TargetMode="External" Id="rId283"/><Relationship Type="http://schemas.openxmlformats.org/officeDocument/2006/relationships/hyperlink" Target="https://dym.asia/media/recruiting-contact/" TargetMode="External" Id="rId284"/><Relationship Type="http://schemas.openxmlformats.org/officeDocument/2006/relationships/hyperlink" Target="https://dym.asia/media/recruiting/fail-the-interview/" TargetMode="External" Id="rId285"/><Relationship Type="http://schemas.openxmlformats.org/officeDocument/2006/relationships/hyperlink" Target="https://dym.asia/media/recruiting-contact/" TargetMode="External" Id="rId286"/><Relationship Type="http://schemas.openxmlformats.org/officeDocument/2006/relationships/hyperlink" Target="https://dym.asia/media/recruiting/female_dispatch/" TargetMode="External" Id="rId287"/><Relationship Type="http://schemas.openxmlformats.org/officeDocument/2006/relationships/hyperlink" Target="https://dym.asia/media/recruiting-contact/" TargetMode="External" Id="rId288"/><Relationship Type="http://schemas.openxmlformats.org/officeDocument/2006/relationships/hyperlink" Target="https://dym.asia/media/recruiting/former-graduate-woman/" TargetMode="External" Id="rId289"/><Relationship Type="http://schemas.openxmlformats.org/officeDocument/2006/relationships/hyperlink" Target="https://dym.asia/media/recruiting-contact/" TargetMode="External" Id="rId290"/><Relationship Type="http://schemas.openxmlformats.org/officeDocument/2006/relationships/hyperlink" Target="https://dym.asia/media/recruiting/gakuchika/" TargetMode="External" Id="rId291"/><Relationship Type="http://schemas.openxmlformats.org/officeDocument/2006/relationships/hyperlink" Target="https://dym.asia/media/recruiting-contact/" TargetMode="External" Id="rId292"/><Relationship Type="http://schemas.openxmlformats.org/officeDocument/2006/relationships/hyperlink" Target="https://dym.asia/media/recruiting/how-to-strengthen-mentality/" TargetMode="External" Id="rId293"/><Relationship Type="http://schemas.openxmlformats.org/officeDocument/2006/relationships/hyperlink" Target="https://dym.asia/media/recruiting-contact/" TargetMode="External" Id="rId294"/><Relationship Type="http://schemas.openxmlformats.org/officeDocument/2006/relationships/hyperlink" Target="https://dym.asia/media/recruiting/infp/" TargetMode="External" Id="rId295"/><Relationship Type="http://schemas.openxmlformats.org/officeDocument/2006/relationships/hyperlink" Target="https://dym.asia/media/recruiting-contact/" TargetMode="External" Id="rId296"/><Relationship Type="http://schemas.openxmlformats.org/officeDocument/2006/relationships/hyperlink" Target="https://dym.asia/media/recruiting/infp/" TargetMode="External" Id="rId297"/><Relationship Type="http://schemas.openxmlformats.org/officeDocument/2006/relationships/hyperlink" Target="https://dym.asia/media/recruiting-contact/" TargetMode="External" Id="rId298"/><Relationship Type="http://schemas.openxmlformats.org/officeDocument/2006/relationships/hyperlink" Target="https://dym.asia/media/recruiting/infp/" TargetMode="External" Id="rId299"/><Relationship Type="http://schemas.openxmlformats.org/officeDocument/2006/relationships/hyperlink" Target="https://discussion.meetscompany.jp/1281/?_gl=1*6x96d3*_ga*MTI1MjE5NTY3My4xNzU2NDMyNTY0*_ga_ZXCZZJJ72V*czE3NjU1MDEzNTQkbzkkZzAkdDE3NjU1MDEzNTQkajYwJGwwJGgw" TargetMode="External" Id="rId300"/><Relationship Type="http://schemas.openxmlformats.org/officeDocument/2006/relationships/hyperlink" Target="https://dym.asia/media/recruiting/istj/" TargetMode="External" Id="rId301"/><Relationship Type="http://schemas.openxmlformats.org/officeDocument/2006/relationships/hyperlink" Target="https://discussion.meetscompany.jp/1281/?_gl=1*6x96d3*_ga*MTI1MjE5NTY3My4xNzU2NDMyNTY0*_ga_ZXCZZJJ72V*czE3NjU1MDEzNTQkbzkkZzAkdDE3NjU1MDEzNTQkajYwJGwwJGgw" TargetMode="External" Id="rId302"/><Relationship Type="http://schemas.openxmlformats.org/officeDocument/2006/relationships/hyperlink" Target="https://dym.asia/media/recruiting/job-change-head-hunting/" TargetMode="External" Id="rId303"/><Relationship Type="http://schemas.openxmlformats.org/officeDocument/2006/relationships/hyperlink" Target="https://talk.dshu.jp/6838/?_gl=1*155r6jh*_ga*MTI1MjE5NTY3My4xNzU2NDMyNTY0*_ga_ZXCZZJJ72V*czE3NjU1MDEzNTQkbzkkZzAkdDE3NjU1MDEzNTQkajYwJGwwJGgw" TargetMode="External" Id="rId304"/><Relationship Type="http://schemas.openxmlformats.org/officeDocument/2006/relationships/hyperlink" Target="https://dym.asia/media/recruiting/job-hunting-criteria/" TargetMode="External" Id="rId305"/><Relationship Type="http://schemas.openxmlformats.org/officeDocument/2006/relationships/hyperlink" Target="https://dym.asia/media/recruiting/job-hunting-schedule/" TargetMode="External" Id="rId306"/><Relationship Type="http://schemas.openxmlformats.org/officeDocument/2006/relationships/hyperlink" Target="https://discussion.meetscompany.jp/1281/?_gl=1*6x96d3*_ga*MTI1MjE5NTY3My4xNzU2NDMyNTY0*_ga_ZXCZZJJ72V*czE3NjU1MDEzNTQkbzkkZzAkdDE3NjU1MDEzNTQkajYwJGwwJGgw" TargetMode="External" Id="rId307"/><Relationship Type="http://schemas.openxmlformats.org/officeDocument/2006/relationships/hyperlink" Target="https://dym.asia/media/recruiting/job-search-period/" TargetMode="External" Id="rId308"/><Relationship Type="http://schemas.openxmlformats.org/officeDocument/2006/relationships/hyperlink" Target="https://discussion.meetscompany.jp/1281/?_gl=1*6x96d3*_ga*MTI1MjE5NTY3My4xNzU2NDMyNTY0*_ga_ZXCZZJJ72V*czE3NjU1MDEzNTQkbzkkZzAkdDE3NjU1MDEzNTQkajYwJGwwJGgw" TargetMode="External" Id="rId309"/><Relationship Type="http://schemas.openxmlformats.org/officeDocument/2006/relationships/hyperlink" Target="https://dym.asia/media/recruiting/neet_job/" TargetMode="External" Id="rId310"/><Relationship Type="http://schemas.openxmlformats.org/officeDocument/2006/relationships/hyperlink" Target="https://discussion.meetscompany.jp/1281/?_gl=1*6x96d3*_ga*MTI1MjE5NTY3My4xNzU2NDMyNTY0*_ga_ZXCZZJJ72V*czE3NjU1MDEzNTQkbzkkZzAkdDE3NjU1MDEzNTQkajYwJGwwJGgw" TargetMode="External" Id="rId311"/><Relationship Type="http://schemas.openxmlformats.org/officeDocument/2006/relationships/hyperlink" Target="https://dym.asia/media/recruiting/new-graduate-how-to-write-motivation/" TargetMode="External" Id="rId312"/><Relationship Type="http://schemas.openxmlformats.org/officeDocument/2006/relationships/hyperlink" Target="https://discussion.meetscompany.jp/1281/?_gl=1*6x96d3*_ga*MTI1MjE5NTY3My4xNzU2NDMyNTY0*_ga_ZXCZZJJ72V*czE3NjU1MDEzNTQkbzkkZzAkdDE3NjU1MDEzNTQkajYwJGwwJGgw" TargetMode="External" Id="rId313"/><Relationship Type="http://schemas.openxmlformats.org/officeDocument/2006/relationships/hyperlink" Target="https://dym.asia/media/recruiting/new-graduation-study-abroard/" TargetMode="External" Id="rId314"/><Relationship Type="http://schemas.openxmlformats.org/officeDocument/2006/relationships/hyperlink" Target="https://discussion.meetscompany.jp/1281/?_gl=1*6x96d3*_ga*MTI1MjE5NTY3My4xNzU2NDMyNTY0*_ga_ZXCZZJJ72V*czE3NjU1MDEzNTQkbzkkZzAkdDE3NjU1MDEzNTQkajYwJGwwJGgw" TargetMode="External" Id="rId315"/><Relationship Type="http://schemas.openxmlformats.org/officeDocument/2006/relationships/hyperlink" Target="https://dym.asia/media/recruiting/office-work/" TargetMode="External" Id="rId316"/><Relationship Type="http://schemas.openxmlformats.org/officeDocument/2006/relationships/hyperlink" Target="https://dymcareer.jp/ready_career-lp_dym-asia/?_gl=1*117nkpw*_ga*MTI1MjE5NTY3My4xNzU2NDMyNTY0*_ga_ZXCZZJJ72V*czE3NjU1MDQzMDAkbzEwJGcwJHQxNzY1NTA0MzAwJGo2MCRsMCRoMA.." TargetMode="External" Id="rId317"/><Relationship Type="http://schemas.openxmlformats.org/officeDocument/2006/relationships/hyperlink" Target="https://dym.asia/media/recruiting/re-schedule/" TargetMode="External" Id="rId318"/><Relationship Type="http://schemas.openxmlformats.org/officeDocument/2006/relationships/hyperlink" Target="https://talk.dshu.jp/6838/?_gl=1*155r6jh*_ga*MTI1MjE5NTY3My4xNzU2NDMyNTY0*_ga_ZXCZZJJ72V*czE3NjU1MDEzNTQkbzkkZzAkdDE3NjU1MDEzNTQkajYwJGwwJGgw" TargetMode="External" Id="rId319"/><Relationship Type="http://schemas.openxmlformats.org/officeDocument/2006/relationships/hyperlink" Target="https://dym.asia/media/recruiting/recruitment-consultant/" TargetMode="External" Id="rId320"/><Relationship Type="http://schemas.openxmlformats.org/officeDocument/2006/relationships/hyperlink" Target="https://talk.dshu.jp/6838/?_gl=1*155r6jh*_ga*MTI1MjE5NTY3My4xNzU2NDMyNTY0*_ga_ZXCZZJJ72V*czE3NjU1MDEzNTQkbzkkZzAkdDE3NjU1MDEzNTQkajYwJGwwJGgw" TargetMode="External" Id="rId321"/><Relationship Type="http://schemas.openxmlformats.org/officeDocument/2006/relationships/hyperlink" Target="https://dym.asia/media/recruiting/shinsotsu-2026-trend-guide/" TargetMode="External" Id="rId322"/><Relationship Type="http://schemas.openxmlformats.org/officeDocument/2006/relationships/hyperlink" Target="https://dym.asia/media/recruiting-contact/" TargetMode="External" Id="rId323"/><Relationship Type="http://schemas.openxmlformats.org/officeDocument/2006/relationships/hyperlink" Target="https://dym.asia/media/recruiting/shukatsu-start-schedule/" TargetMode="External" Id="rId324"/><Relationship Type="http://schemas.openxmlformats.org/officeDocument/2006/relationships/hyperlink" Target="https://dym.asia/media/recruiting-contact/" TargetMode="External" Id="rId325"/><Relationship Type="http://schemas.openxmlformats.org/officeDocument/2006/relationships/hyperlink" Target="https://dym.asia/media/recruiting/summer-internship-2/" TargetMode="External" Id="rId326"/><Relationship Type="http://schemas.openxmlformats.org/officeDocument/2006/relationships/hyperlink" Target="https://dym.asia/media/recruiting-contact/" TargetMode="External" Id="rId327"/><Relationship Type="http://schemas.openxmlformats.org/officeDocument/2006/relationships/hyperlink" Target="https://dym.asia/media/recruiting/15-jobs-for-not-working/" TargetMode="External" Id="rId328"/><Relationship Type="http://schemas.openxmlformats.org/officeDocument/2006/relationships/hyperlink" Target="https://dym.asia/media/recruiting/15-jobs-for-not-working/" TargetMode="External" Id="rId329"/><Relationship Type="http://schemas.openxmlformats.org/officeDocument/2006/relationships/hyperlink" Target="https://dym.asia/media/recruiting-contact/" TargetMode="External" Id="rId330"/><Relationship Type="http://schemas.openxmlformats.org/officeDocument/2006/relationships/hyperlink" Target="https://dym.asia/media/recruiting/15-jobs-for-not-working/" TargetMode="External" Id="rId331"/><Relationship Type="http://schemas.openxmlformats.org/officeDocument/2006/relationships/hyperlink" Target="https://dym.asia/media/recruiting-contact/" TargetMode="External" Id="rId332"/><Relationship Type="http://schemas.openxmlformats.org/officeDocument/2006/relationships/hyperlink" Target="https://dym.asia/media/recruiting/30s-job-change-woman/" TargetMode="External" Id="rId333"/><Relationship Type="http://schemas.openxmlformats.org/officeDocument/2006/relationships/hyperlink" Target="https://dym.asia/media/recruiting-contact/" TargetMode="External" Id="rId334"/><Relationship Type="http://schemas.openxmlformats.org/officeDocument/2006/relationships/hyperlink" Target="https://dym.asia/media/recruiting/35-job-change-women/" TargetMode="External" Id="rId335"/><Relationship Type="http://schemas.openxmlformats.org/officeDocument/2006/relationships/hyperlink" Target="https://dym.asia/media/recruiting-contact/" TargetMode="External" Id="rId336"/><Relationship Type="http://schemas.openxmlformats.org/officeDocument/2006/relationships/hyperlink" Target="https://dym.asia/media/recruiting/35-job-change/" TargetMode="External" Id="rId337"/><Relationship Type="http://schemas.openxmlformats.org/officeDocument/2006/relationships/hyperlink" Target="https://dym.asia/media/recruiting-contact/" TargetMode="External" Id="rId338"/><Relationship Type="http://schemas.openxmlformats.org/officeDocument/2006/relationships/hyperlink" Target="https://dym.asia/media/recruiting/40s-job-change-woman/" TargetMode="External" Id="rId339"/><Relationship Type="http://schemas.openxmlformats.org/officeDocument/2006/relationships/hyperlink" Target="https://dym.asia/media/recruiting-contact/" TargetMode="External" Id="rId340"/><Relationship Type="http://schemas.openxmlformats.org/officeDocument/2006/relationships/hyperlink" Target="https://dym.asia/media/recruiting/40s-job-change/" TargetMode="External" Id="rId341"/><Relationship Type="http://schemas.openxmlformats.org/officeDocument/2006/relationships/hyperlink" Target="https://dym.asia/media/recruiting-contact/" TargetMode="External" Id="rId342"/><Relationship Type="http://schemas.openxmlformats.org/officeDocument/2006/relationships/hyperlink" Target="https://dym.asia/media/recruiting/40s-job-change/" TargetMode="External" Id="rId343"/><Relationship Type="http://schemas.openxmlformats.org/officeDocument/2006/relationships/hyperlink" Target="https://dym.asia/media/recruiting-contact/" TargetMode="External" Id="rId344"/><Relationship Type="http://schemas.openxmlformats.org/officeDocument/2006/relationships/hyperlink" Target="https://dym.asia/media/recruiting/alumni-vsit/" TargetMode="External" Id="rId345"/><Relationship Type="http://schemas.openxmlformats.org/officeDocument/2006/relationships/hyperlink" Target="https://dym.asia/media/recruiting-contact/" TargetMode="External" Id="rId346"/><Relationship Type="http://schemas.openxmlformats.org/officeDocument/2006/relationships/hyperlink" Target="https://dym.asia/media/recruiting/anger-management/" TargetMode="External" Id="rId347"/><Relationship Type="http://schemas.openxmlformats.org/officeDocument/2006/relationships/hyperlink" Target="https://dym.asia/media/recruiting-contact/" TargetMode="External" Id="rId348"/><Relationship Type="http://schemas.openxmlformats.org/officeDocument/2006/relationships/hyperlink" Target="https://dym.asia/media/recruiting/athlete-recruitment/" TargetMode="External" Id="rId349"/><Relationship Type="http://schemas.openxmlformats.org/officeDocument/2006/relationships/hyperlink" Target="https://dym.asia/media/recruiting-contact/" TargetMode="External" Id="rId350"/><Relationship Type="http://schemas.openxmlformats.org/officeDocument/2006/relationships/hyperlink" Target="https://dym.asia/media/recruiting/basic-salary/" TargetMode="External" Id="rId351"/><Relationship Type="http://schemas.openxmlformats.org/officeDocument/2006/relationships/hyperlink" Target="https://dym.asia/media/recruiting-contact/" TargetMode="External" Id="rId352"/><Relationship Type="http://schemas.openxmlformats.org/officeDocument/2006/relationships/hyperlink" Target="https://dym.asia/media/recruiting/career-plan/" TargetMode="External" Id="rId353"/><Relationship Type="http://schemas.openxmlformats.org/officeDocument/2006/relationships/hyperlink" Target="https://dym.asia/media/recruiting-contact/" TargetMode="External" Id="rId354"/><Relationship Type="http://schemas.openxmlformats.org/officeDocument/2006/relationships/hyperlink" Target="https://dym.asia/media/recruiting/communication-ability/" TargetMode="External" Id="rId355"/><Relationship Type="http://schemas.openxmlformats.org/officeDocument/2006/relationships/hyperlink" Target="https://dym.asia/media/recruiting-contact/" TargetMode="External" Id="rId356"/><Relationship Type="http://schemas.openxmlformats.org/officeDocument/2006/relationships/hyperlink" Target="https://dym.asia/media/recruiting/consulting-job-change/" TargetMode="External" Id="rId357"/><Relationship Type="http://schemas.openxmlformats.org/officeDocument/2006/relationships/hyperlink" Target="https://dym.asia/media/recruiting-contact/" TargetMode="External" Id="rId358"/><Relationship Type="http://schemas.openxmlformats.org/officeDocument/2006/relationships/hyperlink" Target="https://dym.asia/media/recruiting/differance-former/" TargetMode="External" Id="rId359"/><Relationship Type="http://schemas.openxmlformats.org/officeDocument/2006/relationships/hyperlink" Target="https://dym.asia/media/recruiting-contact/" TargetMode="External" Id="rId360"/><Relationship Type="http://schemas.openxmlformats.org/officeDocument/2006/relationships/hyperlink" Target="https://dym.asia/media/recruiting/differance-former2/" TargetMode="External" Id="rId361"/><Relationship Type="http://schemas.openxmlformats.org/officeDocument/2006/relationships/hyperlink" Target="https://dym.asia/media/recruiting/differance-former2/" TargetMode="External" Id="rId362"/><Relationship Type="http://schemas.openxmlformats.org/officeDocument/2006/relationships/hyperlink" Target="https://dym.asia/media/recruiting/early-job-hunting/" TargetMode="External" Id="rId363"/><Relationship Type="http://schemas.openxmlformats.org/officeDocument/2006/relationships/hyperlink" Target="https://dym.asia/media/recruiting/early-job-hunting/" TargetMode="External" Id="rId364"/><Relationship Type="http://schemas.openxmlformats.org/officeDocument/2006/relationships/hyperlink" Target="https://dym.asia/media/recruiting-contact/" TargetMode="External" Id="rId365"/><Relationship Type="http://schemas.openxmlformats.org/officeDocument/2006/relationships/hyperlink" Target="https://dym.asia/media/recruiting/early-selection/" TargetMode="External" Id="rId366"/><Relationship Type="http://schemas.openxmlformats.org/officeDocument/2006/relationships/hyperlink" Target="https://dym.asia/media/recruiting-contact/" TargetMode="External" Id="rId367"/><Relationship Type="http://schemas.openxmlformats.org/officeDocument/2006/relationships/hyperlink" Target="https://dym.asia/media/recruiting/employment-consultation-university-student/" TargetMode="External" Id="rId368"/><Relationship Type="http://schemas.openxmlformats.org/officeDocument/2006/relationships/hyperlink" Target="https://dym.asia/media/recruiting-contact/" TargetMode="External" Id="rId369"/><Relationship Type="http://schemas.openxmlformats.org/officeDocument/2006/relationships/hyperlink" Target="https://dym.asia/media/recruiting/enfp/" TargetMode="External" Id="rId370"/><Relationship Type="http://schemas.openxmlformats.org/officeDocument/2006/relationships/hyperlink" Target="https://dym.asia/media/recruiting-contact/" TargetMode="External" Id="rId371"/><Relationship Type="http://schemas.openxmlformats.org/officeDocument/2006/relationships/hyperlink" Target="https://dym.asia/media/recruiting/enfp/" TargetMode="External" Id="rId372"/><Relationship Type="http://schemas.openxmlformats.org/officeDocument/2006/relationships/hyperlink" Target="https://dym.asia/media/recruiting-contact/" TargetMode="External" Id="rId373"/><Relationship Type="http://schemas.openxmlformats.org/officeDocument/2006/relationships/hyperlink" Target="https://dym.asia/media/recruiting/entj/" TargetMode="External" Id="rId374"/><Relationship Type="http://schemas.openxmlformats.org/officeDocument/2006/relationships/hyperlink" Target="https://dym.asia/media/recruiting-contact/" TargetMode="External" Id="rId375"/><Relationship Type="http://schemas.openxmlformats.org/officeDocument/2006/relationships/hyperlink" Target="https://dym.asia/media/recruiting/entp/" TargetMode="External" Id="rId376"/><Relationship Type="http://schemas.openxmlformats.org/officeDocument/2006/relationships/hyperlink" Target="https://dym.asia/media/recruiting-contact/" TargetMode="External" Id="rId377"/><Relationship Type="http://schemas.openxmlformats.org/officeDocument/2006/relationships/hyperlink" Target="https://dym.asia/media/recruiting/es/" TargetMode="External" Id="rId378"/><Relationship Type="http://schemas.openxmlformats.org/officeDocument/2006/relationships/hyperlink" Target="https://dym.asia/media/recruiting-contact/" TargetMode="External" Id="rId379"/><Relationship Type="http://schemas.openxmlformats.org/officeDocument/2006/relationships/hyperlink" Target="https://dym.asia/media/recruiting/esfj/" TargetMode="External" Id="rId380"/><Relationship Type="http://schemas.openxmlformats.org/officeDocument/2006/relationships/hyperlink" Target="https://dym.asia/media/recruiting-contact/" TargetMode="External" Id="rId381"/><Relationship Type="http://schemas.openxmlformats.org/officeDocument/2006/relationships/hyperlink" Target="https://dym.asia/media/recruiting/esfj/" TargetMode="External" Id="rId382"/><Relationship Type="http://schemas.openxmlformats.org/officeDocument/2006/relationships/hyperlink" Target="https://dym.asia/media/recruiting-contact/" TargetMode="External" Id="rId383"/><Relationship Type="http://schemas.openxmlformats.org/officeDocument/2006/relationships/hyperlink" Target="https://dym.asia/media/recruiting/estj/" TargetMode="External" Id="rId384"/><Relationship Type="http://schemas.openxmlformats.org/officeDocument/2006/relationships/hyperlink" Target="https://dym.asia/media/recruiting-contact/" TargetMode="External" Id="rId385"/><Relationship Type="http://schemas.openxmlformats.org/officeDocument/2006/relationships/hyperlink" Target="https://dym.asia/media/recruiting/final-interview-rejection/" TargetMode="External" Id="rId386"/><Relationship Type="http://schemas.openxmlformats.org/officeDocument/2006/relationships/hyperlink" Target="https://dym.asia/media/recruiting-contact/" TargetMode="External" Id="rId387"/><Relationship Type="http://schemas.openxmlformats.org/officeDocument/2006/relationships/hyperlink" Target="https://dym.asia/media/recruiting/former-graduate-when/" TargetMode="External" Id="rId388"/><Relationship Type="http://schemas.openxmlformats.org/officeDocument/2006/relationships/hyperlink" Target="https://dym.asia/media/recruiting-contact/" TargetMode="External" Id="rId389"/><Relationship Type="http://schemas.openxmlformats.org/officeDocument/2006/relationships/hyperlink" Target="https://dym.asia/media/recruiting/former-recruitment-age/" TargetMode="External" Id="rId390"/><Relationship Type="http://schemas.openxmlformats.org/officeDocument/2006/relationships/hyperlink" Target="https://dym.asia/media/recruiting-contact/" TargetMode="External" Id="rId391"/><Relationship Type="http://schemas.openxmlformats.org/officeDocument/2006/relationships/hyperlink" Target="https://dym.asia/media/recruiting/head-hunting-company/" TargetMode="External" Id="rId392"/><Relationship Type="http://schemas.openxmlformats.org/officeDocument/2006/relationships/hyperlink" Target="https://dym.asia/media/recruiting-contact/" TargetMode="External" Id="rId393"/><Relationship Type="http://schemas.openxmlformats.org/officeDocument/2006/relationships/hyperlink" Target="https://dym.asia/media/recruiting/high-class-agent/" TargetMode="External" Id="rId394"/><Relationship Type="http://schemas.openxmlformats.org/officeDocument/2006/relationships/hyperlink" Target="https://dym.asia/media/recruiting-contact/" TargetMode="External" Id="rId395"/><Relationship Type="http://schemas.openxmlformats.org/officeDocument/2006/relationships/hyperlink" Target="https://dym.asia/media/recruiting/highclass-job-change-salary/" TargetMode="External" Id="rId396"/><Relationship Type="http://schemas.openxmlformats.org/officeDocument/2006/relationships/hyperlink" Target="https://dym.asia/media/recruiting-contact/" TargetMode="External" Id="rId397"/><Relationship Type="http://schemas.openxmlformats.org/officeDocument/2006/relationships/hyperlink" Target="https://dym.asia/media/recruiting/how-to-strengthen-mentality/" TargetMode="External" Id="rId398"/><Relationship Type="http://schemas.openxmlformats.org/officeDocument/2006/relationships/hyperlink" Target="https://dym.asia/media/recruiting-contact/" TargetMode="External" Id="rId399"/><Relationship Type="http://schemas.openxmlformats.org/officeDocument/2006/relationships/hyperlink" Target="https://dym.asia/media/recruiting/humanities/" TargetMode="External" Id="rId400"/><Relationship Type="http://schemas.openxmlformats.org/officeDocument/2006/relationships/hyperlink" Target="https://dym.asia/media/recruiting-contact/" TargetMode="External" Id="rId401"/><Relationship Type="http://schemas.openxmlformats.org/officeDocument/2006/relationships/hyperlink" Target="https://dym.asia/media/recruiting/humanities/" TargetMode="External" Id="rId402"/><Relationship Type="http://schemas.openxmlformats.org/officeDocument/2006/relationships/hyperlink" Target="https://dym.asia/media/recruiting-contact/" TargetMode="External" Id="rId403"/><Relationship Type="http://schemas.openxmlformats.org/officeDocument/2006/relationships/hyperlink" Target="https://dym.asia/media/recruiting/humanities/" TargetMode="External" Id="rId404"/><Relationship Type="http://schemas.openxmlformats.org/officeDocument/2006/relationships/hyperlink" Target="https://dym.asia/media/recruiting-contact/" TargetMode="External" Id="rId405"/><Relationship Type="http://schemas.openxmlformats.org/officeDocument/2006/relationships/hyperlink" Target="https://dym.asia/media/recruiting/independence/" TargetMode="External" Id="rId406"/><Relationship Type="http://schemas.openxmlformats.org/officeDocument/2006/relationships/hyperlink" Target="https://dym.asia/media/recruiting-contact/" TargetMode="External" Id="rId407"/><Relationship Type="http://schemas.openxmlformats.org/officeDocument/2006/relationships/hyperlink" Target="https://dym.asia/media/recruiting/industry-research/" TargetMode="External" Id="rId408"/><Relationship Type="http://schemas.openxmlformats.org/officeDocument/2006/relationships/hyperlink" Target="https://dym.asia/media/recruiting-contact/" TargetMode="External" Id="rId409"/><Relationship Type="http://schemas.openxmlformats.org/officeDocument/2006/relationships/hyperlink" Target="https://dym.asia/media/recruiting/infj/" TargetMode="External" Id="rId410"/><Relationship Type="http://schemas.openxmlformats.org/officeDocument/2006/relationships/hyperlink" Target="https://dym.asia/media/recruiting-contact/" TargetMode="External" Id="rId411"/><Relationship Type="http://schemas.openxmlformats.org/officeDocument/2006/relationships/hyperlink" Target="https://dym.asia/media/recruiting/infj/" TargetMode="External" Id="rId412"/><Relationship Type="http://schemas.openxmlformats.org/officeDocument/2006/relationships/hyperlink" Target="https://dym.asia/media/recruiting-contact/" TargetMode="External" Id="rId413"/><Relationship Type="http://schemas.openxmlformats.org/officeDocument/2006/relationships/hyperlink" Target="https://dym.asia/media/recruiting/infp/" TargetMode="External" Id="rId414"/><Relationship Type="http://schemas.openxmlformats.org/officeDocument/2006/relationships/hyperlink" Target="https://dym.asia/media/recruiting-contact/" TargetMode="External" Id="rId415"/><Relationship Type="http://schemas.openxmlformats.org/officeDocument/2006/relationships/hyperlink" Target="https://dym.asia/media/recruiting/infp/" TargetMode="External" Id="rId416"/><Relationship Type="http://schemas.openxmlformats.org/officeDocument/2006/relationships/hyperlink" Target="https://dym.asia/media/recruiting-contact/" TargetMode="External" Id="rId417"/><Relationship Type="http://schemas.openxmlformats.org/officeDocument/2006/relationships/hyperlink" Target="https://dym.asia/media/recruiting/infp/" TargetMode="External" Id="rId418"/><Relationship Type="http://schemas.openxmlformats.org/officeDocument/2006/relationships/hyperlink" Target="https://dym.asia/media/recruiting-contact/" TargetMode="External" Id="rId419"/><Relationship Type="http://schemas.openxmlformats.org/officeDocument/2006/relationships/hyperlink" Target="https://dym.asia/media/recruiting/internship-early-selection/" TargetMode="External" Id="rId420"/><Relationship Type="http://schemas.openxmlformats.org/officeDocument/2006/relationships/hyperlink" Target="https://dym.asia/media/recruiting/internship-merit/" TargetMode="External" Id="rId421"/><Relationship Type="http://schemas.openxmlformats.org/officeDocument/2006/relationships/hyperlink" Target="https://discussion.meetscompany.jp/1281/?_gl=1*1ptbztc*_ga*MTY1NDA3OTI2OC4xNzYwNTgxMjEy*_ga_ZXCZZJJ72V*czE3NjUzMzIxNzckbzE1JGcxJHQxNzY1MzQ1NTg2JGo1NSRsMCRoMA.." TargetMode="External" Id="rId422"/><Relationship Type="http://schemas.openxmlformats.org/officeDocument/2006/relationships/hyperlink" Target="https://dym.asia/media/recruiting/interview-practice/" TargetMode="External" Id="rId423"/><Relationship Type="http://schemas.openxmlformats.org/officeDocument/2006/relationships/hyperlink" Target="https://dym.asia/media/recruiting-contact/" TargetMode="External" Id="rId424"/><Relationship Type="http://schemas.openxmlformats.org/officeDocument/2006/relationships/hyperlink" Target="https://dym.asia/media/recruiting/intp/" TargetMode="External" Id="rId425"/><Relationship Type="http://schemas.openxmlformats.org/officeDocument/2006/relationships/hyperlink" Target="https://dym.asia/media/recruiting-contact/" TargetMode="External" Id="rId426"/><Relationship Type="http://schemas.openxmlformats.org/officeDocument/2006/relationships/hyperlink" Target="https://dym.asia/media/recruiting/intp/" TargetMode="External" Id="rId427"/><Relationship Type="http://schemas.openxmlformats.org/officeDocument/2006/relationships/hyperlink" Target="https://dym.asia/media/recruiting/intp/" TargetMode="External" Id="rId428"/><Relationship Type="http://schemas.openxmlformats.org/officeDocument/2006/relationships/hyperlink" Target="https://dym.asia/media/recruiting/intp/" TargetMode="External" Id="rId429"/><Relationship Type="http://schemas.openxmlformats.org/officeDocument/2006/relationships/hyperlink" Target="https://dym.asia/media/recruiting/isfj/" TargetMode="External" Id="rId430"/><Relationship Type="http://schemas.openxmlformats.org/officeDocument/2006/relationships/hyperlink" Target="https://dym.asia/media/recruiting/istj/" TargetMode="External" Id="rId431"/><Relationship Type="http://schemas.openxmlformats.org/officeDocument/2006/relationships/hyperlink" Target="https://dym.asia/media/recruiting-contact/" TargetMode="External" Id="rId432"/><Relationship Type="http://schemas.openxmlformats.org/officeDocument/2006/relationships/hyperlink" Target="https://dym.asia/media/recruiting/istj/" TargetMode="External" Id="rId433"/><Relationship Type="http://schemas.openxmlformats.org/officeDocument/2006/relationships/hyperlink" Target="https://dym.asia/media/recruiting/istj/" TargetMode="External" Id="rId434"/><Relationship Type="http://schemas.openxmlformats.org/officeDocument/2006/relationships/hyperlink" Target="https://dym.asia/media/recruiting/istp/" TargetMode="External" Id="rId435"/><Relationship Type="http://schemas.openxmlformats.org/officeDocument/2006/relationships/hyperlink" Target="https://dym.asia/media/recruiting-contact/" TargetMode="External" Id="rId436"/><Relationship Type="http://schemas.openxmlformats.org/officeDocument/2006/relationships/hyperlink" Target="https://dym.asia/media/recruiting/istp/" TargetMode="External" Id="rId437"/><Relationship Type="http://schemas.openxmlformats.org/officeDocument/2006/relationships/hyperlink" Target="https://dym.asia/media/recruiting/istp/" TargetMode="External" Id="rId438"/><Relationship Type="http://schemas.openxmlformats.org/officeDocument/2006/relationships/hyperlink" Target="https://dym.asia/media/recruiting/jobselect-important/" TargetMode="External" Id="rId439"/><Relationship Type="http://schemas.openxmlformats.org/officeDocument/2006/relationships/hyperlink" Target="https://dym.asia/media/recruiting-contact/" TargetMode="External" Id="rId440"/><Relationship Type="http://schemas.openxmlformats.org/officeDocument/2006/relationships/hyperlink" Target="https://dym.asia/media/recruiting/jobselect-important/" TargetMode="External" Id="rId441"/><Relationship Type="http://schemas.openxmlformats.org/officeDocument/2006/relationships/hyperlink" Target="https://dym.asia/media/recruiting/jobselect-important/" TargetMode="External" Id="rId442"/><Relationship Type="http://schemas.openxmlformats.org/officeDocument/2006/relationships/hyperlink" Target="https://dym.asia/media/recruiting/listing-personal/" TargetMode="External" Id="rId443"/><Relationship Type="http://schemas.openxmlformats.org/officeDocument/2006/relationships/hyperlink" Target="https://dym.asia/media/recruiting-contact/" TargetMode="External" Id="rId444"/><Relationship Type="http://schemas.openxmlformats.org/officeDocument/2006/relationships/hyperlink" Target="https://dym.asia/media/recruiting/maternity-leave-when/" TargetMode="External" Id="rId445"/><Relationship Type="http://schemas.openxmlformats.org/officeDocument/2006/relationships/hyperlink" Target="https://dym.asia/media/recruiting-contact/" TargetMode="External" Id="rId446"/><Relationship Type="http://schemas.openxmlformats.org/officeDocument/2006/relationships/hyperlink" Target="https://dym.asia/media/recruiting/mensetsu-practice-alone/" TargetMode="External" Id="rId447"/><Relationship Type="http://schemas.openxmlformats.org/officeDocument/2006/relationships/hyperlink" Target="https://dym.asia/media/recruiting-contact/" TargetMode="External" Id="rId448"/><Relationship Type="http://schemas.openxmlformats.org/officeDocument/2006/relationships/hyperlink" Target="https://dym.asia/media/recruiting/motivation-graph/" TargetMode="External" Id="rId449"/><Relationship Type="http://schemas.openxmlformats.org/officeDocument/2006/relationships/hyperlink" Target="https://dym.asia/media/recruiting-contact/" TargetMode="External" Id="rId450"/><Relationship Type="http://schemas.openxmlformats.org/officeDocument/2006/relationships/hyperlink" Target="https://dym.asia/media/recruiting/new-graduate-interview-manners/" TargetMode="External" Id="rId451"/><Relationship Type="http://schemas.openxmlformats.org/officeDocument/2006/relationships/hyperlink" Target="https://dym.asia/media/recruiting/new-graduate-interview-motivation/" TargetMode="External" Id="rId452"/><Relationship Type="http://schemas.openxmlformats.org/officeDocument/2006/relationships/hyperlink" Target="https://dym.asia/media/recruiting-contact/" TargetMode="External" Id="rId453"/><Relationship Type="http://schemas.openxmlformats.org/officeDocument/2006/relationships/hyperlink" Target="https://dym.asia/media/recruiting/new-graduate-interview-questions/" TargetMode="External" Id="rId454"/><Relationship Type="http://schemas.openxmlformats.org/officeDocument/2006/relationships/hyperlink" Target="https://dym.asia/media/recruiting/new-graduate-self-introduction/" TargetMode="External" Id="rId455"/><Relationship Type="http://schemas.openxmlformats.org/officeDocument/2006/relationships/hyperlink" Target="https://dym.asia/media/recruiting-contact/" TargetMode="External" Id="rId456"/><Relationship Type="http://schemas.openxmlformats.org/officeDocument/2006/relationships/hyperlink" Target="https://dym.asia/media/recruiting/new-graduate-taking-job-hunting-year/" TargetMode="External" Id="rId457"/><Relationship Type="http://schemas.openxmlformats.org/officeDocument/2006/relationships/hyperlink" Target="https://dym.asia/media/recruiting/new-graduate-taking-job-hunting-year/" TargetMode="External" Id="rId458"/><Relationship Type="http://schemas.openxmlformats.org/officeDocument/2006/relationships/hyperlink" Target="https://dym.asia/media/recruiting/new-graduate-treated-when/" TargetMode="External" Id="rId459"/><Relationship Type="http://schemas.openxmlformats.org/officeDocument/2006/relationships/hyperlink" Target="https://dym.asia/media/recruiting-contact/" TargetMode="External" Id="rId460"/><Relationship Type="http://schemas.openxmlformats.org/officeDocument/2006/relationships/hyperlink" Target="https://dym.asia/media/recruiting/new-graduate-venture/" TargetMode="External" Id="rId461"/><Relationship Type="http://schemas.openxmlformats.org/officeDocument/2006/relationships/hyperlink" Target="https://dym.asia/media/recruiting-contact/" TargetMode="External" Id="rId462"/><Relationship Type="http://schemas.openxmlformats.org/officeDocument/2006/relationships/hyperlink" Target="https://dym.asia/media/recruiting/new-graduation-agent-scientific/" TargetMode="External" Id="rId463"/><Relationship Type="http://schemas.openxmlformats.org/officeDocument/2006/relationships/hyperlink" Target="https://dym.asia/media/recruiting-contact/" TargetMode="External" Id="rId464"/><Relationship Type="http://schemas.openxmlformats.org/officeDocument/2006/relationships/hyperlink" Target="https://dym.asia/media/recruiting/non-regular-employment-female/" TargetMode="External" Id="rId465"/><Relationship Type="http://schemas.openxmlformats.org/officeDocument/2006/relationships/hyperlink" Target="https://dym.asia/media/recruiting-contact/" TargetMode="External" Id="rId466"/><Relationship Type="http://schemas.openxmlformats.org/officeDocument/2006/relationships/hyperlink" Target="https://dym.asia/media/recruiting/office-workers/" TargetMode="External" Id="rId467"/><Relationship Type="http://schemas.openxmlformats.org/officeDocument/2006/relationships/hyperlink" Target="https://dym.asia/media/recruiting-contact/" TargetMode="External" Id="rId468"/><Relationship Type="http://schemas.openxmlformats.org/officeDocument/2006/relationships/hyperlink" Target="https://dym.asia/media/recruiting/office-workers/" TargetMode="External" Id="rId469"/><Relationship Type="http://schemas.openxmlformats.org/officeDocument/2006/relationships/hyperlink" Target="https://dym.asia/media/recruiting/online-session-wearing-no-note/" TargetMode="External" Id="rId470"/><Relationship Type="http://schemas.openxmlformats.org/officeDocument/2006/relationships/hyperlink" Target="https://dym.asia/media/recruiting-contact/" TargetMode="External" Id="rId471"/><Relationship Type="http://schemas.openxmlformats.org/officeDocument/2006/relationships/hyperlink" Target="https://dym.asia/media/recruiting/online-session-wearing-no-note/" TargetMode="External" Id="rId472"/><Relationship Type="http://schemas.openxmlformats.org/officeDocument/2006/relationships/hyperlink" Target="https://dym.asia/media/recruiting/online-session-wearing/" TargetMode="External" Id="rId473"/><Relationship Type="http://schemas.openxmlformats.org/officeDocument/2006/relationships/hyperlink" Target="https://dym.asia/media/recruiting-contact/" TargetMode="External" Id="rId474"/><Relationship Type="http://schemas.openxmlformats.org/officeDocument/2006/relationships/hyperlink" Target="https://dym.asia/media/recruiting/online-session-wearing/" TargetMode="External" Id="rId475"/><Relationship Type="http://schemas.openxmlformats.org/officeDocument/2006/relationships/hyperlink" Target="https://dym.asia/media/recruiting/part-time-advisor/" TargetMode="External" Id="rId476"/><Relationship Type="http://schemas.openxmlformats.org/officeDocument/2006/relationships/hyperlink" Target="https://dym.asia/media/recruiting-contact/" TargetMode="External" Id="rId477"/><Relationship Type="http://schemas.openxmlformats.org/officeDocument/2006/relationships/hyperlink" Target="https://dym.asia/media/recruiting/programmer-outsourcing/" TargetMode="External" Id="rId478"/><Relationship Type="http://schemas.openxmlformats.org/officeDocument/2006/relationships/hyperlink" Target="https://dym.asia/media/recruiting-contact/" TargetMode="External" Id="rId479"/><Relationship Type="http://schemas.openxmlformats.org/officeDocument/2006/relationships/hyperlink" Target="https://dym.asia/media/recruiting/qualification/" TargetMode="External" Id="rId480"/><Relationship Type="http://schemas.openxmlformats.org/officeDocument/2006/relationships/hyperlink" Target="https://dym.asia/media/recruiting-contact/" TargetMode="External" Id="rId481"/><Relationship Type="http://schemas.openxmlformats.org/officeDocument/2006/relationships/hyperlink" Target="https://dym.asia/media/recruiting/rirekisho-photo-manner/" TargetMode="External" Id="rId482"/><Relationship Type="http://schemas.openxmlformats.org/officeDocument/2006/relationships/hyperlink" Target="https://dym.asia/media/recruiting-contact/" TargetMode="External" Id="rId483"/><Relationship Type="http://schemas.openxmlformats.org/officeDocument/2006/relationships/hyperlink" Target="https://dym.asia/media/recruiting/self-introduction/" TargetMode="External" Id="rId484"/><Relationship Type="http://schemas.openxmlformats.org/officeDocument/2006/relationships/hyperlink" Target="https://dym.asia/media/recruiting-contact/" TargetMode="External" Id="rId485"/><Relationship Type="http://schemas.openxmlformats.org/officeDocument/2006/relationships/hyperlink" Target="https://dym.asia/media/recruiting/sellers-market/" TargetMode="External" Id="rId486"/><Relationship Type="http://schemas.openxmlformats.org/officeDocument/2006/relationships/hyperlink" Target="https://dym.asia/media/recruiting-contact/" TargetMode="External" Id="rId487"/><Relationship Type="http://schemas.openxmlformats.org/officeDocument/2006/relationships/hyperlink" Target="https://dym.asia/media/recruiting/session-bag/" TargetMode="External" Id="rId488"/><Relationship Type="http://schemas.openxmlformats.org/officeDocument/2006/relationships/hyperlink" Target="https://dym.asia/media/recruiting-contact/" TargetMode="External" Id="rId489"/><Relationship Type="http://schemas.openxmlformats.org/officeDocument/2006/relationships/hyperlink" Target="https://dym.asia/media/recruiting/session-casual/" TargetMode="External" Id="rId490"/><Relationship Type="http://schemas.openxmlformats.org/officeDocument/2006/relationships/hyperlink" Target="https://dym.asia/media/recruiting-contact/" TargetMode="External" Id="rId491"/><Relationship Type="http://schemas.openxmlformats.org/officeDocument/2006/relationships/hyperlink" Target="https://dym.asia/media/recruiting/session-wearing/" TargetMode="External" Id="rId492"/><Relationship Type="http://schemas.openxmlformats.org/officeDocument/2006/relationships/hyperlink" Target="https://dym.asia/media/recruiting-contact/" TargetMode="External" Id="rId493"/><Relationship Type="http://schemas.openxmlformats.org/officeDocument/2006/relationships/hyperlink" Target="https://dym.asia/media/recruiting/session-wearing/" TargetMode="External" Id="rId494"/><Relationship Type="http://schemas.openxmlformats.org/officeDocument/2006/relationships/hyperlink" Target="https://dym.asia/media/recruiting-contact/" TargetMode="External" Id="rId495"/><Relationship Type="http://schemas.openxmlformats.org/officeDocument/2006/relationships/hyperlink" Target="https://dym.asia/media/recruiting/session-when-arrive/" TargetMode="External" Id="rId496"/><Relationship Type="http://schemas.openxmlformats.org/officeDocument/2006/relationships/hyperlink" Target="https://dym.asia/media/recruiting-contact/" TargetMode="External" Id="rId497"/><Relationship Type="http://schemas.openxmlformats.org/officeDocument/2006/relationships/hyperlink" Target="https://dym.asia/media/recruiting/shokumu-keirekisho-complete-guide/" TargetMode="External" Id="rId498"/><Relationship Type="http://schemas.openxmlformats.org/officeDocument/2006/relationships/hyperlink" Target="https://dym.asia/media/recruiting/strengths/" TargetMode="External" Id="rId499"/><Relationship Type="http://schemas.openxmlformats.org/officeDocument/2006/relationships/hyperlink" Target="https://dym.asia/media/recruiting/strengths/" TargetMode="External" Id="rId500"/><Relationship Type="http://schemas.openxmlformats.org/officeDocument/2006/relationships/hyperlink" Target="https://dym.asia/media/recruiting/venture-company/" TargetMode="External" Id="rId501"/><Relationship Type="http://schemas.openxmlformats.org/officeDocument/2006/relationships/hyperlink" Target="https://dym.asia/media/recruiting-contact/" TargetMode="External" Id="rId502"/><Relationship Type="http://schemas.openxmlformats.org/officeDocument/2006/relationships/hyperlink" Target="https://dym.asia/media/recruiting/voluntary-unemployment-insurance/" TargetMode="External" Id="rId503"/><Relationship Type="http://schemas.openxmlformats.org/officeDocument/2006/relationships/hyperlink" Target="https://dym.asia/media/recruiting-contact/" TargetMode="External" Id="rId504"/><Relationship Type="http://schemas.openxmlformats.org/officeDocument/2006/relationships/hyperlink" Target="https://dym.asia/media/recruiting/woman-highschool-graduation/" TargetMode="External" Id="rId505"/><Relationship Type="http://schemas.openxmlformats.org/officeDocument/2006/relationships/hyperlink" Target="https://dym.asia/media/recruiting-contact/" TargetMode="External" Id="rId506"/><Relationship Type="http://schemas.openxmlformats.org/officeDocument/2006/relationships/hyperlink" Target="https://discussion.meetscompany.jp/1281/?_gl=1*1ptbztc*_ga*MTY1NDA3OTI2OC4xNzYwNTgxMjEy*_ga_ZXCZZJJ72V*czE3NjUzMzIxNzckbzE1JGcxJHQxNzY1MzQ1NTg2JGo1NSRsMCRoMA.." TargetMode="External" Id="rId507"/><Relationship Type="http://schemas.openxmlformats.org/officeDocument/2006/relationships/hyperlink" Target="https://talk.dshu.jp/6838/?_gl=1*1ptbztc*_ga*MTY1NDA3OTI2OC4xNzYwNTgxMjEy*_ga_ZXCZZJJ72V*czE3NjUzMzIxNzckbzE1JGcxJHQxNzY1MzQ1NTg2JGo1NSRsMCRoMA.." TargetMode="External" Id="rId508"/><Relationship Type="http://schemas.openxmlformats.org/officeDocument/2006/relationships/hyperlink" Target="https://dym.asia/media/recruiting-contact/" TargetMode="External" Id="rId509"/><Relationship Type="http://schemas.openxmlformats.org/officeDocument/2006/relationships/hyperlink" Target="https://dym.asia/media/recruiting-contact/" TargetMode="External" Id="rId510"/></Relationships>
</file>

<file path=xl/worksheets/_rels/sheet5.xml.rels><Relationships xmlns="http://schemas.openxmlformats.org/package/2006/relationships"><Relationship Type="http://schemas.openxmlformats.org/officeDocument/2006/relationships/hyperlink" Target="https://dym.asia/services/web-promotion/listing/" TargetMode="External" Id="rId1"/><Relationship Type="http://schemas.openxmlformats.org/officeDocument/2006/relationships/hyperlink" Target="https://dym.asia/services/web-promotion/seo/" TargetMode="External" Id="rId2"/><Relationship Type="http://schemas.openxmlformats.org/officeDocument/2006/relationships/hyperlink" Target="https://dym.asia/services/web-promotion/sns-ads/" TargetMode="External" Id="rId3"/><Relationship Type="http://schemas.openxmlformats.org/officeDocument/2006/relationships/hyperlink" Target="https://dym.asia/services/web-promotion/dsp-native-ads/" TargetMode="External" Id="rId4"/><Relationship Type="http://schemas.openxmlformats.org/officeDocument/2006/relationships/hyperlink" Target="https://dym.asia/services/web-promotion/affiliate/" TargetMode="External" Id="rId5"/><Relationship Type="http://schemas.openxmlformats.org/officeDocument/2006/relationships/hyperlink" Target="https://dym.asia/services/web-promotion/production-operation/" TargetMode="External" Id="rId6"/><Relationship Type="http://schemas.openxmlformats.org/officeDocument/2006/relationships/hyperlink" Target="https://dym.asia/services/web-promotion/sns-consulting/" TargetMode="External" Id="rId7"/><Relationship Type="http://schemas.openxmlformats.org/officeDocument/2006/relationships/hyperlink" Target="https://dym.asia/services/web-promotion/line-official-account/" TargetMode="External" Id="rId8"/><Relationship Type="http://schemas.openxmlformats.org/officeDocument/2006/relationships/hyperlink" Target="https://dym.asia/services/web-promotion/meo/" TargetMode="External" Id="rId9"/><Relationship Type="http://schemas.openxmlformats.org/officeDocument/2006/relationships/hyperlink" Target="https://dym.asia/services/web-promotion/talents-share/" TargetMode="External" Id="rId10"/><Relationship Type="http://schemas.openxmlformats.org/officeDocument/2006/relationships/hyperlink" Target="https://dym.asia/services/web-promotion/talents-share/ai-cast/" TargetMode="External" Id="rId11"/><Relationship Type="http://schemas.openxmlformats.org/officeDocument/2006/relationships/hyperlink" Target="https://dym.asia/services/web-promotion/thailand/" TargetMode="External" Id="rId12"/><Relationship Type="http://schemas.openxmlformats.org/officeDocument/2006/relationships/hyperlink" Target="https://dym.asia/services/new-graduates/new-graduate-recruitment/" TargetMode="External" Id="rId13"/><Relationship Type="http://schemas.openxmlformats.org/officeDocument/2006/relationships/hyperlink" Target="https://dym.asia/services/new-graduates/dym-tech/" TargetMode="External" Id="rId14"/><Relationship Type="http://schemas.openxmlformats.org/officeDocument/2006/relationships/hyperlink" Target="https://dym.asia/services/new-graduates/exe-part/" TargetMode="External" Id="rId15"/><Relationship Type="http://schemas.openxmlformats.org/officeDocument/2006/relationships/hyperlink" Target="https://dym.asia/services/new-graduates/ready-career/" TargetMode="External" Id="rId16"/><Relationship Type="http://schemas.openxmlformats.org/officeDocument/2006/relationships/hyperlink" Target="https://dym.asia/services/new-graduates/Former-graduate/" TargetMode="External" Id="rId17"/><Relationship Type="http://schemas.openxmlformats.org/officeDocument/2006/relationships/hyperlink" Target="https://dym.asia/services/new-graduates/with-disabilities/" TargetMode="External" Id="rId18"/><Relationship Type="http://schemas.openxmlformats.org/officeDocument/2006/relationships/hyperlink" Target="https://dym.asia/services/new-graduates/high-class/" TargetMode="External" Id="rId19"/><Relationship Type="http://schemas.openxmlformats.org/officeDocument/2006/relationships/hyperlink" Target="https://dym.asia/services/new-graduates/welfare/" TargetMode="External" Id="rId20"/><Relationship Type="http://schemas.openxmlformats.org/officeDocument/2006/relationships/hyperlink" Target="https://dym.asia/services/new-graduates/development-training/" TargetMode="External" Id="rId21"/><Relationship Type="http://schemas.openxmlformats.org/officeDocument/2006/relationships/hyperlink" Target="https://dym.asia/services/new-graduates/care-haken/" TargetMode="External" Id="rId22"/><Relationship Type="http://schemas.openxmlformats.org/officeDocument/2006/relationships/hyperlink" Target="https://dym.asia/services/new-graduates/recruitment-thailand/" TargetMode="External" Id="rId23"/><Relationship Type="http://schemas.openxmlformats.org/officeDocument/2006/relationships/hyperlink" Target="https://dym.asia/services/hr-tech/indeed/" TargetMode="External" Id="rId24"/><Relationship Type="http://schemas.openxmlformats.org/officeDocument/2006/relationships/hyperlink" Target="https://dym.asia/services/hr-tech/stanby/" TargetMode="External" Id="rId25"/><Relationship Type="http://schemas.openxmlformats.org/officeDocument/2006/relationships/hyperlink" Target="https://dym.asia/services/hr-tech/kyujinbox/" TargetMode="External" Id="rId26"/><Relationship Type="http://schemas.openxmlformats.org/officeDocument/2006/relationships/hyperlink" Target="https://dym.asia/services/hr-tech/rakusai/" TargetMode="External" Id="rId27"/><Relationship Type="http://schemas.openxmlformats.org/officeDocument/2006/relationships/hyperlink" Target="https://dym.asia/services/hr-tech/aishow-plus/" TargetMode="External" Id="rId28"/><Relationship Type="http://schemas.openxmlformats.org/officeDocument/2006/relationships/hyperlink" Target="https://dym.asia/services/hr-tech/offshore-development/" TargetMode="External" Id="rId29"/><Relationship Type="http://schemas.openxmlformats.org/officeDocument/2006/relationships/hyperlink" Target="https://dym.asia/services/hr-tech/office-work-outsourcing/" TargetMode="External" Id="rId30"/><Relationship Type="http://schemas.openxmlformats.org/officeDocument/2006/relationships/hyperlink" Target="https://dym.asia/services/m&amp;a/consulting/" TargetMode="External" Id="rId31"/><Relationship Type="http://schemas.openxmlformats.org/officeDocument/2006/relationships/hyperlink" Target="https://dym.asia/services/mdining/intellctuary/" TargetMode="External" Id="rId32"/><Relationship Type="http://schemas.openxmlformats.org/officeDocument/2006/relationships/hyperlink" Target="https://dym.asia/services/mdining/tokyoramen/" TargetMode="External" Id="rId33"/><Relationship Type="http://schemas.openxmlformats.org/officeDocument/2006/relationships/hyperlink" Target="https://dym.asia/services/sports/" TargetMode="External" Id="rId34"/><Relationship Type="http://schemas.openxmlformats.org/officeDocument/2006/relationships/hyperlink" Target="https://dym.asia/services/m&amp;a/investment/" TargetMode="External" Id="rId35"/><Relationship Type="http://schemas.openxmlformats.org/officeDocument/2006/relationships/hyperlink" Target="https://dym.asia/services/medicine/vietnam-clinic/" TargetMode="External" Id="rId36"/><Relationship Type="http://schemas.openxmlformats.org/officeDocument/2006/relationships/hyperlink" Target="https://dym.asia/services/medicine/thailand-clinic/" TargetMode="External" Id="rId37"/><Relationship Type="http://schemas.openxmlformats.org/officeDocument/2006/relationships/hyperlink" Target="https://dym.asia/services/medicine/america-clinic/" TargetMode="External" Id="rId38"/><Relationship Type="http://schemas.openxmlformats.org/officeDocument/2006/relationships/hyperlink" Target="https://dym.asia/services/medicine/hongkong/" TargetMode="External" Id="rId39"/><Relationship Type="http://schemas.openxmlformats.org/officeDocument/2006/relationships/hyperlink" Target="https://dym.asia/services/medicine/indonesia-clinic/" TargetMode="External" Id="rId40"/><Relationship Type="http://schemas.openxmlformats.org/officeDocument/2006/relationships/hyperlink" Target="https://dym.asia/services/new-business/relocation/" TargetMode="External" Id="rId41"/><Relationship Type="http://schemas.openxmlformats.org/officeDocument/2006/relationships/hyperlink" Target="https://talk.dshu.jp/6838/" TargetMode="External" Id="rId42"/><Relationship Type="http://schemas.openxmlformats.org/officeDocument/2006/relationships/hyperlink" Target="https://talk.dshu.jp/6902/?_gl=1*5a2ft8*_ga*OTIzNDQyOTM3LjE3NDMwNDAwMTI.*_ga_ZXCZZJJ72V*czE3NjgzODI1OTIkbzE0NCRnMSR0MTc2ODM4NDE0OSRqNTkkbDAkaDA." TargetMode="External" Id="rId43"/><Relationship Type="http://schemas.openxmlformats.org/officeDocument/2006/relationships/hyperlink" Target="https://dym.asia/exepart/lp2/" TargetMode="External" Id="rId44"/><Relationship Type="http://schemas.openxmlformats.org/officeDocument/2006/relationships/hyperlink" Target="https://dymtech.jp/2859/?_gl=1*5a2ft8*_ga*OTIzNDQyOTM3LjE3NDMwNDAwMTI.*_ga_ZXCZZJJ72V*czE3NjgzODI1OTIkbzE0NCRnMSR0MTc2ODM4NDE0OSRqNTkkbDAkaDA." TargetMode="External" Id="rId45"/><Relationship Type="http://schemas.openxmlformats.org/officeDocument/2006/relationships/hyperlink" Target="https://dymtech.jp/2865/?_gl=1*5a2ft8*_ga*OTIzNDQyOTM3LjE3NDMwNDAwMTI.*_ga_ZXCZZJJ72V*czE3NjgzODI1OTIkbzE0NCRnMSR0MTc2ODM4NDE0OSRqNTkkbDAkaDA." TargetMode="External" Id="rId46"/><Relationship Type="http://schemas.openxmlformats.org/officeDocument/2006/relationships/hyperlink" Target="https://dymcareer.jp/engineer/dymtech-hp/?_gl=1*1cw0gma*_ga*OTIzNDQyOTM3LjE3NDMwNDAwMTI.*_ga_ZXCZZJJ72V*czE3NjgzODI1OTIkbzE0NCRnMSR0MTc2ODM4NDE2MCRqNDgkbDAkaDA." TargetMode="External" Id="rId47"/><Relationship Type="http://schemas.openxmlformats.org/officeDocument/2006/relationships/hyperlink" Target="https://dymcareer.jp/ready_career-lp_dym-asia/?_gl=1*1cw0gma*_ga*OTIzNDQyOTM3LjE3NDMwNDAwMTI.*_ga_ZXCZZJJ72V*czE3NjgzODI1OTIkbzE0NCRnMSR0MTc2ODM4NDE2MCRqNDgkbDAkaDA." TargetMode="External" Id="rId48"/><Relationship Type="http://schemas.openxmlformats.org/officeDocument/2006/relationships/hyperlink" Target="https://worksbarrierfree.jp/lpchp01/?_gl=1*1cw0gma*_ga*OTIzNDQyOTM3LjE3NDMwNDAwMTI.*_ga_ZXCZZJJ72V*czE3NjgzODI1OTIkbzE0NCRnMSR0MTc2ODM4NDE2MCRqNDgkbDAkaDA." TargetMode="External" Id="rId49"/><Relationship Type="http://schemas.openxmlformats.org/officeDocument/2006/relationships/hyperlink" Target="https://dymcareer.jp/dymcare-lphp01/?_gl=1*1cw0gma*_ga*OTIzNDQyOTM3LjE3NDMwNDAwMTI.*_ga_ZXCZZJJ72V*czE3NjgzODI1OTIkbzE0NCRnMSR0MTc2ODM4NDE2MCRqNDgkbDAkaDA." TargetMode="External" Id="rId50"/><Relationship Type="http://schemas.openxmlformats.org/officeDocument/2006/relationships/hyperlink" Target="https://tssa.jp/" TargetMode="External" Id="rId51"/></Relationships>
</file>

<file path=xl/worksheets/_rels/sheet6.xml.rels><Relationships xmlns="http://schemas.openxmlformats.org/package/2006/relationships"><Relationship Type="http://schemas.openxmlformats.org/officeDocument/2006/relationships/hyperlink" Target="https://dym.asia/media/thailand-health-insurance/" TargetMode="External" Id="rId1"/><Relationship Type="http://schemas.openxmlformats.org/officeDocument/2006/relationships/hyperlink" Target="https://dym.asia/media/vietnam-hospital-cost/" TargetMode="External" Id="rId2"/><Relationship Type="http://schemas.openxmlformats.org/officeDocument/2006/relationships/hyperlink" Target="https://dym.asia/media/thailand_healthcare/" TargetMode="External" Id="rId3"/><Relationship Type="http://schemas.openxmlformats.org/officeDocument/2006/relationships/hyperlink" Target="https://dym.asia/media/hanoi-hospital-japanese/" TargetMode="External" Id="rId4"/><Relationship Type="http://schemas.openxmlformats.org/officeDocument/2006/relationships/hyperlink" Target="https://dym.asia/media/vietnam-health-insurance/" TargetMode="External" Id="rId5"/><Relationship Type="http://schemas.openxmlformats.org/officeDocument/2006/relationships/hyperlink" Target="https://dym.asia/media/vietnam-insurance/" TargetMode="External" Id="rId6"/><Relationship Type="http://schemas.openxmlformats.org/officeDocument/2006/relationships/hyperlink" Target="https://dym.asia/media/america-hospital-cost/" TargetMode="External" Id="rId7"/><Relationship Type="http://schemas.openxmlformats.org/officeDocument/2006/relationships/hyperlink" Target="https://dym.asia/media/new-york-hospital-cost/" TargetMode="External" Id="rId8"/><Relationship Type="http://schemas.openxmlformats.org/officeDocument/2006/relationships/hyperlink" Target="https://dym.asia/media/vietnam_healthcare/" TargetMode="External" Id="rId9"/><Relationship Type="http://schemas.openxmlformats.org/officeDocument/2006/relationships/hyperlink" Target="https://dym.asia/media/america-insurance/" TargetMode="External" Id="rId10"/><Relationship Type="http://schemas.openxmlformats.org/officeDocument/2006/relationships/hyperlink" Target="https://dym.asia/media/thailand-vaccine-before-traveling/" TargetMode="External" Id="rId11"/><Relationship Type="http://schemas.openxmlformats.org/officeDocument/2006/relationships/hyperlink" Target="https://dym.asia/contact/?sid=681795991" TargetMode="External" Id="rId12"/><Relationship Type="http://schemas.openxmlformats.org/officeDocument/2006/relationships/hyperlink" Target="https://dym.asia/media/hongkong-hospital-japanese/" TargetMode="External" Id="rId13"/><Relationship Type="http://schemas.openxmlformats.org/officeDocument/2006/relationships/hyperlink" Target="https://dym.asia/media/hongkong-hospital-cost/" TargetMode="External" Id="rId14"/><Relationship Type="http://schemas.openxmlformats.org/officeDocument/2006/relationships/hyperlink" Target="https://dym.asia/media/america-health-insurance/" TargetMode="External" Id="rId15"/><Relationship Type="http://schemas.openxmlformats.org/officeDocument/2006/relationships/hyperlink" Target="https://dym.asia/media/thailand-hospital-cost/" TargetMode="External" Id="rId16"/><Relationship Type="http://schemas.openxmlformats.org/officeDocument/2006/relationships/hyperlink" Target="https://dym.asia/media/thailand-hospital-japanese/" TargetMode="External" Id="rId17"/><Relationship Type="http://schemas.openxmlformats.org/officeDocument/2006/relationships/hyperlink" Target="https://dym.asia/media/thailand-insurance/" TargetMode="External" Id="rId18"/><Relationship Type="http://schemas.openxmlformats.org/officeDocument/2006/relationships/hyperlink" Target="https://dym.asia/media/hongkong-health-insurance/" TargetMode="External" Id="rId19"/><Relationship Type="http://schemas.openxmlformats.org/officeDocument/2006/relationships/hyperlink" Target="https://dym.asia/media/hongkong-insurance/" TargetMode="External" Id="rId20"/><Relationship Type="http://schemas.openxmlformats.org/officeDocument/2006/relationships/hyperlink" Target="https://dym.asia/media/inbound_call/" TargetMode="External" Id="rId21"/><Relationship Type="http://schemas.openxmlformats.org/officeDocument/2006/relationships/hyperlink" Target="https://dym.asia/media/indeed_advertisement/" TargetMode="External" Id="rId22"/><Relationship Type="http://schemas.openxmlformats.org/officeDocument/2006/relationships/hyperlink" Target="https://dym.asia/media/thailand_bangkok_health_checkup/" TargetMode="External" Id="rId23"/><Relationship Type="http://schemas.openxmlformats.org/officeDocument/2006/relationships/hyperlink" Target="https://dym.asia/media/vietnam-hospital-japanese/" TargetMode="External" Id="rId24"/><Relationship Type="http://schemas.openxmlformats.org/officeDocument/2006/relationships/hyperlink" Target="https://dym.asia/media/bangkok_healthcare/" TargetMode="External" Id="rId25"/><Relationship Type="http://schemas.openxmlformats.org/officeDocument/2006/relationships/hyperlink" Target="https://dym.asia/media/hong_kong_healthcare/" TargetMode="External" Id="rId26"/><Relationship Type="http://schemas.openxmlformats.org/officeDocument/2006/relationships/hyperlink" Target="https://dym.asia/media/new-york-insurance/" TargetMode="External" Id="rId27"/><Relationship Type="http://schemas.openxmlformats.org/officeDocument/2006/relationships/hyperlink" Target="https://dym.asia/media/ho-chi-minh-hospital-japanese/" TargetMode="External" Id="rId28"/><Relationship Type="http://schemas.openxmlformats.org/officeDocument/2006/relationships/hyperlink" Target="https://dym.asia/media/health-check-tumor-marker/" TargetMode="External" Id="rId29"/><Relationship Type="http://schemas.openxmlformats.org/officeDocument/2006/relationships/hyperlink" Target="https://dym.asia/media/ho-chi-minh-insurance/" TargetMode="External" Id="rId30"/><Relationship Type="http://schemas.openxmlformats.org/officeDocument/2006/relationships/hyperlink" Target="https://dym.asia/media/with-disabilities-recruitment-manager/" TargetMode="External" Id="rId31"/><Relationship Type="http://schemas.openxmlformats.org/officeDocument/2006/relationships/hyperlink" Target="https://dym.asia/media/potenza/" TargetMode="External" Id="rId32"/><Relationship Type="http://schemas.openxmlformats.org/officeDocument/2006/relationships/hyperlink" Target="https://dym.asia/media/health-checkup-upon-employment/" TargetMode="External" Id="rId33"/><Relationship Type="http://schemas.openxmlformats.org/officeDocument/2006/relationships/hyperlink" Target="https://dym.asia/media/parttime-fulltime-employee-differences/" TargetMode="External" Id="rId34"/><Relationship Type="http://schemas.openxmlformats.org/officeDocument/2006/relationships/hyperlink" Target="https://dym.asia/media/thorough-physical-checkup-50s/" TargetMode="External" Id="rId35"/><Relationship Type="http://schemas.openxmlformats.org/officeDocument/2006/relationships/hyperlink" Target="https://dym.asia/media/fasting/" TargetMode="External" Id="rId36"/><Relationship Type="http://schemas.openxmlformats.org/officeDocument/2006/relationships/hyperlink" Target="https://dym.asia/media/thorough-physical-checkup-30s/" TargetMode="External" Id="rId37"/><Relationship Type="http://schemas.openxmlformats.org/officeDocument/2006/relationships/hyperlink" Target="https://dym.asia/contact/?sid=681795991" TargetMode="External" Id="rId38"/><Relationship Type="http://schemas.openxmlformats.org/officeDocument/2006/relationships/hyperlink" Target="https://dym.asia/media/thorough-physical-checkup-40s/" TargetMode="External" Id="rId39"/><Relationship Type="http://schemas.openxmlformats.org/officeDocument/2006/relationships/hyperlink" Target="https://dym.asia/contact/?sid=681795991" TargetMode="External" Id="rId40"/><Relationship Type="http://schemas.openxmlformats.org/officeDocument/2006/relationships/hyperlink" Target="https://dym.asia/media/thorough-physical-checkup/" TargetMode="External" Id="rId41"/><Relationship Type="http://schemas.openxmlformats.org/officeDocument/2006/relationships/hyperlink" Target="https://dym.asia/media/america-vaccine-before-traveling/" TargetMode="External" Id="rId42"/><Relationship Type="http://schemas.openxmlformats.org/officeDocument/2006/relationships/hyperlink" Target="https://dym.asia/media/complete-medical-blood-test/" TargetMode="External" Id="rId43"/><Relationship Type="http://schemas.openxmlformats.org/officeDocument/2006/relationships/hyperlink" Target="https://dym.asia/media/health-check-age/" TargetMode="External" Id="rId44"/><Relationship Type="http://schemas.openxmlformats.org/officeDocument/2006/relationships/hyperlink" Target="https://dym.asia/media/health-check-whole-body/" TargetMode="External" Id="rId45"/><Relationship Type="http://schemas.openxmlformats.org/officeDocument/2006/relationships/hyperlink" Target="https://dym.asia/contact/?sid=681795991" TargetMode="External" Id="rId46"/><Relationship Type="http://schemas.openxmlformats.org/officeDocument/2006/relationships/hyperlink" Target="https://dym.asia/media/health-check-20s/" TargetMode="External" Id="rId47"/><Relationship Type="http://schemas.openxmlformats.org/officeDocument/2006/relationships/hyperlink" Target="https://dym.asia/media/health-check-30s/" TargetMode="External" Id="rId48"/><Relationship Type="http://schemas.openxmlformats.org/officeDocument/2006/relationships/hyperlink" Target="https://dym.asia/media/thorough-physical-checkup-heart/" TargetMode="External" Id="rId49"/><Relationship Type="http://schemas.openxmlformats.org/officeDocument/2006/relationships/hyperlink" Target="https://dym.asia/media/thorough-physical-checkup-20s/" TargetMode="External" Id="rId50"/><Relationship Type="http://schemas.openxmlformats.org/officeDocument/2006/relationships/hyperlink" Target="https://dym.asia/contact/?sid=681795991" TargetMode="External" Id="rId51"/><Relationship Type="http://schemas.openxmlformats.org/officeDocument/2006/relationships/hyperlink" Target="https://dym.asia/media/thorough-physical-checkup-cancer-screening/" TargetMode="External" Id="rId52"/><Relationship Type="http://schemas.openxmlformats.org/officeDocument/2006/relationships/hyperlink" Target="https://dym.asia/contact/?sid=681795991" TargetMode="External" Id="rId53"/><Relationship Type="http://schemas.openxmlformats.org/officeDocument/2006/relationships/hyperlink" Target="https://dym.asia/media/thorough-physical-checkup-how-old/" TargetMode="External" Id="rId54"/><Relationship Type="http://schemas.openxmlformats.org/officeDocument/2006/relationships/hyperlink" Target="https://dym.asia/contact/?sid=681795991" TargetMode="External" Id="rId55"/><Relationship Type="http://schemas.openxmlformats.org/officeDocument/2006/relationships/hyperlink" Target="https://dym.asia/media/thorough-physical-checkup-items/" TargetMode="External" Id="rId56"/><Relationship Type="http://schemas.openxmlformats.org/officeDocument/2006/relationships/hyperlink" Target="https://dym.asia/media/thorough-physical-checkup-should/" TargetMode="External" Id="rId57"/><Relationship Type="http://schemas.openxmlformats.org/officeDocument/2006/relationships/hyperlink" Target="https://dym.asia/media/vietnam_hospital/" TargetMode="External" Id="rId58"/></Relationships>
</file>

<file path=xl/worksheets/_rels/sheet7.xml.rels><Relationships xmlns="http://schemas.openxmlformats.org/package/2006/relationships"><Relationship Type="http://schemas.openxmlformats.org/officeDocument/2006/relationships/hyperlink" Target="https://docs.google.com/spreadsheets/d/1YPeU3S9_NSmtbuTKzE6BWVgA7lACLa9VCa2cmkPm4iA/edit?usp=sharing" TargetMode="External" Id="rId1"/><Relationship Type="http://schemas.openxmlformats.org/officeDocument/2006/relationships/hyperlink" Target="https://www.willgate.co.jp/promonista/seo-how-to-start-it/" TargetMode="External" Id="rId2"/><Relationship Type="http://schemas.openxmlformats.org/officeDocument/2006/relationships/hyperlink" Target="https://www.willgate.co.jp/promonista/casestudy/mixi_recruitment/" TargetMode="External" Id="rId3"/><Relationship Type="http://schemas.openxmlformats.org/officeDocument/2006/relationships/hyperlink" Target="https://www.willgate.co.jp/promonista/glossary-index/" TargetMode="External" Id="rId4"/><Relationship Type="http://schemas.openxmlformats.org/officeDocument/2006/relationships/hyperlink" Target="https://www.willgate.co.jp/promonista/authoritativeness/" TargetMode="External" Id="rId5"/><Relationship Type="http://schemas.openxmlformats.org/officeDocument/2006/relationships/hyperlink" Target="https://www.willgate.co.jp/promonista/seo-ymyl/" TargetMode="External" Id="rId6"/><Relationship Type="http://schemas.openxmlformats.org/officeDocument/2006/relationships/hyperlink" Target="https://www.willgate.co.jp/promonista/blackhat-seo/" TargetMode="External" Id="rId7"/><Relationship Type="http://schemas.openxmlformats.org/officeDocument/2006/relationships/hyperlink" Target="https://www.willgate.co.jp/promonista/seo-duplicate-content/" TargetMode="External" Id="rId8"/><Relationship Type="http://schemas.openxmlformats.org/officeDocument/2006/relationships/hyperlink" Target="https://www.willgate.co.jp/promonista/html_xml_sitemap/" TargetMode="External" Id="rId9"/><Relationship Type="http://schemas.openxmlformats.org/officeDocument/2006/relationships/hyperlink" Target="https://www.willgate.co.jp/promonista/glossary-sitemapxml/" TargetMode="External" Id="rId10"/><Relationship Type="http://schemas.openxmlformats.org/officeDocument/2006/relationships/hyperlink" Target="https://www.willgate.co.jp/promonista/casestudy/optimisation-of-naibulink/" TargetMode="External" Id="rId11"/><Relationship Type="http://schemas.openxmlformats.org/officeDocument/2006/relationships/hyperlink" Target="https://www.willgate.co.jp/promonista/ssl/" TargetMode="External" Id="rId12"/><Relationship Type="http://schemas.openxmlformats.org/officeDocument/2006/relationships/hyperlink" Target="https://www.willgate.co.jp/promonista/title-number-of-characters/" TargetMode="External" Id="rId13"/><Relationship Type="http://schemas.openxmlformats.org/officeDocument/2006/relationships/hyperlink" Target="https://www.willgate.co.jp/promonista/seo-titletag/" TargetMode="External" Id="rId14"/><Relationship Type="http://schemas.openxmlformats.org/officeDocument/2006/relationships/hyperlink" Target="https://www.willgate.co.jp/promonista/page-speed/" TargetMode="External" Id="rId15"/><Relationship Type="http://schemas.openxmlformats.org/officeDocument/2006/relationships/hyperlink" Target="https://www.willgate.co.jp/promonista/googleanalytics-setting/" TargetMode="External" Id="rId16"/><Relationship Type="http://schemas.openxmlformats.org/officeDocument/2006/relationships/hyperlink" Target="https://www.willgate.co.jp/promonista/google-analytics-4/" TargetMode="External" Id="rId17"/><Relationship Type="http://schemas.openxmlformats.org/officeDocument/2006/relationships/hyperlink" Target="https://www.willgate.co.jp/promonista/internal-seo/" TargetMode="External" Id="rId18"/><Relationship Type="http://schemas.openxmlformats.org/officeDocument/2006/relationships/hyperlink" Target="https://www.willgate.co.jp/promonista/casestudy/atoffice/" TargetMode="External" Id="rId19"/><Relationship Type="http://schemas.openxmlformats.org/officeDocument/2006/relationships/hyperlink" Target="https://www.willgate.co.jp/promonista/seo-tool/" TargetMode="External" Id="rId20"/><Relationship Type="http://schemas.openxmlformats.org/officeDocument/2006/relationships/hyperlink" Target="https://www.willgate.co.jp/promonista/seo-word-count/" TargetMode="External" Id="rId21"/><Relationship Type="http://schemas.openxmlformats.org/officeDocument/2006/relationships/hyperlink" Target="https://www.willgate.co.jp/promonista/related-keywords/" TargetMode="External" Id="rId22"/><Relationship Type="http://schemas.openxmlformats.org/officeDocument/2006/relationships/hyperlink" Target="https://www.willgate.co.jp/promonista/nofollow/" TargetMode="External" Id="rId23"/><Relationship Type="http://schemas.openxmlformats.org/officeDocument/2006/relationships/hyperlink" Target="https://www.willgate.co.jp/promonista/seo-offpage/" TargetMode="External" Id="rId24"/><Relationship Type="http://schemas.openxmlformats.org/officeDocument/2006/relationships/hyperlink" Target="https://www.willgate.co.jp/promonista/seo-backlink/" TargetMode="External" Id="rId25"/><Relationship Type="http://schemas.openxmlformats.org/officeDocument/2006/relationships/hyperlink" Target="https://www.willgate.co.jp/promonista/seo-htag/" TargetMode="External" Id="rId26"/><Relationship Type="http://schemas.openxmlformats.org/officeDocument/2006/relationships/hyperlink" Target="https://www.willgate.co.jp/promonista/h1/" TargetMode="External" Id="rId27"/><Relationship Type="http://schemas.openxmlformats.org/officeDocument/2006/relationships/hyperlink" Target="https://www.willgate.co.jp/promonista/metadescription/" TargetMode="External" Id="rId28"/><Relationship Type="http://schemas.openxmlformats.org/officeDocument/2006/relationships/hyperlink" Target="https://www.willgate.co.jp/promonista/seo-coding/" TargetMode="External" Id="rId29"/><Relationship Type="http://schemas.openxmlformats.org/officeDocument/2006/relationships/hyperlink" Target="https://www.willgate.co.jp/promonista/seo-internal-links/" TargetMode="External" Id="rId30"/><Relationship Type="http://schemas.openxmlformats.org/officeDocument/2006/relationships/hyperlink" Target="https://www.willgate.co.jp/promonista/mobile-first-indexing/" TargetMode="External" Id="rId31"/><Relationship Type="http://schemas.openxmlformats.org/officeDocument/2006/relationships/hyperlink" Target="https://www.willgate.co.jp/promonista/seo-canonical/" TargetMode="External" Id="rId32"/><Relationship Type="http://schemas.openxmlformats.org/officeDocument/2006/relationships/hyperlink" Target="https://www.willgate.co.jp/promonista/url-normalization/" TargetMode="External" Id="rId33"/><Relationship Type="http://schemas.openxmlformats.org/officeDocument/2006/relationships/hyperlink" Target="https://www.willgate.co.jp/promonista/noindex/" TargetMode="External" Id="rId34"/><Relationship Type="http://schemas.openxmlformats.org/officeDocument/2006/relationships/hyperlink" Target="https://www.willgate.co.jp/promonista/seocompany_tokyo/" TargetMode="External" Id="rId35"/><Relationship Type="http://schemas.openxmlformats.org/officeDocument/2006/relationships/hyperlink" Target="https://mieru-ca.com/blog/seo-measures/" TargetMode="External" Id="rId36"/><Relationship Type="http://schemas.openxmlformats.org/officeDocument/2006/relationships/hyperlink" Target="https://mieru-ca.com/blog/website-plannning/" TargetMode="External" Id="rId37"/><Relationship Type="http://schemas.openxmlformats.org/officeDocument/2006/relationships/hyperlink" Target="https://mieru-ca.com/blog/internal-link/" TargetMode="External" Id="rId38"/><Relationship Type="http://schemas.openxmlformats.org/officeDocument/2006/relationships/hyperlink" Target="https://mieru-ca.com/blog/seo_title/" TargetMode="External" Id="rId39"/><Relationship Type="http://schemas.openxmlformats.org/officeDocument/2006/relationships/hyperlink" Target="https://mieru-ca.com/blog/meta-tag/" TargetMode="External" Id="rId40"/><Relationship Type="http://schemas.openxmlformats.org/officeDocument/2006/relationships/hyperlink" Target="https://mieru-ca.com/blog/description/" TargetMode="External" Id="rId41"/><Relationship Type="http://schemas.openxmlformats.org/officeDocument/2006/relationships/hyperlink" Target="https://mieru-ca.com/blog/proper-heading/" TargetMode="External" Id="rId42"/><Relationship Type="http://schemas.openxmlformats.org/officeDocument/2006/relationships/hyperlink" Target="https://mieru-ca.com/blog/what-is-breadcrumbs/" TargetMode="External" Id="rId43"/><Relationship Type="http://schemas.openxmlformats.org/officeDocument/2006/relationships/hyperlink" Target="https://mieru-ca.com/blog/structured-data-markup/" TargetMode="External" Id="rId44"/><Relationship Type="http://schemas.openxmlformats.org/officeDocument/2006/relationships/hyperlink" Target="https://mieru-ca.com/blog/seo-for-contents-of-article/" TargetMode="External" Id="rId45"/><Relationship Type="http://schemas.openxmlformats.org/officeDocument/2006/relationships/hyperlink" Target="https://mieru-ca.com/blog/html-tags/" TargetMode="External" Id="rId46"/><Relationship Type="http://schemas.openxmlformats.org/officeDocument/2006/relationships/hyperlink" Target="https://mieru-ca.com/blog/tag/onpage/" TargetMode="External" Id="rId47"/><Relationship Type="http://schemas.openxmlformats.org/officeDocument/2006/relationships/hyperlink" Target="https://mieru-ca.com/case/8190/" TargetMode="External" Id="rId48"/><Relationship Type="http://schemas.openxmlformats.org/officeDocument/2006/relationships/hyperlink" Target="https://mieru-ca.com/case/asianway/" TargetMode="External" Id="rId49"/><Relationship Type="http://schemas.openxmlformats.org/officeDocument/2006/relationships/hyperlink" Target="https://mieru-ca.com/blog/co-occurrence/" TargetMode="External" Id="rId50"/><Relationship Type="http://schemas.openxmlformats.org/officeDocument/2006/relationships/hyperlink" Target="https://mieru-ca.com/blog/external-link/" TargetMode="External" Id="rId51"/><Relationship Type="http://schemas.openxmlformats.org/officeDocument/2006/relationships/hyperlink" Target="https://www.youtube.com/watch?v=15uUa_hJWWk" TargetMode="External" Id="rId52"/><Relationship Type="http://schemas.openxmlformats.org/officeDocument/2006/relationships/hyperlink" Target="https://mieru-ca.com/blog/image_seo/" TargetMode="External" Id="rId53"/><Relationship Type="http://schemas.openxmlformats.org/officeDocument/2006/relationships/hyperlink" Target="https://mieru-ca.com/blog/chatgpt-seo/" TargetMode="External" Id="rId54"/><Relationship Type="http://schemas.openxmlformats.org/officeDocument/2006/relationships/hyperlink" Target="https://www.youtube.com/@mieruca-channel" TargetMode="External" Id="rId55"/><Relationship Type="http://schemas.openxmlformats.org/officeDocument/2006/relationships/hyperlink" Target="https://mieru-ca.com/blog/chatgpt-persona/" TargetMode="External" Id="rId56"/><Relationship Type="http://schemas.openxmlformats.org/officeDocument/2006/relationships/hyperlink" Target="https://mieru-ca.com/blog/competitor_research/" TargetMode="External" Id="rId57"/><Relationship Type="http://schemas.openxmlformats.org/officeDocument/2006/relationships/hyperlink" Target="https://mieru-ca.com/blog/google-suggest-keyword/" TargetMode="External" Id="rId58"/><Relationship Type="http://schemas.openxmlformats.org/officeDocument/2006/relationships/hyperlink" Target="https://mieru-ca.com/blog/in-house-seo/" TargetMode="External" Id="rId59"/><Relationship Type="http://schemas.openxmlformats.org/officeDocument/2006/relationships/hyperlink" Target="https://mieru-ca.com/blog/backlink-seo/" TargetMode="External" Id="rId60"/><Relationship Type="http://schemas.openxmlformats.org/officeDocument/2006/relationships/hyperlink" Target="https://mieru-ca.com/blog/seo-vender/" TargetMode="External" Id="rId61"/><Relationship Type="http://schemas.openxmlformats.org/officeDocument/2006/relationships/hyperlink" Target="https://mieru-ca.com/blog/301redirect/" TargetMode="External" Id="rId62"/><Relationship Type="http://schemas.openxmlformats.org/officeDocument/2006/relationships/hyperlink" Target="https://mieru-ca.com/blog/old-domains/" TargetMode="External" Id="rId63"/><Relationship Type="http://schemas.openxmlformats.org/officeDocument/2006/relationships/hyperlink" Target="https://mieru-ca.com/blog/how-to-make-url/" TargetMode="External" Id="rId64"/><Relationship Type="http://schemas.openxmlformats.org/officeDocument/2006/relationships/hyperlink" Target="https://mieru-ca.com/blog/ec_seo/" TargetMode="External" Id="rId65"/><Relationship Type="http://schemas.openxmlformats.org/officeDocument/2006/relationships/hyperlink" Target="https://mieru-ca.com/blog/domain-age/" TargetMode="External" Id="rId66"/><Relationship Type="http://schemas.openxmlformats.org/officeDocument/2006/relationships/hyperlink" Target="https://mieru-ca.com/blog/seo_domain/" TargetMode="External" Id="rId67"/><Relationship Type="http://schemas.openxmlformats.org/officeDocument/2006/relationships/hyperlink" Target="https://mieru-ca.com/blog/core-web-vitals/" TargetMode="External" Id="rId68"/><Relationship Type="http://schemas.openxmlformats.org/officeDocument/2006/relationships/hyperlink" Target="https://mieru-ca.com/blog/seo-external-measures/" TargetMode="External" Id="rId69"/><Relationship Type="http://schemas.openxmlformats.org/officeDocument/2006/relationships/hyperlink" Target="https://mieru-ca.com/blog/bing-search-fabrice-canel/" TargetMode="External" Id="rId70"/><Relationship Type="http://schemas.openxmlformats.org/officeDocument/2006/relationships/hyperlink" Target="https://mieru-ca.com/blog/robots-txt/" TargetMode="External" Id="rId71"/><Relationship Type="http://schemas.openxmlformats.org/officeDocument/2006/relationships/hyperlink" Target="https://mieru-ca.com/blog/seo_tool/" TargetMode="External" Id="rId72"/><Relationship Type="http://schemas.openxmlformats.org/officeDocument/2006/relationships/hyperlink" Target="https://mieru-ca.com/blog/what-is-google-trends/" TargetMode="External" Id="rId73"/><Relationship Type="http://schemas.openxmlformats.org/officeDocument/2006/relationships/hyperlink" Target="https://mieru-ca.com/blog/search_volume/" TargetMode="External" Id="rId74"/><Relationship Type="http://schemas.openxmlformats.org/officeDocument/2006/relationships/hyperlink" Target="https://mieru-ca.com/blog/kanren_keyword/" TargetMode="External" Id="rId75"/><Relationship Type="http://schemas.openxmlformats.org/officeDocument/2006/relationships/hyperlink" Target="https://mieru-ca.com/blog/suggest/" TargetMode="External" Id="rId76"/><Relationship Type="http://schemas.openxmlformats.org/officeDocument/2006/relationships/hyperlink" Target="https://mieru-ca.com/blog/keyword-planner/" TargetMode="External" Id="rId77"/><Relationship Type="http://schemas.openxmlformats.org/officeDocument/2006/relationships/hyperlink" Target="https://mieru-ca.com/blog/do-know-go-buy-query/" TargetMode="External" Id="rId78"/><Relationship Type="http://schemas.openxmlformats.org/officeDocument/2006/relationships/hyperlink" Target="https://mieru-ca.com/blog/seo_keyword/" TargetMode="External" Id="rId79"/><Relationship Type="http://schemas.openxmlformats.org/officeDocument/2006/relationships/hyperlink" Target="https://mieru-ca.com/blog/bard/" TargetMode="External" Id="rId80"/><Relationship Type="http://schemas.openxmlformats.org/officeDocument/2006/relationships/hyperlink" Target="https://mieru-ca.com/blog/how_search_engines_work/" TargetMode="External" Id="rId81"/><Relationship Type="http://schemas.openxmlformats.org/officeDocument/2006/relationships/hyperlink" Target="https://mieru-ca.com/blog/bing-search-fabrice-canel/" TargetMode="External" Id="rId82"/><Relationship Type="http://schemas.openxmlformats.org/officeDocument/2006/relationships/hyperlink" Target="https://mieru-ca.com/blog/seotool-comparison/" TargetMode="External" Id="rId83"/><Relationship Type="http://schemas.openxmlformats.org/officeDocument/2006/relationships/hyperlink" Target="https://mieru-ca.com/blog/how-to-increase-search-ranking/" TargetMode="External" Id="rId84"/><Relationship Type="http://schemas.openxmlformats.org/officeDocument/2006/relationships/hyperlink" Target="https://mieru-ca.com/case/souzoku/" TargetMode="External" Id="rId85"/><Relationship Type="http://schemas.openxmlformats.org/officeDocument/2006/relationships/hyperlink" Target="https://mieru-ca.com/blog/googleanalytics4_basic/" TargetMode="External" Id="rId86"/><Relationship Type="http://schemas.openxmlformats.org/officeDocument/2006/relationships/hyperlink" Target="https://mieru-ca.com/blog/ga4-ultimate-guide/" TargetMode="External" Id="rId87"/><Relationship Type="http://schemas.openxmlformats.org/officeDocument/2006/relationships/hyperlink" Target="https://mieru-ca.com/blog/what-is-abandonment-rate/" TargetMode="External" Id="rId88"/><Relationship Type="http://schemas.openxmlformats.org/officeDocument/2006/relationships/hyperlink" Target="https://mieru-ca.com/blog/page-speed-4/" TargetMode="External" Id="rId89"/><Relationship Type="http://schemas.openxmlformats.org/officeDocument/2006/relationships/hyperlink" Target="https://mieru-ca.com/blog/interstitial/" TargetMode="External" Id="rId90"/><Relationship Type="http://schemas.openxmlformats.org/officeDocument/2006/relationships/hyperlink" Target="https://mieru-ca.com/heatmap/blog/what-is-uiux/" TargetMode="External" Id="rId91"/><Relationship Type="http://schemas.openxmlformats.org/officeDocument/2006/relationships/hyperlink" Target="https://mieru-ca.com/case/globis/" TargetMode="External" Id="rId92"/><Relationship Type="http://schemas.openxmlformats.org/officeDocument/2006/relationships/hyperlink" Target="https://mieru-ca.com/blog/original-content/" TargetMode="External" Id="rId93"/><Relationship Type="http://schemas.openxmlformats.org/officeDocument/2006/relationships/hyperlink" Target="https://mieru-ca.com/blog/e-e-a-t/" TargetMode="External" Id="rId94"/><Relationship Type="http://schemas.openxmlformats.org/officeDocument/2006/relationships/hyperlink" Target="https://mieru-ca.com/heatmap/what-is-heatmap/" TargetMode="External" Id="rId95"/><Relationship Type="http://schemas.openxmlformats.org/officeDocument/2006/relationships/hyperlink" Target="https://mieru-ca.com/blog/access_analytics_003/" TargetMode="External" Id="rId96"/><Relationship Type="http://schemas.openxmlformats.org/officeDocument/2006/relationships/hyperlink" Target="https://mieru-ca.com/blog/user-needs/" TargetMode="External" Id="rId97"/><Relationship Type="http://schemas.openxmlformats.org/officeDocument/2006/relationships/hyperlink" Target="https://mieru-ca.com/blog/keywordmap/" TargetMode="External" Id="rId98"/><Relationship Type="http://schemas.openxmlformats.org/officeDocument/2006/relationships/hyperlink" Target="https://mieru-ca.com/blog/contents-seo-pro/" TargetMode="External" Id="rId99"/><Relationship Type="http://schemas.openxmlformats.org/officeDocument/2006/relationships/hyperlink" Target="https://mieru-ca.com/blog/content-marketing-success/" TargetMode="External" Id="rId100"/><Relationship Type="http://schemas.openxmlformats.org/officeDocument/2006/relationships/hyperlink" Target="https://mieru-ca.com/blog/citation/" TargetMode="External" Id="rId101"/><Relationship Type="http://schemas.openxmlformats.org/officeDocument/2006/relationships/hyperlink" Target="https://mieru-ca.com/blog/not-provided/" TargetMode="External" Id="rId102"/><Relationship Type="http://schemas.openxmlformats.org/officeDocument/2006/relationships/hyperlink" Target="https://mieru-ca.com/blog/content-marketing-merit/" TargetMode="External" Id="rId103"/><Relationship Type="http://schemas.openxmlformats.org/officeDocument/2006/relationships/hyperlink" Target="https://mieru-ca.com/blog/white-hat-seo/" TargetMode="External" Id="rId104"/><Relationship Type="http://schemas.openxmlformats.org/officeDocument/2006/relationships/hyperlink" Target="https://mieru-ca.com/blog/ownedmedia/" TargetMode="External" Id="rId105"/><Relationship Type="http://schemas.openxmlformats.org/officeDocument/2006/relationships/hyperlink" Target="https://mieru-ca.com/blog/download/" TargetMode="External" Id="rId106"/><Relationship Type="http://schemas.openxmlformats.org/officeDocument/2006/relationships/hyperlink" Target="https://www.instagram.com/mierucakun_/" TargetMode="External" Id="rId107"/><Relationship Type="http://schemas.openxmlformats.org/officeDocument/2006/relationships/hyperlink" Target="https://x.com/mieruca_kun/" TargetMode="External" Id="rId108"/><Relationship Type="http://schemas.openxmlformats.org/officeDocument/2006/relationships/hyperlink" Target="https://mieru-ca.com/blog/seminar/" TargetMode="External" Id="rId109"/><Relationship Type="http://schemas.openxmlformats.org/officeDocument/2006/relationships/hyperlink" Target="https://mieru-ca.com/blog/" TargetMode="External" Id="rId110"/><Relationship Type="http://schemas.openxmlformats.org/officeDocument/2006/relationships/hyperlink" Target="https://mieru-ca.com/blog/voice-search-optimization/" TargetMode="External" Id="rId111"/><Relationship Type="http://schemas.openxmlformats.org/officeDocument/2006/relationships/hyperlink" Target="https://mieru-ca.com/blog/youtube_seo/" TargetMode="External" Id="rId112"/><Relationship Type="http://schemas.openxmlformats.org/officeDocument/2006/relationships/hyperlink" Target="https://mieru-ca.com/blog/web_ad/" TargetMode="External" Id="rId113"/><Relationship Type="http://schemas.openxmlformats.org/officeDocument/2006/relationships/hyperlink" Target="https://mieru-ca.com/blog/sns_google/" TargetMode="External" Id="rId114"/><Relationship Type="http://schemas.openxmlformats.org/officeDocument/2006/relationships/hyperlink" Target="https://mieru-ca.com/heatmap/blog/what_is_cvr/" TargetMode="External" Id="rId115"/><Relationship Type="http://schemas.openxmlformats.org/officeDocument/2006/relationships/hyperlink" Target="https://mieru-ca.com/blog/searchconsole/" TargetMode="External" Id="rId116"/><Relationship Type="http://schemas.openxmlformats.org/officeDocument/2006/relationships/hyperlink" Target="https://mieru-ca.com/blog/blog-tactics/" TargetMode="External" Id="rId117"/><Relationship Type="http://schemas.openxmlformats.org/officeDocument/2006/relationships/hyperlink" Target="https://mieru-ca.com/blog/seo-money/" TargetMode="External" Id="rId118"/><Relationship Type="http://schemas.openxmlformats.org/officeDocument/2006/relationships/hyperlink" Target="https://mieru-ca.com/blog/keyword-density/" TargetMode="External" Id="rId119"/><Relationship Type="http://schemas.openxmlformats.org/officeDocument/2006/relationships/hyperlink" Target="https://mieru-ca.com/blog/negative-seo/" TargetMode="External" Id="rId120"/><Relationship Type="http://schemas.openxmlformats.org/officeDocument/2006/relationships/hyperlink" Target="https://mieru-ca.com/blog/penalty/" TargetMode="External" Id="rId121"/><Relationship Type="http://schemas.openxmlformats.org/officeDocument/2006/relationships/hyperlink" Target="https://mieru-ca.com/blog/duplicate-content/" TargetMode="External" Id="rId122"/><Relationship Type="http://schemas.openxmlformats.org/officeDocument/2006/relationships/hyperlink" Target="https://mieru-ca.com/blog/linked-check/" TargetMode="External" Id="rId123"/><Relationship Type="http://schemas.openxmlformats.org/officeDocument/2006/relationships/hyperlink" Target="https://mieru-ca.com/blog/blackhat_seo/" TargetMode="External" Id="rId124"/><Relationship Type="http://schemas.openxmlformats.org/officeDocument/2006/relationships/hyperlink" Target="https://mieru-ca.com/blog/contents-production-cost/" TargetMode="External" Id="rId125"/><Relationship Type="http://schemas.openxmlformats.org/officeDocument/2006/relationships/hyperlink" Target="https://mieru-ca.com/blog/spam-link/" TargetMode="External" Id="rId126"/><Relationship Type="http://schemas.openxmlformats.org/officeDocument/2006/relationships/hyperlink" Target="https://mieru-ca.com/blog/bert/" TargetMode="External" Id="rId127"/><Relationship Type="http://schemas.openxmlformats.org/officeDocument/2006/relationships/hyperlink" Target="https://mieru-ca.com/blog/difference-between-sem-and-seo/" TargetMode="External" Id="rId128"/><Relationship Type="http://schemas.openxmlformats.org/officeDocument/2006/relationships/hyperlink" Target="https://mieru-ca.com/blog/international-seo/" TargetMode="External" Id="rId129"/><Relationship Type="http://schemas.openxmlformats.org/officeDocument/2006/relationships/hyperlink" Target="https://mieru-ca.com/blog/web_collect/" TargetMode="External" Id="rId130"/><Relationship Type="http://schemas.openxmlformats.org/officeDocument/2006/relationships/hyperlink" Target="https://mieru-ca.com/blog/wordpress-seo/" TargetMode="External" Id="rId131"/><Relationship Type="http://schemas.openxmlformats.org/officeDocument/2006/relationships/hyperlink" Target="https://mieru-ca.com/blog/what-is-ga4-2024/" TargetMode="External" Id="rId132"/><Relationship Type="http://schemas.openxmlformats.org/officeDocument/2006/relationships/hyperlink" Target="https://mieru-ca.com/blog/conversion_2/" TargetMode="External" Id="rId133"/><Relationship Type="http://schemas.openxmlformats.org/officeDocument/2006/relationships/hyperlink" Target="https://mieru-ca.com/ai-seo/ai_writing_tool/" TargetMode="External" Id="rId134"/><Relationship Type="http://schemas.openxmlformats.org/officeDocument/2006/relationships/hyperlink" Target="https://mieru-ca.com/ai-seo/ai_writing_tool/" TargetMode="External" Id="rId135"/><Relationship Type="http://schemas.openxmlformats.org/officeDocument/2006/relationships/hyperlink" Target="https://mieru-ca.com/ai-seo/ai_text/" TargetMode="External" Id="rId136"/><Relationship Type="http://schemas.openxmlformats.org/officeDocument/2006/relationships/hyperlink" Target="https://mieru-ca.com/ai-seo/" TargetMode="External" Id="rId137"/><Relationship Type="http://schemas.openxmlformats.org/officeDocument/2006/relationships/hyperlink" Target="https://rank-quest.jp/column/column/how-to-seo/" TargetMode="External" Id="rId138"/><Relationship Type="http://schemas.openxmlformats.org/officeDocument/2006/relationships/hyperlink" Target="https://rank-quest.jp/column/column/cvr/" TargetMode="External" Id="rId139"/><Relationship Type="http://schemas.openxmlformats.org/officeDocument/2006/relationships/hyperlink" Target="https://rank-quest.jp/column/column/landing-page-optimization/" TargetMode="External" Id="rId140"/><Relationship Type="http://schemas.openxmlformats.org/officeDocument/2006/relationships/hyperlink" Target="https://rank-quest.jp/column/column/ec-seo/" TargetMode="External" Id="rId141"/><Relationship Type="http://schemas.openxmlformats.org/officeDocument/2006/relationships/hyperlink" Target="https://rank-quest.jp/column/column/sme-careful-seo/" TargetMode="External" Id="rId142"/><Relationship Type="http://schemas.openxmlformats.org/officeDocument/2006/relationships/hyperlink" Target="https://rank-quest.jp/column/column/webcustomer-attraction/" TargetMode="External" Id="rId143"/><Relationship Type="http://schemas.openxmlformats.org/officeDocument/2006/relationships/hyperlink" Target="https://rank-quest.jp/column/column/organic-search/" TargetMode="External" Id="rId144"/><Relationship Type="http://schemas.openxmlformats.org/officeDocument/2006/relationships/hyperlink" Target="https://rank-quest.jp/column/column/featured-snippets/" TargetMode="External" Id="rId145"/><Relationship Type="http://schemas.openxmlformats.org/officeDocument/2006/relationships/hyperlink" Target="https://rank-quest.jp/column/column/google-discover/" TargetMode="External" Id="rId146"/><Relationship Type="http://schemas.openxmlformats.org/officeDocument/2006/relationships/hyperlink" Target="https://rank-quest.jp/column/column/search-intent/" TargetMode="External" Id="rId147"/><Relationship Type="http://schemas.openxmlformats.org/officeDocument/2006/relationships/hyperlink" Target="https://rank-quest.jp/column/column/search-engines/" TargetMode="External" Id="rId148"/><Relationship Type="http://schemas.openxmlformats.org/officeDocument/2006/relationships/hyperlink" Target="https://rank-quest.jp/column/column/how-to-seo/" TargetMode="External" Id="rId149"/><Relationship Type="http://schemas.openxmlformats.org/officeDocument/2006/relationships/hyperlink" Target="https://rank-quest.jp/column/column/seo-coding/" TargetMode="External" Id="rId150"/><Relationship Type="http://schemas.openxmlformats.org/officeDocument/2006/relationships/hyperlink" Target="https://rank-quest.jp/column/column/black-hat-seo/" TargetMode="External" Id="rId151"/><Relationship Type="http://schemas.openxmlformats.org/officeDocument/2006/relationships/hyperlink" Target="https://rank-quest.jp/column/column/web-marketing/" TargetMode="External" Id="rId152"/><Relationship Type="http://schemas.openxmlformats.org/officeDocument/2006/relationships/hyperlink" Target="https://rank-quest.jp/column/column/panda-update/" TargetMode="External" Id="rId153"/><Relationship Type="http://schemas.openxmlformats.org/officeDocument/2006/relationships/hyperlink" Target="https://rank-quest.jp/column/column/link-spam-update/" TargetMode="External" Id="rId154"/><Relationship Type="http://schemas.openxmlformats.org/officeDocument/2006/relationships/hyperlink" Target="https://rank-quest.jp/column/column/bert-update/" TargetMode="External" Id="rId155"/><Relationship Type="http://schemas.openxmlformats.org/officeDocument/2006/relationships/hyperlink" Target="https://rank-quest.jp/column/column/helpful-content-update/" TargetMode="External" Id="rId156"/><Relationship Type="http://schemas.openxmlformats.org/officeDocument/2006/relationships/hyperlink" Target="https://rank-quest.jp/column/column/venice-update/" TargetMode="External" Id="rId157"/><Relationship Type="http://schemas.openxmlformats.org/officeDocument/2006/relationships/hyperlink" Target="https://rank-quest.jp/column/column/pigeon-update/" TargetMode="External" Id="rId158"/><Relationship Type="http://schemas.openxmlformats.org/officeDocument/2006/relationships/hyperlink" Target="https://rank-quest.jp/column/column/penguin-update/" TargetMode="External" Id="rId159"/><Relationship Type="http://schemas.openxmlformats.org/officeDocument/2006/relationships/hyperlink" Target="https://rank-quest.jp/column/column/core-updates/" TargetMode="External" Id="rId160"/><Relationship Type="http://schemas.openxmlformats.org/officeDocument/2006/relationships/hyperlink" Target="https://rank-quest.jp/column/column/seo-rankcheck/" TargetMode="External" Id="rId161"/><Relationship Type="http://schemas.openxmlformats.org/officeDocument/2006/relationships/hyperlink" Target="https://rank-quest.jp/column/column/domain-age/" TargetMode="External" Id="rId162"/><Relationship Type="http://schemas.openxmlformats.org/officeDocument/2006/relationships/hyperlink" Target="https://rank-quest.jp/column/column/seo-rewrite/" TargetMode="External" Id="rId163"/><Relationship Type="http://schemas.openxmlformats.org/officeDocument/2006/relationships/hyperlink" Target="https://rank-quest.jp/column/column/seo-period/" TargetMode="External" Id="rId164"/><Relationship Type="http://schemas.openxmlformats.org/officeDocument/2006/relationships/hyperlink" Target="https://rank-quest.jp/column/column/listing-ads/" TargetMode="External" Id="rId165"/><Relationship Type="http://schemas.openxmlformats.org/officeDocument/2006/relationships/hyperlink" Target="https://rank-quest.jp/column/column/in-house-seo/" TargetMode="External" Id="rId166"/><Relationship Type="http://schemas.openxmlformats.org/officeDocument/2006/relationships/hyperlink" Target="https://rank-quest.jp/column/column/seo-meo/" TargetMode="External" Id="rId167"/><Relationship Type="http://schemas.openxmlformats.org/officeDocument/2006/relationships/hyperlink" Target="https://rank-quest.jp/column/column/local-seo/" TargetMode="External" Id="rId168"/><Relationship Type="http://schemas.openxmlformats.org/officeDocument/2006/relationships/hyperlink" Target="https://rank-quest.jp/column/column/contents-quality/" TargetMode="External" Id="rId169"/><Relationship Type="http://schemas.openxmlformats.org/officeDocument/2006/relationships/hyperlink" Target="https://rank-quest.jp/column/column/seo-kpi/" TargetMode="External" Id="rId170"/><Relationship Type="http://schemas.openxmlformats.org/officeDocument/2006/relationships/hyperlink" Target="https://rank-quest.jp/column/service/seo-internal-measures/" TargetMode="External" Id="rId171"/><Relationship Type="http://schemas.openxmlformats.org/officeDocument/2006/relationships/hyperlink" Target="https://rank-quest.jp/column/column/serps/" TargetMode="External" Id="rId172"/><Relationship Type="http://schemas.openxmlformats.org/officeDocument/2006/relationships/hyperlink" Target="https://rank-quest.jp/column/column/meta-tag/" TargetMode="External" Id="rId173"/><Relationship Type="http://schemas.openxmlformats.org/officeDocument/2006/relationships/hyperlink" Target="https://rank-quest.jp/column/column/image-seo/" TargetMode="External" Id="rId174"/><Relationship Type="http://schemas.openxmlformats.org/officeDocument/2006/relationships/hyperlink" Target="https://rank-quest.jp/column/column/ask-google-to-recraw/" TargetMode="External" Id="rId175"/><Relationship Type="http://schemas.openxmlformats.org/officeDocument/2006/relationships/hyperlink" Target="https://rank-quest.jp/column/column/site-structure/" TargetMode="External" Id="rId176"/><Relationship Type="http://schemas.openxmlformats.org/officeDocument/2006/relationships/hyperlink" Target="https://rank-quest.jp/column/column/crawl-rate/" TargetMode="External" Id="rId177"/><Relationship Type="http://schemas.openxmlformats.org/officeDocument/2006/relationships/hyperlink" Target="https://rank-quest.jp/column/column/seo-spam/" TargetMode="External" Id="rId178"/><Relationship Type="http://schemas.openxmlformats.org/officeDocument/2006/relationships/hyperlink" Target="https://rank-quest.jp/column/column/crawl-budget/" TargetMode="External" Id="rId179"/><Relationship Type="http://schemas.openxmlformats.org/officeDocument/2006/relationships/hyperlink" Target="https://rank-quest.jp/column/column/index-registration/" TargetMode="External" Id="rId180"/><Relationship Type="http://schemas.openxmlformats.org/officeDocument/2006/relationships/hyperlink" Target="https://rank-quest.jp/column/column/google-penalty/" TargetMode="External" Id="rId181"/><Relationship Type="http://schemas.openxmlformats.org/officeDocument/2006/relationships/hyperlink" Target="https://rank-quest.jp/column/column/search-ranking-down/" TargetMode="External" Id="rId182"/><Relationship Type="http://schemas.openxmlformats.org/officeDocument/2006/relationships/hyperlink" Target="https://rank-quest.jp/column/column/seo-company/" TargetMode="External" Id="rId183"/><Relationship Type="http://schemas.openxmlformats.org/officeDocument/2006/relationships/hyperlink" Target="https://rank-quest.jp/column/column/seomeasures-outsourcing-cost/" TargetMode="External" Id="rId184"/><Relationship Type="http://schemas.openxmlformats.org/officeDocument/2006/relationships/hyperlink" Target="https://rank-quest.jp/column/column/seo-suggestion/" TargetMode="External" Id="rId185"/><Relationship Type="http://schemas.openxmlformats.org/officeDocument/2006/relationships/hyperlink" Target="https://rank-quest.jp/column/column/trailing-slash/" TargetMode="External" Id="rId186"/><Relationship Type="http://schemas.openxmlformats.org/officeDocument/2006/relationships/hyperlink" Target="https://rank-quest.jp/column/column/nofollow/" TargetMode="External" Id="rId187"/><Relationship Type="http://schemas.openxmlformats.org/officeDocument/2006/relationships/hyperlink" Target="https://rank-quest.jp/column/column/dynamic-page-seo/" TargetMode="External" Id="rId188"/><Relationship Type="http://schemas.openxmlformats.org/officeDocument/2006/relationships/hyperlink" Target="https://rank-quest.jp/column/column/whats-css/" TargetMode="External" Id="rId189"/><Relationship Type="http://schemas.openxmlformats.org/officeDocument/2006/relationships/hyperlink" Target="https://rank-quest.jp/column/column/page-speed/" TargetMode="External" Id="rId190"/><Relationship Type="http://schemas.openxmlformats.org/officeDocument/2006/relationships/hyperlink" Target="https://rank-quest.jp/column/column/seo-server/" TargetMode="External" Id="rId191"/><Relationship Type="http://schemas.openxmlformats.org/officeDocument/2006/relationships/hyperlink" Target="https://rank-quest.jp/column/column/seo-external/" TargetMode="External" Id="rId192"/><Relationship Type="http://schemas.openxmlformats.org/officeDocument/2006/relationships/hyperlink" Target="https://rank-quest.jp/column/column/how-to-contents-seo/" TargetMode="External" Id="rId193"/><Relationship Type="http://schemas.openxmlformats.org/officeDocument/2006/relationships/hyperlink" Target="https://rank-quest.jp/column/column/tecnical-seo/" TargetMode="External" Id="rId194"/><Relationship Type="http://schemas.openxmlformats.org/officeDocument/2006/relationships/hyperlink" Target="https://rank-quest.jp/column/episode/arkclinic/" TargetMode="External" Id="rId195"/><Relationship Type="http://schemas.openxmlformats.org/officeDocument/2006/relationships/hyperlink" Target="https://rank-quest.jp/column/column/seo-ymyl/" TargetMode="External" Id="rId196"/><Relationship Type="http://schemas.openxmlformats.org/officeDocument/2006/relationships/hyperlink" Target="https://rank-quest.jp/column/column/clinic-seo/" TargetMode="External" Id="rId197"/><Relationship Type="http://schemas.openxmlformats.org/officeDocument/2006/relationships/hyperlink" Target="https://rank-quest.jp/column/episode/x-house/" TargetMode="External" Id="rId198"/><Relationship Type="http://schemas.openxmlformats.org/officeDocument/2006/relationships/hyperlink" Target="https://rank-quest.jp/column/column/google-guidelines/" TargetMode="External" Id="rId199"/><Relationship Type="http://schemas.openxmlformats.org/officeDocument/2006/relationships/hyperlink" Target="https://rank-quest.jp/column/column/seo-starter-guide/" TargetMode="External" Id="rId200"/><Relationship Type="http://schemas.openxmlformats.org/officeDocument/2006/relationships/hyperlink" Target="https://rank-quest.jp/column/column/google-philosophy/" TargetMode="External" Id="rId201"/><Relationship Type="http://schemas.openxmlformats.org/officeDocument/2006/relationships/hyperlink" Target="https://rank-quest.jp/column/column/original-contents/" TargetMode="External" Id="rId202"/><Relationship Type="http://schemas.openxmlformats.org/officeDocument/2006/relationships/hyperlink" Target="https://rank-quest.jp/column/column/eeat/" TargetMode="External" Id="rId203"/><Relationship Type="http://schemas.openxmlformats.org/officeDocument/2006/relationships/hyperlink" Target="https://rank-quest.jp/column/column/google-algorithm/" TargetMode="External" Id="rId204"/><Relationship Type="http://schemas.openxmlformats.org/officeDocument/2006/relationships/hyperlink" Target="https://rank-quest.jp/column/column/seo-sitemap/" TargetMode="External" Id="rId205"/><Relationship Type="http://schemas.openxmlformats.org/officeDocument/2006/relationships/hyperlink" Target="https://rank-quest.jp/column/column/xml-sitemap/" TargetMode="External" Id="rId206"/><Relationship Type="http://schemas.openxmlformats.org/officeDocument/2006/relationships/hyperlink" Target="https://rank-quest.jp/column/column/largescalesite-seo/" TargetMode="External" Id="rId207"/><Relationship Type="http://schemas.openxmlformats.org/officeDocument/2006/relationships/hyperlink" Target="https://rank-quest.jp/column/column/webp/" TargetMode="External" Id="rId208"/><Relationship Type="http://schemas.openxmlformats.org/officeDocument/2006/relationships/hyperlink" Target="https://rank-quest.jp/column/column/noindex/" TargetMode="External" Id="rId209"/><Relationship Type="http://schemas.openxmlformats.org/officeDocument/2006/relationships/hyperlink" Target="https://rank-quest.jp/column/column/robots-txt/" TargetMode="External" Id="rId210"/><Relationship Type="http://schemas.openxmlformats.org/officeDocument/2006/relationships/hyperlink" Target="https://rank-quest.jp/column/column/url-normalization/" TargetMode="External" Id="rId211"/><Relationship Type="http://schemas.openxmlformats.org/officeDocument/2006/relationships/hyperlink" Target="https://rank-quest.jp/column/column/seo-plugin/" TargetMode="External" Id="rId212"/><Relationship Type="http://schemas.openxmlformats.org/officeDocument/2006/relationships/hyperlink" Target="https://rank-quest.jp/column/column/wordpress/" TargetMode="External" Id="rId213"/><Relationship Type="http://schemas.openxmlformats.org/officeDocument/2006/relationships/hyperlink" Target="https://rank-quest.jp/column/column/seo-canonical/" TargetMode="External" Id="rId214"/><Relationship Type="http://schemas.openxmlformats.org/officeDocument/2006/relationships/hyperlink" Target="https://rank-quest.jp/column/column/301redirect/" TargetMode="External" Id="rId215"/><Relationship Type="http://schemas.openxmlformats.org/officeDocument/2006/relationships/hyperlink" Target="https://rank-quest.jp/column/column/ssl-seo/" TargetMode="External" Id="rId216"/><Relationship Type="http://schemas.openxmlformats.org/officeDocument/2006/relationships/hyperlink" Target="https://rank-quest.jp/column/column/rendering-seo/" TargetMode="External" Id="rId217"/><Relationship Type="http://schemas.openxmlformats.org/officeDocument/2006/relationships/hyperlink" Target="https://rank-quest.jp/column/column/keywordplanner/" TargetMode="External" Id="rId218"/><Relationship Type="http://schemas.openxmlformats.org/officeDocument/2006/relationships/hyperlink" Target="https://rank-quest.jp/column/column/rakko-keyword/" TargetMode="External" Id="rId219"/><Relationship Type="http://schemas.openxmlformats.org/officeDocument/2006/relationships/hyperlink" Target="https://rank-quest.jp/column/column/suggest/" TargetMode="External" Id="rId220"/><Relationship Type="http://schemas.openxmlformats.org/officeDocument/2006/relationships/hyperlink" Target="https://rank-quest.jp/column/column/related-keywords/" TargetMode="External" Id="rId221"/><Relationship Type="http://schemas.openxmlformats.org/officeDocument/2006/relationships/hyperlink" Target="https://rank-quest.jp/column/column/google-trend/" TargetMode="External" Id="rId222"/><Relationship Type="http://schemas.openxmlformats.org/officeDocument/2006/relationships/hyperlink" Target="https://rank-quest.jp/column/column/seo-mfi/" TargetMode="External" Id="rId223"/><Relationship Type="http://schemas.openxmlformats.org/officeDocument/2006/relationships/hyperlink" Target="https://rank-quest.jp/column/column/competitive-website-analysis/" TargetMode="External" Id="rId224"/><Relationship Type="http://schemas.openxmlformats.org/officeDocument/2006/relationships/hyperlink" Target="https://rank-quest.jp/column/column/ahrefs/" TargetMode="External" Id="rId225"/><Relationship Type="http://schemas.openxmlformats.org/officeDocument/2006/relationships/hyperlink" Target="https://rank-quest.jp/column/column/long-tail-keywords/" TargetMode="External" Id="rId226"/><Relationship Type="http://schemas.openxmlformats.org/officeDocument/2006/relationships/hyperlink" Target="https://rank-quest.jp/column/column/search-volume/" TargetMode="External" Id="rId227"/><Relationship Type="http://schemas.openxmlformats.org/officeDocument/2006/relationships/hyperlink" Target="https://rank-quest.jp/column/column/core-web-vitals/" TargetMode="External" Id="rId228"/><Relationship Type="http://schemas.openxmlformats.org/officeDocument/2006/relationships/hyperlink" Target="https://rank-quest.jp/column/column/seo-keyword/" TargetMode="External" Id="rId229"/><Relationship Type="http://schemas.openxmlformats.org/officeDocument/2006/relationships/hyperlink" Target="https://rank-quest.jp/column/column/link-effect/" TargetMode="External" Id="rId230"/><Relationship Type="http://schemas.openxmlformats.org/officeDocument/2006/relationships/hyperlink" Target="https://rank-quest.jp/column/column/seo-topic-path/" TargetMode="External" Id="rId231"/><Relationship Type="http://schemas.openxmlformats.org/officeDocument/2006/relationships/hyperlink" Target="https://rank-quest.jp/column/column/anchor-text/" TargetMode="External" Id="rId232"/><Relationship Type="http://schemas.openxmlformats.org/officeDocument/2006/relationships/hyperlink" Target="https://rank-quest.jp/column/column/naibu-link/" TargetMode="External" Id="rId233"/><Relationship Type="http://schemas.openxmlformats.org/officeDocument/2006/relationships/hyperlink" Target="https://rank-quest.jp/column/column/seo-h1/" TargetMode="External" Id="rId234"/><Relationship Type="http://schemas.openxmlformats.org/officeDocument/2006/relationships/hyperlink" Target="https://rank-quest.jp/column/column/seo-heading/" TargetMode="External" Id="rId235"/><Relationship Type="http://schemas.openxmlformats.org/officeDocument/2006/relationships/hyperlink" Target="https://rank-quest.jp/column/column/seo-title/" TargetMode="External" Id="rId236"/><Relationship Type="http://schemas.openxmlformats.org/officeDocument/2006/relationships/hyperlink" Target="https://rank-quest.jp/column/column/structured-data-markup/" TargetMode="External" Id="rId237"/><Relationship Type="http://schemas.openxmlformats.org/officeDocument/2006/relationships/hyperlink" Target="https://rank-quest.jp/column/column/google-url-registration/" TargetMode="External" Id="rId238"/><Relationship Type="http://schemas.openxmlformats.org/officeDocument/2006/relationships/hyperlink" Target="https://rank-quest.jp/column/column/ga4/" TargetMode="External" Id="rId239"/><Relationship Type="http://schemas.openxmlformats.org/officeDocument/2006/relationships/hyperlink" Target="https://rank-quest.jp/column/column/how-to-use-ga4/" TargetMode="External" Id="rId240"/><Relationship Type="http://schemas.openxmlformats.org/officeDocument/2006/relationships/hyperlink" Target="https://rank-quest.jp/column/column/screaming-frog-seo-spider/" TargetMode="External" Id="rId241"/><Relationship Type="http://schemas.openxmlformats.org/officeDocument/2006/relationships/hyperlink" Target="https://rank-quest.jp/column/column/word-salad/" TargetMode="External" Id="rId242"/><Relationship Type="http://schemas.openxmlformats.org/officeDocument/2006/relationships/hyperlink" Target="https://rank-quest.jp/column/column/search-console/" TargetMode="External" Id="rId243"/><Relationship Type="http://schemas.openxmlformats.org/officeDocument/2006/relationships/hyperlink" Target="https://rank-quest.jp/column/column/seocheki/" TargetMode="External" Id="rId244"/><Relationship Type="http://schemas.openxmlformats.org/officeDocument/2006/relationships/hyperlink" Target="https://rank-quest.jp/column/column/seo-tools/" TargetMode="External" Id="rId245"/><Relationship Type="http://schemas.openxmlformats.org/officeDocument/2006/relationships/hyperlink" Target="https://rank-quest.jp/column/column/rank-check/" TargetMode="External" Id="rId246"/><Relationship Type="http://schemas.openxmlformats.org/officeDocument/2006/relationships/hyperlink" Target="https://rank-quest.jp/column/column/seo-meta-keywords/" TargetMode="External" Id="rId247"/><Relationship Type="http://schemas.openxmlformats.org/officeDocument/2006/relationships/hyperlink" Target="https://rank-quest.jp/column/column/index-removals/" TargetMode="External" Id="rId248"/><Relationship Type="http://schemas.openxmlformats.org/officeDocument/2006/relationships/hyperlink" Target="https://rank-quest.jp/column/column/heatmap/" TargetMode="External" Id="rId249"/><Relationship Type="http://schemas.openxmlformats.org/officeDocument/2006/relationships/hyperlink" Target="https://rank-quest.jp/column/column/access-analysis/" TargetMode="External" Id="rId250"/><Relationship Type="http://schemas.openxmlformats.org/officeDocument/2006/relationships/hyperlink" Target="https://rank-quest.jp/column/column/sns-seo/" TargetMode="External" Id="rId251"/><Relationship Type="http://schemas.openxmlformats.org/officeDocument/2006/relationships/hyperlink" Target="https://rank-quest.jp/column/column/display-ads/" TargetMode="External" Id="rId252"/><Relationship Type="http://schemas.openxmlformats.org/officeDocument/2006/relationships/hyperlink" Target="https://rank-quest.jp/column/column/seo-backlink/" TargetMode="External" Id="rId253"/><Relationship Type="http://schemas.openxmlformats.org/officeDocument/2006/relationships/hyperlink" Target="https://rank-quest.jp/column/column/seo-citation/" TargetMode="External" Id="rId254"/><Relationship Type="http://schemas.openxmlformats.org/officeDocument/2006/relationships/hyperlink" Target="https://rank-quest.jp/column/column/domain-power/" TargetMode="External" Id="rId255"/><Relationship Type="http://schemas.openxmlformats.org/officeDocument/2006/relationships/hyperlink" Target="https://rank-quest.jp/column/column/duplicate-content/" TargetMode="External" Id="rId256"/><Relationship Type="http://schemas.openxmlformats.org/officeDocument/2006/relationships/hyperlink" Target="https://rank-quest.jp/column/column/low-quality-contents/" TargetMode="External" Id="rId257"/><Relationship Type="http://schemas.openxmlformats.org/officeDocument/2006/relationships/hyperlink" Target="https://rank-quest.jp/column/column/topic-cluster/" TargetMode="External" Id="rId258"/><Relationship Type="http://schemas.openxmlformats.org/officeDocument/2006/relationships/hyperlink" Target="https://rank-quest.jp/column/column/pillarpage/" TargetMode="External" Id="rId259"/><Relationship Type="http://schemas.openxmlformats.org/officeDocument/2006/relationships/hyperlink" Target="https://rank-quest.jp/column/column/404error/" TargetMode="External" Id="rId260"/><Relationship Type="http://schemas.openxmlformats.org/officeDocument/2006/relationships/hyperlink" Target="https://rank-quest.jp/column/column/staying-time/" TargetMode="External" Id="rId261"/><Relationship Type="http://schemas.openxmlformats.org/officeDocument/2006/relationships/hyperlink" Target="https://rank-quest.jp/column/uncategorized/2025_09_rankinghigher_ctr/" TargetMode="External" Id="rId262"/><Relationship Type="http://schemas.openxmlformats.org/officeDocument/2006/relationships/hyperlink" Target="https://rank-quest.jp/column/industry-research/2025_08_rankinghigher_ctr/" TargetMode="External" Id="rId263"/><Relationship Type="http://schemas.openxmlformats.org/officeDocument/2006/relationships/hyperlink" Target="https://rank-quest.jp/column/industry-research/2025_07_rankinghigher_ctr/" TargetMode="External" Id="rId264"/><Relationship Type="http://schemas.openxmlformats.org/officeDocument/2006/relationships/hyperlink" Target="https://rank-quest.jp/column/industry-research/2025_6_rankinghigher_ctr/" TargetMode="External" Id="rId265"/><Relationship Type="http://schemas.openxmlformats.org/officeDocument/2006/relationships/hyperlink" Target="https://rank-quest.jp/column/industry-research/2025_5_rankinghigher_ctr/" TargetMode="External" Id="rId266"/><Relationship Type="http://schemas.openxmlformats.org/officeDocument/2006/relationships/hyperlink" Target="https://rank-quest.jp/column/industry-research/2025_4_rankinghigher_ctr/" TargetMode="External" Id="rId267"/><Relationship Type="http://schemas.openxmlformats.org/officeDocument/2006/relationships/hyperlink" Target="https://rank-quest.jp/column/column/seo-internal-countermeasure/" TargetMode="External" Id="rId268"/><Relationship Type="http://schemas.openxmlformats.org/officeDocument/2006/relationships/hyperlink" Target="https://rank-quest.jp/column/industry-research/2025_3_ctr/" TargetMode="External" Id="rId269"/><Relationship Type="http://schemas.openxmlformats.org/officeDocument/2006/relationships/hyperlink" Target="https://rank-quest.jp/column/industry-research/2025_2_rankinghigher_ctr/" TargetMode="External" Id="rId270"/><Relationship Type="http://schemas.openxmlformats.org/officeDocument/2006/relationships/hyperlink" Target="https://rank-quest.jp/column/industry-research/2025_1_ctr/" TargetMode="External" Id="rId271"/><Relationship Type="http://schemas.openxmlformats.org/officeDocument/2006/relationships/hyperlink" Target="https://rank-quest.jp/column/industry-research/2024_12_ctr/" TargetMode="External" Id="rId272"/><Relationship Type="http://schemas.openxmlformats.org/officeDocument/2006/relationships/hyperlink" Target="https://rank-quest.jp/column/industry-research/2024_11_ctr/" TargetMode="External" Id="rId273"/><Relationship Type="http://schemas.openxmlformats.org/officeDocument/2006/relationships/hyperlink" Target="https://rank-quest.jp/column/industry-research/investigation_seo_ctr/" TargetMode="External" Id="rId274"/><Relationship Type="http://schemas.openxmlformats.org/officeDocument/2006/relationships/hyperlink" Target="https://rank-quest.jp/column/column/btob-seo/" TargetMode="External" Id="rId275"/><Relationship Type="http://schemas.openxmlformats.org/officeDocument/2006/relationships/hyperlink" Target="https://rank-quest.jp/column/column/whats-seo-consulting/" TargetMode="External" Id="rId276"/><Relationship Type="http://schemas.openxmlformats.org/officeDocument/2006/relationships/hyperlink" Target="https://rank-quest.jp/column/episode/kinutasika/" TargetMode="External" Id="rId277"/><Relationship Type="http://schemas.openxmlformats.org/officeDocument/2006/relationships/hyperlink" Target="https://rank-quest.jp/column/episode/hanguruchan/" TargetMode="External" Id="rId278"/><Relationship Type="http://schemas.openxmlformats.org/officeDocument/2006/relationships/hyperlink" Target="https://rank-quest.jp/column/episode/plusone/" TargetMode="External" Id="rId279"/><Relationship Type="http://schemas.openxmlformats.org/officeDocument/2006/relationships/hyperlink" Target="https://rank-quest.jp/column/episode/rstandard/" TargetMode="External" Id="rId280"/><Relationship Type="http://schemas.openxmlformats.org/officeDocument/2006/relationships/hyperlink" Target="https://rank-quest.jp/column/episode/" TargetMode="External" Id="rId281"/><Relationship Type="http://schemas.openxmlformats.org/officeDocument/2006/relationships/hyperlink" Target="https://rank-quest.jp/" TargetMode="External" Id="rId282"/><Relationship Type="http://schemas.openxmlformats.org/officeDocument/2006/relationships/hyperlink" Target="https://rank-quest.jp/column/column/subcontracting-request/" TargetMode="External" Id="rId283"/><Relationship Type="http://schemas.openxmlformats.org/officeDocument/2006/relationships/hyperlink" Target="https://rank-quest.jp/column/column/seo-consulting/" TargetMode="External" Id="rId284"/><Relationship Type="http://schemas.openxmlformats.org/officeDocument/2006/relationships/hyperlink" Target="https://rank-quest.jp/column/seo-news/2025-12/" TargetMode="External" Id="rId285"/><Relationship Type="http://schemas.openxmlformats.org/officeDocument/2006/relationships/hyperlink" Target="https://www.japan-it.jp/hub/ja-jp/blog/article-41.html" TargetMode="External" Id="rId286"/><Relationship Type="http://schemas.openxmlformats.org/officeDocument/2006/relationships/hyperlink" Target="https://www.japan-it.jp/hub/ja-jp/visit/web.html" TargetMode="External" Id="rId287"/><Relationship Type="http://schemas.openxmlformats.org/officeDocument/2006/relationships/hyperlink" Target="https://www.japan-it.jp/hub/ja-jp/exhibit/web.html" TargetMode="External" Id="rId288"/><Relationship Type="http://schemas.openxmlformats.org/officeDocument/2006/relationships/hyperlink" Target="https://www.japan-it.jp/hub/ja-jp/about/sales-marketingweek.html" TargetMode="External" Id="rId289"/><Relationship Type="http://schemas.openxmlformats.org/officeDocument/2006/relationships/hyperlink" Target="https://www.seohacks.net/blog/1066/" TargetMode="External" Id="rId290"/><Relationship Type="http://schemas.openxmlformats.org/officeDocument/2006/relationships/hyperlink" Target="https://www.seohacks.net/blog/939/" TargetMode="External" Id="rId291"/><Relationship Type="http://schemas.openxmlformats.org/officeDocument/2006/relationships/hyperlink" Target="https://www.seohacks.net/blog/906/" TargetMode="External" Id="rId292"/><Relationship Type="http://schemas.openxmlformats.org/officeDocument/2006/relationships/hyperlink" Target="https://www.seohacks.net/blog/2277/" TargetMode="External" Id="rId293"/><Relationship Type="http://schemas.openxmlformats.org/officeDocument/2006/relationships/hyperlink" Target="https://www.seohacks.net/blog/28203/" TargetMode="External" Id="rId294"/><Relationship Type="http://schemas.openxmlformats.org/officeDocument/2006/relationships/hyperlink" Target="https://www.seohacks.net/blog/28360/" TargetMode="External" Id="rId295"/><Relationship Type="http://schemas.openxmlformats.org/officeDocument/2006/relationships/hyperlink" Target="https://www.seohacks.net/blog/926/" TargetMode="External" Id="rId296"/><Relationship Type="http://schemas.openxmlformats.org/officeDocument/2006/relationships/hyperlink" Target="https://www.seohacks.net/blog/14491/" TargetMode="External" Id="rId297"/><Relationship Type="http://schemas.openxmlformats.org/officeDocument/2006/relationships/hyperlink" Target="https://www.seohacks.net/blog/1066/" TargetMode="External" Id="rId298"/><Relationship Type="http://schemas.openxmlformats.org/officeDocument/2006/relationships/hyperlink" Target="https://www.seohacks.net/blog/1191/" TargetMode="External" Id="rId299"/><Relationship Type="http://schemas.openxmlformats.org/officeDocument/2006/relationships/hyperlink" Target="https://www.seohacks.net/blog/16864/" TargetMode="External" Id="rId300"/><Relationship Type="http://schemas.openxmlformats.org/officeDocument/2006/relationships/hyperlink" Target="https://www.seohacks.net/blog/28359/" TargetMode="External" Id="rId301"/></Relationships>
</file>

<file path=xl/worksheets/_rels/sheet8.xml.rels><Relationships xmlns="http://schemas.openxmlformats.org/package/2006/relationships"><Relationship Type="http://schemas.openxmlformats.org/officeDocument/2006/relationships/hyperlink" Target="https://www.seohacks.net/blog/14491/" TargetMode="External" Id="rId1"/><Relationship Type="http://schemas.openxmlformats.org/officeDocument/2006/relationships/hyperlink" Target="https://www.seohacks.net/column/29821/" TargetMode="External" Id="rId2"/><Relationship Type="http://schemas.openxmlformats.org/officeDocument/2006/relationships/hyperlink" Target="https://www.seohacks.net/blog/939/" TargetMode="External" Id="rId3"/><Relationship Type="http://schemas.openxmlformats.org/officeDocument/2006/relationships/hyperlink" Target="https://status.search.google.com/summary" TargetMode="External" Id="rId4"/><Relationship Type="http://schemas.openxmlformats.org/officeDocument/2006/relationships/hyperlink" Target="https://developers.google.com/search/docs/appearance/core-updates?hl=ja" TargetMode="External" Id="rId5"/><Relationship Type="http://schemas.openxmlformats.org/officeDocument/2006/relationships/hyperlink" Target="https://backlinko.com/google-ranking-factors" TargetMode="External" Id="rId6"/><Relationship Type="http://schemas.openxmlformats.org/officeDocument/2006/relationships/hyperlink" Target="https://ja.semrush.com/" TargetMode="External" Id="rId7"/><Relationship Type="http://schemas.openxmlformats.org/officeDocument/2006/relationships/hyperlink" Target="https://ja.semrush.com/sensor/?db=JP" TargetMode="External" Id="rId8"/><Relationship Type="http://schemas.openxmlformats.org/officeDocument/2006/relationships/hyperlink" Target="https://x.com/glenngabe/status/1943650384997646725" TargetMode="External" Id="rId9"/><Relationship Type="http://schemas.openxmlformats.org/officeDocument/2006/relationships/hyperlink" Target="https://x.com/lilyraynyc/status/1945588415489347604" TargetMode="External" Id="rId10"/><Relationship Type="http://schemas.openxmlformats.org/officeDocument/2006/relationships/hyperlink" Target="https://www.seohacks.net/seminar/seo/28747/" TargetMode="External" Id="rId11"/><Relationship Type="http://schemas.openxmlformats.org/officeDocument/2006/relationships/hyperlink" Target="https://www.linkedin.com/posts/googlesearchcentral_today-we-released-the-march-2025-core-update-activity-7305987570948075520-6Yty?utm_source=share&amp;utm_medium=member_desktop&amp;rcm=ACoAAFUVHMABCAQtIUk3vihlHS7KfA2bPMH67vQ" TargetMode="External" Id="rId12"/><Relationship Type="http://schemas.openxmlformats.org/officeDocument/2006/relationships/hyperlink" Target="https://www.seohacks.net/blog/28203/" TargetMode="External" Id="rId13"/><Relationship Type="http://schemas.openxmlformats.org/officeDocument/2006/relationships/hyperlink" Target="https://searchengineland.com/data-providers-google-december-2024-core-update-was-more-volatile-than-last-449744" TargetMode="External" Id="rId14"/><Relationship Type="http://schemas.openxmlformats.org/officeDocument/2006/relationships/hyperlink" Target="https://www.similarweb.com/serp/" TargetMode="External" Id="rId15"/><Relationship Type="http://schemas.openxmlformats.org/officeDocument/2006/relationships/hyperlink" Target="https://static.googleusercontent.com/media/guidelines.raterhub.com/ja//searchqualityevaluatorguidelines.pdf" TargetMode="External" Id="rId16"/><Relationship Type="http://schemas.openxmlformats.org/officeDocument/2006/relationships/hyperlink" Target="https://www.aleydasolis.com/en/search-engine-optimization/hubspot-blog-rankings-drop-analysis/" TargetMode="External" Id="rId17"/><Relationship Type="http://schemas.openxmlformats.org/officeDocument/2006/relationships/hyperlink" Target="https://www.youtube.com/watch?v=aUWxPB-3NYo&amp;t=32s" TargetMode="External" Id="rId18"/><Relationship Type="http://schemas.openxmlformats.org/officeDocument/2006/relationships/hyperlink" Target="https://developers.google.com/search/blog/2024/08/august-2024-core-update?hl=ja" TargetMode="External" Id="rId19"/><Relationship Type="http://schemas.openxmlformats.org/officeDocument/2006/relationships/hyperlink" Target="https://www.youtube.com/watch?v=4cCJWxnnUA4" TargetMode="External" Id="rId20"/><Relationship Type="http://schemas.openxmlformats.org/officeDocument/2006/relationships/hyperlink" Target="https://developers.google.com/search/blog/2024/03/core-update-spam-policies?hl=ja" TargetMode="External" Id="rId21"/><Relationship Type="http://schemas.openxmlformats.org/officeDocument/2006/relationships/hyperlink" Target="https://www.seohacks.net/blog/943/" TargetMode="External" Id="rId22"/><Relationship Type="http://schemas.openxmlformats.org/officeDocument/2006/relationships/hyperlink" Target="https://www.seohacks.net/blog/2149/" TargetMode="External" Id="rId23"/><Relationship Type="http://schemas.openxmlformats.org/officeDocument/2006/relationships/hyperlink" Target="https://www.searchenginejournal.com/google-march-2024-update-4-changes-to-link-signal/510322/" TargetMode="External" Id="rId24"/><Relationship Type="http://schemas.openxmlformats.org/officeDocument/2006/relationships/hyperlink" Target="https://developers.google.com/search/docs/monitor-debug/debugging-search-traffic-drops?hl=ja" TargetMode="External" Id="rId25"/><Relationship Type="http://schemas.openxmlformats.org/officeDocument/2006/relationships/hyperlink" Target="https://www.seohacks.net/blog/6108/" TargetMode="External" Id="rId26"/><Relationship Type="http://schemas.openxmlformats.org/officeDocument/2006/relationships/hyperlink" Target="https://www.searchenginejournal.com/google-march-2024-update-4-changes-to-link-signal/510322/" TargetMode="External" Id="rId27"/><Relationship Type="http://schemas.openxmlformats.org/officeDocument/2006/relationships/hyperlink" Target="https://www.searchenginejournal.com/reddit-post-ranks-within-minutes/513825/" TargetMode="External" Id="rId28"/><Relationship Type="http://schemas.openxmlformats.org/officeDocument/2006/relationships/hyperlink" Target="https://about.google/company-info/philosophy/" TargetMode="External" Id="rId29"/><Relationship Type="http://schemas.openxmlformats.org/officeDocument/2006/relationships/hyperlink" Target="https://www.soumu.go.jp/johotsusintokei/statistics/data/240607_1.pdf" TargetMode="External" Id="rId30"/><Relationship Type="http://schemas.openxmlformats.org/officeDocument/2006/relationships/hyperlink" Target="https://www.seohacks.net/blog/1046/" TargetMode="External" Id="rId31"/><Relationship Type="http://schemas.openxmlformats.org/officeDocument/2006/relationships/hyperlink" Target="https://www.aleydasolis.com/en/search-engine-optimization/hubspot-blog-rankings-drop-analysis/" TargetMode="External" Id="rId32"/><Relationship Type="http://schemas.openxmlformats.org/officeDocument/2006/relationships/hyperlink" Target="https://trends.google.co.jp/trends/" TargetMode="External" Id="rId33"/><Relationship Type="http://schemas.openxmlformats.org/officeDocument/2006/relationships/hyperlink" Target="https://www.youtube.com/@NyleTV_Marketing/videos" TargetMode="External" Id="rId34"/><Relationship Type="http://schemas.openxmlformats.org/officeDocument/2006/relationships/hyperlink" Target="https://x.com/seohacks_net" TargetMode="External" Id="rId35"/><Relationship Type="http://schemas.openxmlformats.org/officeDocument/2006/relationships/hyperlink" Target="https://gmotech.jp/semlabo/seo/blog/googlecoreupdate_history/" TargetMode="External" Id="rId36"/><Relationship Type="http://schemas.openxmlformats.org/officeDocument/2006/relationships/hyperlink" Target="https://gmotech.jp/semlabo/seo/blog/december-2025-core-update/" TargetMode="External" Id="rId37"/><Relationship Type="http://schemas.openxmlformats.org/officeDocument/2006/relationships/hyperlink" Target="https://gmotech.jp/semlabo/seo/blog/core-update/" TargetMode="External" Id="rId38"/><Relationship Type="http://schemas.openxmlformats.org/officeDocument/2006/relationships/hyperlink" Target="https://gmotech.jp/semlabo/seo/blog/backlink_effect/" TargetMode="External" Id="rId39"/><Relationship Type="http://schemas.openxmlformats.org/officeDocument/2006/relationships/hyperlink" Target="https://developers.google.com/search/blog/2012/01/doorway-page?hl=ja" TargetMode="External" Id="rId40"/><Relationship Type="http://schemas.openxmlformats.org/officeDocument/2006/relationships/hyperlink" Target="https://gmotech.jp/semlabo/seo/blog/responsive_design/" TargetMode="External" Id="rId41"/><Relationship Type="http://schemas.openxmlformats.org/officeDocument/2006/relationships/hyperlink" Target="https://gmotech.jp/semlabo/seo/blog/eeat/" TargetMode="External" Id="rId42"/><Relationship Type="http://schemas.openxmlformats.org/officeDocument/2006/relationships/hyperlink" Target="https://business.google.com/jp/think/" TargetMode="External" Id="rId43"/><Relationship Type="http://schemas.openxmlformats.org/officeDocument/2006/relationships/hyperlink" Target="https://gmotech.jp/semlabo/seo/blog/core-web-vitals/" TargetMode="External" Id="rId44"/><Relationship Type="http://schemas.openxmlformats.org/officeDocument/2006/relationships/hyperlink" Target="https://developers.google.com/search/blog/2020/05/evaluating-page-experience?hl=ja" TargetMode="External" Id="rId45"/><Relationship Type="http://schemas.openxmlformats.org/officeDocument/2006/relationships/hyperlink" Target="https://x.com/searchliaison/status/1410629484911349761?ref_src=twsrc%5Etfw%7Ctwcamp%5Etweetembed%7Ctwterm%5E1410629484911349761%7Ctwgr%5E%7Ctwcon%5Es1_&amp;ref_url=https%3A%2F%2Fdigitalidentity.co.jp%2Fblog%2Fseo%2Falgorithm%2Fcorealgorithm-updates.html" TargetMode="External" Id="rId46"/><Relationship Type="http://schemas.openxmlformats.org/officeDocument/2006/relationships/hyperlink" Target="https://gmotech.jp/semlabo/march-2023-core-update-2/" TargetMode="External" Id="rId47"/><Relationship Type="http://schemas.openxmlformats.org/officeDocument/2006/relationships/hyperlink" Target="https://gmotech.jp/semlabo/seo/blog/march-2025-core-update/" TargetMode="External" Id="rId48"/><Relationship Type="http://schemas.openxmlformats.org/officeDocument/2006/relationships/hyperlink" Target="https://gmotech.jp/semlabo/seo/blog/june-2025-core-update/" TargetMode="External" Id="rId49"/><Relationship Type="http://schemas.openxmlformats.org/officeDocument/2006/relationships/hyperlink" Target="https://gmotech.jp/semlabo/seo/blog/december-2025-core-update/" TargetMode="External" Id="rId50"/><Relationship Type="http://schemas.openxmlformats.org/officeDocument/2006/relationships/hyperlink" Target="https://developers.google.com/search/blog/2019/08/core-updates?hl=ja" TargetMode="External" Id="rId51"/><Relationship Type="http://schemas.openxmlformats.org/officeDocument/2006/relationships/hyperlink" Target="https://devo.jp/seolaboratory/93405/" TargetMode="External" Id="rId52"/><Relationship Type="http://schemas.openxmlformats.org/officeDocument/2006/relationships/hyperlink" Target="https://devo.jp/seolaboratory/campaign/190627.php?argument=cqeXuh6H&amp;dmai=a5d158fb142b7d" TargetMode="External" Id="rId53"/><Relationship Type="http://schemas.openxmlformats.org/officeDocument/2006/relationships/hyperlink" Target="https://devo.jp/seolaboratory/91744/" TargetMode="External" Id="rId54"/><Relationship Type="http://schemas.openxmlformats.org/officeDocument/2006/relationships/hyperlink" Target="https://developers.google.com/search/docs/appearance/core-updates?hl=ja" TargetMode="External" Id="rId55"/><Relationship Type="http://schemas.openxmlformats.org/officeDocument/2006/relationships/hyperlink" Target="https://devo.jp/seolaboratory/101642/" TargetMode="External" Id="rId56"/><Relationship Type="http://schemas.openxmlformats.org/officeDocument/2006/relationships/hyperlink" Target="https://devo.jp/seolaboratory/101749/" TargetMode="External" Id="rId57"/><Relationship Type="http://schemas.openxmlformats.org/officeDocument/2006/relationships/hyperlink" Target="https://devo.jp/seolaboratory/101895/" TargetMode="External" Id="rId58"/><Relationship Type="http://schemas.openxmlformats.org/officeDocument/2006/relationships/hyperlink" Target="https://devo.jp/seolaboratory/45280/" TargetMode="External" Id="rId59"/><Relationship Type="http://schemas.openxmlformats.org/officeDocument/2006/relationships/hyperlink" Target="https://status.search.google.com/products/rGHU1u87FJnkP6W2GwMi/history" TargetMode="External" Id="rId60"/><Relationship Type="http://schemas.openxmlformats.org/officeDocument/2006/relationships/hyperlink" Target="https://x.com/googlesearchc/status/1999169216826736671?s=20" TargetMode="External" Id="rId61"/><Relationship Type="http://schemas.openxmlformats.org/officeDocument/2006/relationships/hyperlink" Target="https://devo.jp/seolaboratory/92535/" TargetMode="External" Id="rId62"/><Relationship Type="http://schemas.openxmlformats.org/officeDocument/2006/relationships/hyperlink" Target="https://x.com/seolabo85/status/2002912605632069908?ref_src=twsrc%5Etfw%7Ctwcamp%5Etweetembed%7Ctwterm%5E2002912605632069908%7Ctwgr%5Ea490ea7d7f7e5d170402523d65b7b33421fd072a%7Ctwcon%5Es1_&amp;ref_url=https%3A%2F%2Fdevo.jp%2Fseolaboratory%2F93405%2F" TargetMode="External" Id="rId63"/><Relationship Type="http://schemas.openxmlformats.org/officeDocument/2006/relationships/hyperlink" Target="https://x.com/seolabo85/status/1939841347416162761?ref_src=twsrc%5Etfw%7Ctwcamp%5Etweetembed%7Ctwterm%5E1939841347416162761%7Ctwgr%5Ea490ea7d7f7e5d170402523d65b7b33421fd072a%7Ctwcon%5Es1_&amp;ref_url=https%3A%2F%2Fdevo.jp%2Fseolaboratory%2F93405%2F" TargetMode="External" Id="rId64"/><Relationship Type="http://schemas.openxmlformats.org/officeDocument/2006/relationships/hyperlink" Target="https://status.search.google.com/incidents/riq1AuqETW46NfBCe5NT" TargetMode="External" Id="rId65"/><Relationship Type="http://schemas.openxmlformats.org/officeDocument/2006/relationships/hyperlink" Target="https://x.com/seolabo85/status/1946000699604848719?ref_src=twsrc%5Etfw%7Ctwcamp%5Etweetembed%7Ctwterm%5E1946000699604848719%7Ctwgr%5Ea490ea7d7f7e5d170402523d65b7b33421fd072a%7Ctwcon%5Es1_&amp;ref_url=https%3A%2F%2Fdevo.jp%2Fseolaboratory%2F93405%2F" TargetMode="External" Id="rId66"/><Relationship Type="http://schemas.openxmlformats.org/officeDocument/2006/relationships/hyperlink" Target="https://www.semrush.com/sensor/?db=JP" TargetMode="External" Id="rId67"/><Relationship Type="http://schemas.openxmlformats.org/officeDocument/2006/relationships/hyperlink" Target="https://namaz.jp/" TargetMode="External" Id="rId68"/><Relationship Type="http://schemas.openxmlformats.org/officeDocument/2006/relationships/hyperlink" Target="https://devo.jp/seolaboratory/92535/" TargetMode="External" Id="rId69"/><Relationship Type="http://schemas.openxmlformats.org/officeDocument/2006/relationships/hyperlink" Target="https://x.com/seolabo85/status/1905046302280589630?ref_src=twsrc%5Etfw%7Ctwcamp%5Etweetembed%7Ctwterm%5E1905046302280589630%7Ctwgr%5E9d44195eec7f3acd6ed0bcfb4240a96797fe0490%7Ctwcon%5Es1_&amp;ref_url=https%3A%2F%2Fdevo.jp%2Fseolaboratory%2F93405%2F" TargetMode="External" Id="rId70"/><Relationship Type="http://schemas.openxmlformats.org/officeDocument/2006/relationships/hyperlink" Target="https://x.com/seolabo85/status/1904029488096411853?ref_src=twsrc%5Etfw%7Ctwcamp%5Etweetembed%7Ctwterm%5E1904029488096411853%7Ctwgr%5E9d44195eec7f3acd6ed0bcfb4240a96797fe0490%7Ctwcon%5Es1_&amp;ref_url=https%3A%2F%2Fdevo.jp%2Fseolaboratory%2F93405%2F" TargetMode="External" Id="rId71"/><Relationship Type="http://schemas.openxmlformats.org/officeDocument/2006/relationships/hyperlink" Target="https://x.com/seolabo85/status/1901819657029562647?ref_src=twsrc%5Etfw%7Ctwcamp%5Etweetembed%7Ctwterm%5E1901819657029562647%7Ctwgr%5E9d44195eec7f3acd6ed0bcfb4240a96797fe0490%7Ctwcon%5Es1_&amp;ref_url=https%3A%2F%2Fdevo.jp%2Fseolaboratory%2F93405%2F" TargetMode="External" Id="rId72"/><Relationship Type="http://schemas.openxmlformats.org/officeDocument/2006/relationships/hyperlink" Target="https://x.com/seolabo85/status/1901432690349642033?ref_src=twsrc%5Etfw%7Ctwcamp%5Etweetembed%7Ctwterm%5E1901432690349642033%7Ctwgr%5E9d44195eec7f3acd6ed0bcfb4240a96797fe0490%7Ctwcon%5Es1_&amp;ref_url=https%3A%2F%2Fdevo.jp%2Fseolaboratory%2F93405%2F" TargetMode="External" Id="rId73"/><Relationship Type="http://schemas.openxmlformats.org/officeDocument/2006/relationships/hyperlink" Target="https://devo.jp/seolaboratory/campaign/200807_coreupdate.html?argument=cqeXuh6H&amp;dmai=a6760c8a17edd3" TargetMode="External" Id="rId74"/><Relationship Type="http://schemas.openxmlformats.org/officeDocument/2006/relationships/hyperlink" Target="https://devo.jp/seolaboratory/seo_knowhow/?dl&amp;report_id=131&amp;argument=cqeXuh6H&amp;dmai=a6760d7f556816" TargetMode="External" Id="rId75"/><Relationship Type="http://schemas.openxmlformats.org/officeDocument/2006/relationships/hyperlink" Target="https://devo.jp/seolaboratory/campaign/190627.php?argument=cqeXuh6H&amp;dmai=a5d158fb142b7d" TargetMode="External" Id="rId76"/><Relationship Type="http://schemas.openxmlformats.org/officeDocument/2006/relationships/hyperlink" Target="https://developers.google.com/search/blog/2019/08/core-updates?hl=ja" TargetMode="External" Id="rId77"/><Relationship Type="http://schemas.openxmlformats.org/officeDocument/2006/relationships/hyperlink" Target="https://devo.jp/seolaboratory/92529/" TargetMode="External" Id="rId78"/><Relationship Type="http://schemas.openxmlformats.org/officeDocument/2006/relationships/hyperlink" Target="https://devo.jp/seolaboratory/101989/" TargetMode="External" Id="rId79"/><Relationship Type="http://schemas.openxmlformats.org/officeDocument/2006/relationships/hyperlink" Target="https://devo.jp/seolaboratory/90980/" TargetMode="External" Id="rId80"/></Relationships>
</file>

<file path=xl/worksheets/_rels/sheet9.xml.rels><Relationships xmlns="http://schemas.openxmlformats.org/package/2006/relationships"><Relationship Type="http://schemas.openxmlformats.org/officeDocument/2006/relationships/hyperlink" Target="https://docs.google.com/spreadsheets/d/1inGEIfYALCLdCgCaiSCzCkyyIl9FPAY7Cxw9CKXA-ZM/edit?gid=544801439" TargetMode="External" Id="rId1"/><Relationship Type="http://schemas.openxmlformats.org/officeDocument/2006/relationships/hyperlink" Target="https://mieru-ca.com/blog/ownedmedia/" TargetMode="External" Id="rId2"/><Relationship Type="http://schemas.openxmlformats.org/officeDocument/2006/relationships/hyperlink" Target="https://mieru-ca.com/blog/how_search_engines_work/" TargetMode="External" Id="rId3"/><Relationship Type="http://schemas.openxmlformats.org/officeDocument/2006/relationships/hyperlink" Target="https://mieru-ca.com/blog/seo-measures/" TargetMode="External" Id="rId4"/><Relationship Type="http://schemas.openxmlformats.org/officeDocument/2006/relationships/hyperlink" Target="https://mieru-ca.com/blog/sns-marketing/" TargetMode="External" Id="rId5"/><Relationship Type="http://schemas.openxmlformats.org/officeDocument/2006/relationships/hyperlink" Target="https://mieru-ca.com/ai-seo/ai_search_support/" TargetMode="External" Id="rId6"/><Relationship Type="http://schemas.openxmlformats.org/officeDocument/2006/relationships/hyperlink" Target="https://mieru-ca.com/ai-seo/ai_writing_tool/" TargetMode="External" Id="rId7"/><Relationship Type="http://schemas.openxmlformats.org/officeDocument/2006/relationships/hyperlink" Target="https://mieru-ca.com/blog/conversion_2/" TargetMode="External" Id="rId8"/><Relationship Type="http://schemas.openxmlformats.org/officeDocument/2006/relationships/hyperlink" Target="https://mieru-ca.com/blog/what-is-ltv/" TargetMode="External" Id="rId9"/><Relationship Type="http://schemas.openxmlformats.org/officeDocument/2006/relationships/hyperlink" Target="https://mieru-ca.com/blog/customer_journey/" TargetMode="External" Id="rId10"/><Relationship Type="http://schemas.openxmlformats.org/officeDocument/2006/relationships/hyperlink" Target="https://h-navi.jp/" TargetMode="External" Id="rId11"/><Relationship Type="http://schemas.openxmlformats.org/officeDocument/2006/relationships/hyperlink" Target="https://mieru-ca.com/blog/what-is-lp/" TargetMode="External" Id="rId12"/><Relationship Type="http://schemas.openxmlformats.org/officeDocument/2006/relationships/hyperlink" Target="https://mieru-ca.com/blog/content-marketing-success/" TargetMode="External" Id="rId13"/><Relationship Type="http://schemas.openxmlformats.org/officeDocument/2006/relationships/hyperlink" Target="https://mieru-ca.com/blog/ownedmedia-kpi/" TargetMode="External" Id="rId14"/><Relationship Type="http://schemas.openxmlformats.org/officeDocument/2006/relationships/hyperlink" Target="https://mieru-ca.com/blog/persona-matome/" TargetMode="External" Id="rId15"/><Relationship Type="http://schemas.openxmlformats.org/officeDocument/2006/relationships/hyperlink" Target="https://mieru-ca.com/blog/customer_journey/" TargetMode="External" Id="rId16"/><Relationship Type="http://schemas.openxmlformats.org/officeDocument/2006/relationships/hyperlink" Target="https://mieru-ca.com/blog/customer-journey-map/" TargetMode="External" Id="rId17"/><Relationship Type="http://schemas.openxmlformats.org/officeDocument/2006/relationships/hyperlink" Target="https://mieru-ca.com/blog/what-is-creating-content/" TargetMode="External" Id="rId18"/><Relationship Type="http://schemas.openxmlformats.org/officeDocument/2006/relationships/hyperlink" Target="https://mieru-ca.com/blog/user-needs/" TargetMode="External" Id="rId19"/><Relationship Type="http://schemas.openxmlformats.org/officeDocument/2006/relationships/hyperlink" Target="https://mieru-ca.com/blog/keywordmap/" TargetMode="External" Id="rId20"/><Relationship Type="http://schemas.openxmlformats.org/officeDocument/2006/relationships/hyperlink" Target="https://mieru-ca.com/blog/what-is-creating-content/" TargetMode="External" Id="rId21"/><Relationship Type="http://schemas.openxmlformats.org/officeDocument/2006/relationships/hyperlink" Target="https://mieru-ca.com/blog/googleanalytics-whattodo/" TargetMode="External" Id="rId22"/><Relationship Type="http://schemas.openxmlformats.org/officeDocument/2006/relationships/hyperlink" Target="https://mieru-ca.com/blog/searchconsole/" TargetMode="External" Id="rId23"/><Relationship Type="http://schemas.openxmlformats.org/officeDocument/2006/relationships/hyperlink" Target="https://mieru-ca.com/blog/seotool-comparison/" TargetMode="External" Id="rId24"/><Relationship Type="http://schemas.openxmlformats.org/officeDocument/2006/relationships/hyperlink" Target="https://mieru-ca.com/blog/ownedmedia_interview/" TargetMode="External" Id="rId25"/><Relationship Type="http://schemas.openxmlformats.org/officeDocument/2006/relationships/hyperlink" Target="https://mieru-ca.com/blog/contents-seo-pro/" TargetMode="External" Id="rId26"/><Relationship Type="http://schemas.openxmlformats.org/officeDocument/2006/relationships/hyperlink" Target="https://mieru-ca.com/blog/seotool-comparison/" TargetMode="External" Id="rId27"/><Relationship Type="http://schemas.openxmlformats.org/officeDocument/2006/relationships/hyperlink" Target="https://mieru-ca.com/ai-seo/ai_kousei/" TargetMode="External" Id="rId28"/><Relationship Type="http://schemas.openxmlformats.org/officeDocument/2006/relationships/hyperlink" Target="https://mieru-ca.com/blog/web_collect/" TargetMode="External" Id="rId29"/><Relationship Type="http://schemas.openxmlformats.org/officeDocument/2006/relationships/hyperlink" Target="https://www.nttcoms.com/service/b2b_marketing/glossary/ownedmedia/" TargetMode="External" Id="rId30"/><Relationship Type="http://schemas.openxmlformats.org/officeDocument/2006/relationships/hyperlink" Target="https://www.nttcoms.com/service/b2b_marketing/download/download10/" TargetMode="External" Id="rId31"/><Relationship Type="http://schemas.openxmlformats.org/officeDocument/2006/relationships/hyperlink" Target="https://www.nttcoms.com/service/b2b_marketing/freeconsultation_inquiry/" TargetMode="External" Id="rId32"/><Relationship Type="http://schemas.openxmlformats.org/officeDocument/2006/relationships/hyperlink" Target="https://www.nttcoms.com/service/b2b_marketing/freeconsultation_inquiry/" TargetMode="External" Id="rId33"/><Relationship Type="http://schemas.openxmlformats.org/officeDocument/2006/relationships/hyperlink" Target="https://www.nttcoms.com/service/b2b_marketing/service_dmsupport/content/" TargetMode="External" Id="rId34"/><Relationship Type="http://schemas.openxmlformats.org/officeDocument/2006/relationships/hyperlink" Target="https://www.nttcoms.com/service/b2b_marketing/column/20221018/" TargetMode="External" Id="rId35"/><Relationship Type="http://schemas.openxmlformats.org/officeDocument/2006/relationships/hyperlink" Target="https://www.nttcoms.com/service/b2b_marketing/column/20221017/" TargetMode="External" Id="rId36"/><Relationship Type="http://schemas.openxmlformats.org/officeDocument/2006/relationships/hyperlink" Target="https://www.takara-sc.co.jp/column/2204/" TargetMode="External" Id="rId37"/><Relationship Type="http://schemas.openxmlformats.org/officeDocument/2006/relationships/hyperlink" Target="https://www.takara-sc.co.jp/column/column_category/ownedmedia/" TargetMode="External" Id="rId38"/><Relationship Type="http://schemas.openxmlformats.org/officeDocument/2006/relationships/hyperlink" Target="https://www.takara-sc.co.jp/column/column_category/all/" TargetMode="External" Id="rId39"/><Relationship Type="http://schemas.openxmlformats.org/officeDocument/2006/relationships/hyperlink" Target="https://www.digistyle-kyoto.com/" TargetMode="External" Id="rId40"/><Relationship Type="http://schemas.openxmlformats.org/officeDocument/2006/relationships/hyperlink" Target="https://www.instagram.com/e_toko_kyoto/?hl=ja" TargetMode="External" Id="rId41"/><Relationship Type="http://schemas.openxmlformats.org/officeDocument/2006/relationships/hyperlink" Target="https://www.takara-sc.co.jp/service/ownedmedia/" TargetMode="External" Id="rId42"/><Relationship Type="http://schemas.openxmlformats.org/officeDocument/2006/relationships/hyperlink" Target="https://www.takara-sc.co.jp/service/digital/" TargetMode="External" Id="rId43"/><Relationship Type="http://schemas.openxmlformats.org/officeDocument/2006/relationships/hyperlink" Target="https://www.takara-sc.co.jp/column/4642/" TargetMode="External" Id="rId44"/><Relationship Type="http://schemas.openxmlformats.org/officeDocument/2006/relationships/hyperlink" Target="https://www.takara-sc.co.jp/column/4629/" TargetMode="External" Id="rId45"/><Relationship Type="http://schemas.openxmlformats.org/officeDocument/2006/relationships/hyperlink" Target="https://www.takara-sc.co.jp/column/4624/" TargetMode="External" Id="rId46"/><Relationship Type="http://schemas.openxmlformats.org/officeDocument/2006/relationships/hyperlink" Target="https://satori.marketing/marketing-blog/ownedmedia-meaning/" TargetMode="External" Id="rId47"/><Relationship Type="http://schemas.openxmlformats.org/officeDocument/2006/relationships/hyperlink" Target="https://satori.marketing/marketing-blog/" TargetMode="External" Id="rId48"/><Relationship Type="http://schemas.openxmlformats.org/officeDocument/2006/relationships/hyperlink" Target="https://satori.marketing/marketing-blog/tag/%e3%82%aa%e3%82%a6%e3%83%b3%e3%83%89%e3%83%a1%e3%83%87%e3%82%a3%e3%82%a2/" TargetMode="External" Id="rId49"/><Relationship Type="http://schemas.openxmlformats.org/officeDocument/2006/relationships/hyperlink" Target="https://satori.marketing/marketing-blog/tag/%e4%ba%8b%e4%be%8b%e7%b4%b9%e4%bb%8b/" TargetMode="External" Id="rId50"/><Relationship Type="http://schemas.openxmlformats.org/officeDocument/2006/relationships/hyperlink" Target="https://satori.marketing/marketing-blog/tag/%e5%9f%ba%e7%a4%8e%e7%9f%a5%e8%ad%98/" TargetMode="External" Id="rId51"/><Relationship Type="http://schemas.openxmlformats.org/officeDocument/2006/relationships/hyperlink" Target="https://satori.marketing/" TargetMode="External" Id="rId52"/><Relationship Type="http://schemas.openxmlformats.org/officeDocument/2006/relationships/hyperlink" Target="https://satori.marketing/materials/" TargetMode="External" Id="rId53"/><Relationship Type="http://schemas.openxmlformats.org/officeDocument/2006/relationships/hyperlink" Target="https://satori.marketing/inquiry/" TargetMode="External" Id="rId54"/><Relationship Type="http://schemas.openxmlformats.org/officeDocument/2006/relationships/hyperlink" Target="https://satori.marketing/mailmagazine/?s_action=embed_sidebar_blog_mail_magazine_subscribe" TargetMode="External" Id="rId55"/><Relationship Type="http://schemas.openxmlformats.org/officeDocument/2006/relationships/hyperlink" Target="https://satori.marketing/marketing-blog/what-is-the-difference-between-ma-and-mail/" TargetMode="External" Id="rId56"/><Relationship Type="http://schemas.openxmlformats.org/officeDocument/2006/relationships/hyperlink" Target="https://satori.marketing/marketing-blog/category/marketing-automation/" TargetMode="External" Id="rId57"/><Relationship Type="http://schemas.openxmlformats.org/officeDocument/2006/relationships/hyperlink" Target="https://satori.marketing/marketing-blog/sfa/" TargetMode="External" Id="rId58"/><Relationship Type="http://schemas.openxmlformats.org/officeDocument/2006/relationships/hyperlink" Target="https://satori.marketing/marketing-blog/customer-acquisition/" TargetMode="External" Id="rId59"/><Relationship Type="http://schemas.openxmlformats.org/officeDocument/2006/relationships/hyperlink" Target="https://satori.marketing/marketing-blog/web-push-notification/" TargetMode="External" Id="rId60"/><Relationship Type="http://schemas.openxmlformats.org/officeDocument/2006/relationships/hyperlink" Target="https://satori.marketing/marketing-blog/category/marketing/" TargetMode="External" Id="rId61"/><Relationship Type="http://schemas.openxmlformats.org/officeDocument/2006/relationships/hyperlink" Target="https://satori.marketing/marketing-blog/upselling_crossselling/" TargetMode="External" Id="rId62"/><Relationship Type="http://schemas.openxmlformats.org/officeDocument/2006/relationships/hyperlink" Target="https://satori.marketing/marketing-blog/category/web-advertising/" TargetMode="External" Id="rId63"/><Relationship Type="http://schemas.openxmlformats.org/officeDocument/2006/relationships/hyperlink" Target="https://satori.marketing/marketing-blog/category/event-report/" TargetMode="External" Id="rId64"/><Relationship Type="http://schemas.openxmlformats.org/officeDocument/2006/relationships/hyperlink" Target="https://satori.marketing/marketing-blog/category/contents-marketing/" TargetMode="External" Id="rId65"/><Relationship Type="http://schemas.openxmlformats.org/officeDocument/2006/relationships/hyperlink" Target="https://satori.marketing/marketing-blog/category/digital-marketing/" TargetMode="External" Id="rId66"/><Relationship Type="http://schemas.openxmlformats.org/officeDocument/2006/relationships/hyperlink" Target="https://satori.marketing/marketing-blog/category/mail-marketing/" TargetMode="External" Id="rId67"/><Relationship Type="http://schemas.openxmlformats.org/officeDocument/2006/relationships/hyperlink" Target="https://satori.marketing/marketing-blog/tag/dx/" TargetMode="External" Id="rId68"/><Relationship Type="http://schemas.openxmlformats.org/officeDocument/2006/relationships/hyperlink" Target="https://satori.marketing/marketing-blog/tag/google%e3%82%a2%e3%83%8a%e3%83%aa%e3%83%86%e3%82%a3%e3%82%af%e3%82%b9%e3%83%bbgtm/" TargetMode="External" Id="rId69"/><Relationship Type="http://schemas.openxmlformats.org/officeDocument/2006/relationships/hyperlink" Target="https://satori.marketing/marketing-blog/tag/kgi%e3%83%bbkpi/" TargetMode="External" Id="rId70"/><Relationship Type="http://schemas.openxmlformats.org/officeDocument/2006/relationships/hyperlink" Target="https://satori.marketing/marketing-blog/tag/seo/" TargetMode="External" Id="rId71"/><Relationship Type="http://schemas.openxmlformats.org/officeDocument/2006/relationships/hyperlink" Target="https://satori.marketing/marketing-blog/tag/%e3%82%a2%e3%83%89%e3%83%86%e3%82%af%e3%83%8e%e3%83%ad%e3%82%b8%e3%83%bc/" TargetMode="External" Id="rId72"/><Relationship Type="http://schemas.openxmlformats.org/officeDocument/2006/relationships/hyperlink" Target="https://satori.marketing/marketing-blog/tag/%e3%82%a4%e3%83%b3%e3%82%b5%e3%82%a4%e3%83%89%e3%82%bb%e3%83%bc%e3%83%ab%e3%82%b9/" TargetMode="External" Id="rId73"/><Relationship Type="http://schemas.openxmlformats.org/officeDocument/2006/relationships/hyperlink" Target="https://satori.marketing/marketing-blog/tag/%e3%82%a6%e3%82%a7%e3%83%93%e3%83%8a%e3%83%bc%e3%83%bb%e3%82%bb%e3%83%9f%e3%83%8a%e3%83%bc/" TargetMode="External" Id="rId74"/><Relationship Type="http://schemas.openxmlformats.org/officeDocument/2006/relationships/hyperlink" Target="https://satori.marketing/marketing-blog/tag/%e3%81%8a%e3%81%99%e3%81%99%e3%82%81%e6%9b%b8%e7%b1%8d/" TargetMode="External" Id="rId75"/><Relationship Type="http://schemas.openxmlformats.org/officeDocument/2006/relationships/hyperlink" Target="https://satori.marketing/marketing-blog/tag/%e3%82%ab%e3%82%b9%e3%82%bf%e3%83%9e%e3%83%bc%e3%82%b5%e3%82%af%e3%82%bb%e3%82%b9/" TargetMode="External" Id="rId76"/><Relationship Type="http://schemas.openxmlformats.org/officeDocument/2006/relationships/hyperlink" Target="https://satori.marketing/marketing-blog/tag/%e3%82%b9%e3%82%ad%e3%83%ab%e3%83%bb%e8%b3%87%e6%a0%bc/" TargetMode="External" Id="rId77"/><Relationship Type="http://schemas.openxmlformats.org/officeDocument/2006/relationships/hyperlink" Target="https://satori.marketing/marketing-blog/tag/%e3%83%84%e3%83%bc%e3%83%ab%e3%81%ae%e9%81%b8%e3%81%b3%e6%96%b9/" TargetMode="External" Id="rId78"/><Relationship Type="http://schemas.openxmlformats.org/officeDocument/2006/relationships/hyperlink" Target="https://satori.marketing/marketing-blog/tag/%e3%83%84%e3%83%bc%e3%83%ab%e8%a8%ad%e5%ae%9a/" TargetMode="External" Id="rId79"/><Relationship Type="http://schemas.openxmlformats.org/officeDocument/2006/relationships/hyperlink" Target="https://satori.marketing/marketing-blog/tag/%e3%83%87%e3%82%b8%e3%82%bf%e3%83%ab%e3%83%88%e3%83%ac%e3%83%b3%e3%83%89/" TargetMode="External" Id="rId80"/><Relationship Type="http://schemas.openxmlformats.org/officeDocument/2006/relationships/hyperlink" Target="https://satori.marketing/marketing-blog/tag/%e3%83%86%e3%83%b3%e3%83%97%e3%83%ac%e3%83%bc%e3%83%88%e3%83%bb%e4%be%8b%e6%96%87/" TargetMode="External" Id="rId81"/><Relationship Type="http://schemas.openxmlformats.org/officeDocument/2006/relationships/hyperlink" Target="https://satori.marketing/marketing-blog/tag/%e3%83%9e%e3%83%bc%e3%82%b1%e3%83%86%e3%82%a3%e3%83%b3%e3%82%b0%e6%88%a6%e7%95%a5/" TargetMode="External" Id="rId82"/><Relationship Type="http://schemas.openxmlformats.org/officeDocument/2006/relationships/hyperlink" Target="https://satori.marketing/marketing-blog/tag/%e3%83%aa%e3%83%bc%e3%83%89/" TargetMode="External" Id="rId83"/><Relationship Type="http://schemas.openxmlformats.org/officeDocument/2006/relationships/hyperlink" Target="https://satori.marketing/marketing-blog/tag/%e5%96%b6%e6%a5%ad%e5%8a%b9%e7%8e%87%e5%8c%96/" TargetMode="External" Id="rId84"/><Relationship Type="http://schemas.openxmlformats.org/officeDocument/2006/relationships/hyperlink" Target="https://satori.marketing/marketing-blog/tag/%e5%b8%82%e5%a0%b4%e8%aa%bf%e6%9f%bb%e3%83%bb%e3%83%ac%e3%83%9d%e3%83%bc%e3%83%88/" TargetMode="External" Id="rId85"/><Relationship Type="http://schemas.openxmlformats.org/officeDocument/2006/relationships/hyperlink" Target="https://satori.marketing/marketing-blog/tag/%e6%89%8b%e6%b3%95%e3%83%bb%e3%83%95%e3%83%ac%e3%83%bc%e3%83%a0%e3%83%af%e3%83%bc%e3%82%af/" TargetMode="External" Id="rId86"/><Relationship Type="http://schemas.openxmlformats.org/officeDocument/2006/relationships/hyperlink" Target="https://satori.marketing/marketing-blog/tag/%e7%b5%84%e7%b9%94%e4%bd%9c%e3%82%8a/" TargetMode="External" Id="rId87"/><Relationship Type="http://schemas.openxmlformats.org/officeDocument/2006/relationships/hyperlink" Target="https://www.form-mailer.jp/?utm_source=satori&amp;utm_medium=blog&amp;utm_campaign=blog-banner&amp;utm_content=pictures-people" TargetMode="External" Id="rId88"/><Relationship Type="http://schemas.openxmlformats.org/officeDocument/2006/relationships/hyperlink" Target="https://satori.marketing/marketing-blog/onetoone_marketing/" TargetMode="External" Id="rId89"/><Relationship Type="http://schemas.openxmlformats.org/officeDocument/2006/relationships/hyperlink" Target="https://satori.marketing/marketing-blog/marketing-automation/" TargetMode="External" Id="rId90"/><Relationship Type="http://schemas.openxmlformats.org/officeDocument/2006/relationships/hyperlink" Target="https://www.kao.com/jp/kaonokao/" TargetMode="External" Id="rId91"/><Relationship Type="http://schemas.openxmlformats.org/officeDocument/2006/relationships/hyperlink" Target="https://www.kao.com/jp/kaonokao/dna/8_3/" TargetMode="External" Id="rId92"/><Relationship Type="http://schemas.openxmlformats.org/officeDocument/2006/relationships/hyperlink" Target="https://keiei.freee.co.jp/" TargetMode="External" Id="rId93"/><Relationship Type="http://schemas.openxmlformats.org/officeDocument/2006/relationships/hyperlink" Target="https://www.itmedia.co.jp/bizid/articles/1311/20/news072.html" TargetMode="External" Id="rId94"/><Relationship Type="http://schemas.openxmlformats.org/officeDocument/2006/relationships/hyperlink" Target="https://lidea.today/" TargetMode="External" Id="rId95"/><Relationship Type="http://schemas.openxmlformats.org/officeDocument/2006/relationships/hyperlink" Target="https://thinkcontent.jp/lion_lidea" TargetMode="External" Id="rId96"/><Relationship Type="http://schemas.openxmlformats.org/officeDocument/2006/relationships/hyperlink" Target="https://thinkcontent.jp/lion_lidea" TargetMode="External" Id="rId97"/><Relationship Type="http://schemas.openxmlformats.org/officeDocument/2006/relationships/hyperlink" Target="https://webtan.impress.co.jp/e/2017/12/20/27668" TargetMode="External" Id="rId98"/><Relationship Type="http://schemas.openxmlformats.org/officeDocument/2006/relationships/hyperlink" Target="https://satori.marketing/marketing-blog/how_to_proceed_contentsseo/" TargetMode="External" Id="rId99"/><Relationship Type="http://schemas.openxmlformats.org/officeDocument/2006/relationships/hyperlink" Target="https://www.outbrain.com/jp/" TargetMode="External" Id="rId100"/><Relationship Type="http://schemas.openxmlformats.org/officeDocument/2006/relationships/hyperlink" Target="https://lift.logly.co.jp/" TargetMode="External" Id="rId101"/><Relationship Type="http://schemas.openxmlformats.org/officeDocument/2006/relationships/hyperlink" Target="https://discovery.popin.cc/" TargetMode="External" Id="rId102"/><Relationship Type="http://schemas.openxmlformats.org/officeDocument/2006/relationships/hyperlink" Target="https://satori.marketing/materials/?s_action=embed_bottom_blog_materials" TargetMode="External" Id="rId103"/><Relationship Type="http://schemas.openxmlformats.org/officeDocument/2006/relationships/hyperlink" Target="https://www.lycbiz.com/jp/column/yahoo-ads/marketing/what-is-owned-media/" TargetMode="External" Id="rId104"/><Relationship Type="http://schemas.openxmlformats.org/officeDocument/2006/relationships/hyperlink" Target="https://www.lycbiz.com/jp/column/yahoo-ads/marketing/what-is-triple-media/" TargetMode="External" Id="rId105"/><Relationship Type="http://schemas.openxmlformats.org/officeDocument/2006/relationships/hyperlink" Target="https://www.lycbiz.com/jp/service/yahoo-ads/" TargetMode="External" Id="rId106"/><Relationship Type="http://schemas.openxmlformats.org/officeDocument/2006/relationships/hyperlink" Target="https://ads-help.yahoo-net.jp/s/article/H000044876?language=ja" TargetMode="External" Id="rId107"/><Relationship Type="http://schemas.openxmlformats.org/officeDocument/2006/relationships/hyperlink" Target="https://www.lycbiz.com/jp/column/yahoo-ads/marketing/difference-bw-listing-and-seo/" TargetMode="External" Id="rId108"/><Relationship Type="http://schemas.openxmlformats.org/officeDocument/2006/relationships/hyperlink" Target="https://www.lycbiz.com/jp/column/yahoo-ads/marketing/what-is-access-analysis/" TargetMode="External" Id="rId109"/><Relationship Type="http://schemas.openxmlformats.org/officeDocument/2006/relationships/hyperlink" Target="https://www.lycbiz.com/jp/column/marketing-0/" TargetMode="External" Id="rId110"/><Relationship Type="http://schemas.openxmlformats.org/officeDocument/2006/relationships/hyperlink" Target="https://www.lycbiz.com/jp/column/yahoo-ads/marketing/ads-roas/" TargetMode="External" Id="rId111"/><Relationship Type="http://schemas.openxmlformats.org/officeDocument/2006/relationships/hyperlink" Target="https://www.lycbiz.com/jp/column/yahoo-ads/marketing/water-repair-digital-marketing/" TargetMode="External" Id="rId112"/><Relationship Type="http://schemas.openxmlformats.org/officeDocument/2006/relationships/hyperlink" Target="https://www.lycbiz.com/jp/column/yahoo-ads/marketing/what-is-access-analysis/" TargetMode="External" Id="rId113"/><Relationship Type="http://schemas.openxmlformats.org/officeDocument/2006/relationships/hyperlink" Target="https://www.japan-it.jp/hub/ja-jp/blog/article-41.html" TargetMode="External" Id="rId114"/><Relationship Type="http://schemas.openxmlformats.org/officeDocument/2006/relationships/hyperlink" Target="https://www.japan-it.jp/hub/ja-jp/visit/web.html" TargetMode="External" Id="rId115"/><Relationship Type="http://schemas.openxmlformats.org/officeDocument/2006/relationships/hyperlink" Target="https://www.japan-it.jp/hub/ja-jp/exhibit/web.html" TargetMode="External" Id="rId116"/><Relationship Type="http://schemas.openxmlformats.org/officeDocument/2006/relationships/hyperlink" Target="https://www.japan-it.jp/hub/ja-jp/about/sales-marketingweek.html" TargetMode="External" Id="rId117"/><Relationship Type="http://schemas.openxmlformats.org/officeDocument/2006/relationships/hyperlink" Target="https://www.seohacks.net/blog/1066/" TargetMode="External" Id="rId118"/><Relationship Type="http://schemas.openxmlformats.org/officeDocument/2006/relationships/hyperlink" Target="https://www.seohacks.net/blog/939/" TargetMode="External" Id="rId119"/><Relationship Type="http://schemas.openxmlformats.org/officeDocument/2006/relationships/hyperlink" Target="https://www.seohacks.net/blog/906/" TargetMode="External" Id="rId120"/><Relationship Type="http://schemas.openxmlformats.org/officeDocument/2006/relationships/hyperlink" Target="https://www.seohacks.net/blog/2277/" TargetMode="External" Id="rId121"/><Relationship Type="http://schemas.openxmlformats.org/officeDocument/2006/relationships/hyperlink" Target="https://www.seohacks.net/blog/28203/" TargetMode="External" Id="rId122"/><Relationship Type="http://schemas.openxmlformats.org/officeDocument/2006/relationships/hyperlink" Target="https://www.seohacks.net/blog/28360/" TargetMode="External" Id="rId123"/><Relationship Type="http://schemas.openxmlformats.org/officeDocument/2006/relationships/hyperlink" Target="https://www.seohacks.net/blog/926/" TargetMode="External" Id="rId124"/><Relationship Type="http://schemas.openxmlformats.org/officeDocument/2006/relationships/hyperlink" Target="https://www.seohacks.net/blog/14491/" TargetMode="External" Id="rId125"/><Relationship Type="http://schemas.openxmlformats.org/officeDocument/2006/relationships/hyperlink" Target="https://www.seohacks.net/blog/1066/" TargetMode="External" Id="rId126"/><Relationship Type="http://schemas.openxmlformats.org/officeDocument/2006/relationships/hyperlink" Target="https://www.seohacks.net/blog/1191/" TargetMode="External" Id="rId127"/><Relationship Type="http://schemas.openxmlformats.org/officeDocument/2006/relationships/hyperlink" Target="https://www.seohacks.net/blog/16864/" TargetMode="External" Id="rId128"/><Relationship Type="http://schemas.openxmlformats.org/officeDocument/2006/relationships/hyperlink" Target="https://www.seohacks.net/blog/28359/" TargetMode="External" Id="rId129"/></Relationships>
</file>

<file path=xl/worksheets/_rels/sheet10.xml.rels><Relationships xmlns="http://schemas.openxmlformats.org/package/2006/relationships"><Relationship Type="http://schemas.openxmlformats.org/officeDocument/2006/relationships/hyperlink" Target="https://docs.google.com/spreadsheets/d/1A7nVr68wbvQ343ZcGUKU08fka4D8L4z6g86TbwgMtE8/edit?usp=sharing" TargetMode="External" Id="rId1"/><Relationship Type="http://schemas.openxmlformats.org/officeDocument/2006/relationships/hyperlink" Target="https://dym.asia/media/recruiting/intp/" TargetMode="External" Id="rId2"/><Relationship Type="http://schemas.openxmlformats.org/officeDocument/2006/relationships/hyperlink" Target="https://www.google.co.jp/search?q=intp%20%E7%9B%B8%E6%80%A7&amp;hl=ja&amp;pws=0&amp;complete=0" TargetMode="External" Id="rId3"/><Relationship Type="http://schemas.openxmlformats.org/officeDocument/2006/relationships/hyperlink" Target="https://www.google.co.jp/search?q=intp%20%E6%80%A7%E6%A0%BC&amp;hl=ja&amp;pws=0&amp;complete=0" TargetMode="External" Id="rId4"/><Relationship Type="http://schemas.openxmlformats.org/officeDocument/2006/relationships/hyperlink" Target="https://www.google.co.jp/search?q=intp-t&amp;hl=ja&amp;pws=0&amp;complete=0" TargetMode="External" Id="rId5"/><Relationship Type="http://schemas.openxmlformats.org/officeDocument/2006/relationships/hyperlink" Target="https://www.google.co.jp/search?q=intp-a&amp;hl=ja&amp;pws=0&amp;complete=0" TargetMode="External" Id="rId6"/><Relationship Type="http://schemas.openxmlformats.org/officeDocument/2006/relationships/hyperlink" Target="https://www.google.co.jp/search?q=intp%20%E8%81%B7%E6%A5%AD&amp;hl=ja&amp;pws=0&amp;complete=0" TargetMode="External" Id="rId7"/><Relationship Type="http://schemas.openxmlformats.org/officeDocument/2006/relationships/hyperlink" Target="https://www.google.co.jp/search?q=intp-t%20%E5%90%91%E3%81%84%E3%81%A6%E3%82%8B%E4%BB%95%E4%BA%8B&amp;hl=ja&amp;pws=0&amp;complete=0" TargetMode="External" Id="rId8"/><Relationship Type="http://schemas.openxmlformats.org/officeDocument/2006/relationships/hyperlink" Target="https://dym.asia/media/recruiting/infj/" TargetMode="External" Id="rId9"/><Relationship Type="http://schemas.openxmlformats.org/officeDocument/2006/relationships/hyperlink" Target="https://www.google.co.jp/search?q=isfj%20%E7%9B%B8%E6%80%A7&amp;hl=ja&amp;pws=0&amp;complete=0" TargetMode="External" Id="rId10"/><Relationship Type="http://schemas.openxmlformats.org/officeDocument/2006/relationships/hyperlink" Target="https://www.google.co.jp/search?q=isfj%20%E6%80%A7%E6%A0%BC&amp;hl=ja&amp;pws=0&amp;complete=0" TargetMode="External" Id="rId11"/><Relationship Type="http://schemas.openxmlformats.org/officeDocument/2006/relationships/hyperlink" Target="https://www.google.co.jp/search?q=isfp-t&amp;hl=ja&amp;pws=0&amp;complete=0" TargetMode="External" Id="rId12"/><Relationship Type="http://schemas.openxmlformats.org/officeDocument/2006/relationships/hyperlink" Target="https://www.google.co.jp/search?q=isfj%20%E7%89%B9%E5%BE%B4&amp;hl=ja&amp;pws=0&amp;complete=0" TargetMode="External" Id="rId13"/><Relationship Type="http://schemas.openxmlformats.org/officeDocument/2006/relationships/hyperlink" Target="https://www.google.co.jp/search?q=isfj%20%E7%9B%B8%E6%80%A7%E6%82%AA%E3%81%84&amp;hl=ja&amp;pws=0&amp;complete=0" TargetMode="External" Id="rId14"/><Relationship Type="http://schemas.openxmlformats.org/officeDocument/2006/relationships/hyperlink" Target="https://www.google.co.jp/search?q=isfj%20%E5%90%91%E3%81%84%E3%81%A6%E3%82%8B%E4%BB%95%E4%BA%8B&amp;hl=ja&amp;pws=0&amp;complete=0" TargetMode="External" Id="rId15"/><Relationship Type="http://schemas.openxmlformats.org/officeDocument/2006/relationships/hyperlink" Target="https://dym.asia/media/recruiting/isfp/" TargetMode="External" Id="rId16"/><Relationship Type="http://schemas.openxmlformats.org/officeDocument/2006/relationships/hyperlink" Target="https://www.google.co.jp/search?q=isfp%20%E7%9B%B8%E6%80%A7&amp;hl=ja&amp;pws=0&amp;complete=0" TargetMode="External" Id="rId17"/><Relationship Type="http://schemas.openxmlformats.org/officeDocument/2006/relationships/hyperlink" Target="https://www.google.co.jp/search?q=isfp%20%E6%80%A7%E6%A0%BC&amp;hl=ja&amp;pws=0&amp;complete=0" TargetMode="External" Id="rId18"/><Relationship Type="http://schemas.openxmlformats.org/officeDocument/2006/relationships/hyperlink" Target="https://www.google.co.jp/search?q=isfp-t&amp;hl=ja&amp;pws=0&amp;complete=0" TargetMode="External" Id="rId19"/><Relationship Type="http://schemas.openxmlformats.org/officeDocument/2006/relationships/hyperlink" Target="https://www.google.co.jp/search?q=isfp%20%E3%81%82%E3%82%8B%E3%81%82%E3%82%8B&amp;hl=ja&amp;pws=0&amp;complete=0" TargetMode="External" Id="rId20"/><Relationship Type="http://schemas.openxmlformats.org/officeDocument/2006/relationships/hyperlink" Target="https://www.google.co.jp/search?q=isfp%20a&amp;hl=ja&amp;pws=0&amp;complete=0" TargetMode="External" Id="rId21"/><Relationship Type="http://schemas.openxmlformats.org/officeDocument/2006/relationships/hyperlink" Target="https://www.google.co.jp/search?q=isfp%20%E5%90%91%E3%81%84%E3%81%A6%E3%82%8B%E4%BB%95%E4%BA%8B&amp;hl=ja&amp;pws=0&amp;complete=0" TargetMode="External" Id="rId22"/><Relationship Type="http://schemas.openxmlformats.org/officeDocument/2006/relationships/hyperlink" Target="https://dym.asia/media/recruiting/esfp/" TargetMode="External" Id="rId23"/><Relationship Type="http://schemas.openxmlformats.org/officeDocument/2006/relationships/hyperlink" Target="https://www.google.co.jp/search?q=esfp%20%E7%9B%B8%E6%80%A7&amp;hl=ja&amp;pws=0&amp;complete=0" TargetMode="External" Id="rId24"/><Relationship Type="http://schemas.openxmlformats.org/officeDocument/2006/relationships/hyperlink" Target="https://www.google.co.jp/search?q=enfp%20%E6%80%A7%E6%A0%BC&amp;hl=ja&amp;pws=0&amp;complete=0" TargetMode="External" Id="rId25"/><Relationship Type="http://schemas.openxmlformats.org/officeDocument/2006/relationships/hyperlink" Target="https://www.google.co.jp/search?q=esfp-t&amp;hl=ja&amp;pws=0&amp;complete=0" TargetMode="External" Id="rId26"/><Relationship Type="http://schemas.openxmlformats.org/officeDocument/2006/relationships/hyperlink" Target="https://www.google.co.jp/search?q=enfp-a&amp;hl=ja&amp;pws=0&amp;complete=0" TargetMode="External" Id="rId27"/><Relationship Type="http://schemas.openxmlformats.org/officeDocument/2006/relationships/hyperlink" Target="https://www.google.co.jp/search?q=esfp%20%E7%9B%B8%E6%80%A7%E6%82%AA%E3%81%84&amp;hl=ja&amp;pws=0&amp;complete=0" TargetMode="External" Id="rId28"/><Relationship Type="http://schemas.openxmlformats.org/officeDocument/2006/relationships/hyperlink" Target="https://www.google.co.jp/search?q=esfp%20%E4%BB%95%E4%BA%8B&amp;hl=ja&amp;pws=0&amp;complete=0" TargetMode="External" Id="rId29"/></Relationships>
</file>

<file path=xl/worksheets/_rels/sheet11.xml.rels><Relationships xmlns="http://schemas.openxmlformats.org/package/2006/relationships"><Relationship Type="http://schemas.openxmlformats.org/officeDocument/2006/relationships/hyperlink" Target="https://www.mbti.or.jp/what/" TargetMode="External" Id="rId1"/><Relationship Type="http://schemas.openxmlformats.org/officeDocument/2006/relationships/hyperlink" Target="https://uzuz.jp/service/career-support/column/article-3434-author-uzuz38/" TargetMode="External" Id="rId2"/><Relationship Type="http://schemas.openxmlformats.org/officeDocument/2006/relationships/hyperlink" Target="https://www.best-shingaku.net/s-matome/skill/c001284.php" TargetMode="External" Id="rId3"/><Relationship Type="http://schemas.openxmlformats.org/officeDocument/2006/relationships/hyperlink" Target="https://www.themuse.com/advice/best-jobs-for-personality-types?utm_source=chatgpt.com" TargetMode="External" Id="rId4"/><Relationship Type="http://schemas.openxmlformats.org/officeDocument/2006/relationships/hyperlink" Target="https://uzuz.jp/service/career-support/column/article-3434-author-uzuz38/" TargetMode="External" Id="rId5"/><Relationship Type="http://schemas.openxmlformats.org/officeDocument/2006/relationships/hyperlink" Target="https://www.best-shingaku.net/s-matome/skill/c001284.php" TargetMode="External" Id="rId6"/><Relationship Type="http://schemas.openxmlformats.org/officeDocument/2006/relationships/hyperlink" Target="https://workwork.jp/article/2025/04/22/mbti-16type/?utm_source=chatgpt.com" TargetMode="External" Id="rId7"/><Relationship Type="http://schemas.openxmlformats.org/officeDocument/2006/relationships/hyperlink" Target="https://newmarke.boo.jp/mbti/?utm_source=chatgpt.com" TargetMode="External" Id="rId8"/><Relationship Type="http://schemas.openxmlformats.org/officeDocument/2006/relationships/hyperlink" Target="https://uzuz.jp/service/career-support/column/article-3434-author-uzuz38/" TargetMode="External" Id="rId9"/><Relationship Type="http://schemas.openxmlformats.org/officeDocument/2006/relationships/hyperlink" Target="https://www.best-shingaku.net/s-matome/skill/c001284.php" TargetMode="External" Id="rId10"/><Relationship Type="http://schemas.openxmlformats.org/officeDocument/2006/relationships/hyperlink" Target="https://workwork.jp/article/2025/04/22/mbti-16type/?utm_source=chatgpt.com" TargetMode="External" Id="rId11"/><Relationship Type="http://schemas.openxmlformats.org/officeDocument/2006/relationships/hyperlink" Target="https://newmarke.boo.jp/mbti/?utm_source=chatgpt.com" TargetMode="External" Id="rId12"/><Relationship Type="http://schemas.openxmlformats.org/officeDocument/2006/relationships/hyperlink" Target="https://per-sonal.co.jp/personalfile/media/job-suitability-diagnosis/esfp-compatibility/" TargetMode="External" Id="rId13"/><Relationship Type="http://schemas.openxmlformats.org/officeDocument/2006/relationships/hyperlink" Target="https://gaten.info/media/esfp/" TargetMode="External" Id="rId14"/><Relationship Type="http://schemas.openxmlformats.org/officeDocument/2006/relationships/hyperlink" Target="https://per-sonal.co.jp/personalfile/media/job-suitability-diagnosis/esfp-compatibility/" TargetMode="External" Id="rId15"/><Relationship Type="http://schemas.openxmlformats.org/officeDocument/2006/relationships/hyperlink" Target="https://gaten.info/media/esfp/" TargetMode="External" Id="rId16"/><Relationship Type="http://schemas.openxmlformats.org/officeDocument/2006/relationships/hyperlink" Target="https://uzuz.jp/service/career-support/column/article-3434-author-uzuz38/" TargetMode="External" Id="rId17"/></Relationships>
</file>

<file path=xl/worksheets/sheet1.xml><?xml version="1.0" encoding="utf-8"?>
<worksheet xmlns="http://schemas.openxmlformats.org/spreadsheetml/2006/main">
  <sheetPr>
    <outlinePr summaryBelow="0" summaryRight="0"/>
    <pageSetUpPr/>
  </sheetPr>
  <dimension ref="A1:L1442"/>
  <sheetViews>
    <sheetView workbookViewId="0">
      <pane ySplit="1" topLeftCell="A2" activePane="bottomLeft" state="frozen"/>
      <selection pane="bottomLeft" activeCell="B3" sqref="B3"/>
    </sheetView>
  </sheetViews>
  <sheetFormatPr baseColWidth="8" defaultColWidth="12.63" defaultRowHeight="15.75" customHeight="1"/>
  <cols>
    <col width="10.25" customWidth="1" style="185" min="1" max="1"/>
    <col width="53.63" customWidth="1" style="185" min="2" max="2"/>
    <col width="40.25" customWidth="1" style="185" min="3" max="3"/>
    <col outlineLevel="1" width="47.63" customWidth="1" style="185" min="9" max="9"/>
    <col width="47.63" customWidth="1" style="185" min="10" max="11"/>
  </cols>
  <sheetData>
    <row r="1">
      <c r="A1" s="1" t="inlineStr">
        <is>
          <t>No</t>
        </is>
      </c>
      <c r="B1" s="1" t="inlineStr">
        <is>
          <t>Title</t>
        </is>
      </c>
      <c r="C1" s="2" t="inlineStr">
        <is>
          <t>URL</t>
        </is>
      </c>
      <c r="D1" s="2" t="inlineStr">
        <is>
          <t>公開日</t>
        </is>
      </c>
      <c r="E1" s="2" t="inlineStr">
        <is>
          <t>更新日</t>
        </is>
      </c>
      <c r="F1" s="2" t="inlineStr">
        <is>
          <t>カテゴリ</t>
        </is>
      </c>
      <c r="G1" s="2" t="inlineStr">
        <is>
          <t>法人タグ</t>
        </is>
      </c>
      <c r="H1" s="2" t="inlineStr">
        <is>
          <t>求職者タグ</t>
        </is>
      </c>
      <c r="I1" s="2" t="inlineStr">
        <is>
          <t>既存リンク先（まとめの最後にあるリンク）</t>
        </is>
      </c>
      <c r="J1" s="2" t="inlineStr">
        <is>
          <t>サービスページリンク先</t>
        </is>
      </c>
      <c r="K1" s="2" t="n"/>
      <c r="L1" s="47" t="n"/>
    </row>
    <row r="2" ht="15.75" customHeight="1" s="185">
      <c r="A2" s="52">
        <f>row()-1</f>
        <v/>
      </c>
      <c r="B2" s="46" t="inlineStr">
        <is>
          <t>協賛とは？主催、後援、協力、スポンサーとの違いやメリットも解説</t>
        </is>
      </c>
      <c r="C2" s="6" t="inlineStr">
        <is>
          <t>https://dym.asia/media/sponsor-about/</t>
        </is>
      </c>
      <c r="D2" s="47" t="inlineStr">
        <is>
          <t xml:space="preserve">2024.11.18 </t>
        </is>
      </c>
      <c r="E2" s="47" t="inlineStr">
        <is>
          <t>2024.12.10</t>
        </is>
      </c>
      <c r="F2" s="47" t="inlineStr">
        <is>
          <t>法人</t>
        </is>
      </c>
      <c r="G2" s="47" t="inlineStr">
        <is>
          <t>Dリーグ</t>
        </is>
      </c>
      <c r="H2" s="47" t="n"/>
      <c r="I2" s="6" t="inlineStr">
        <is>
          <t>https://dym.asia/services/sports/</t>
        </is>
      </c>
      <c r="J2" s="6" t="inlineStr">
        <is>
          <t>https://dym.asia/services/sports/</t>
        </is>
      </c>
      <c r="K2" s="47" t="n"/>
      <c r="L2" s="47" t="n"/>
    </row>
    <row r="3" ht="15.75" customHeight="1" s="185">
      <c r="A3" s="52">
        <f>row()-1</f>
        <v/>
      </c>
      <c r="B3" s="46" t="inlineStr">
        <is>
          <t>健康診断でAST、ALT、γ-GTPが高い…｜20代でも肝機能異常になる</t>
        </is>
      </c>
      <c r="C3" s="6" t="inlineStr">
        <is>
          <t>https://dym.asia/media/health-check-liver-20s/</t>
        </is>
      </c>
      <c r="D3" s="47" t="inlineStr">
        <is>
          <t>2024.11.21</t>
        </is>
      </c>
      <c r="E3" s="47" t="inlineStr">
        <is>
          <t xml:space="preserve">2025.02.17
</t>
        </is>
      </c>
      <c r="F3" s="47" t="inlineStr">
        <is>
          <t>法人</t>
        </is>
      </c>
      <c r="G3" s="47" t="inlineStr">
        <is>
          <t>クリニック</t>
        </is>
      </c>
      <c r="H3" s="47" t="n"/>
      <c r="I3" s="6" t="inlineStr">
        <is>
          <t>https://dym.asia/services/medicine/</t>
        </is>
      </c>
      <c r="J3" s="6" t="inlineStr">
        <is>
          <t>https://dym.asia/services/medicine/</t>
        </is>
      </c>
      <c r="K3" s="47" t="n"/>
      <c r="L3" s="47" t="n"/>
    </row>
    <row r="4" ht="15.75" customHeight="1" s="185">
      <c r="A4" s="52">
        <f>row()-1</f>
        <v/>
      </c>
      <c r="B4" s="46" t="inlineStr">
        <is>
          <t>病気不安症の健康診断ストレス</t>
        </is>
      </c>
      <c r="C4" s="10" t="inlineStr">
        <is>
          <t>https://dym.asia/media/health-check-worry-stress/</t>
        </is>
      </c>
      <c r="D4" s="47" t="inlineStr">
        <is>
          <t xml:space="preserve">2024.11.21 </t>
        </is>
      </c>
      <c r="E4" s="47" t="inlineStr">
        <is>
          <t xml:space="preserve">2025.02.17
</t>
        </is>
      </c>
      <c r="F4" s="47" t="inlineStr">
        <is>
          <t>法人</t>
        </is>
      </c>
      <c r="G4" s="47" t="inlineStr">
        <is>
          <t>クリニック</t>
        </is>
      </c>
      <c r="H4" s="47" t="n"/>
      <c r="I4" s="10" t="inlineStr">
        <is>
          <t>https://dym.asia/services/medicine/</t>
        </is>
      </c>
      <c r="J4" s="10" t="inlineStr">
        <is>
          <t>https://dym.asia/services/medicine/</t>
        </is>
      </c>
      <c r="K4" s="47" t="n"/>
      <c r="L4" s="47" t="n"/>
    </row>
    <row r="5" ht="15.75" customHeight="1" s="185">
      <c r="A5" s="52">
        <f>row()-1</f>
        <v/>
      </c>
      <c r="B5" s="46" t="inlineStr">
        <is>
          <t>有給休暇日数は何日？雇用形態別の日数や付与ルール・注意点を解説</t>
        </is>
      </c>
      <c r="C5" s="10" t="inlineStr">
        <is>
          <t>https://dym.asia/media/the-number-of-paid/</t>
        </is>
      </c>
      <c r="D5" s="47" t="inlineStr">
        <is>
          <t xml:space="preserve">2024.11.22 </t>
        </is>
      </c>
      <c r="E5" s="47" t="inlineStr">
        <is>
          <t>2024.12.10</t>
        </is>
      </c>
      <c r="F5" s="47" t="inlineStr">
        <is>
          <t>法人</t>
        </is>
      </c>
      <c r="G5" s="47" t="inlineStr">
        <is>
          <t>人材</t>
        </is>
      </c>
      <c r="H5" s="47" t="n"/>
      <c r="I5" s="10" t="inlineStr">
        <is>
          <t>https://dym.asia/services/new-graduates/development-training/</t>
        </is>
      </c>
      <c r="J5" s="6" t="inlineStr">
        <is>
          <t>https://dym.asia/services/new-graduates/welfare/</t>
        </is>
      </c>
      <c r="K5" s="47" t="n"/>
      <c r="L5" s="47" t="n"/>
    </row>
    <row r="6" ht="15.75" customHeight="1" s="185">
      <c r="A6" s="52">
        <f>row()-1</f>
        <v/>
      </c>
      <c r="B6" s="46" t="inlineStr">
        <is>
          <t>年末調整はいつまで？提出期限と対応方法</t>
        </is>
      </c>
      <c r="C6" s="6" t="inlineStr">
        <is>
          <t>https://dym.asia/media/end-of-year-tax-adjustments-until/</t>
        </is>
      </c>
      <c r="D6" s="47" t="inlineStr">
        <is>
          <t>2024.11.25</t>
        </is>
      </c>
      <c r="E6" s="12" t="inlineStr">
        <is>
          <t>2024.12.10</t>
        </is>
      </c>
      <c r="F6" s="47" t="inlineStr">
        <is>
          <t>法人</t>
        </is>
      </c>
      <c r="G6" s="47" t="inlineStr">
        <is>
          <t>人材</t>
        </is>
      </c>
      <c r="H6" s="47" t="n"/>
      <c r="I6" s="10" t="inlineStr">
        <is>
          <t>https://dym.asia/services/new-graduates/Former-graduate/</t>
        </is>
      </c>
      <c r="J6" s="10" t="inlineStr">
        <is>
          <t>https://dym.asia/services/new-graduates/</t>
        </is>
      </c>
      <c r="K6" s="47" t="n"/>
      <c r="L6" s="47" t="n"/>
    </row>
    <row r="7" ht="15.75" customHeight="1" s="185">
      <c r="A7" s="52">
        <f>row()-1</f>
        <v/>
      </c>
      <c r="B7" s="46" t="inlineStr">
        <is>
          <t>健康診断の検便で何がわかる？採便方法やよくある疑問を解説</t>
        </is>
      </c>
      <c r="C7" s="6" t="inlineStr">
        <is>
          <t>https://dym.asia/media/health-check-stool-test/</t>
        </is>
      </c>
      <c r="D7" s="47" t="inlineStr">
        <is>
          <t xml:space="preserve">2024.11.21 </t>
        </is>
      </c>
      <c r="E7" s="47" t="inlineStr">
        <is>
          <t>2025.02.17</t>
        </is>
      </c>
      <c r="F7" s="47" t="inlineStr">
        <is>
          <t>法人</t>
        </is>
      </c>
      <c r="G7" s="47" t="inlineStr">
        <is>
          <t>クリニック</t>
        </is>
      </c>
      <c r="H7" s="47" t="n"/>
      <c r="I7" s="10" t="inlineStr">
        <is>
          <t>https://dym.asia/services/medicine/</t>
        </is>
      </c>
      <c r="J7" s="10" t="inlineStr">
        <is>
          <t>https://dym.asia/services/medicine/</t>
        </is>
      </c>
      <c r="K7" s="47" t="n"/>
      <c r="L7" s="47" t="n"/>
    </row>
    <row r="8" ht="15.75" customHeight="1" s="185">
      <c r="A8" s="52">
        <f>row()-1</f>
        <v/>
      </c>
      <c r="B8" s="46" t="inlineStr">
        <is>
          <t>「indeed（インディード）」の意味とは？単語の使い方や例文、求人サイトとしての特徴も解説</t>
        </is>
      </c>
      <c r="C8" s="6" t="inlineStr">
        <is>
          <t>https://dym.asia/media/indeed-description/</t>
        </is>
      </c>
      <c r="D8" s="47" t="inlineStr">
        <is>
          <t xml:space="preserve">2024.11.13 　</t>
        </is>
      </c>
      <c r="E8" s="47" t="inlineStr">
        <is>
          <t>2024.12.09</t>
        </is>
      </c>
      <c r="F8" s="47" t="inlineStr">
        <is>
          <t>法人</t>
        </is>
      </c>
      <c r="G8" s="47" t="inlineStr">
        <is>
          <t>HR Tech</t>
        </is>
      </c>
      <c r="H8" s="47" t="n"/>
      <c r="I8" s="10" t="inlineStr">
        <is>
          <t>https://dym.asia/services/hr-tech/indeed/</t>
        </is>
      </c>
      <c r="J8" s="10" t="inlineStr">
        <is>
          <t>https://dym.asia/services/hr-tech/indeed/</t>
        </is>
      </c>
      <c r="K8" s="47" t="n"/>
      <c r="L8" s="47" t="n"/>
    </row>
    <row r="9" ht="15.75" customHeight="1" s="185">
      <c r="A9" s="52">
        <f>row()-1</f>
        <v/>
      </c>
      <c r="B9" s="46" t="inlineStr">
        <is>
          <t>モーダルウィンドウとは？Webサイトでの使用例と実装方法</t>
        </is>
      </c>
      <c r="C9" s="6" t="inlineStr">
        <is>
          <t>https://dym.asia/media/modal-window/</t>
        </is>
      </c>
      <c r="D9" s="13" t="inlineStr">
        <is>
          <t>2024.11.27</t>
        </is>
      </c>
      <c r="E9" s="47" t="inlineStr">
        <is>
          <t>2024.12.09</t>
        </is>
      </c>
      <c r="F9" s="47" t="inlineStr">
        <is>
          <t>法人</t>
        </is>
      </c>
      <c r="G9" s="47" t="inlineStr">
        <is>
          <t>WEB</t>
        </is>
      </c>
      <c r="H9" s="47" t="n"/>
      <c r="I9" s="10" t="inlineStr">
        <is>
          <t>https://dym.asia/services/web-promotion/</t>
        </is>
      </c>
      <c r="J9" s="6" t="inlineStr">
        <is>
          <t>https://dym.asia/services/web-promotion/</t>
        </is>
      </c>
      <c r="K9" s="47" t="n"/>
      <c r="L9" s="47" t="n"/>
    </row>
    <row r="10" ht="15.75" customHeight="1" s="185">
      <c r="A10" s="52">
        <f>row()-1</f>
        <v/>
      </c>
      <c r="B10" s="46" t="inlineStr">
        <is>
          <t>トレードオフとは？意味と身近な例、ビジネスでの使い方</t>
        </is>
      </c>
      <c r="C10" s="6" t="inlineStr">
        <is>
          <t>https://dym.asia/media/trade-off/</t>
        </is>
      </c>
      <c r="D10" s="47" t="inlineStr">
        <is>
          <t xml:space="preserve">2024.11.25 </t>
        </is>
      </c>
      <c r="E10" s="47" t="inlineStr">
        <is>
          <t>2024.12.10</t>
        </is>
      </c>
      <c r="F10" s="47" t="inlineStr">
        <is>
          <t>法人</t>
        </is>
      </c>
      <c r="G10" s="47" t="inlineStr">
        <is>
          <t>人材</t>
        </is>
      </c>
      <c r="H10" s="47" t="n"/>
      <c r="I10" s="6" t="inlineStr">
        <is>
          <t>https://dym.asia/services/new-graduates/</t>
        </is>
      </c>
      <c r="J10" s="10" t="inlineStr">
        <is>
          <t>https://dym.asia/services/new-graduates/</t>
        </is>
      </c>
      <c r="K10" s="47" t="n"/>
      <c r="L10" s="47" t="n"/>
    </row>
    <row r="11" ht="15.75" customHeight="1" s="185">
      <c r="A11" s="52">
        <f>row()-1</f>
        <v/>
      </c>
      <c r="B11" s="46" t="inlineStr">
        <is>
          <t>なぜ別荘が税金対策になるのか？節税の仕組みと方法、注意点を詳しく解説</t>
        </is>
      </c>
      <c r="C11" s="6" t="inlineStr">
        <is>
          <t>https://dym.asia/media/villa-tax-measures/</t>
        </is>
      </c>
      <c r="D11" s="47" t="inlineStr">
        <is>
          <t xml:space="preserve">2024.11.20 </t>
        </is>
      </c>
      <c r="E11" s="13" t="inlineStr">
        <is>
          <t>2025.02.14</t>
        </is>
      </c>
      <c r="F11" s="47" t="inlineStr">
        <is>
          <t>法人</t>
        </is>
      </c>
      <c r="G11" s="47" t="inlineStr">
        <is>
          <t>リアルエステート</t>
        </is>
      </c>
      <c r="H11" s="47" t="n"/>
      <c r="I11" s="6" t="inlineStr">
        <is>
          <t>https://dym.asia/services/new-business/relocation/</t>
        </is>
      </c>
      <c r="J11" s="10" t="inlineStr">
        <is>
          <t>https://dym.asia/services/new-business/relocation/</t>
        </is>
      </c>
      <c r="K11" s="47" t="n"/>
      <c r="L11" s="47" t="n"/>
    </row>
    <row r="12" ht="15.75" customHeight="1" s="185">
      <c r="A12" s="52">
        <f>row()-1</f>
        <v/>
      </c>
      <c r="B12" s="46" t="inlineStr">
        <is>
          <t>パーソナリティとは？採用における重要性や見極め方のポイントを解説</t>
        </is>
      </c>
      <c r="C12" s="6" t="inlineStr">
        <is>
          <t>https://dym.asia/media/personality/</t>
        </is>
      </c>
      <c r="D12" s="47" t="inlineStr">
        <is>
          <t xml:space="preserve">2024.11.25 </t>
        </is>
      </c>
      <c r="E12" s="12" t="inlineStr">
        <is>
          <t>2024.12.10</t>
        </is>
      </c>
      <c r="F12" s="47" t="inlineStr">
        <is>
          <t>法人</t>
        </is>
      </c>
      <c r="G12" s="47" t="inlineStr">
        <is>
          <t>人材</t>
        </is>
      </c>
      <c r="H12" s="47" t="n"/>
      <c r="I12" s="6" t="inlineStr">
        <is>
          <t>https://dym.asia/services/new-graduates/development-training/</t>
        </is>
      </c>
      <c r="J12" s="10" t="inlineStr">
        <is>
          <t>https://dym.asia/services/new-graduates/exe-part/</t>
        </is>
      </c>
      <c r="K12" s="47" t="n"/>
      <c r="L12" s="47" t="n"/>
    </row>
    <row r="13" ht="15.75" customHeight="1" s="185">
      <c r="A13" s="52">
        <f>row()-1</f>
        <v/>
      </c>
      <c r="B13" s="46" t="inlineStr">
        <is>
          <t>【アフィリエイトの始め方】初心者におすすめのやり方と稼ぎ方</t>
        </is>
      </c>
      <c r="C13" s="6" t="inlineStr">
        <is>
          <t>https://dym.asia/media/affiliate-how-to-start/</t>
        </is>
      </c>
      <c r="D13" s="47" t="inlineStr">
        <is>
          <t xml:space="preserve">2024.11.21 </t>
        </is>
      </c>
      <c r="E13" s="47" t="inlineStr">
        <is>
          <t xml:space="preserve">2024.12.09
</t>
        </is>
      </c>
      <c r="F13" s="47" t="inlineStr">
        <is>
          <t>法人</t>
        </is>
      </c>
      <c r="G13" s="47" t="inlineStr">
        <is>
          <t>WEB</t>
        </is>
      </c>
      <c r="H13" s="47" t="n"/>
      <c r="I13" s="10" t="inlineStr">
        <is>
          <t>https://dym.asia/services/web-promotion/affiliate/</t>
        </is>
      </c>
      <c r="J13" s="10" t="inlineStr">
        <is>
          <t>https://dym.asia/services/web-promotion/affiliate/</t>
        </is>
      </c>
      <c r="K13" s="47" t="n"/>
      <c r="L13" s="47" t="n"/>
    </row>
    <row r="14" ht="15.75" customHeight="1" s="185">
      <c r="A14" s="52">
        <f>row()-1</f>
        <v/>
      </c>
      <c r="B14" s="46" t="inlineStr">
        <is>
          <t>ファビコンとは？設定するメリット、設定方法、表示されないときの対処などを解説</t>
        </is>
      </c>
      <c r="C14" s="6" t="inlineStr">
        <is>
          <t>https://dym.asia/media/favicon/</t>
        </is>
      </c>
      <c r="D14" s="47" t="inlineStr">
        <is>
          <t>2024.11.27</t>
        </is>
      </c>
      <c r="E14" s="47" t="inlineStr">
        <is>
          <t>2024.12.09</t>
        </is>
      </c>
      <c r="F14" s="47" t="inlineStr">
        <is>
          <t>法人</t>
        </is>
      </c>
      <c r="G14" s="47" t="inlineStr">
        <is>
          <t>WEB</t>
        </is>
      </c>
      <c r="H14" s="47" t="n"/>
      <c r="I14" s="6" t="inlineStr">
        <is>
          <t>https://dym.asia/services/web-promotion/production-operation/</t>
        </is>
      </c>
      <c r="J14" s="6" t="inlineStr">
        <is>
          <t>https://dym.asia/services/web-promotion/production-operation/</t>
        </is>
      </c>
      <c r="K14" s="47" t="n"/>
      <c r="L14" s="47" t="n"/>
    </row>
    <row r="15" ht="15.75" customHeight="1" s="185">
      <c r="A15" s="52">
        <f>row()-1</f>
        <v/>
      </c>
      <c r="B15" s="46" t="inlineStr">
        <is>
          <t>「.htaccess」とは？書き方とファイルの場所を解説</t>
        </is>
      </c>
      <c r="C15" s="10" t="inlineStr">
        <is>
          <t>https://dym.asia/media/htaccess/</t>
        </is>
      </c>
      <c r="D15" s="47" t="inlineStr">
        <is>
          <t>2024.11.27</t>
        </is>
      </c>
      <c r="E15" s="47" t="inlineStr">
        <is>
          <t>2024.12.09</t>
        </is>
      </c>
      <c r="F15" s="47" t="inlineStr">
        <is>
          <t>法人</t>
        </is>
      </c>
      <c r="G15" s="47" t="inlineStr">
        <is>
          <t>WEB</t>
        </is>
      </c>
      <c r="H15" s="47" t="n"/>
      <c r="I15" s="6" t="inlineStr">
        <is>
          <t>https://dym.asia/services/web-promotion/production-operation/</t>
        </is>
      </c>
      <c r="J15" s="10" t="inlineStr">
        <is>
          <t>https://dym.asia/services/web-promotion/production-operation/</t>
        </is>
      </c>
      <c r="K15" s="47" t="n"/>
      <c r="L15" s="47" t="n"/>
    </row>
    <row r="16" ht="15.75" customHeight="1" s="185">
      <c r="A16" s="52">
        <f>row()-1</f>
        <v/>
      </c>
      <c r="B16" s="46" t="inlineStr">
        <is>
          <t>顧問名鑑とは？料金、活用シーンをチェック</t>
        </is>
      </c>
      <c r="C16" s="10" t="inlineStr">
        <is>
          <t>https://dym.asia/media/advisors-directory/</t>
        </is>
      </c>
      <c r="D16" s="47" t="inlineStr">
        <is>
          <t xml:space="preserve">2024.11.21 </t>
        </is>
      </c>
      <c r="E16" s="47" t="inlineStr">
        <is>
          <t>2025.08.08</t>
        </is>
      </c>
      <c r="F16" s="47" t="inlineStr">
        <is>
          <t>法人</t>
        </is>
      </c>
      <c r="G16" s="47" t="inlineStr">
        <is>
          <t>人材</t>
        </is>
      </c>
      <c r="H16" s="47" t="n"/>
      <c r="I16" s="6" t="inlineStr">
        <is>
          <t>https://dym.asia/services/new-graduates/exe-part/</t>
        </is>
      </c>
      <c r="J16" s="10" t="inlineStr">
        <is>
          <t>https://dym.asia/services/new-graduates/exe-part/</t>
        </is>
      </c>
      <c r="K16" s="47" t="n"/>
      <c r="L16" s="47" t="n"/>
    </row>
    <row r="17" ht="15.75" customHeight="1" s="185">
      <c r="A17" s="52">
        <f>row()-1</f>
        <v/>
      </c>
      <c r="B17" s="46" t="inlineStr">
        <is>
          <t>スポンサー（協賛企業）になるメリットとは？デメリットや選び方まで徹底解説</t>
        </is>
      </c>
      <c r="C17" s="6" t="inlineStr">
        <is>
          <t>https://dym.asia/media/sponsor-merit/</t>
        </is>
      </c>
      <c r="D17" s="47" t="inlineStr">
        <is>
          <t xml:space="preserve">2024.11.18 </t>
        </is>
      </c>
      <c r="E17" s="47" t="inlineStr">
        <is>
          <t xml:space="preserve">2024.12.10
</t>
        </is>
      </c>
      <c r="F17" s="47" t="inlineStr">
        <is>
          <t>法人</t>
        </is>
      </c>
      <c r="G17" s="47" t="inlineStr">
        <is>
          <t>Dリーグ</t>
        </is>
      </c>
      <c r="H17" s="47" t="n"/>
      <c r="I17" s="6" t="inlineStr">
        <is>
          <t>https://dym.asia/services/sports/</t>
        </is>
      </c>
      <c r="J17" s="10" t="inlineStr">
        <is>
          <t>https://dym.asia/services/sports/</t>
        </is>
      </c>
      <c r="K17" s="47" t="n"/>
      <c r="L17" s="47" t="n"/>
    </row>
    <row r="18" ht="15.75" customHeight="1" s="185">
      <c r="A18" s="52">
        <f>row()-1</f>
        <v/>
      </c>
      <c r="B18" s="46" t="inlineStr">
        <is>
          <t>東京のオフィス移転｜おすすめ業者20社を特徴で比較</t>
        </is>
      </c>
      <c r="C18" s="6" t="inlineStr">
        <is>
          <t>https://dym.asia/media/office-relocation-vendor/</t>
        </is>
      </c>
      <c r="D18" s="47" t="inlineStr">
        <is>
          <t xml:space="preserve">2024.11.20 </t>
        </is>
      </c>
      <c r="E18" s="47" t="inlineStr">
        <is>
          <t>2025.02.14</t>
        </is>
      </c>
      <c r="F18" s="47" t="inlineStr">
        <is>
          <t>法人</t>
        </is>
      </c>
      <c r="G18" s="47" t="inlineStr">
        <is>
          <t>リアルエステート</t>
        </is>
      </c>
      <c r="H18" s="47" t="n"/>
      <c r="I18" s="6" t="inlineStr">
        <is>
          <t>https://dym.asia/services/new-business/relocation/</t>
        </is>
      </c>
      <c r="J18" s="10" t="inlineStr">
        <is>
          <t>https://dym.asia/services/new-business/relocation/</t>
        </is>
      </c>
      <c r="K18" s="47" t="n"/>
      <c r="L18" s="47" t="n"/>
    </row>
    <row r="19" ht="15.75" customHeight="1" s="185">
      <c r="A19" s="52">
        <f>row()-1</f>
        <v/>
      </c>
      <c r="B19" s="46" t="inlineStr">
        <is>
          <t>内定通知書完全ガイド｜意味や書き方、法的効力まで解説【作成例付き】</t>
        </is>
      </c>
      <c r="C19" s="10" t="inlineStr">
        <is>
          <t>https://dym.asia/media/notice-of-offer/</t>
        </is>
      </c>
      <c r="D19" s="47" t="inlineStr">
        <is>
          <t xml:space="preserve">2024.11.26 </t>
        </is>
      </c>
      <c r="E19" s="47" t="inlineStr">
        <is>
          <t>2024.12.10</t>
        </is>
      </c>
      <c r="F19" s="47" t="inlineStr">
        <is>
          <t>法人</t>
        </is>
      </c>
      <c r="G19" s="47" t="inlineStr">
        <is>
          <t>リアルエステート</t>
        </is>
      </c>
      <c r="H19" s="47" t="n"/>
      <c r="I19" s="10" t="inlineStr">
        <is>
          <t>https://dym.asia/services/new-graduates/</t>
        </is>
      </c>
      <c r="J19" s="6" t="inlineStr">
        <is>
          <t>https://dym.asia/services/new-graduates/</t>
        </is>
      </c>
      <c r="K19" s="47" t="n"/>
      <c r="L19" s="47" t="n"/>
    </row>
    <row r="20" ht="15.75" customHeight="1" s="185">
      <c r="A20" s="52">
        <f>row()-1</f>
        <v/>
      </c>
      <c r="B20" s="46" t="inlineStr">
        <is>
          <t>HTMLとは？基本や簡単なHTMLタグをわかりやすく解説</t>
        </is>
      </c>
      <c r="C20" s="6" t="inlineStr">
        <is>
          <t>https://dym.asia/media/html/</t>
        </is>
      </c>
      <c r="D20" s="47" t="inlineStr">
        <is>
          <t xml:space="preserve">2024.11.26 </t>
        </is>
      </c>
      <c r="E20" s="47" t="inlineStr">
        <is>
          <t>2024.12.09</t>
        </is>
      </c>
      <c r="F20" s="47" t="inlineStr">
        <is>
          <t>法人</t>
        </is>
      </c>
      <c r="G20" s="47" t="inlineStr">
        <is>
          <t>WEB</t>
        </is>
      </c>
      <c r="H20" s="47" t="n"/>
      <c r="I20" s="10" t="inlineStr">
        <is>
          <t>https://dym.asia/services/web-promotion/production-operation/</t>
        </is>
      </c>
      <c r="J20" s="10" t="inlineStr">
        <is>
          <t>https://dym.asia/services/web-promotion/production-operation/</t>
        </is>
      </c>
      <c r="K20" s="47" t="n"/>
      <c r="L20" s="47" t="n"/>
    </row>
    <row r="21" ht="15.75" customHeight="1" s="185">
      <c r="A21" s="52">
        <f>row()-1</f>
        <v/>
      </c>
      <c r="B21" s="46" t="inlineStr">
        <is>
          <t>クエリとは？検索クエリの種類と活用法を徹底解説</t>
        </is>
      </c>
      <c r="C21" s="10" t="inlineStr">
        <is>
          <t>https://dym.asia/media/query/</t>
        </is>
      </c>
      <c r="D21" s="47" t="inlineStr">
        <is>
          <t xml:space="preserve">2024.11.26 </t>
        </is>
      </c>
      <c r="E21" s="13" t="inlineStr">
        <is>
          <t>2024.12.09</t>
        </is>
      </c>
      <c r="F21" s="47" t="inlineStr">
        <is>
          <t>法人</t>
        </is>
      </c>
      <c r="G21" s="47" t="inlineStr">
        <is>
          <t>WEB</t>
        </is>
      </c>
      <c r="H21" s="47" t="n"/>
      <c r="I21" s="6" t="inlineStr">
        <is>
          <t>https://dym.asia/services/web-promotion/seo/</t>
        </is>
      </c>
      <c r="J21" s="10" t="inlineStr">
        <is>
          <t>https://dym.asia/services/web-promotion/seo/</t>
        </is>
      </c>
      <c r="K21" s="47" t="n"/>
      <c r="L21" s="47" t="n"/>
    </row>
    <row r="22" ht="15.75" customHeight="1" s="185">
      <c r="A22" s="52">
        <f>row()-1</f>
        <v/>
      </c>
      <c r="B22" s="46" t="inlineStr">
        <is>
          <t>中小企業投資育成会社とは？中小企業が活用できる公的機関の概要と利用手順を解説</t>
        </is>
      </c>
      <c r="C22" s="6" t="inlineStr">
        <is>
          <t>https://dym.asia/media/investment-development-company/</t>
        </is>
      </c>
      <c r="D22" s="47" t="inlineStr">
        <is>
          <t xml:space="preserve">2024.11.14 </t>
        </is>
      </c>
      <c r="E22" s="47" t="inlineStr">
        <is>
          <t xml:space="preserve">2024.12.09
</t>
        </is>
      </c>
      <c r="F22" s="47" t="inlineStr">
        <is>
          <t>法人</t>
        </is>
      </c>
      <c r="G22" s="47" t="inlineStr">
        <is>
          <t>M&amp;A</t>
        </is>
      </c>
      <c r="H22" s="47" t="n"/>
      <c r="I22" s="10" t="inlineStr">
        <is>
          <t>https://dym.asia/services/m&amp;a/investment/</t>
        </is>
      </c>
      <c r="J22" s="10" t="inlineStr">
        <is>
          <t>https://dym.asia/services/m&amp;a/investment/</t>
        </is>
      </c>
      <c r="K22" s="47" t="n"/>
      <c r="L22" s="47" t="n"/>
    </row>
    <row r="23" ht="15.75" customHeight="1" s="185">
      <c r="A23" s="52">
        <f>row()-1</f>
        <v/>
      </c>
      <c r="B23" s="46" t="inlineStr">
        <is>
          <t>AIモデル・AIタレントとは？実際の起用事例やメリットデメリット、作り方を解説</t>
        </is>
      </c>
      <c r="C23" s="10" t="inlineStr">
        <is>
          <t>https://dym.asia/media/ai-cast/</t>
        </is>
      </c>
      <c r="D23" s="47" t="inlineStr">
        <is>
          <t xml:space="preserve">2024.11.15 </t>
        </is>
      </c>
      <c r="E23" s="47" t="inlineStr">
        <is>
          <t xml:space="preserve">2024.12.09
</t>
        </is>
      </c>
      <c r="F23" s="47" t="inlineStr">
        <is>
          <t>法人</t>
        </is>
      </c>
      <c r="G23" s="47" t="inlineStr">
        <is>
          <t>WEB</t>
        </is>
      </c>
      <c r="H23" s="47" t="n"/>
      <c r="I23" s="6" t="inlineStr">
        <is>
          <t>https://dym.asia/services/web-promotion/</t>
        </is>
      </c>
      <c r="J23" s="6" t="inlineStr">
        <is>
          <t>https://dym.asia/services/web-promotion/talents-share/ai-cast/</t>
        </is>
      </c>
      <c r="K23" s="47" t="n"/>
      <c r="L23" s="47" t="n"/>
    </row>
    <row r="24" ht="15.75" customHeight="1" s="185">
      <c r="A24" s="52">
        <f>row()-1</f>
        <v/>
      </c>
      <c r="B24" s="46" t="inlineStr">
        <is>
          <t>スポンサー営業とは｜企業がスポーツ業界でスポンサーになるメリットも解説</t>
        </is>
      </c>
      <c r="C24" s="6" t="inlineStr">
        <is>
          <t>https://dym.asia/media/sponsor-sales/</t>
        </is>
      </c>
      <c r="D24" s="47" t="inlineStr">
        <is>
          <t xml:space="preserve">2024.11.18 </t>
        </is>
      </c>
      <c r="E24" s="47" t="inlineStr">
        <is>
          <t>2025.05.02</t>
        </is>
      </c>
      <c r="F24" s="47" t="inlineStr">
        <is>
          <t>法人</t>
        </is>
      </c>
      <c r="G24" s="47" t="inlineStr">
        <is>
          <t>Dリーグ</t>
        </is>
      </c>
      <c r="H24" s="47" t="n"/>
      <c r="I24" s="6" t="inlineStr">
        <is>
          <t>https://dym.asia/services/sports/</t>
        </is>
      </c>
      <c r="J24" s="6" t="inlineStr">
        <is>
          <t>https://dym.asia/services/sports/</t>
        </is>
      </c>
      <c r="K24" s="47" t="n"/>
      <c r="L24" s="47" t="n"/>
    </row>
    <row r="25" ht="15.75" customHeight="1" s="185">
      <c r="A25" s="52">
        <f>row()-1</f>
        <v/>
      </c>
      <c r="B25" s="46" t="inlineStr">
        <is>
          <t>企業がスポンサーになるメリットとは！？スポーツと企業の関係について</t>
        </is>
      </c>
      <c r="C25" s="6" t="inlineStr">
        <is>
          <t>https://dym.asia/media/sports-sponsor-merit/</t>
        </is>
      </c>
      <c r="D25" s="47" t="inlineStr">
        <is>
          <t xml:space="preserve">2024.11.18 </t>
        </is>
      </c>
      <c r="E25" s="47" t="inlineStr">
        <is>
          <t xml:space="preserve">2024.12.10
</t>
        </is>
      </c>
      <c r="F25" s="47" t="inlineStr">
        <is>
          <t>法人</t>
        </is>
      </c>
      <c r="G25" s="47" t="inlineStr">
        <is>
          <t>Dリーグ</t>
        </is>
      </c>
      <c r="H25" s="47" t="n"/>
      <c r="I25" s="6" t="inlineStr">
        <is>
          <t>https://dym.asia/services/sports/</t>
        </is>
      </c>
      <c r="J25" s="6" t="inlineStr">
        <is>
          <t>https://dym.asia/services/sports/</t>
        </is>
      </c>
      <c r="K25" s="47" t="n"/>
      <c r="L25" s="47" t="n"/>
    </row>
    <row r="26" ht="15.75" customHeight="1" s="185">
      <c r="A26" s="52">
        <f>row()-1</f>
        <v/>
      </c>
      <c r="B26" s="46" t="inlineStr">
        <is>
          <t>賞与とは？仕組みやボーナスの計算方法、給与との違いを解説</t>
        </is>
      </c>
      <c r="C26" s="10" t="inlineStr">
        <is>
          <t>https://dym.asia/media/bonus/</t>
        </is>
      </c>
      <c r="D26" s="47" t="inlineStr">
        <is>
          <t xml:space="preserve">2024.11.25 </t>
        </is>
      </c>
      <c r="E26" s="47" t="inlineStr">
        <is>
          <t>2024.12.10</t>
        </is>
      </c>
      <c r="F26" s="47" t="inlineStr">
        <is>
          <t>法人</t>
        </is>
      </c>
      <c r="G26" s="47" t="inlineStr">
        <is>
          <t>人材</t>
        </is>
      </c>
      <c r="H26" s="47" t="n"/>
      <c r="I26" s="6" t="inlineStr">
        <is>
          <t>https://dym.asia/services/new-graduates/Former-graduate/</t>
        </is>
      </c>
      <c r="J26" s="10" t="inlineStr">
        <is>
          <t>https://dym.asia/services/new-graduates/welfare/</t>
        </is>
      </c>
      <c r="K26" s="47" t="n"/>
      <c r="L26" s="47" t="n"/>
    </row>
    <row r="27" ht="15.75" customHeight="1" s="185">
      <c r="A27" s="52">
        <f>row()-1</f>
        <v/>
      </c>
      <c r="B27" s="46" t="inlineStr">
        <is>
          <t>Criteo(クリテオ)広告とは？仕組みやメリット、導入ポイントや事例まで解説</t>
        </is>
      </c>
      <c r="C27" s="10" t="inlineStr">
        <is>
          <t>https://dym.asia/media/criteo_advertisement/</t>
        </is>
      </c>
      <c r="D27" s="47" t="inlineStr">
        <is>
          <t xml:space="preserve">2024.05.30 </t>
        </is>
      </c>
      <c r="E27" s="47" t="inlineStr">
        <is>
          <t>2024.06.14</t>
        </is>
      </c>
      <c r="F27" s="47" t="inlineStr">
        <is>
          <t>法人</t>
        </is>
      </c>
      <c r="G27" s="47" t="inlineStr">
        <is>
          <t>WEB</t>
        </is>
      </c>
      <c r="H27" s="47" t="n"/>
      <c r="I27" s="6" t="inlineStr">
        <is>
          <t>https://dym.asia/services/web-promotion/dsp-native-ads/</t>
        </is>
      </c>
      <c r="J27" s="6" t="inlineStr">
        <is>
          <t>https://dym.asia/services/web-promotion/dsp-native-ads/</t>
        </is>
      </c>
      <c r="K27" s="47" t="n"/>
      <c r="L27" s="47" t="n"/>
    </row>
    <row r="28" ht="15.75" customHeight="1" s="185">
      <c r="A28" s="52">
        <f>row()-1</f>
        <v/>
      </c>
      <c r="B28" s="46" t="inlineStr">
        <is>
          <t>株式売却にかかる税金の基礎知識と節税対策</t>
        </is>
      </c>
      <c r="C28" s="6" t="inlineStr">
        <is>
          <t>https://dym.asia/media/stock-transfer-tax/</t>
        </is>
      </c>
      <c r="D28" s="47" t="inlineStr">
        <is>
          <t xml:space="preserve">2024.11.14 </t>
        </is>
      </c>
      <c r="E28" s="47" t="inlineStr">
        <is>
          <t>2024.12.09</t>
        </is>
      </c>
      <c r="F28" s="47" t="inlineStr">
        <is>
          <t>法人</t>
        </is>
      </c>
      <c r="G28" s="47" t="inlineStr">
        <is>
          <t>M&amp;A</t>
        </is>
      </c>
      <c r="H28" s="47" t="n"/>
      <c r="I28" s="6" t="inlineStr">
        <is>
          <t>https://dym.asia/services/m&amp;a/investment/</t>
        </is>
      </c>
      <c r="J28" s="6" t="inlineStr">
        <is>
          <t>https://dym.asia/services/m&amp;a/investment/</t>
        </is>
      </c>
      <c r="K28" s="47" t="n"/>
      <c r="L28" s="47" t="n"/>
    </row>
    <row r="29" ht="15.75" customHeight="1" s="185">
      <c r="A29" s="52">
        <f>row()-1</f>
        <v/>
      </c>
      <c r="B29" s="46" t="inlineStr">
        <is>
          <t>相談役とは？顧問や取締役との違いや役割を解説</t>
        </is>
      </c>
      <c r="C29" s="10" t="inlineStr">
        <is>
          <t>https://dym.asia/media/advisor/</t>
        </is>
      </c>
      <c r="D29" s="47" t="inlineStr">
        <is>
          <t>2024.11.13</t>
        </is>
      </c>
      <c r="E29" s="47" t="inlineStr">
        <is>
          <t xml:space="preserve">2025.08.08
</t>
        </is>
      </c>
      <c r="F29" s="47" t="inlineStr">
        <is>
          <t>法人</t>
        </is>
      </c>
      <c r="G29" s="47" t="inlineStr">
        <is>
          <t>人材</t>
        </is>
      </c>
      <c r="H29" s="47" t="n"/>
      <c r="I29" s="6" t="inlineStr">
        <is>
          <t>https://dym.asia/services/new-graduates/</t>
        </is>
      </c>
      <c r="J29" s="6" t="inlineStr">
        <is>
          <t>https://dym.asia/services/new-graduates/</t>
        </is>
      </c>
      <c r="K29" s="47" t="n"/>
      <c r="L29" s="47" t="n"/>
    </row>
    <row r="30" ht="15.75" customHeight="1" s="185">
      <c r="A30" s="52">
        <f>row()-1</f>
        <v/>
      </c>
      <c r="B30" s="46" t="inlineStr">
        <is>
          <t>プロパーとは？ビジネスにおける意味やプロパー社員との付き合い方を解説</t>
        </is>
      </c>
      <c r="C30" s="6" t="inlineStr">
        <is>
          <t>https://dym.asia/media/proper/</t>
        </is>
      </c>
      <c r="D30" s="13" t="inlineStr">
        <is>
          <t>2024.11.25</t>
        </is>
      </c>
      <c r="E30" s="47" t="inlineStr">
        <is>
          <t xml:space="preserve">2024.12.10
</t>
        </is>
      </c>
      <c r="F30" s="47" t="inlineStr">
        <is>
          <t>法人</t>
        </is>
      </c>
      <c r="G30" s="47" t="inlineStr">
        <is>
          <t>人材</t>
        </is>
      </c>
      <c r="H30" s="47" t="n"/>
      <c r="I30" s="6" t="inlineStr">
        <is>
          <t>https://dym.asia/services/new-graduates/</t>
        </is>
      </c>
      <c r="J30" s="10" t="inlineStr">
        <is>
          <t>https://dym.asia/services/new-graduates/new-graduate-recruitment/</t>
        </is>
      </c>
      <c r="K30" s="47" t="n"/>
      <c r="L30" s="47" t="n"/>
    </row>
    <row r="31" ht="15.75" customHeight="1" s="185">
      <c r="A31" s="52">
        <f>row()-1</f>
        <v/>
      </c>
      <c r="B31" s="46" t="inlineStr">
        <is>
          <t>不採用通知電話で伝える際の注意点と例文</t>
        </is>
      </c>
      <c r="C31" s="6" t="inlineStr">
        <is>
          <t>https://dym.asia/media/rejected-tel/</t>
        </is>
      </c>
      <c r="D31" s="47" t="inlineStr">
        <is>
          <t>2024.11.26</t>
        </is>
      </c>
      <c r="E31" s="47" t="inlineStr">
        <is>
          <t>2024.12.09</t>
        </is>
      </c>
      <c r="F31" s="47" t="inlineStr">
        <is>
          <t>法人</t>
        </is>
      </c>
      <c r="G31" s="47" t="inlineStr">
        <is>
          <t>人材</t>
        </is>
      </c>
      <c r="H31" s="47" t="n"/>
      <c r="I31" s="6" t="inlineStr">
        <is>
          <t>https://dym.asia/services/new-graduates/new-graduate-recruitment/</t>
        </is>
      </c>
      <c r="J31" s="10" t="inlineStr">
        <is>
          <t>https://dym.asia/services/new-graduates/new-graduate-recruitment/</t>
        </is>
      </c>
      <c r="K31" s="47" t="n"/>
      <c r="L31" s="47" t="n"/>
    </row>
    <row r="32" ht="15.75" customHeight="1" s="185">
      <c r="A32" s="52">
        <f>row()-1</f>
        <v/>
      </c>
      <c r="B32" s="46" t="inlineStr">
        <is>
          <t>コールセンター言葉遣い一覧｜敬語のポイントと効果的な言い回し</t>
        </is>
      </c>
      <c r="C32" s="6" t="inlineStr">
        <is>
          <t>https://dym.asia/media/callcenter-wording/</t>
        </is>
      </c>
      <c r="D32" s="47" t="inlineStr">
        <is>
          <t xml:space="preserve">2024.11.18 </t>
        </is>
      </c>
      <c r="E32" s="47" t="inlineStr">
        <is>
          <t>2024.12.19</t>
        </is>
      </c>
      <c r="F32" s="47" t="inlineStr">
        <is>
          <t>法人</t>
        </is>
      </c>
      <c r="G32" s="47" t="inlineStr">
        <is>
          <t>HR Tech</t>
        </is>
      </c>
      <c r="H32" s="47" t="n"/>
      <c r="I32" s="6" t="inlineStr">
        <is>
          <t>https://dym.asia/services/new-graduates/new-graduate-recruitment/</t>
        </is>
      </c>
      <c r="J32" s="10" t="inlineStr">
        <is>
          <t>https://dym.asia/services/hr-tech/</t>
        </is>
      </c>
      <c r="K32" s="47" t="n"/>
      <c r="L32" s="47" t="n"/>
    </row>
    <row r="33" ht="15.75" customHeight="1" s="185">
      <c r="A33" s="52">
        <f>row()-1</f>
        <v/>
      </c>
      <c r="B33" s="46" t="inlineStr">
        <is>
          <t>ステークホルダー（利害関係者）とは？ 意味や具体例を解説</t>
        </is>
      </c>
      <c r="C33" s="10" t="inlineStr">
        <is>
          <t>https://dym.asia/media/steak-holder/</t>
        </is>
      </c>
      <c r="D33" s="47" t="inlineStr">
        <is>
          <t xml:space="preserve">2024.11.22 </t>
        </is>
      </c>
      <c r="E33" s="47" t="inlineStr">
        <is>
          <t>2024.12.09</t>
        </is>
      </c>
      <c r="F33" s="47" t="inlineStr">
        <is>
          <t>法人</t>
        </is>
      </c>
      <c r="G33" s="47" t="inlineStr">
        <is>
          <t>人材</t>
        </is>
      </c>
      <c r="H33" s="47" t="n"/>
      <c r="I33" s="6" t="inlineStr">
        <is>
          <t>https://dym.asia/services/new-graduates/new-graduate-recruitment/</t>
        </is>
      </c>
      <c r="J33" s="6" t="inlineStr">
        <is>
          <t>https://dym.asia/services/new-graduates/new-graduate-recruitment/</t>
        </is>
      </c>
      <c r="K33" s="47" t="n"/>
      <c r="L33" s="47" t="n"/>
    </row>
    <row r="34" ht="15.75" customHeight="1" s="185">
      <c r="A34" s="52">
        <f>row()-1</f>
        <v/>
      </c>
      <c r="B34" s="46" t="inlineStr">
        <is>
          <t>コールセンターのクレーム対応のコツと言い回し｜NG行動・ワードも紹介</t>
        </is>
      </c>
      <c r="C34" s="10" t="inlineStr">
        <is>
          <t>https://dym.asia/media/callcenter-complaint-handling/</t>
        </is>
      </c>
      <c r="D34" s="47" t="inlineStr">
        <is>
          <t xml:space="preserve">2024.11.18 </t>
        </is>
      </c>
      <c r="E34" s="47" t="inlineStr">
        <is>
          <t>2024.12.19</t>
        </is>
      </c>
      <c r="F34" s="47" t="inlineStr">
        <is>
          <t>法人</t>
        </is>
      </c>
      <c r="G34" s="47" t="inlineStr">
        <is>
          <t>HR Tech</t>
        </is>
      </c>
      <c r="H34" s="47" t="n"/>
      <c r="I34" s="6" t="inlineStr">
        <is>
          <t>https://dym.asia/services/hr-tech/call-center/</t>
        </is>
      </c>
      <c r="J34" s="6" t="inlineStr">
        <is>
          <t>https://dym.asia/services/hr-tech/call-center/</t>
        </is>
      </c>
      <c r="K34" s="47" t="n"/>
      <c r="L34" s="47" t="n"/>
    </row>
    <row r="35" ht="15.75" customHeight="1" s="185">
      <c r="A35" s="52">
        <f>row()-1</f>
        <v/>
      </c>
      <c r="B35" s="46" t="inlineStr">
        <is>
          <t>ストライキとは？意味や実施するメリット・デメリットを分かりやすく解説</t>
        </is>
      </c>
      <c r="C35" s="6" t="inlineStr">
        <is>
          <t>https://dym.asia/media/strike/</t>
        </is>
      </c>
      <c r="D35" s="47" t="inlineStr">
        <is>
          <t xml:space="preserve">2024.11.25 </t>
        </is>
      </c>
      <c r="E35" s="47" t="inlineStr">
        <is>
          <t xml:space="preserve">2024.12.10
</t>
        </is>
      </c>
      <c r="F35" s="47" t="inlineStr">
        <is>
          <t>法人</t>
        </is>
      </c>
      <c r="G35" s="47" t="inlineStr">
        <is>
          <t>人材</t>
        </is>
      </c>
      <c r="H35" s="47" t="n"/>
      <c r="I35" s="10" t="inlineStr">
        <is>
          <t>https://dym.asia/services/new-graduates/</t>
        </is>
      </c>
      <c r="J35" s="10" t="inlineStr">
        <is>
          <t>https://dym.asia/services/new-graduates/welfare/</t>
        </is>
      </c>
      <c r="K35" s="47" t="n"/>
      <c r="L35" s="47" t="n"/>
    </row>
    <row r="36" ht="15.75" customHeight="1" s="185">
      <c r="A36" s="52">
        <f>row()-1</f>
        <v/>
      </c>
      <c r="B36" s="46" t="inlineStr">
        <is>
          <t>特定扶養親族とは？対象者や扶養控除額と注意点</t>
        </is>
      </c>
      <c r="C36" s="10" t="inlineStr">
        <is>
          <t>https://dym.asia/media/dependent-relatives/</t>
        </is>
      </c>
      <c r="D36" s="47" t="inlineStr">
        <is>
          <t xml:space="preserve">2024.11.25 </t>
        </is>
      </c>
      <c r="E36" s="47" t="inlineStr">
        <is>
          <t>2024.12.10</t>
        </is>
      </c>
      <c r="F36" s="47" t="inlineStr">
        <is>
          <t>法人</t>
        </is>
      </c>
      <c r="G36" s="47" t="inlineStr">
        <is>
          <t>人材</t>
        </is>
      </c>
      <c r="H36" s="47" t="n"/>
      <c r="I36" s="10" t="inlineStr">
        <is>
          <t>https://dym.asia/services/new-graduates/new-graduate-recruitment/</t>
        </is>
      </c>
      <c r="J36" s="10" t="inlineStr">
        <is>
          <t>https://dym.asia/services/new-graduates/new-graduate-recruitment/</t>
        </is>
      </c>
      <c r="K36" s="47" t="n"/>
      <c r="L36" s="47" t="n"/>
    </row>
    <row r="37" ht="15.75" customHeight="1" s="185">
      <c r="A37" s="52">
        <f>row()-1</f>
        <v/>
      </c>
      <c r="B37" s="46" t="inlineStr">
        <is>
          <t>Google Apps Script（GAS）とは？できることから始め方まで</t>
        </is>
      </c>
      <c r="C37" s="10" t="inlineStr">
        <is>
          <t>https://dym.asia/media/gas/</t>
        </is>
      </c>
      <c r="D37" s="47" t="inlineStr">
        <is>
          <t>2024.11.26</t>
        </is>
      </c>
      <c r="E37" s="47" t="inlineStr">
        <is>
          <t>2024.12.09</t>
        </is>
      </c>
      <c r="F37" s="47" t="inlineStr">
        <is>
          <t>法人</t>
        </is>
      </c>
      <c r="G37" s="47" t="inlineStr">
        <is>
          <t>WEB</t>
        </is>
      </c>
      <c r="H37" s="47" t="n"/>
      <c r="I37" s="10" t="inlineStr">
        <is>
          <t>https://dym.asia/services/web-promotion/production-operation/</t>
        </is>
      </c>
      <c r="J37" s="10" t="inlineStr">
        <is>
          <t>https://dym.asia/services/web-promotion/production-operation/</t>
        </is>
      </c>
      <c r="K37" s="47" t="n"/>
      <c r="L37" s="47" t="n"/>
    </row>
    <row r="38" ht="15.75" customHeight="1" s="185">
      <c r="A38" s="52">
        <f>row()-1</f>
        <v/>
      </c>
      <c r="B38" s="46" t="inlineStr">
        <is>
          <t>事務所の消防法規定は大丈夫？オフィスの消防法に関する重要事項を詳しく解説</t>
        </is>
      </c>
      <c r="C38" s="10" t="inlineStr">
        <is>
          <t>https://dym.asia/media/office-fire-service-law/</t>
        </is>
      </c>
      <c r="D38" s="47" t="inlineStr">
        <is>
          <t xml:space="preserve">2024.11.20 　</t>
        </is>
      </c>
      <c r="E38" s="47" t="inlineStr">
        <is>
          <t xml:space="preserve">2025.02.14
</t>
        </is>
      </c>
      <c r="F38" s="47" t="inlineStr">
        <is>
          <t>法人</t>
        </is>
      </c>
      <c r="G38" s="47" t="inlineStr">
        <is>
          <t>リアルエステート</t>
        </is>
      </c>
      <c r="H38" s="47" t="n"/>
      <c r="I38" s="10" t="inlineStr">
        <is>
          <t>https://dym.asia/services/new-business/relocation/</t>
        </is>
      </c>
      <c r="J38" s="10" t="inlineStr">
        <is>
          <t>https://dym.asia/services/new-business/relocation/</t>
        </is>
      </c>
      <c r="K38" s="47" t="n"/>
      <c r="L38" s="47" t="n"/>
    </row>
    <row r="39" ht="15.75" customHeight="1" s="185">
      <c r="A39" s="52">
        <f>row()-1</f>
        <v/>
      </c>
      <c r="B39" s="46" t="inlineStr">
        <is>
          <t>アルバイトと契約社員の違いとは？メリットや変わらないと言われる理由</t>
        </is>
      </c>
      <c r="C39" s="6" t="inlineStr">
        <is>
          <t>https://dym.asia/media/parttime-worker-contract-employee-differences/</t>
        </is>
      </c>
      <c r="D39" s="47" t="inlineStr">
        <is>
          <t>2025.09.04</t>
        </is>
      </c>
      <c r="E39" s="47" t="inlineStr">
        <is>
          <t xml:space="preserve">2025.09.04
</t>
        </is>
      </c>
      <c r="F39" s="47" t="inlineStr">
        <is>
          <t>法人</t>
        </is>
      </c>
      <c r="G39" s="47" t="inlineStr">
        <is>
          <t>HR Tech</t>
        </is>
      </c>
      <c r="H39" s="47" t="n"/>
      <c r="I39" s="10" t="inlineStr">
        <is>
          <t>https://dym.asia/services/hr-tech/resume-plus/</t>
        </is>
      </c>
      <c r="J39" s="10" t="inlineStr">
        <is>
          <t>https://dym.asia/services/hr-tech/resume-plus/</t>
        </is>
      </c>
      <c r="K39" s="47" t="n"/>
      <c r="L39" s="47" t="n"/>
    </row>
    <row r="40" ht="15.75" customHeight="1" s="185">
      <c r="A40" s="52">
        <f>row()-1</f>
        <v/>
      </c>
      <c r="B40" s="46" t="inlineStr">
        <is>
          <t>TikTokを活用した採用戦略｜メリットからデメリットまでを徹底解説</t>
        </is>
      </c>
      <c r="C40" s="10" t="inlineStr">
        <is>
          <t>https://dym.asia/media/tiktok-recruitment/</t>
        </is>
      </c>
      <c r="D40" s="47" t="inlineStr">
        <is>
          <t>2024.11.07</t>
        </is>
      </c>
      <c r="E40" s="47" t="inlineStr">
        <is>
          <t xml:space="preserve">2024.11.13
</t>
        </is>
      </c>
      <c r="F40" s="47" t="inlineStr">
        <is>
          <t>法人</t>
        </is>
      </c>
      <c r="G40" s="47" t="inlineStr">
        <is>
          <t>人材</t>
        </is>
      </c>
      <c r="H40" s="47" t="n"/>
      <c r="I40" s="10" t="inlineStr">
        <is>
          <t>https://dym.asia/services/web-promotion/sns-ads/</t>
        </is>
      </c>
      <c r="J40" s="10" t="inlineStr">
        <is>
          <t>https://dym.asia/services/web-promotion/sns-ads/</t>
        </is>
      </c>
      <c r="K40" s="47" t="n"/>
      <c r="L40" s="47" t="n"/>
    </row>
    <row r="41" ht="15.75" customHeight="1" s="185">
      <c r="A41" s="52">
        <f>row()-1</f>
        <v/>
      </c>
      <c r="B41" s="46" t="inlineStr">
        <is>
          <t>傾聴力とは？コミュニケーションで活用する目的やコツ・鍛え方・注意点</t>
        </is>
      </c>
      <c r="C41" s="10" t="inlineStr">
        <is>
          <t>https://dym.asia/media/listening-ability/</t>
        </is>
      </c>
      <c r="D41" s="47" t="inlineStr">
        <is>
          <t>2024.11.26</t>
        </is>
      </c>
      <c r="E41" s="47" t="inlineStr">
        <is>
          <t>2024.12.10</t>
        </is>
      </c>
      <c r="F41" s="47" t="inlineStr">
        <is>
          <t>法人</t>
        </is>
      </c>
      <c r="G41" s="47" t="inlineStr">
        <is>
          <t>人材</t>
        </is>
      </c>
      <c r="H41" s="47" t="n"/>
      <c r="I41" s="10" t="inlineStr">
        <is>
          <t>https://dym.asia/services/new-graduates/development-training/</t>
        </is>
      </c>
      <c r="J41" s="10" t="inlineStr">
        <is>
          <t>https://dym.asia/services/new-graduates/development-training/</t>
        </is>
      </c>
      <c r="K41" s="47" t="n"/>
      <c r="L41" s="47" t="n"/>
    </row>
    <row r="42" ht="15.75" customHeight="1" s="185">
      <c r="A42" s="52">
        <f>row()-1</f>
        <v/>
      </c>
      <c r="B42" s="46" t="inlineStr">
        <is>
          <t>HRとは？人事部との違いやビジネスにおける意味・具体的な仕事内容を解説</t>
        </is>
      </c>
      <c r="C42" s="6" t="inlineStr">
        <is>
          <t>https://dym.asia/media/hr/</t>
        </is>
      </c>
      <c r="D42" s="47" t="inlineStr">
        <is>
          <t>2024.11.26</t>
        </is>
      </c>
      <c r="E42" s="47" t="inlineStr">
        <is>
          <t>2024.12.10</t>
        </is>
      </c>
      <c r="F42" s="47" t="inlineStr">
        <is>
          <t>法人</t>
        </is>
      </c>
      <c r="G42" s="47" t="inlineStr">
        <is>
          <t>人材</t>
        </is>
      </c>
      <c r="H42" s="47" t="n"/>
      <c r="I42" s="10" t="inlineStr">
        <is>
          <t>https://dym.asia/services/new-graduates/development-training/</t>
        </is>
      </c>
      <c r="J42" s="10" t="inlineStr">
        <is>
          <t>https://dym.asia/services/new-graduates/development-training/</t>
        </is>
      </c>
      <c r="K42" s="47" t="n"/>
      <c r="L42" s="47" t="n"/>
    </row>
    <row r="43" ht="15.75" customHeight="1" s="185">
      <c r="A43" s="52">
        <f>row()-1</f>
        <v/>
      </c>
      <c r="B43" s="46" t="inlineStr">
        <is>
          <t>Indeed（インディード）の使い方や概要などを徹底解説！</t>
        </is>
      </c>
      <c r="C43" s="10" t="inlineStr">
        <is>
          <t>https://dym.asia/media/indeed-how-to-use/</t>
        </is>
      </c>
      <c r="D43" s="47" t="inlineStr">
        <is>
          <t>2024.11.13</t>
        </is>
      </c>
      <c r="E43" s="47" t="inlineStr">
        <is>
          <t>2024.12.09</t>
        </is>
      </c>
      <c r="F43" s="47" t="inlineStr">
        <is>
          <t>法人</t>
        </is>
      </c>
      <c r="G43" s="47" t="inlineStr">
        <is>
          <t>HR Tech</t>
        </is>
      </c>
      <c r="H43" s="47" t="n"/>
      <c r="I43" s="10" t="inlineStr">
        <is>
          <t>https://dym.asia/services/hr-tech/indeed/</t>
        </is>
      </c>
      <c r="J43" s="10" t="inlineStr">
        <is>
          <t>https://dym.asia/services/hr-tech/indeed/</t>
        </is>
      </c>
      <c r="K43" s="47" t="n"/>
      <c r="L43" s="47" t="n"/>
    </row>
    <row r="44" ht="15.75" customHeight="1" s="185">
      <c r="A44" s="52">
        <f>row()-1</f>
        <v/>
      </c>
      <c r="B44" s="46" t="inlineStr">
        <is>
          <t>労災とは？労災保険の補償内容や認定の流れをわかりやすく解説</t>
        </is>
      </c>
      <c r="C44" s="10" t="inlineStr">
        <is>
          <t>https://dym.asia/media/industrial-accident/</t>
        </is>
      </c>
      <c r="D44" s="47" t="inlineStr">
        <is>
          <t xml:space="preserve">2024.11.22 </t>
        </is>
      </c>
      <c r="E44" s="47" t="inlineStr">
        <is>
          <t>2024.12.10</t>
        </is>
      </c>
      <c r="F44" s="47" t="inlineStr">
        <is>
          <t>法人</t>
        </is>
      </c>
      <c r="G44" s="47" t="inlineStr">
        <is>
          <t>人材</t>
        </is>
      </c>
      <c r="H44" s="47" t="n"/>
      <c r="I44" s="10" t="inlineStr">
        <is>
          <t>https://dym.asia/services/new-graduates/development-training/</t>
        </is>
      </c>
      <c r="J44" s="10" t="inlineStr">
        <is>
          <t>https://dym.asia/services/new-graduates/development-training/</t>
        </is>
      </c>
      <c r="K44" s="47" t="n"/>
      <c r="L44" s="47" t="n"/>
    </row>
    <row r="45" ht="15.75" customHeight="1" s="185">
      <c r="A45" s="52">
        <f>row()-1</f>
        <v/>
      </c>
      <c r="B45" s="46" t="inlineStr">
        <is>
          <t>SNS運用代行費用相場、おすすめ会社のポイント</t>
        </is>
      </c>
      <c r="C45" s="10" t="inlineStr">
        <is>
          <t>https://dym.asia/media/sns-market/</t>
        </is>
      </c>
      <c r="D45" s="47" t="inlineStr">
        <is>
          <t>2024.10.17</t>
        </is>
      </c>
      <c r="E45" s="47" t="inlineStr">
        <is>
          <t>2024.10.30</t>
        </is>
      </c>
      <c r="F45" s="47" t="inlineStr">
        <is>
          <t>法人</t>
        </is>
      </c>
      <c r="G45" s="47" t="inlineStr">
        <is>
          <t>WEB</t>
        </is>
      </c>
      <c r="H45" s="47" t="n"/>
      <c r="I45" s="6" t="inlineStr">
        <is>
          <t>https://dym.asia/services/web-promotion/sns-consulting/</t>
        </is>
      </c>
      <c r="J45" s="10" t="inlineStr">
        <is>
          <t>https://dym.asia/services/web-promotion/sns-consulting/</t>
        </is>
      </c>
      <c r="K45" s="47" t="n"/>
      <c r="L45" s="47" t="n"/>
    </row>
    <row r="46" ht="15.75" customHeight="1" s="185">
      <c r="A46" s="52">
        <f>row()-1</f>
        <v/>
      </c>
      <c r="B46" s="46" t="inlineStr">
        <is>
          <t>メタ認知とは？メタ認知能力の高い人・低い人の特徴・トレーニング方法を解説</t>
        </is>
      </c>
      <c r="C46" s="10" t="inlineStr">
        <is>
          <t>https://dym.asia/media/metacognition/</t>
        </is>
      </c>
      <c r="D46" s="47" t="inlineStr">
        <is>
          <t>2024.11.22</t>
        </is>
      </c>
      <c r="E46" s="47" t="inlineStr">
        <is>
          <t>2024.12.10</t>
        </is>
      </c>
      <c r="F46" s="47" t="inlineStr">
        <is>
          <t>法人</t>
        </is>
      </c>
      <c r="G46" s="47" t="inlineStr">
        <is>
          <t>人材</t>
        </is>
      </c>
      <c r="H46" s="47" t="n"/>
      <c r="I46" s="10" t="inlineStr">
        <is>
          <t>https://dym.asia/services/new-graduates/development-training/</t>
        </is>
      </c>
      <c r="J46" s="10" t="inlineStr">
        <is>
          <t>https://dym.asia/services/new-graduates/development-training/</t>
        </is>
      </c>
      <c r="K46" s="47" t="n"/>
      <c r="L46" s="47" t="n"/>
    </row>
    <row r="47" ht="15.75" customHeight="1" s="185">
      <c r="A47" s="52">
        <f>row()-1</f>
        <v/>
      </c>
      <c r="B47" s="46" t="inlineStr">
        <is>
          <t>EQとは？IQとの違いや高い人の特徴を解説</t>
        </is>
      </c>
      <c r="C47" s="6" t="inlineStr">
        <is>
          <t>https://dym.asia/media/eq/</t>
        </is>
      </c>
      <c r="D47" s="47" t="inlineStr">
        <is>
          <t xml:space="preserve">2024.11.25 </t>
        </is>
      </c>
      <c r="E47" s="47" t="inlineStr">
        <is>
          <t>2024.12.19</t>
        </is>
      </c>
      <c r="F47" s="47" t="inlineStr">
        <is>
          <t>法人</t>
        </is>
      </c>
      <c r="G47" s="47" t="inlineStr">
        <is>
          <t>人材</t>
        </is>
      </c>
      <c r="H47" s="47" t="n"/>
      <c r="I47" s="10" t="inlineStr">
        <is>
          <t>https://dym.asia/services/new-graduates/Former-graduate/</t>
        </is>
      </c>
      <c r="J47" s="10" t="inlineStr">
        <is>
          <t>https://dym.asia/services/new-graduates/development-training/</t>
        </is>
      </c>
      <c r="K47" s="47" t="n"/>
      <c r="L47" s="47" t="n"/>
    </row>
    <row r="48" ht="15.75" customHeight="1" s="185">
      <c r="A48" s="52">
        <f>row()-1</f>
        <v/>
      </c>
      <c r="B48" s="46" t="inlineStr">
        <is>
          <t>インフルエンサーとは？SNSでの影響力を解説</t>
        </is>
      </c>
      <c r="C48" s="6" t="inlineStr">
        <is>
          <t>https://dym.asia/media/influencer/</t>
        </is>
      </c>
      <c r="D48" s="47" t="inlineStr">
        <is>
          <t xml:space="preserve">2024.11.21 </t>
        </is>
      </c>
      <c r="E48" s="13" t="inlineStr">
        <is>
          <t>2024.12.09</t>
        </is>
      </c>
      <c r="F48" s="47" t="inlineStr">
        <is>
          <t>法人</t>
        </is>
      </c>
      <c r="G48" s="47" t="inlineStr">
        <is>
          <t>WEB</t>
        </is>
      </c>
      <c r="H48" s="47" t="n"/>
      <c r="I48" s="10" t="inlineStr">
        <is>
          <t>https://dym.asia/services/web-promotion/talents-share/</t>
        </is>
      </c>
      <c r="J48" s="10" t="inlineStr">
        <is>
          <t>https://dym.asia/services/web-promotion/sns-ads/</t>
        </is>
      </c>
      <c r="K48" s="47" t="n"/>
      <c r="L48" s="47" t="n"/>
    </row>
    <row r="49" ht="15.75" customHeight="1" s="185">
      <c r="A49" s="52">
        <f>row()-1</f>
        <v/>
      </c>
      <c r="B49" s="46" t="inlineStr">
        <is>
          <t>さとり世代の特徴｜年齢や価値観、ゆとり世代との違い</t>
        </is>
      </c>
      <c r="C49" s="6" t="inlineStr">
        <is>
          <t>https://dym.asia/media/satori-generation/</t>
        </is>
      </c>
      <c r="D49" s="47" t="inlineStr">
        <is>
          <t xml:space="preserve">2024.11.25 </t>
        </is>
      </c>
      <c r="E49" s="12" t="inlineStr">
        <is>
          <t xml:space="preserve">2024.12.10
</t>
        </is>
      </c>
      <c r="F49" s="47" t="inlineStr">
        <is>
          <t>法人</t>
        </is>
      </c>
      <c r="G49" s="47" t="inlineStr">
        <is>
          <t>人材</t>
        </is>
      </c>
      <c r="H49" s="47" t="n"/>
      <c r="I49" s="47" t="inlineStr">
        <is>
          <t>URLがありませんでした</t>
        </is>
      </c>
      <c r="J49" s="47" t="n"/>
      <c r="K49" s="47" t="n"/>
      <c r="L49" s="47" t="n"/>
    </row>
    <row r="50" ht="15.75" customHeight="1" s="185">
      <c r="A50" s="52">
        <f>row()-1</f>
        <v/>
      </c>
      <c r="B50" s="46" t="inlineStr">
        <is>
          <t>SNSコンサルとは？運用代行との違いや流れ、業務内容や費用相場についても解説</t>
        </is>
      </c>
      <c r="C50" s="6" t="inlineStr">
        <is>
          <t>https://dym.asia/media/sns_consulting/</t>
        </is>
      </c>
      <c r="D50" s="47" t="inlineStr">
        <is>
          <t xml:space="preserve">2024.05.30 </t>
        </is>
      </c>
      <c r="E50" s="47" t="inlineStr">
        <is>
          <t>2024.06.14</t>
        </is>
      </c>
      <c r="F50" s="47" t="inlineStr">
        <is>
          <t>法人</t>
        </is>
      </c>
      <c r="G50" s="47" t="inlineStr">
        <is>
          <t>WEB</t>
        </is>
      </c>
      <c r="H50" s="47" t="n"/>
      <c r="I50" s="10" t="inlineStr">
        <is>
          <t>https://dym.asia/services/web-promotion/sns-consulting/</t>
        </is>
      </c>
      <c r="J50" s="10" t="inlineStr">
        <is>
          <t>https://dym.asia/services/web-promotion/sns-consulting/</t>
        </is>
      </c>
      <c r="K50" s="47" t="n"/>
      <c r="L50" s="47" t="n"/>
    </row>
    <row r="51" ht="15.75" customHeight="1" s="185">
      <c r="A51" s="52">
        <f>row()-1</f>
        <v/>
      </c>
      <c r="B51" s="46" t="inlineStr">
        <is>
          <t>VUCA時代とは？2つの戦略や業界別の具体的な対策例を紹介</t>
        </is>
      </c>
      <c r="C51" s="6" t="inlineStr">
        <is>
          <t>https://dym.asia/media/vuca/</t>
        </is>
      </c>
      <c r="D51" s="47" t="inlineStr">
        <is>
          <t>2024.11.22</t>
        </is>
      </c>
      <c r="E51" s="47" t="inlineStr">
        <is>
          <t>2024.12.10</t>
        </is>
      </c>
      <c r="F51" s="47" t="inlineStr">
        <is>
          <t>法人</t>
        </is>
      </c>
      <c r="G51" s="47" t="inlineStr">
        <is>
          <t>人材</t>
        </is>
      </c>
      <c r="H51" s="47" t="n"/>
      <c r="I51" s="10" t="inlineStr">
        <is>
          <t>https://dym.asia/services/new-graduates/development-training/</t>
        </is>
      </c>
      <c r="J51" s="10" t="inlineStr">
        <is>
          <t>https://dym.asia/services/new-graduates/development-training/</t>
        </is>
      </c>
      <c r="K51" s="47" t="n"/>
      <c r="L51" s="47" t="n"/>
    </row>
    <row r="52" ht="15.75" customHeight="1" s="185">
      <c r="A52" s="52">
        <f>row()-1</f>
        <v/>
      </c>
      <c r="B52" s="46" t="inlineStr">
        <is>
          <t>顧問とは？相談役との違いや意味・役割をわかりやすく解説</t>
        </is>
      </c>
      <c r="C52" s="10" t="inlineStr">
        <is>
          <t>https://dym.asia/media/advisors/</t>
        </is>
      </c>
      <c r="D52" s="47" t="inlineStr">
        <is>
          <t>2024.11.21</t>
        </is>
      </c>
      <c r="E52" s="47" t="inlineStr">
        <is>
          <t>2025.08.08</t>
        </is>
      </c>
      <c r="F52" s="47" t="inlineStr">
        <is>
          <t>法人</t>
        </is>
      </c>
      <c r="G52" s="47" t="inlineStr">
        <is>
          <t>人材</t>
        </is>
      </c>
      <c r="H52" s="47" t="n"/>
      <c r="I52" s="10" t="inlineStr">
        <is>
          <t>https://dym.asia/services/new-graduates/exe-part/</t>
        </is>
      </c>
      <c r="J52" s="6" t="inlineStr">
        <is>
          <t>https://dym.asia/services/new-graduates/exe-part/</t>
        </is>
      </c>
      <c r="K52" s="47" t="n"/>
      <c r="L52" s="47" t="n"/>
    </row>
    <row r="53" ht="15.75" customHeight="1" s="185">
      <c r="A53" s="52">
        <f>row()-1</f>
        <v/>
      </c>
      <c r="B53" s="46" t="inlineStr">
        <is>
          <t>OJTとは？意味やOFF-JTとの違い、研修のやり方を解説</t>
        </is>
      </c>
      <c r="C53" s="6" t="inlineStr">
        <is>
          <t>https://dym.asia/media/business-ojt/</t>
        </is>
      </c>
      <c r="D53" s="12" t="inlineStr">
        <is>
          <t>2024.11.22</t>
        </is>
      </c>
      <c r="E53" s="12" t="inlineStr">
        <is>
          <t>2024.12.09</t>
        </is>
      </c>
      <c r="F53" s="47" t="inlineStr">
        <is>
          <t>法人</t>
        </is>
      </c>
      <c r="G53" s="47" t="inlineStr">
        <is>
          <t>人材</t>
        </is>
      </c>
      <c r="H53" s="47" t="n"/>
      <c r="I53" s="10" t="inlineStr">
        <is>
          <t>https://dym.asia/services/new-graduates/development-training/</t>
        </is>
      </c>
      <c r="J53" s="10" t="inlineStr">
        <is>
          <t>https://dym.asia/services/new-graduates/development-training/</t>
        </is>
      </c>
      <c r="K53" s="47" t="n"/>
      <c r="L53" s="47" t="n"/>
    </row>
    <row r="54" ht="15.75" customHeight="1" s="185">
      <c r="A54" s="52">
        <f>row()-1</f>
        <v/>
      </c>
      <c r="B54" s="46" t="inlineStr">
        <is>
          <t>サッカーリーグのスポンサー｜その重要性と仕組み、金額、チーム事例を紹介</t>
        </is>
      </c>
      <c r="C54" s="6" t="inlineStr">
        <is>
          <t>https://dym.asia/media/soccer-sponsor/</t>
        </is>
      </c>
      <c r="D54" s="12" t="inlineStr">
        <is>
          <t>2024.11.18</t>
        </is>
      </c>
      <c r="E54" s="12" t="inlineStr">
        <is>
          <t>2024.12.10</t>
        </is>
      </c>
      <c r="F54" s="47" t="inlineStr">
        <is>
          <t>法人</t>
        </is>
      </c>
      <c r="G54" s="47" t="inlineStr">
        <is>
          <t>Dリーグ</t>
        </is>
      </c>
      <c r="H54" s="47" t="n"/>
      <c r="I54" s="10" t="inlineStr">
        <is>
          <t>https://dym.asia/services/sports/</t>
        </is>
      </c>
      <c r="J54" s="6" t="inlineStr">
        <is>
          <t>https://dym.asia/services/sports/</t>
        </is>
      </c>
      <c r="K54" s="47" t="n"/>
      <c r="L54" s="47" t="n"/>
    </row>
    <row r="55" ht="15.75" customHeight="1" s="185">
      <c r="A55" s="52">
        <f>row()-1</f>
        <v/>
      </c>
      <c r="B55" s="46" t="inlineStr">
        <is>
          <t>顧問とは？役員との違い、顧問の意味や種類と役割</t>
        </is>
      </c>
      <c r="C55" s="6" t="inlineStr">
        <is>
          <t>https://dym.asia/media/advisor-company/</t>
        </is>
      </c>
      <c r="D55" s="12" t="inlineStr">
        <is>
          <t>2024.11.14</t>
        </is>
      </c>
      <c r="E55" s="12" t="inlineStr">
        <is>
          <t>2025.08.08</t>
        </is>
      </c>
      <c r="F55" s="47" t="inlineStr">
        <is>
          <t>法人</t>
        </is>
      </c>
      <c r="G55" s="47" t="inlineStr">
        <is>
          <t>人材</t>
        </is>
      </c>
      <c r="H55" s="47" t="n"/>
      <c r="I55" s="10" t="inlineStr">
        <is>
          <t>https://dym.asia/services/new-graduates/exe-part/</t>
        </is>
      </c>
      <c r="J55" s="10" t="inlineStr">
        <is>
          <t>https://dym.asia/services/new-graduates/exe-part/</t>
        </is>
      </c>
      <c r="K55" s="47" t="n"/>
      <c r="L55" s="47" t="n"/>
    </row>
    <row r="56" ht="15.75" customHeight="1" s="185">
      <c r="A56" s="52">
        <f>row()-1</f>
        <v/>
      </c>
      <c r="B56" s="46" t="inlineStr">
        <is>
          <t>休眠会社の定義とは？会社を休眠させるメリットや休眠から復活の手続きを流れで解説</t>
        </is>
      </c>
      <c r="C56" s="6" t="inlineStr">
        <is>
          <t>https://dym.asia/media/dormant-company/</t>
        </is>
      </c>
      <c r="D56" s="12" t="inlineStr">
        <is>
          <t>2024.11.14</t>
        </is>
      </c>
      <c r="E56" s="12" t="inlineStr">
        <is>
          <t>2024.12.09</t>
        </is>
      </c>
      <c r="F56" s="47" t="inlineStr">
        <is>
          <t>法人</t>
        </is>
      </c>
      <c r="G56" s="47" t="inlineStr">
        <is>
          <t>M&amp;A</t>
        </is>
      </c>
      <c r="H56" s="47" t="n"/>
      <c r="I56" s="10" t="inlineStr">
        <is>
          <t>https://dym.asia/services/m&amp;a/consulting/</t>
        </is>
      </c>
      <c r="J56" s="10" t="inlineStr">
        <is>
          <t>https://dym.asia/services/m&amp;a/consulting/</t>
        </is>
      </c>
      <c r="K56" s="47" t="n"/>
      <c r="L56" s="47" t="n"/>
    </row>
    <row r="57" ht="15.75" customHeight="1" s="185">
      <c r="A57" s="52">
        <f>row()-1</f>
        <v/>
      </c>
      <c r="B57" s="46" t="inlineStr">
        <is>
          <t>残業時間の上限規制：36協定で年間上限は？</t>
        </is>
      </c>
      <c r="C57" s="10" t="inlineStr">
        <is>
          <t>https://dym.asia/media/overtime-upper-limit/</t>
        </is>
      </c>
      <c r="D57" s="12" t="inlineStr">
        <is>
          <t>2024.11.25</t>
        </is>
      </c>
      <c r="E57" s="12" t="inlineStr">
        <is>
          <t>2024.12.10</t>
        </is>
      </c>
      <c r="F57" s="47" t="inlineStr">
        <is>
          <t>法人</t>
        </is>
      </c>
      <c r="G57" s="47" t="inlineStr">
        <is>
          <t>人材</t>
        </is>
      </c>
      <c r="H57" s="47" t="n"/>
      <c r="I57" s="10" t="inlineStr">
        <is>
          <t>https://dym.asia/services/new-graduates/development-training/</t>
        </is>
      </c>
      <c r="J57" s="10" t="inlineStr">
        <is>
          <t>https://dym.asia/services/new-graduates/welfare/</t>
        </is>
      </c>
      <c r="K57" s="47" t="n"/>
      <c r="L57" s="47" t="n"/>
    </row>
    <row r="58" ht="15.75" customHeight="1" s="185">
      <c r="A58" s="52">
        <f>row()-1</f>
        <v/>
      </c>
      <c r="B58" s="46" t="inlineStr">
        <is>
          <t>早期退職制度とは？メリット・デメリットを解説</t>
        </is>
      </c>
      <c r="C58" s="10" t="inlineStr">
        <is>
          <t>https://dym.asia/media/early-retirement/</t>
        </is>
      </c>
      <c r="D58" s="12" t="inlineStr">
        <is>
          <t>2024.11.26</t>
        </is>
      </c>
      <c r="E58" s="12" t="inlineStr">
        <is>
          <t>2024.12.10</t>
        </is>
      </c>
      <c r="F58" s="47" t="inlineStr">
        <is>
          <t>法人</t>
        </is>
      </c>
      <c r="G58" s="47" t="inlineStr">
        <is>
          <t>人材</t>
        </is>
      </c>
      <c r="H58" s="47" t="n"/>
      <c r="I58" s="10" t="inlineStr">
        <is>
          <t>https://dym.asia/services/new-graduates/</t>
        </is>
      </c>
      <c r="J58" s="10" t="inlineStr">
        <is>
          <t>https://dym.asia/services/new-graduates/welfare/</t>
        </is>
      </c>
      <c r="K58" s="47" t="n"/>
      <c r="L58" s="47" t="n"/>
    </row>
    <row r="59" ht="15.75" customHeight="1" s="185">
      <c r="A59" s="52">
        <f>row()-1</f>
        <v/>
      </c>
      <c r="B59" s="46" t="inlineStr">
        <is>
          <t>取締役とは？役割や責任をわかりやすく解説</t>
        </is>
      </c>
      <c r="C59" s="10" t="inlineStr">
        <is>
          <t>https://dym.asia/media/board-member/</t>
        </is>
      </c>
      <c r="D59" s="12" t="inlineStr">
        <is>
          <t>2024.11.26</t>
        </is>
      </c>
      <c r="E59" s="12" t="inlineStr">
        <is>
          <t>2024.12.10</t>
        </is>
      </c>
      <c r="F59" s="47" t="inlineStr">
        <is>
          <t>法人</t>
        </is>
      </c>
      <c r="G59" s="47" t="inlineStr">
        <is>
          <t>人材</t>
        </is>
      </c>
      <c r="H59" s="47" t="n"/>
      <c r="I59" s="10" t="inlineStr">
        <is>
          <t>https://dym.asia/services/new-graduates/exe-part/</t>
        </is>
      </c>
      <c r="J59" s="10" t="inlineStr">
        <is>
          <t>https://dym.asia/services/new-graduates/exe-part/</t>
        </is>
      </c>
      <c r="K59" s="47" t="n"/>
      <c r="L59" s="47" t="n"/>
    </row>
    <row r="60" ht="15.75" customHeight="1" s="185">
      <c r="A60" s="52">
        <f>row()-1</f>
        <v/>
      </c>
      <c r="B60" s="46" t="inlineStr">
        <is>
          <t>求人ボックスの代理店とは？運用代行会社の選び方やメリット、自社運用との違いを解説</t>
        </is>
      </c>
      <c r="C60" s="10" t="inlineStr">
        <is>
          <t>https://dym.asia/media/kyujinbox_agency/</t>
        </is>
      </c>
      <c r="D60" s="12" t="inlineStr">
        <is>
          <t>2024.05.24</t>
        </is>
      </c>
      <c r="E60" s="12" t="inlineStr">
        <is>
          <t>2024.06.14</t>
        </is>
      </c>
      <c r="F60" s="47" t="inlineStr">
        <is>
          <t>法人</t>
        </is>
      </c>
      <c r="G60" s="47" t="inlineStr">
        <is>
          <t>HR Tech</t>
        </is>
      </c>
      <c r="H60" s="47" t="n"/>
      <c r="I60" s="10" t="inlineStr">
        <is>
          <t>https://dym.asia/services/hr-tech/stanby-kyujinbox/</t>
        </is>
      </c>
      <c r="J60" s="10" t="inlineStr">
        <is>
          <t>https://dym.asia/services/hr-tech/stanby-kyujinbox/</t>
        </is>
      </c>
      <c r="K60" s="47" t="n"/>
      <c r="L60" s="47" t="n"/>
    </row>
    <row r="61" ht="15.75" customHeight="1" s="185">
      <c r="A61" s="52">
        <f>row()-1</f>
        <v/>
      </c>
      <c r="B61" s="46" t="inlineStr">
        <is>
          <t>Logicad(ロジカド)とは？特徴や配信メニュー、機能や導入方法を解説</t>
        </is>
      </c>
      <c r="C61" s="10" t="inlineStr">
        <is>
          <t>https://dym.asia/media/logicad/</t>
        </is>
      </c>
      <c r="D61" s="12" t="inlineStr">
        <is>
          <t>2024.05.30</t>
        </is>
      </c>
      <c r="E61" s="12" t="inlineStr">
        <is>
          <t>2025.01.31</t>
        </is>
      </c>
      <c r="F61" s="47" t="inlineStr">
        <is>
          <t>法人</t>
        </is>
      </c>
      <c r="G61" s="47" t="inlineStr">
        <is>
          <t>WEB</t>
        </is>
      </c>
      <c r="H61" s="47" t="n"/>
      <c r="I61" s="10" t="inlineStr">
        <is>
          <t>https://dym.asia/services/web-promotion/dsp-native-ads/</t>
        </is>
      </c>
      <c r="J61" s="10" t="inlineStr">
        <is>
          <t>https://dym.asia/services/web-promotion/dsp-native-ads/</t>
        </is>
      </c>
      <c r="K61" s="47" t="n"/>
      <c r="L61" s="47" t="n"/>
    </row>
    <row r="62" ht="15.75" customHeight="1" s="185">
      <c r="A62" s="52">
        <f>row()-1</f>
        <v/>
      </c>
      <c r="B62" s="46" t="inlineStr">
        <is>
          <t>保守とは？保守と運用の違いと保守管理の重要性</t>
        </is>
      </c>
      <c r="C62" s="6" t="inlineStr">
        <is>
          <t>https://dym.asia/media/maintenance-management/</t>
        </is>
      </c>
      <c r="D62" s="12" t="inlineStr">
        <is>
          <t>2024.11.21</t>
        </is>
      </c>
      <c r="E62" s="12" t="inlineStr">
        <is>
          <t>2024.12.09</t>
        </is>
      </c>
      <c r="F62" s="47" t="inlineStr">
        <is>
          <t>法人</t>
        </is>
      </c>
      <c r="G62" s="47" t="inlineStr">
        <is>
          <t>WEB</t>
        </is>
      </c>
      <c r="H62" s="47" t="n"/>
      <c r="I62" s="10" t="inlineStr">
        <is>
          <t>https://dym.asia/services/web-promotion/</t>
        </is>
      </c>
      <c r="J62" s="10" t="inlineStr">
        <is>
          <t>https://dym.asia/services/web-promotion/</t>
        </is>
      </c>
      <c r="K62" s="47" t="n"/>
      <c r="L62" s="47" t="n"/>
    </row>
    <row r="63" ht="15.75" customHeight="1" s="185">
      <c r="A63" s="52">
        <f>row()-1</f>
        <v/>
      </c>
      <c r="B63" s="46" t="inlineStr">
        <is>
          <t>ROIとは？ビジネスにおける重要性や計算式などをわかりやすく解説</t>
        </is>
      </c>
      <c r="C63" s="10" t="inlineStr">
        <is>
          <t>https://dym.asia/media/roi/</t>
        </is>
      </c>
      <c r="D63" s="12" t="inlineStr">
        <is>
          <t>2024.11.27</t>
        </is>
      </c>
      <c r="E63" s="12" t="inlineStr">
        <is>
          <t>2024.12.09</t>
        </is>
      </c>
      <c r="F63" s="47" t="inlineStr">
        <is>
          <t>法人</t>
        </is>
      </c>
      <c r="G63" s="47" t="inlineStr">
        <is>
          <t>WEB</t>
        </is>
      </c>
      <c r="H63" s="47" t="n"/>
      <c r="I63" s="10" t="inlineStr">
        <is>
          <t>https://dym.asia/services/web-promotion/</t>
        </is>
      </c>
      <c r="J63" s="10" t="inlineStr">
        <is>
          <t>https://dym.asia/services/web-promotion/</t>
        </is>
      </c>
      <c r="K63" s="47" t="n"/>
      <c r="L63" s="47" t="n"/>
    </row>
    <row r="64" ht="15.75" customHeight="1" s="185">
      <c r="A64" s="52">
        <f>row()-1</f>
        <v/>
      </c>
      <c r="B64" s="46" t="inlineStr">
        <is>
          <t>SNS広告とは？SNS広告の種類や効果を最大化する運用ポイントを紹介</t>
        </is>
      </c>
      <c r="C64" s="10" t="inlineStr">
        <is>
          <t>https://dym.asia/media/sns-ad-operation/</t>
        </is>
      </c>
      <c r="D64" s="12" t="inlineStr">
        <is>
          <t>2024.11.15</t>
        </is>
      </c>
      <c r="E64" s="12" t="inlineStr">
        <is>
          <t>2024.12.09</t>
        </is>
      </c>
      <c r="F64" s="47" t="inlineStr">
        <is>
          <t>法人</t>
        </is>
      </c>
      <c r="G64" s="47" t="inlineStr">
        <is>
          <t>WEB</t>
        </is>
      </c>
      <c r="H64" s="47" t="n"/>
      <c r="I64" s="10" t="inlineStr">
        <is>
          <t>https://dym.asia/services/web-promotion/sns-ads/</t>
        </is>
      </c>
      <c r="J64" s="10" t="inlineStr">
        <is>
          <t>https://dym.asia/services/web-promotion/dsp-native-ads/</t>
        </is>
      </c>
      <c r="K64" s="47" t="n"/>
      <c r="L64" s="47" t="n"/>
    </row>
    <row r="65" ht="15.75" customHeight="1" s="185">
      <c r="A65" s="52">
        <f>row()-1</f>
        <v/>
      </c>
      <c r="B65" s="46" t="inlineStr">
        <is>
          <t>新卒エージェント活用ガイド｜最適な人材を見つける戦略と成功の秘訣とは？</t>
        </is>
      </c>
      <c r="C65" s="6" t="inlineStr">
        <is>
          <t>https://dym.asia/media/new_graduate_agent/</t>
        </is>
      </c>
      <c r="D65" s="12" t="inlineStr">
        <is>
          <t>2024.06.14</t>
        </is>
      </c>
      <c r="E65" s="12" t="inlineStr">
        <is>
          <t>2024.06.14</t>
        </is>
      </c>
      <c r="F65" s="47" t="inlineStr">
        <is>
          <t>法人</t>
        </is>
      </c>
      <c r="G65" s="47" t="inlineStr">
        <is>
          <t>人材</t>
        </is>
      </c>
      <c r="H65" s="47" t="n"/>
      <c r="I65" s="10" t="inlineStr">
        <is>
          <t>https://dym.asia/services/new-graduates/new-graduate-recruitment/</t>
        </is>
      </c>
      <c r="J65" s="10" t="inlineStr">
        <is>
          <t>https://dym.asia/services/new-graduates/new-graduate-recruitment/</t>
        </is>
      </c>
      <c r="K65" s="47" t="n"/>
      <c r="L65" s="47" t="n"/>
    </row>
    <row r="66" ht="15.75" customHeight="1" s="185">
      <c r="A66" s="52">
        <f>row()-1</f>
        <v/>
      </c>
      <c r="B66" s="46" t="inlineStr">
        <is>
          <t>スポンサーシップとは？メリットと効果的な活用法</t>
        </is>
      </c>
      <c r="C66" s="10" t="inlineStr">
        <is>
          <t>https://dym.asia/media/sponsorship-about/</t>
        </is>
      </c>
      <c r="D66" s="12" t="inlineStr">
        <is>
          <t>2024.11.18</t>
        </is>
      </c>
      <c r="E66" s="12" t="inlineStr">
        <is>
          <t>2024.12.10</t>
        </is>
      </c>
      <c r="F66" s="47" t="inlineStr">
        <is>
          <t>法人</t>
        </is>
      </c>
      <c r="G66" s="47" t="inlineStr">
        <is>
          <t>Dリーグ</t>
        </is>
      </c>
      <c r="H66" s="47" t="n"/>
      <c r="I66" s="47" t="inlineStr">
        <is>
          <t>ちがうファイルでした</t>
        </is>
      </c>
      <c r="J66" s="47" t="n"/>
      <c r="K66" s="47" t="n"/>
      <c r="L66" s="47" t="n"/>
    </row>
    <row r="67" ht="15.75" customHeight="1" s="185">
      <c r="A67" s="52">
        <f>row()-1</f>
        <v/>
      </c>
      <c r="B67" s="46" t="inlineStr">
        <is>
          <t>ダンス・D.LEAGUE（Dリーグ）の魅力、成長を支える仕組みとは</t>
        </is>
      </c>
      <c r="C67" s="10" t="inlineStr">
        <is>
          <t>https://dym.asia/media/d-league/</t>
        </is>
      </c>
      <c r="D67" s="12" t="inlineStr">
        <is>
          <t>2024.11.28</t>
        </is>
      </c>
      <c r="E67" s="12" t="inlineStr">
        <is>
          <t>2024.12.09</t>
        </is>
      </c>
      <c r="F67" s="47" t="inlineStr">
        <is>
          <t>法人</t>
        </is>
      </c>
      <c r="G67" s="47" t="inlineStr">
        <is>
          <t>Dリーグ</t>
        </is>
      </c>
      <c r="H67" s="47" t="n"/>
      <c r="I67" s="10" t="inlineStr">
        <is>
          <t>https://dym.asia/services/sports/</t>
        </is>
      </c>
      <c r="J67" s="10" t="inlineStr">
        <is>
          <t>https://dym.asia/services/sports/</t>
        </is>
      </c>
      <c r="K67" s="47" t="n"/>
      <c r="L67" s="47" t="n"/>
    </row>
    <row r="68" ht="15.75" customHeight="1" s="185">
      <c r="A68" s="52">
        <f>row()-1</f>
        <v/>
      </c>
      <c r="B68" s="46" t="inlineStr">
        <is>
          <t>Google広告代理店の特徴や依頼するメリット、選び方まで詳しく解説</t>
        </is>
      </c>
      <c r="C68" s="10" t="inlineStr">
        <is>
          <t>https://dym.asia/media/google_agency/</t>
        </is>
      </c>
      <c r="D68" s="12" t="inlineStr">
        <is>
          <t>2024.06.17</t>
        </is>
      </c>
      <c r="E68" s="12" t="inlineStr">
        <is>
          <t>2024.07.05</t>
        </is>
      </c>
      <c r="F68" s="47" t="inlineStr">
        <is>
          <t>法人</t>
        </is>
      </c>
      <c r="G68" s="47" t="inlineStr">
        <is>
          <t>WEB</t>
        </is>
      </c>
      <c r="H68" s="47" t="n"/>
      <c r="I68" s="10" t="inlineStr">
        <is>
          <t>https://dym.asia/services/web-promotion/listing/</t>
        </is>
      </c>
      <c r="J68" s="10" t="inlineStr">
        <is>
          <t>https://dym.asia/services/web-promotion/listing/</t>
        </is>
      </c>
      <c r="K68" s="47" t="n"/>
      <c r="L68" s="47" t="n"/>
    </row>
    <row r="69" ht="15.75" customHeight="1" s="185">
      <c r="A69" s="52">
        <f>row()-1</f>
        <v/>
      </c>
      <c r="B69" s="46" t="inlineStr">
        <is>
          <t>メールの署名はテンプレートを活用しよう！自動挿入の設定方法などを詳しく紹介</t>
        </is>
      </c>
      <c r="C69" s="6" t="inlineStr">
        <is>
          <t>https://dym.asia/media/mail-signature-template/</t>
        </is>
      </c>
      <c r="D69" s="12" t="inlineStr">
        <is>
          <t>2024.11.27</t>
        </is>
      </c>
      <c r="E69" s="12" t="inlineStr">
        <is>
          <t>2025.05.22</t>
        </is>
      </c>
      <c r="F69" s="47" t="inlineStr">
        <is>
          <t>法人</t>
        </is>
      </c>
      <c r="G69" s="47" t="inlineStr">
        <is>
          <t>WEB</t>
        </is>
      </c>
      <c r="H69" s="47" t="n"/>
      <c r="I69" s="10" t="inlineStr">
        <is>
          <t>https://dym.asia/services/new-graduates/exe-part/</t>
        </is>
      </c>
      <c r="J69" s="10" t="inlineStr">
        <is>
          <t>https://dym.asia/services/new-graduates/development-training/</t>
        </is>
      </c>
      <c r="K69" s="47" t="n"/>
      <c r="L69" s="47" t="n"/>
    </row>
    <row r="70" ht="15.75" customHeight="1" s="185">
      <c r="A70" s="52">
        <f>row()-1</f>
        <v/>
      </c>
      <c r="B70" s="46" t="inlineStr">
        <is>
          <t>モラハラとは？原因と対策する人の特徴、職場での具体例</t>
        </is>
      </c>
      <c r="C70" s="10" t="inlineStr">
        <is>
          <t>https://dym.asia/media/moral-harassment/</t>
        </is>
      </c>
      <c r="D70" s="12" t="inlineStr">
        <is>
          <t>2024.11.22</t>
        </is>
      </c>
      <c r="E70" s="12" t="inlineStr">
        <is>
          <t>2024.12.09</t>
        </is>
      </c>
      <c r="F70" s="47" t="inlineStr">
        <is>
          <t>法人</t>
        </is>
      </c>
      <c r="G70" s="47" t="inlineStr">
        <is>
          <t>人材</t>
        </is>
      </c>
      <c r="H70" s="47" t="n"/>
      <c r="I70" s="10" t="inlineStr">
        <is>
          <t>https://dym.asia/services/new-graduates/development-training/</t>
        </is>
      </c>
      <c r="J70" s="10" t="inlineStr">
        <is>
          <t>https://dym.asia/services/new-graduates/development-training/</t>
        </is>
      </c>
      <c r="K70" s="47" t="n"/>
      <c r="L70" s="47" t="n"/>
    </row>
    <row r="71" ht="15.75" customHeight="1" s="185">
      <c r="A71" s="52">
        <f>row()-1</f>
        <v/>
      </c>
      <c r="B71" s="46" t="inlineStr">
        <is>
          <t>風水で理想のオフィスレイアウトへ</t>
        </is>
      </c>
      <c r="C71" s="10" t="inlineStr">
        <is>
          <t>https://dym.asia/media/office-layout-feng-shui/</t>
        </is>
      </c>
      <c r="D71" s="12" t="inlineStr">
        <is>
          <t>2024.11.20</t>
        </is>
      </c>
      <c r="E71" s="12" t="inlineStr">
        <is>
          <t>2025.02.14</t>
        </is>
      </c>
      <c r="F71" s="47" t="inlineStr">
        <is>
          <t>法人</t>
        </is>
      </c>
      <c r="G71" s="47" t="inlineStr">
        <is>
          <t>リアルエステート</t>
        </is>
      </c>
      <c r="H71" s="47" t="n"/>
      <c r="I71" s="10" t="inlineStr">
        <is>
          <t>https://dym.asia/services/new-business/relocation/</t>
        </is>
      </c>
      <c r="J71" s="10" t="inlineStr">
        <is>
          <t>https://dym.asia/services/new-business/relocation/</t>
        </is>
      </c>
      <c r="K71" s="47" t="n"/>
      <c r="L71" s="47" t="n"/>
    </row>
    <row r="72" ht="15.75" customHeight="1" s="185">
      <c r="A72" s="52">
        <f>row()-1</f>
        <v/>
      </c>
      <c r="B72" s="46" t="inlineStr">
        <is>
          <t>「他の人はこちらも検索」の仕組みと無効・非表示方法を解説</t>
        </is>
      </c>
      <c r="C72" s="10" t="inlineStr">
        <is>
          <t>https://dym.asia/media/others-search/</t>
        </is>
      </c>
      <c r="D72" s="12" t="inlineStr">
        <is>
          <t>2024.11.26</t>
        </is>
      </c>
      <c r="E72" s="12" t="inlineStr">
        <is>
          <t>2024.12.09</t>
        </is>
      </c>
      <c r="F72" s="47" t="inlineStr">
        <is>
          <t>法人</t>
        </is>
      </c>
      <c r="G72" s="47" t="inlineStr">
        <is>
          <t>WEB</t>
        </is>
      </c>
      <c r="H72" s="47" t="n"/>
      <c r="I72" s="10" t="inlineStr">
        <is>
          <t>https://dym.asia/services/web-promotion/seo/</t>
        </is>
      </c>
      <c r="J72" s="10" t="inlineStr">
        <is>
          <t>https://dym.asia/services/web-promotion/seo/</t>
        </is>
      </c>
      <c r="K72" s="47" t="n"/>
      <c r="L72" s="47" t="n"/>
    </row>
    <row r="73" ht="15.75" customHeight="1" s="185">
      <c r="A73" s="52">
        <f>row()-1</f>
        <v/>
      </c>
      <c r="B73" s="46" t="inlineStr">
        <is>
          <t>コンコルド効果とは？身近な例、原因、対策を解説</t>
        </is>
      </c>
      <c r="C73" s="10" t="inlineStr">
        <is>
          <t>https://dym.asia/media/concorde-effect/</t>
        </is>
      </c>
      <c r="D73" s="12" t="inlineStr">
        <is>
          <t>2024.11.25</t>
        </is>
      </c>
      <c r="E73" s="12" t="inlineStr">
        <is>
          <t>2024.12.10</t>
        </is>
      </c>
      <c r="F73" s="47" t="inlineStr">
        <is>
          <t>法人</t>
        </is>
      </c>
      <c r="G73" s="47" t="inlineStr">
        <is>
          <t>人材</t>
        </is>
      </c>
      <c r="H73" s="47" t="n"/>
      <c r="I73" s="6" t="inlineStr">
        <is>
          <t>https://dym.asia/services/new-graduates/exe-part/</t>
        </is>
      </c>
      <c r="J73" s="10" t="inlineStr">
        <is>
          <t>https://dym.asia/services/new-graduates/new-graduate-recruitment/</t>
        </is>
      </c>
      <c r="K73" s="47" t="n"/>
      <c r="L73" s="47" t="n"/>
    </row>
    <row r="74" ht="15.75" customHeight="1" s="185">
      <c r="A74" s="52">
        <f>row()-1</f>
        <v/>
      </c>
      <c r="B74" s="46" t="inlineStr">
        <is>
          <t>Indeed PLUS（インディードプラス）とは？料金や掲載方法を解説</t>
        </is>
      </c>
      <c r="C74" s="10" t="inlineStr">
        <is>
          <t>https://dym.asia/media/indeed-plus-guide/</t>
        </is>
      </c>
      <c r="D74" s="12" t="inlineStr">
        <is>
          <t>2025.04.10</t>
        </is>
      </c>
      <c r="E74" s="12" t="inlineStr">
        <is>
          <t>2025.07.02</t>
        </is>
      </c>
      <c r="F74" s="47" t="inlineStr">
        <is>
          <t>法人</t>
        </is>
      </c>
      <c r="G74" s="47" t="inlineStr">
        <is>
          <t>HR Tech</t>
        </is>
      </c>
      <c r="H74" s="47" t="n"/>
      <c r="I74" s="10" t="inlineStr">
        <is>
          <t>https://dym.asia/services/hr-tech/indeed/</t>
        </is>
      </c>
      <c r="J74" s="10" t="inlineStr">
        <is>
          <t>https://dym.asia/services/hr-tech/indeed/</t>
        </is>
      </c>
      <c r="K74" s="47" t="n"/>
      <c r="L74" s="47" t="n"/>
    </row>
    <row r="75" ht="15.75" customHeight="1" s="185">
      <c r="A75" s="52">
        <f>row()-1</f>
        <v/>
      </c>
      <c r="B75" s="46" t="inlineStr">
        <is>
          <t>IPアドレスとは？仕組みや種類、確認方法、個人特定について解説</t>
        </is>
      </c>
      <c r="C75" s="10" t="inlineStr">
        <is>
          <t>https://dym.asia/media/ip-address/</t>
        </is>
      </c>
      <c r="D75" s="12" t="inlineStr">
        <is>
          <t>2025.04.09</t>
        </is>
      </c>
      <c r="E75" s="12" t="inlineStr">
        <is>
          <t>2025.05.20</t>
        </is>
      </c>
      <c r="F75" s="47" t="inlineStr">
        <is>
          <t>法人</t>
        </is>
      </c>
      <c r="G75" s="47" t="inlineStr">
        <is>
          <t>WEB</t>
        </is>
      </c>
      <c r="H75" s="47" t="n"/>
      <c r="I75" s="10" t="inlineStr">
        <is>
          <t>https://dym.asia/services/web-promotion/production-operation/</t>
        </is>
      </c>
      <c r="J75" s="10" t="inlineStr">
        <is>
          <t>https://dym.asia/services/web-promotion/production-operation/</t>
        </is>
      </c>
      <c r="K75" s="47" t="n"/>
      <c r="L75" s="47" t="n"/>
    </row>
    <row r="76" ht="15.75" customHeight="1" s="185">
      <c r="A76" s="52">
        <f>row()-1</f>
        <v/>
      </c>
      <c r="B76" s="46" t="inlineStr">
        <is>
          <t>404 not found(404エラー)の原因と対処法を解説</t>
        </is>
      </c>
      <c r="C76" s="10" t="inlineStr">
        <is>
          <t>https://dym.asia/media/404-error/</t>
        </is>
      </c>
      <c r="D76" s="12" t="inlineStr">
        <is>
          <t>2024.11.15</t>
        </is>
      </c>
      <c r="E76" s="12" t="inlineStr">
        <is>
          <t>2024.12.09</t>
        </is>
      </c>
      <c r="F76" s="47" t="inlineStr">
        <is>
          <t>法人</t>
        </is>
      </c>
      <c r="G76" s="47" t="inlineStr">
        <is>
          <t>WEB</t>
        </is>
      </c>
      <c r="H76" s="47" t="n"/>
      <c r="I76" s="10" t="inlineStr">
        <is>
          <t>https://dym.asia/services/web-promotion/production-operation/</t>
        </is>
      </c>
      <c r="J76" s="10" t="inlineStr">
        <is>
          <t>https://dym.asia/services/web-promotion/production-operation/</t>
        </is>
      </c>
      <c r="K76" s="47" t="n"/>
      <c r="L76" s="47" t="n"/>
    </row>
    <row r="77" ht="15.75" customHeight="1" s="185">
      <c r="A77" s="52">
        <f>row()-1</f>
        <v/>
      </c>
      <c r="B77" s="46" t="inlineStr">
        <is>
          <t>広告出稿の流れとは？主な出稿先と特徴を解説</t>
        </is>
      </c>
      <c r="C77" s="10" t="inlineStr">
        <is>
          <t>https://dym.asia/media/advertising/</t>
        </is>
      </c>
      <c r="D77" s="12" t="inlineStr">
        <is>
          <t>2024.11.19</t>
        </is>
      </c>
      <c r="E77" s="12" t="inlineStr">
        <is>
          <t>2024.12.09</t>
        </is>
      </c>
      <c r="F77" s="47" t="inlineStr">
        <is>
          <t>法人</t>
        </is>
      </c>
      <c r="G77" s="47" t="inlineStr">
        <is>
          <t>WEB</t>
        </is>
      </c>
      <c r="H77" s="47" t="n"/>
      <c r="I77" s="10" t="inlineStr">
        <is>
          <t>https://dym.asia/services/web-promotion/listing/</t>
        </is>
      </c>
      <c r="J77" s="10" t="inlineStr">
        <is>
          <t>https://dym.asia/services/web-promotion/listing/</t>
        </is>
      </c>
      <c r="K77" s="47" t="n"/>
      <c r="L77" s="47" t="n"/>
    </row>
    <row r="78" ht="15.75" customHeight="1" s="185">
      <c r="A78" s="52">
        <f>row()-1</f>
        <v/>
      </c>
      <c r="B78" s="46" t="inlineStr">
        <is>
          <t>多様性とは？意味や重要性、企業での取り組み方を徹底解説</t>
        </is>
      </c>
      <c r="C78" s="10" t="inlineStr">
        <is>
          <t>https://dym.asia/media/diversity/</t>
        </is>
      </c>
      <c r="D78" s="12" t="inlineStr">
        <is>
          <t>2024.11.22</t>
        </is>
      </c>
      <c r="E78" s="12" t="inlineStr">
        <is>
          <t>2024.12.10</t>
        </is>
      </c>
      <c r="F78" s="47" t="inlineStr">
        <is>
          <t>法人</t>
        </is>
      </c>
      <c r="G78" s="47" t="inlineStr">
        <is>
          <t>人材</t>
        </is>
      </c>
      <c r="H78" s="47" t="n"/>
      <c r="I78" s="10" t="inlineStr">
        <is>
          <t>https://dym.asia/services/new-graduates/</t>
        </is>
      </c>
      <c r="J78" s="10" t="inlineStr">
        <is>
          <t>https://dym.asia/services/new-graduates/Former-graduate/</t>
        </is>
      </c>
      <c r="K78" s="47" t="n"/>
      <c r="L78" s="47" t="n"/>
    </row>
    <row r="79" ht="15.75" customHeight="1" s="185">
      <c r="A79" s="52">
        <f>row()-1</f>
        <v/>
      </c>
      <c r="B79" s="46" t="inlineStr">
        <is>
          <t>一般媒介契約と仲介の違いとは？注意すべきポイントを解説</t>
        </is>
      </c>
      <c r="C79" s="6" t="inlineStr">
        <is>
          <t>https://dym.asia/media/general-mediation-brokerage-fee/</t>
        </is>
      </c>
      <c r="D79" s="12" t="inlineStr">
        <is>
          <t>2024.11.20</t>
        </is>
      </c>
      <c r="E79" s="12" t="inlineStr">
        <is>
          <t>2025.02.14</t>
        </is>
      </c>
      <c r="F79" s="47" t="inlineStr">
        <is>
          <t>法人</t>
        </is>
      </c>
      <c r="G79" s="47" t="inlineStr">
        <is>
          <t>リアルエステート</t>
        </is>
      </c>
      <c r="H79" s="47" t="n"/>
      <c r="I79" s="10" t="inlineStr">
        <is>
          <t>https://dym.asia/services/new-business/relocation/</t>
        </is>
      </c>
      <c r="J79" s="10" t="inlineStr">
        <is>
          <t>https://dym.asia/services/new-business/relocation/</t>
        </is>
      </c>
      <c r="K79" s="47" t="n"/>
      <c r="L79" s="47" t="n"/>
    </row>
    <row r="80" ht="15.75" customHeight="1" s="185">
      <c r="A80" s="52">
        <f>row()-1</f>
        <v/>
      </c>
      <c r="B80" s="46" t="inlineStr">
        <is>
          <t>ヘッドハンティングとは？引き抜きとの違い、費用の相場や採用する流れや注意点</t>
        </is>
      </c>
      <c r="C80" s="10" t="inlineStr">
        <is>
          <t>https://dym.asia/media/head-hunting-cost/</t>
        </is>
      </c>
      <c r="D80" s="12" t="inlineStr">
        <is>
          <t>2024.11.21</t>
        </is>
      </c>
      <c r="E80" s="12" t="inlineStr">
        <is>
          <t>2024.12.09</t>
        </is>
      </c>
      <c r="F80" s="47" t="inlineStr">
        <is>
          <t>法人</t>
        </is>
      </c>
      <c r="G80" s="47" t="inlineStr">
        <is>
          <t>人材</t>
        </is>
      </c>
      <c r="H80" s="47" t="n"/>
      <c r="I80" s="10" t="inlineStr">
        <is>
          <t>https://dym.asia/services/new-graduates/high-class/</t>
        </is>
      </c>
      <c r="J80" s="10" t="inlineStr">
        <is>
          <t>https://dym.asia/services/new-graduates/high-class/</t>
        </is>
      </c>
      <c r="K80" s="47" t="n"/>
      <c r="L80" s="47" t="n"/>
    </row>
    <row r="81" ht="15.75" customHeight="1" s="185">
      <c r="A81" s="52">
        <f>row()-1</f>
        <v/>
      </c>
      <c r="B81" s="46" t="inlineStr">
        <is>
          <t>メーデーとは？その歴史と意味、日本での過ごし方を解説</t>
        </is>
      </c>
      <c r="C81" s="6" t="inlineStr">
        <is>
          <t>https://dym.asia/media/may-day/</t>
        </is>
      </c>
      <c r="D81" s="12" t="inlineStr">
        <is>
          <t>2024.11.22</t>
        </is>
      </c>
      <c r="E81" s="12" t="inlineStr">
        <is>
          <t>2024.12.10</t>
        </is>
      </c>
      <c r="F81" s="47" t="inlineStr">
        <is>
          <t>法人</t>
        </is>
      </c>
      <c r="G81" s="47" t="inlineStr">
        <is>
          <t>人材</t>
        </is>
      </c>
      <c r="H81" s="47" t="n"/>
      <c r="I81" s="10" t="inlineStr">
        <is>
          <t>https://dym.asia/services/new-graduates/Former-graduate/</t>
        </is>
      </c>
      <c r="J81" s="10" t="inlineStr">
        <is>
          <t>https://dym.asia/services/new-graduates/welfare/</t>
        </is>
      </c>
      <c r="K81" s="47" t="n"/>
      <c r="L81" s="47" t="n"/>
    </row>
    <row r="82" ht="15.75" customHeight="1" s="185">
      <c r="A82" s="52">
        <f>row()-1</f>
        <v/>
      </c>
      <c r="B82" s="46" t="inlineStr">
        <is>
          <t>残業代の計算方法は？時給・月給の計算方法や4つの注意点を解説</t>
        </is>
      </c>
      <c r="C82" s="6" t="inlineStr">
        <is>
          <t>https://dym.asia/media/overtime-pay-calculation/</t>
        </is>
      </c>
      <c r="D82" s="12" t="inlineStr">
        <is>
          <t>2024.11.25</t>
        </is>
      </c>
      <c r="E82" s="12" t="inlineStr">
        <is>
          <t>2024.12.10</t>
        </is>
      </c>
      <c r="F82" s="47" t="inlineStr">
        <is>
          <t>法人</t>
        </is>
      </c>
      <c r="G82" s="47" t="inlineStr">
        <is>
          <t>人材</t>
        </is>
      </c>
      <c r="H82" s="47" t="n"/>
      <c r="I82" s="10" t="inlineStr">
        <is>
          <t>https://dym.asia/services/new-graduates/development-training/</t>
        </is>
      </c>
      <c r="J82" s="6" t="inlineStr">
        <is>
          <t>https://dym.asia/services/new-graduates/development-training/</t>
        </is>
      </c>
      <c r="K82" s="47" t="n"/>
      <c r="L82" s="47" t="n"/>
    </row>
    <row r="83" ht="15.75" customHeight="1" s="185">
      <c r="A83" s="52">
        <f>row()-1</f>
        <v/>
      </c>
      <c r="B83" s="46" t="inlineStr">
        <is>
          <t>有給休暇とは？付与日数や計算方法を解説</t>
        </is>
      </c>
      <c r="C83" s="10" t="inlineStr">
        <is>
          <t>https://dym.asia/media/paid-about/</t>
        </is>
      </c>
      <c r="D83" s="12" t="inlineStr">
        <is>
          <t>2024.11.25</t>
        </is>
      </c>
      <c r="E83" s="12" t="inlineStr">
        <is>
          <t>2024.12.10</t>
        </is>
      </c>
      <c r="F83" s="47" t="inlineStr">
        <is>
          <t>法人</t>
        </is>
      </c>
      <c r="G83" s="47" t="inlineStr">
        <is>
          <t>人材</t>
        </is>
      </c>
      <c r="H83" s="47" t="n"/>
      <c r="I83" s="10" t="inlineStr">
        <is>
          <t>https://dym.asia/services/new-graduates/new-graduate-recruitment/</t>
        </is>
      </c>
      <c r="J83" s="10" t="inlineStr">
        <is>
          <t>https://dym.asia/services/new-graduates/welfare/</t>
        </is>
      </c>
      <c r="K83" s="47" t="n"/>
      <c r="L83" s="47" t="n"/>
    </row>
    <row r="84" ht="15.75" customHeight="1" s="185">
      <c r="A84" s="52">
        <f>row()-1</f>
        <v/>
      </c>
      <c r="B84" s="46" t="inlineStr">
        <is>
          <t>常用型派遣（無期雇用派遣）とは？登録型派遣との違いや企業が利用するメリットを解説</t>
        </is>
      </c>
      <c r="C84" s="10" t="inlineStr">
        <is>
          <t>https://dym.asia/media/permanent_dispatch/</t>
        </is>
      </c>
      <c r="D84" s="12" t="inlineStr">
        <is>
          <t>2024.06.17</t>
        </is>
      </c>
      <c r="E84" s="12" t="inlineStr">
        <is>
          <t>2024.06.17</t>
        </is>
      </c>
      <c r="F84" s="47" t="inlineStr">
        <is>
          <t>法人</t>
        </is>
      </c>
      <c r="G84" s="47" t="inlineStr">
        <is>
          <t>人材</t>
        </is>
      </c>
      <c r="H84" s="47" t="n"/>
      <c r="I84" s="10" t="inlineStr">
        <is>
          <t>https://dym.asia/services/new-graduates/dym-tech/</t>
        </is>
      </c>
      <c r="J84" s="10" t="inlineStr">
        <is>
          <t>https://dym.asia/services/new-graduates/dym-tech/</t>
        </is>
      </c>
      <c r="K84" s="47" t="n"/>
      <c r="L84" s="47" t="n"/>
    </row>
    <row r="85" ht="15.75" customHeight="1" s="185">
      <c r="A85" s="52">
        <f>row()-1</f>
        <v/>
      </c>
      <c r="B85" s="46" t="inlineStr">
        <is>
          <t>肌をきれいにする方法：プロが教える効果的なスキンケアと生活習慣</t>
        </is>
      </c>
      <c r="C85" s="10" t="inlineStr">
        <is>
          <t>https://dym.asia/media/skin-care/</t>
        </is>
      </c>
      <c r="D85" s="12" t="inlineStr">
        <is>
          <t>2024.11.22</t>
        </is>
      </c>
      <c r="E85" s="12" t="inlineStr">
        <is>
          <t>2025.02.17</t>
        </is>
      </c>
      <c r="F85" s="47" t="inlineStr">
        <is>
          <t>法人</t>
        </is>
      </c>
      <c r="G85" s="47" t="inlineStr">
        <is>
          <t>クリニック</t>
        </is>
      </c>
      <c r="H85" s="47" t="n"/>
      <c r="I85" s="10" t="inlineStr">
        <is>
          <t>https://dym.asia/services/medicine/</t>
        </is>
      </c>
      <c r="J85" s="10" t="inlineStr">
        <is>
          <t>https://dym.asia/services/medicine/</t>
        </is>
      </c>
      <c r="K85" s="47" t="n"/>
      <c r="L85" s="47" t="n"/>
    </row>
    <row r="86" ht="15.75" customHeight="1" s="185">
      <c r="A86" s="52">
        <f>row()-1</f>
        <v/>
      </c>
      <c r="B86" s="46" t="inlineStr">
        <is>
          <t>HRTech（HRテック）とは？業界を取り巻く市場を分かりやすく解説</t>
        </is>
      </c>
      <c r="C86" s="10" t="inlineStr">
        <is>
          <t>https://dym.asia/media/what-is-hrtech/</t>
        </is>
      </c>
      <c r="D86" s="12" t="inlineStr">
        <is>
          <t>2025.04.11</t>
        </is>
      </c>
      <c r="E86" s="12" t="inlineStr">
        <is>
          <t>2025.07.04</t>
        </is>
      </c>
      <c r="F86" s="47" t="inlineStr">
        <is>
          <t>法人</t>
        </is>
      </c>
      <c r="G86" s="47" t="inlineStr">
        <is>
          <t>HR Tech</t>
        </is>
      </c>
      <c r="H86" s="47" t="n"/>
      <c r="I86" s="6" t="inlineStr">
        <is>
          <t>https://dym.asia/services/hr-tech/indeed/</t>
        </is>
      </c>
      <c r="J86" s="10" t="inlineStr">
        <is>
          <t>https://dym.asia/services/hr-tech/indeed/</t>
        </is>
      </c>
      <c r="K86" s="47" t="n"/>
      <c r="L86" s="47" t="n"/>
    </row>
    <row r="87" ht="15.75" customHeight="1" s="185">
      <c r="A87" s="52">
        <f>row()-1</f>
        <v/>
      </c>
      <c r="B87" s="46" t="inlineStr">
        <is>
          <t>403エラーとは？意味、原因、解決方法を解説</t>
        </is>
      </c>
      <c r="C87" s="10" t="inlineStr">
        <is>
          <t>https://dym.asia/media/403erorr/</t>
        </is>
      </c>
      <c r="D87" s="12" t="inlineStr">
        <is>
          <t>2024.11.26</t>
        </is>
      </c>
      <c r="E87" s="12" t="inlineStr">
        <is>
          <t>2024.12.09</t>
        </is>
      </c>
      <c r="F87" s="47" t="inlineStr">
        <is>
          <t>法人</t>
        </is>
      </c>
      <c r="G87" s="47" t="inlineStr">
        <is>
          <t>WEB</t>
        </is>
      </c>
      <c r="H87" s="47" t="n"/>
      <c r="I87" s="10" t="inlineStr">
        <is>
          <t>https://dym.asia/services/web-promotion/production-operation/</t>
        </is>
      </c>
      <c r="J87" s="10" t="inlineStr">
        <is>
          <t>https://dym.asia/services/web-promotion/production-operation/</t>
        </is>
      </c>
      <c r="K87" s="47" t="n"/>
      <c r="L87" s="47" t="n"/>
    </row>
    <row r="88" ht="15.75" customHeight="1" s="185">
      <c r="A88" s="52">
        <f>row()-1</f>
        <v/>
      </c>
      <c r="B88" s="46" t="inlineStr">
        <is>
          <t>アフィリエイトサイトとは？仕組みや作り方をわかりやすく解説</t>
        </is>
      </c>
      <c r="C88" s="10" t="inlineStr">
        <is>
          <t>https://dym.asia/media/affiliate-site/</t>
        </is>
      </c>
      <c r="D88" s="12" t="inlineStr">
        <is>
          <t>2024.11.21</t>
        </is>
      </c>
      <c r="E88" s="12" t="inlineStr">
        <is>
          <t>2024.12.09</t>
        </is>
      </c>
      <c r="F88" s="47" t="inlineStr">
        <is>
          <t>法人</t>
        </is>
      </c>
      <c r="G88" s="47" t="inlineStr">
        <is>
          <t>WEB</t>
        </is>
      </c>
      <c r="H88" s="47" t="n"/>
      <c r="I88" s="10" t="inlineStr">
        <is>
          <t>https://dym.asia/services/web-promotion/affiliate/</t>
        </is>
      </c>
      <c r="J88" s="10" t="inlineStr">
        <is>
          <t>https://dym.asia/services/web-promotion/affiliate/</t>
        </is>
      </c>
      <c r="K88" s="47" t="n"/>
      <c r="L88" s="47" t="n"/>
    </row>
    <row r="89" ht="15.75" customHeight="1" s="185">
      <c r="A89" s="52">
        <f>row()-1</f>
        <v/>
      </c>
      <c r="B89" s="46" t="inlineStr">
        <is>
          <t>アンカリング効果とは？日常の事例からメリット・デメリットまでわかりやすく解説</t>
        </is>
      </c>
      <c r="C89" s="6" t="inlineStr">
        <is>
          <t>https://dym.asia/media/anchoring-effect/</t>
        </is>
      </c>
      <c r="D89" s="12" t="inlineStr">
        <is>
          <t>2024.11.27</t>
        </is>
      </c>
      <c r="E89" s="12" t="inlineStr">
        <is>
          <t>2024.12.09</t>
        </is>
      </c>
      <c r="F89" s="47" t="inlineStr">
        <is>
          <t>法人</t>
        </is>
      </c>
      <c r="G89" s="47" t="inlineStr">
        <is>
          <t>WEB</t>
        </is>
      </c>
      <c r="H89" s="47" t="n"/>
      <c r="I89" s="10" t="inlineStr">
        <is>
          <t>https://dym.asia/services/web-promotion/</t>
        </is>
      </c>
      <c r="J89" s="10" t="inlineStr">
        <is>
          <t>https://dym.asia/services/web-promotion/</t>
        </is>
      </c>
      <c r="K89" s="47" t="n"/>
      <c r="L89" s="47" t="n"/>
    </row>
    <row r="90" ht="15.75" customHeight="1" s="185">
      <c r="A90" s="52">
        <f>row()-1</f>
        <v/>
      </c>
      <c r="B90" s="46" t="inlineStr">
        <is>
          <t>デジタルマーケティングの業務委託とは？費用相場をチェック！</t>
        </is>
      </c>
      <c r="C90" s="6" t="inlineStr">
        <is>
          <t>https://dym.asia/media/degital-marketing-outsourcing/</t>
        </is>
      </c>
      <c r="D90" s="12" t="inlineStr">
        <is>
          <t>2024.11.13</t>
        </is>
      </c>
      <c r="E90" s="12" t="inlineStr">
        <is>
          <t>2024.12.09</t>
        </is>
      </c>
      <c r="F90" s="47" t="inlineStr">
        <is>
          <t>法人</t>
        </is>
      </c>
      <c r="G90" s="47" t="inlineStr">
        <is>
          <t>人材</t>
        </is>
      </c>
      <c r="H90" s="47" t="n"/>
      <c r="I90" s="10" t="inlineStr">
        <is>
          <t>https://dym.asia/services/new-graduates/dym-tech/</t>
        </is>
      </c>
      <c r="J90" s="6" t="inlineStr">
        <is>
          <t>https://dym.asia/services/new-graduates/dym-tech/</t>
        </is>
      </c>
      <c r="K90" s="47" t="n"/>
      <c r="L90" s="47" t="n"/>
    </row>
    <row r="91" ht="15.75" customHeight="1" s="185">
      <c r="A91" s="52">
        <f>row()-1</f>
        <v/>
      </c>
      <c r="B91" s="46" t="inlineStr">
        <is>
          <t>LBOとは？仕組みやMBOとの違い、基本的な流れとメリットを解説</t>
        </is>
      </c>
      <c r="C91" s="10" t="inlineStr">
        <is>
          <t>https://dym.asia/media/lbo/</t>
        </is>
      </c>
      <c r="D91" s="12" t="inlineStr">
        <is>
          <t>2024.11.14</t>
        </is>
      </c>
      <c r="E91" s="12" t="inlineStr">
        <is>
          <t>2024.12.09</t>
        </is>
      </c>
      <c r="F91" s="47" t="inlineStr">
        <is>
          <t>法人</t>
        </is>
      </c>
      <c r="G91" s="47" t="inlineStr">
        <is>
          <t>M&amp;A</t>
        </is>
      </c>
      <c r="H91" s="47" t="n"/>
      <c r="I91" s="10" t="inlineStr">
        <is>
          <t>https://dym.asia/services/m&amp;a/consulting/</t>
        </is>
      </c>
      <c r="J91" s="10" t="inlineStr">
        <is>
          <t>https://dym.asia/services/m&amp;a/consulting/</t>
        </is>
      </c>
      <c r="K91" s="47" t="n"/>
      <c r="L91" s="47" t="n"/>
    </row>
    <row r="92" ht="15.75" customHeight="1" s="185">
      <c r="A92" s="52">
        <f>row()-1</f>
        <v/>
      </c>
      <c r="B92" s="46" t="e">
        <v>#N/A</v>
      </c>
      <c r="C92" s="10" t="inlineStr">
        <is>
          <t>https://dym.asia/media/new-graduation-introduction-commission/</t>
        </is>
      </c>
      <c r="D92" s="14" t="n"/>
      <c r="E92" s="14" t="n"/>
      <c r="F92" s="47" t="n"/>
      <c r="G92" s="47" t="n"/>
      <c r="H92" s="47" t="n"/>
      <c r="I92" s="47" t="inlineStr">
        <is>
          <t>404ページ</t>
        </is>
      </c>
      <c r="J92" s="47" t="n"/>
      <c r="K92" s="47" t="n"/>
      <c r="L92" s="47" t="n">
        <v>404</v>
      </c>
    </row>
    <row r="93" ht="15.75" customHeight="1" s="185">
      <c r="A93" s="52">
        <f>row()-1</f>
        <v/>
      </c>
      <c r="B93" s="46" t="inlineStr">
        <is>
          <t>求人広告代理店とは｜メリットと選び方を解説</t>
        </is>
      </c>
      <c r="C93" s="10" t="inlineStr">
        <is>
          <t>https://dym.asia/media/recruitment-advertisement-agent/</t>
        </is>
      </c>
      <c r="D93" s="12" t="inlineStr">
        <is>
          <t>2024.11.18</t>
        </is>
      </c>
      <c r="E93" s="12" t="inlineStr">
        <is>
          <t>2024.12.19</t>
        </is>
      </c>
      <c r="F93" s="47" t="inlineStr">
        <is>
          <t>法人</t>
        </is>
      </c>
      <c r="G93" s="47" t="inlineStr">
        <is>
          <t>HR Tech</t>
        </is>
      </c>
      <c r="H93" s="47" t="n"/>
      <c r="I93" s="10" t="inlineStr">
        <is>
          <t>https://dym.asia/services/hr-tech/indeed/</t>
        </is>
      </c>
      <c r="J93" s="10" t="inlineStr">
        <is>
          <t>https://dym.asia/services/hr-tech/indeed/</t>
        </is>
      </c>
      <c r="K93" s="47" t="n"/>
      <c r="L93" s="47" t="n"/>
    </row>
    <row r="94" ht="15.75" customHeight="1" s="185">
      <c r="A94" s="52">
        <f>row()-1</f>
        <v/>
      </c>
      <c r="B94" s="46" t="inlineStr">
        <is>
          <t>リダイレクトとは？種類、警告、リダイレクトの設定方法</t>
        </is>
      </c>
      <c r="C94" s="10" t="inlineStr">
        <is>
          <t>https://dym.asia/media/redirect/</t>
        </is>
      </c>
      <c r="D94" s="12" t="inlineStr">
        <is>
          <t>2024.11.18</t>
        </is>
      </c>
      <c r="E94" s="12" t="inlineStr">
        <is>
          <t>2024.12.10</t>
        </is>
      </c>
      <c r="F94" s="47" t="inlineStr">
        <is>
          <t>法人</t>
        </is>
      </c>
      <c r="G94" s="47" t="inlineStr">
        <is>
          <t>WEB</t>
        </is>
      </c>
      <c r="H94" s="47" t="n"/>
      <c r="I94" s="10" t="inlineStr">
        <is>
          <t>https://dym.asia/services/web-promotion/seo/</t>
        </is>
      </c>
      <c r="J94" s="10" t="inlineStr">
        <is>
          <t>https://dym.asia/services/web-promotion/seo/</t>
        </is>
      </c>
      <c r="K94" s="47" t="n"/>
      <c r="L94" s="47" t="n"/>
    </row>
    <row r="95" ht="15.75" customHeight="1" s="185">
      <c r="A95" s="52">
        <f>row()-1</f>
        <v/>
      </c>
      <c r="B95" s="46" t="inlineStr">
        <is>
          <t>源泉徴収票の見方を徹底解説！確認すべきポイントと活用方法</t>
        </is>
      </c>
      <c r="C95" s="10" t="inlineStr">
        <is>
          <t>https://dym.asia/media/withholding-tax-slip/</t>
        </is>
      </c>
      <c r="D95" s="12" t="inlineStr">
        <is>
          <t>2024.11.22</t>
        </is>
      </c>
      <c r="E95" s="12" t="inlineStr">
        <is>
          <t>2024.12.10</t>
        </is>
      </c>
      <c r="F95" s="47" t="inlineStr">
        <is>
          <t>法人</t>
        </is>
      </c>
      <c r="G95" s="47" t="inlineStr">
        <is>
          <t>人材</t>
        </is>
      </c>
      <c r="H95" s="47" t="n"/>
      <c r="I95" s="10" t="inlineStr">
        <is>
          <t>https://dym.asia/services/</t>
        </is>
      </c>
      <c r="J95" s="6" t="inlineStr">
        <is>
          <t>https://dym.asia/services/new-graduates/new-graduate-recruitment/</t>
        </is>
      </c>
      <c r="K95" s="47" t="n"/>
      <c r="L95" s="47" t="n"/>
    </row>
    <row r="96" ht="15.75" customHeight="1" s="185">
      <c r="A96" s="52">
        <f>row()-1</f>
        <v/>
      </c>
      <c r="B96" s="46" t="inlineStr">
        <is>
          <t>顧問バンクとは？マッチングサービスの概要やメリット・料金まで紹介</t>
        </is>
      </c>
      <c r="C96" s="10" t="inlineStr">
        <is>
          <t>https://dym.asia/media/advisor-bank/</t>
        </is>
      </c>
      <c r="D96" s="12" t="inlineStr">
        <is>
          <t>2024.11.19</t>
        </is>
      </c>
      <c r="E96" s="12" t="inlineStr">
        <is>
          <t>2025.08.08</t>
        </is>
      </c>
      <c r="F96" s="47" t="inlineStr">
        <is>
          <t>法人</t>
        </is>
      </c>
      <c r="G96" s="47" t="inlineStr">
        <is>
          <t>人材</t>
        </is>
      </c>
      <c r="H96" s="47" t="n"/>
      <c r="I96" s="10" t="inlineStr">
        <is>
          <t>https://dym.asia/services/new-graduates/exe-part/</t>
        </is>
      </c>
      <c r="J96" s="6" t="inlineStr">
        <is>
          <t>https://dym.asia/services/new-graduates/exe-part/</t>
        </is>
      </c>
      <c r="K96" s="47" t="n"/>
      <c r="L96" s="47" t="n"/>
    </row>
    <row r="97" ht="15.75" customHeight="1" s="185">
      <c r="A97" s="52">
        <f>row()-1</f>
        <v/>
      </c>
      <c r="B97" s="46" t="inlineStr">
        <is>
          <t>顧問紹介サービスとは？メリット・デメリットから選び方のポイント解説</t>
        </is>
      </c>
      <c r="C97" s="10" t="inlineStr">
        <is>
          <t>https://dym.asia/media/advisor-introduction/</t>
        </is>
      </c>
      <c r="D97" s="12" t="inlineStr">
        <is>
          <t>2024.11.18</t>
        </is>
      </c>
      <c r="E97" s="12" t="inlineStr">
        <is>
          <t>2025.08.08</t>
        </is>
      </c>
      <c r="F97" s="47" t="inlineStr">
        <is>
          <t>法人</t>
        </is>
      </c>
      <c r="G97" s="47" t="inlineStr">
        <is>
          <t>人材</t>
        </is>
      </c>
      <c r="H97" s="47" t="n"/>
      <c r="I97" s="10" t="inlineStr">
        <is>
          <t>https://dym.asia/services/new-graduates/exe-part/</t>
        </is>
      </c>
      <c r="J97" s="10" t="inlineStr">
        <is>
          <t>https://dym.asia/services/new-graduates/exe-part/</t>
        </is>
      </c>
      <c r="K97" s="47" t="n"/>
      <c r="L97" s="47" t="n"/>
    </row>
    <row r="98" ht="15.75" customHeight="1" s="185">
      <c r="A98" s="52">
        <f>row()-1</f>
        <v/>
      </c>
      <c r="B98" s="46" t="inlineStr">
        <is>
          <t>コールセンターに向いている人、不向きな人の特徴を解説！</t>
        </is>
      </c>
      <c r="C98" s="10" t="inlineStr">
        <is>
          <t>https://dym.asia/media/callcenter-unsuitable/</t>
        </is>
      </c>
      <c r="D98" s="12" t="inlineStr">
        <is>
          <t>2024.11.18</t>
        </is>
      </c>
      <c r="E98" s="12" t="inlineStr">
        <is>
          <t>2024.12.19</t>
        </is>
      </c>
      <c r="F98" s="47" t="inlineStr">
        <is>
          <t>法人</t>
        </is>
      </c>
      <c r="G98" s="47" t="inlineStr">
        <is>
          <t>HR Tech</t>
        </is>
      </c>
      <c r="H98" s="47" t="n"/>
      <c r="I98" s="6" t="inlineStr">
        <is>
          <t>https://dym.asia/services/hr-tech/indeed/</t>
        </is>
      </c>
      <c r="J98" s="10" t="inlineStr">
        <is>
          <t>https://dym.asia/services/hr-tech/kyujinbox/</t>
        </is>
      </c>
      <c r="K98" s="47" t="n"/>
      <c r="L98" s="47" t="n"/>
    </row>
    <row r="99" ht="15.75" customHeight="1" s="185">
      <c r="A99" s="52">
        <f>row()-1</f>
        <v/>
      </c>
      <c r="B99" s="46" t="inlineStr">
        <is>
          <t>懲戒処分とは？種類や基準、実施の流れを詳しく解説</t>
        </is>
      </c>
      <c r="C99" s="10" t="inlineStr">
        <is>
          <t>https://dym.asia/media/disciplinary-action/</t>
        </is>
      </c>
      <c r="D99" s="12" t="inlineStr">
        <is>
          <t>2024.11.25</t>
        </is>
      </c>
      <c r="E99" s="12" t="inlineStr">
        <is>
          <t>2024.12.10</t>
        </is>
      </c>
      <c r="F99" s="47" t="inlineStr">
        <is>
          <t>法人</t>
        </is>
      </c>
      <c r="G99" s="47" t="inlineStr">
        <is>
          <t>人材</t>
        </is>
      </c>
      <c r="H99" s="47" t="n"/>
      <c r="I99" s="47" t="inlineStr">
        <is>
          <t>URLがありませんでした。</t>
        </is>
      </c>
      <c r="J99" s="10" t="inlineStr">
        <is>
          <t>https://dym.asia/services/new-graduates/</t>
        </is>
      </c>
      <c r="K99" s="47" t="n"/>
      <c r="L99" s="47" t="n"/>
    </row>
    <row r="100" ht="15.75" customHeight="1" s="185">
      <c r="A100" s="52">
        <f>row()-1</f>
        <v/>
      </c>
      <c r="B100" s="46" t="inlineStr">
        <is>
          <t>ドメインとは？メールアドレスやホームページとの関係を解説</t>
        </is>
      </c>
      <c r="C100" s="10" t="inlineStr">
        <is>
          <t>https://dym.asia/media/domain/</t>
        </is>
      </c>
      <c r="D100" s="12" t="inlineStr">
        <is>
          <t>2024.11.26</t>
        </is>
      </c>
      <c r="E100" s="12" t="inlineStr">
        <is>
          <t>2024.12.09</t>
        </is>
      </c>
      <c r="F100" s="47" t="inlineStr">
        <is>
          <t>法人</t>
        </is>
      </c>
      <c r="G100" s="47" t="inlineStr">
        <is>
          <t>WEB</t>
        </is>
      </c>
      <c r="H100" s="47" t="n"/>
      <c r="I100" s="6" t="inlineStr">
        <is>
          <t>https://dym.asia/services/web-promotion/seo/</t>
        </is>
      </c>
      <c r="J100" s="10" t="inlineStr">
        <is>
          <t>https://dym.asia/services/web-promotion/</t>
        </is>
      </c>
      <c r="K100" s="47" t="n"/>
      <c r="L100" s="47" t="n"/>
    </row>
    <row r="101" ht="15.75" customHeight="1" s="185">
      <c r="A101" s="52">
        <f>row()-1</f>
        <v/>
      </c>
      <c r="B101" s="46" t="inlineStr">
        <is>
          <t>外部顧問とは？役割と報酬相場の基礎知識</t>
        </is>
      </c>
      <c r="C101" s="6" t="inlineStr">
        <is>
          <t>https://dym.asia/media/external-advisor/</t>
        </is>
      </c>
      <c r="D101" s="12" t="inlineStr">
        <is>
          <t>2024.11.13</t>
        </is>
      </c>
      <c r="E101" s="12" t="inlineStr">
        <is>
          <t>2025.08.08</t>
        </is>
      </c>
      <c r="F101" s="47" t="inlineStr">
        <is>
          <t>法人</t>
        </is>
      </c>
      <c r="G101" s="47" t="inlineStr">
        <is>
          <t>人材</t>
        </is>
      </c>
      <c r="H101" s="47" t="n"/>
      <c r="I101" s="10" t="inlineStr">
        <is>
          <t>https://dym.asia/services/new-graduates/exe-part/</t>
        </is>
      </c>
      <c r="J101" s="10" t="inlineStr">
        <is>
          <t>https://dym.asia/services/new-graduates/exe-part/</t>
        </is>
      </c>
      <c r="K101" s="47" t="n"/>
      <c r="L101" s="47" t="n"/>
    </row>
    <row r="102" ht="15.75" customHeight="1" s="185">
      <c r="A102" s="52">
        <f>row()-1</f>
        <v/>
      </c>
      <c r="B102" s="46" t="inlineStr">
        <is>
          <t>50代の健康診断・人間ドックのポイント</t>
        </is>
      </c>
      <c r="C102" s="10" t="inlineStr">
        <is>
          <t>https://dym.asia/media/health-check-50s/</t>
        </is>
      </c>
      <c r="D102" s="12" t="inlineStr">
        <is>
          <t>2024.11.21</t>
        </is>
      </c>
      <c r="E102" s="12" t="inlineStr">
        <is>
          <t>2025.02.17</t>
        </is>
      </c>
      <c r="F102" s="47" t="inlineStr">
        <is>
          <t>法人</t>
        </is>
      </c>
      <c r="G102" s="47" t="inlineStr">
        <is>
          <t>クリニック</t>
        </is>
      </c>
      <c r="H102" s="47" t="n"/>
      <c r="I102" s="10" t="inlineStr">
        <is>
          <t>https://dym.asia/services/medicine/</t>
        </is>
      </c>
      <c r="J102" s="10" t="inlineStr">
        <is>
          <t>https://dym.asia/services/medicine/</t>
        </is>
      </c>
      <c r="K102" s="47" t="n"/>
      <c r="L102" s="47" t="n"/>
    </row>
    <row r="103" ht="15.75" customHeight="1" s="185">
      <c r="A103" s="52">
        <f>row()-1</f>
        <v/>
      </c>
      <c r="B103" s="46" t="inlineStr">
        <is>
          <t>新入社員が入社前に実施する「雇い入れ時健康診断」について｜詳細や費用などを解説</t>
        </is>
      </c>
      <c r="C103" s="10" t="inlineStr">
        <is>
          <t>https://dym.asia/media/health-checkup-upon-employment-cost/</t>
        </is>
      </c>
      <c r="D103" s="12" t="inlineStr">
        <is>
          <t>2024.11.19</t>
        </is>
      </c>
      <c r="E103" s="12" t="inlineStr">
        <is>
          <t>2025.02.14</t>
        </is>
      </c>
      <c r="F103" s="47" t="inlineStr">
        <is>
          <t>法人</t>
        </is>
      </c>
      <c r="G103" s="47" t="inlineStr">
        <is>
          <t>クリニック</t>
        </is>
      </c>
      <c r="H103" s="47" t="n"/>
      <c r="I103" s="10" t="inlineStr">
        <is>
          <t>https://dym.asia/services/medicine/</t>
        </is>
      </c>
      <c r="J103" s="10" t="inlineStr">
        <is>
          <t>https://dym.asia/services/medicine/</t>
        </is>
      </c>
      <c r="K103" s="47" t="n"/>
      <c r="L103" s="47" t="n"/>
    </row>
    <row r="104" ht="15.75" customHeight="1" s="185">
      <c r="A104" s="52">
        <f>row()-1</f>
        <v/>
      </c>
      <c r="B104" s="46" t="inlineStr">
        <is>
          <t>マネタイズとは？意味・モデル・具体例をわかりやすく解説</t>
        </is>
      </c>
      <c r="C104" s="10" t="inlineStr">
        <is>
          <t>https://dym.asia/media/monetization/</t>
        </is>
      </c>
      <c r="D104" s="12" t="inlineStr">
        <is>
          <t>2024.11.26</t>
        </is>
      </c>
      <c r="E104" s="12" t="inlineStr">
        <is>
          <t>2024.12.09</t>
        </is>
      </c>
      <c r="F104" s="47" t="inlineStr">
        <is>
          <t>法人</t>
        </is>
      </c>
      <c r="G104" s="47" t="inlineStr">
        <is>
          <t>WEB</t>
        </is>
      </c>
      <c r="H104" s="47" t="n"/>
      <c r="I104" s="10" t="inlineStr">
        <is>
          <t>https://dym.asia/services/web-promotion</t>
        </is>
      </c>
      <c r="J104" s="10" t="inlineStr">
        <is>
          <t>https://dym.asia/services/web-promotion/</t>
        </is>
      </c>
      <c r="K104" s="47" t="n"/>
      <c r="L104" s="47" t="n"/>
    </row>
    <row r="105" ht="15.75" customHeight="1" s="185">
      <c r="A105" s="52">
        <f>row()-1</f>
        <v/>
      </c>
      <c r="B105" s="46" t="inlineStr">
        <is>
          <t>新入社員研修のカリキュラムと教育の作成手法</t>
        </is>
      </c>
      <c r="C105" s="6" t="inlineStr">
        <is>
          <t>https://dym.asia/media/new-graduate-training/</t>
        </is>
      </c>
      <c r="D105" s="12" t="inlineStr">
        <is>
          <t>2024.11.12</t>
        </is>
      </c>
      <c r="E105" s="12" t="inlineStr">
        <is>
          <t>2024.12.09</t>
        </is>
      </c>
      <c r="F105" s="47" t="inlineStr">
        <is>
          <t>法人</t>
        </is>
      </c>
      <c r="G105" s="47" t="inlineStr">
        <is>
          <t>人材</t>
        </is>
      </c>
      <c r="H105" s="47" t="n"/>
      <c r="I105" s="10" t="inlineStr">
        <is>
          <t>https://dym.asia/services/new-graduates/development-training/</t>
        </is>
      </c>
      <c r="J105" s="10" t="inlineStr">
        <is>
          <t>https://dym.asia/services/new-graduates/development-training/</t>
        </is>
      </c>
      <c r="K105" s="47" t="n"/>
      <c r="L105" s="47" t="n"/>
    </row>
    <row r="106" ht="15.75" customHeight="1" s="185">
      <c r="A106" s="52">
        <f>row()-1</f>
        <v/>
      </c>
      <c r="B106" s="46" t="inlineStr">
        <is>
          <t>オフィスコンサルティングとは？メリットや注意点、利用の流れを解説</t>
        </is>
      </c>
      <c r="C106" s="10" t="inlineStr">
        <is>
          <t>https://dym.asia/media/office-consulting/</t>
        </is>
      </c>
      <c r="D106" s="12" t="inlineStr">
        <is>
          <t>2024.11.20</t>
        </is>
      </c>
      <c r="E106" s="12" t="inlineStr">
        <is>
          <t>2025.02.14</t>
        </is>
      </c>
      <c r="F106" s="47" t="inlineStr">
        <is>
          <t>法人</t>
        </is>
      </c>
      <c r="G106" s="47" t="inlineStr">
        <is>
          <t>リアルエステート</t>
        </is>
      </c>
      <c r="H106" s="47" t="n"/>
      <c r="I106" s="6" t="inlineStr">
        <is>
          <t>https://dym.asia/services/new-business/relocation/</t>
        </is>
      </c>
      <c r="J106" s="6" t="inlineStr">
        <is>
          <t>https://dym.asia/services/new-business/relocation/</t>
        </is>
      </c>
      <c r="K106" s="47" t="n"/>
      <c r="L106" s="47" t="n"/>
    </row>
    <row r="107" ht="15.75" customHeight="1" s="185">
      <c r="A107" s="52">
        <f>row()-1</f>
        <v/>
      </c>
      <c r="B107" s="46" t="inlineStr">
        <is>
          <t>RTBとは？広告の仕組みを分かりやすく解説</t>
        </is>
      </c>
      <c r="C107" s="10" t="inlineStr">
        <is>
          <t>https://dym.asia/media/rtb/</t>
        </is>
      </c>
      <c r="D107" s="12" t="inlineStr">
        <is>
          <t>2024.11.28</t>
        </is>
      </c>
      <c r="E107" s="12" t="inlineStr">
        <is>
          <t>2024.12.09</t>
        </is>
      </c>
      <c r="F107" s="47" t="inlineStr">
        <is>
          <t>法人</t>
        </is>
      </c>
      <c r="G107" s="47" t="inlineStr">
        <is>
          <t>WEB</t>
        </is>
      </c>
      <c r="H107" s="47" t="n"/>
      <c r="I107" s="6" t="inlineStr">
        <is>
          <t>https://dym.asia/services/web-promotion/</t>
        </is>
      </c>
      <c r="J107" s="6" t="inlineStr">
        <is>
          <t>https://dym.asia/services/web-promotion/</t>
        </is>
      </c>
      <c r="K107" s="47" t="n"/>
      <c r="L107" s="47" t="n"/>
    </row>
    <row r="108" ht="15.75" customHeight="1" s="185">
      <c r="A108" s="52">
        <f>row()-1</f>
        <v/>
      </c>
      <c r="B108" s="46" t="inlineStr">
        <is>
          <t>WebプロモーションとWebマーケティングの違いと効率的な手法</t>
        </is>
      </c>
      <c r="C108" s="6" t="inlineStr">
        <is>
          <t>https://dym.asia/media/web-promotion/</t>
        </is>
      </c>
      <c r="D108" s="12" t="inlineStr">
        <is>
          <t>2024.11.19</t>
        </is>
      </c>
      <c r="E108" s="12" t="inlineStr">
        <is>
          <t>2024.12.09</t>
        </is>
      </c>
      <c r="F108" s="47" t="inlineStr">
        <is>
          <t>法人</t>
        </is>
      </c>
      <c r="G108" s="47" t="inlineStr">
        <is>
          <t>WEB</t>
        </is>
      </c>
      <c r="H108" s="47" t="n"/>
      <c r="I108" s="10" t="inlineStr">
        <is>
          <t>https://dym.asia/services/web-promotion/</t>
        </is>
      </c>
      <c r="J108" s="10" t="inlineStr">
        <is>
          <t>https://dym.asia/services/web-promotion/sns-ads/</t>
        </is>
      </c>
      <c r="K108" s="47" t="n"/>
      <c r="L108" s="47" t="n"/>
    </row>
    <row r="109" ht="15.75" customHeight="1" s="185">
      <c r="A109" s="52">
        <f>row()-1</f>
        <v/>
      </c>
      <c r="B109" s="46" t="inlineStr">
        <is>
          <t>レピュテーションリスクとは？意味・対策・事例を紹介</t>
        </is>
      </c>
      <c r="C109" s="6" t="inlineStr">
        <is>
          <t>https://dym.asia/media/what-is-reputation-risk/</t>
        </is>
      </c>
      <c r="D109" s="12" t="inlineStr">
        <is>
          <t>2025.04.10</t>
        </is>
      </c>
      <c r="E109" s="12" t="inlineStr">
        <is>
          <t>2025.05.20</t>
        </is>
      </c>
      <c r="F109" s="47" t="inlineStr">
        <is>
          <t>法人</t>
        </is>
      </c>
      <c r="G109" s="47" t="inlineStr">
        <is>
          <t>WEB</t>
        </is>
      </c>
      <c r="H109" s="47" t="n"/>
      <c r="I109" s="10" t="inlineStr">
        <is>
          <t>https://dym.asia/services/web-promotion/production-operation/</t>
        </is>
      </c>
      <c r="J109" s="6" t="inlineStr">
        <is>
          <t>https://dym.asia/services/web-promotion/production-operation/</t>
        </is>
      </c>
      <c r="K109" s="47" t="n"/>
      <c r="L109" s="47" t="n"/>
    </row>
    <row r="110" ht="15.75" customHeight="1" s="185">
      <c r="A110" s="52">
        <f>row()-1</f>
        <v/>
      </c>
      <c r="B110" s="46" t="inlineStr">
        <is>
          <t>事業譲渡の概要や類語との違い、手続きや注意点を詳しく解説</t>
        </is>
      </c>
      <c r="C110" s="10" t="inlineStr">
        <is>
          <t>https://dym.asia/media/business-transfer/</t>
        </is>
      </c>
      <c r="D110" s="12" t="inlineStr">
        <is>
          <t>2024.11.14</t>
        </is>
      </c>
      <c r="E110" s="12" t="inlineStr">
        <is>
          <t>2024.12.09</t>
        </is>
      </c>
      <c r="F110" s="47" t="inlineStr">
        <is>
          <t>法人</t>
        </is>
      </c>
      <c r="G110" s="47" t="inlineStr">
        <is>
          <t>M&amp;A</t>
        </is>
      </c>
      <c r="H110" s="47" t="n"/>
      <c r="I110" s="10" t="inlineStr">
        <is>
          <t>https://dym.asia/services/m&amp;a/consulting/</t>
        </is>
      </c>
      <c r="J110" s="10" t="inlineStr">
        <is>
          <t>https://dym.asia/services/m&amp;a/consulting/</t>
        </is>
      </c>
      <c r="K110" s="47" t="n"/>
      <c r="L110" s="47" t="n"/>
    </row>
    <row r="111" ht="15.75" customHeight="1" s="185">
      <c r="A111" s="52">
        <f>row()-1</f>
        <v/>
      </c>
      <c r="B111" s="46" t="inlineStr">
        <is>
          <t>工数削減とは？アイデア・効果や具体例まで徹底解説</t>
        </is>
      </c>
      <c r="C111" s="10" t="inlineStr">
        <is>
          <t>https://dym.asia/media/labor-reduction/</t>
        </is>
      </c>
      <c r="D111" s="12" t="inlineStr">
        <is>
          <t>2025.09.04</t>
        </is>
      </c>
      <c r="E111" s="12" t="inlineStr">
        <is>
          <t>2025.09.04</t>
        </is>
      </c>
      <c r="F111" s="47" t="inlineStr">
        <is>
          <t>法人</t>
        </is>
      </c>
      <c r="G111" s="47" t="inlineStr">
        <is>
          <t>HR Tech</t>
        </is>
      </c>
      <c r="H111" s="47" t="n"/>
      <c r="I111" s="10" t="inlineStr">
        <is>
          <t>https://dym.asia/services/hr-tech/office-work-outsourcing/</t>
        </is>
      </c>
      <c r="J111" s="10" t="inlineStr">
        <is>
          <t>https://dym.asia/services/hr-tech/rakusai/</t>
        </is>
      </c>
      <c r="K111" s="47" t="n"/>
      <c r="L111" s="47" t="n"/>
    </row>
    <row r="112" ht="15.75" customHeight="1" s="185">
      <c r="A112" s="52">
        <f>row()-1</f>
        <v/>
      </c>
      <c r="B112" s="46" t="inlineStr">
        <is>
          <t>LINE公式アカウント（LINEビジネスアカウント）とは？主な機能や料金プランも解説</t>
        </is>
      </c>
      <c r="C112" s="10" t="inlineStr">
        <is>
          <t>https://dym.asia/media/line-business-fee/</t>
        </is>
      </c>
      <c r="D112" s="12" t="inlineStr">
        <is>
          <t>2025.08.22</t>
        </is>
      </c>
      <c r="E112" s="12" t="inlineStr">
        <is>
          <t>2025.08.22</t>
        </is>
      </c>
      <c r="F112" s="47" t="inlineStr">
        <is>
          <t>法人</t>
        </is>
      </c>
      <c r="G112" s="47" t="inlineStr">
        <is>
          <t>WEB</t>
        </is>
      </c>
      <c r="H112" s="47" t="n"/>
      <c r="I112" s="10" t="inlineStr">
        <is>
          <t>https://dym.asia/services/web-promotion/line-official-account/</t>
        </is>
      </c>
      <c r="J112" s="10" t="inlineStr">
        <is>
          <t>https://dym.asia/services/web-promotion/line-official-account/</t>
        </is>
      </c>
      <c r="K112" s="47" t="n"/>
      <c r="L112" s="47" t="n"/>
    </row>
    <row r="113" ht="15.75" customHeight="1" s="185">
      <c r="A113" s="52">
        <f>row()-1</f>
        <v/>
      </c>
      <c r="B113" s="46" t="inlineStr">
        <is>
          <t>ポテンシャルとは？高い人の特徴や採用時のメリット・デメリットを解説</t>
        </is>
      </c>
      <c r="C113" s="10" t="inlineStr">
        <is>
          <t>https://dym.asia/media/potential/</t>
        </is>
      </c>
      <c r="D113" s="12" t="inlineStr">
        <is>
          <t>2024.11.22</t>
        </is>
      </c>
      <c r="E113" s="12" t="inlineStr">
        <is>
          <t>2024.12.10</t>
        </is>
      </c>
      <c r="F113" s="47" t="inlineStr">
        <is>
          <t>法人</t>
        </is>
      </c>
      <c r="G113" s="47" t="inlineStr">
        <is>
          <t>人材</t>
        </is>
      </c>
      <c r="H113" s="47" t="n"/>
      <c r="I113" s="6" t="inlineStr">
        <is>
          <t>https://dym.asia/services/new-graduates/</t>
        </is>
      </c>
      <c r="J113" s="6" t="inlineStr">
        <is>
          <t>https://dym.asia/services/new-graduates/Former-graduate/</t>
        </is>
      </c>
      <c r="K113" s="47" t="n"/>
      <c r="L113" s="47" t="n"/>
    </row>
    <row r="114" ht="15.75" customHeight="1" s="185">
      <c r="A114" s="52">
        <f>row()-1</f>
        <v/>
      </c>
      <c r="B114" s="46" t="inlineStr">
        <is>
          <t>採用通知書とは？内定通知書との違い、書き方や郵送方法も解説</t>
        </is>
      </c>
      <c r="C114" s="6" t="inlineStr">
        <is>
          <t>https://dym.asia/media/recruitment-letter/</t>
        </is>
      </c>
      <c r="D114" s="12" t="inlineStr">
        <is>
          <t>2024.11.26</t>
        </is>
      </c>
      <c r="E114" s="12" t="inlineStr">
        <is>
          <t>2024.12.10</t>
        </is>
      </c>
      <c r="F114" s="47" t="inlineStr">
        <is>
          <t>法人</t>
        </is>
      </c>
      <c r="G114" s="47" t="inlineStr">
        <is>
          <t>人材</t>
        </is>
      </c>
      <c r="H114" s="47" t="n"/>
      <c r="I114" s="6" t="inlineStr">
        <is>
          <t>https://dym.asia/services/new-graduates/new-graduate-recruitment/</t>
        </is>
      </c>
      <c r="J114" s="10" t="inlineStr">
        <is>
          <t>https://dym.asia/services/new-graduates/new-graduate-recruitment/</t>
        </is>
      </c>
      <c r="K114" s="47" t="n"/>
      <c r="L114" s="47" t="n"/>
    </row>
    <row r="115" ht="15.75" customHeight="1" s="185">
      <c r="A115" s="52">
        <f>row()-1</f>
        <v/>
      </c>
      <c r="B115" s="46" t="inlineStr">
        <is>
          <t>検索エンジンとは？特徴と種類の違い</t>
        </is>
      </c>
      <c r="C115" s="10" t="inlineStr">
        <is>
          <t>https://dym.asia/media/search-engine/</t>
        </is>
      </c>
      <c r="D115" s="12" t="inlineStr">
        <is>
          <t>2024.11.19</t>
        </is>
      </c>
      <c r="E115" s="12" t="inlineStr">
        <is>
          <t>2024.12.09</t>
        </is>
      </c>
      <c r="F115" s="47" t="inlineStr">
        <is>
          <t>法人</t>
        </is>
      </c>
      <c r="G115" s="47" t="inlineStr">
        <is>
          <t>WEB</t>
        </is>
      </c>
      <c r="H115" s="47" t="n"/>
      <c r="I115" s="6" t="inlineStr">
        <is>
          <t>https://dym.asia/services/web-promotion/listing/</t>
        </is>
      </c>
      <c r="J115" s="6" t="inlineStr">
        <is>
          <t>https://dym.asia/services/web-promotion/seo/</t>
        </is>
      </c>
      <c r="K115" s="47" t="n"/>
      <c r="L115" s="47" t="n"/>
    </row>
    <row r="116" ht="15.75" customHeight="1" s="185">
      <c r="A116" s="52">
        <f>row()-1</f>
        <v/>
      </c>
      <c r="B116" s="46" t="inlineStr">
        <is>
          <t>503エラーの原因と対処！必ず知っておくべきサーバーの話</t>
        </is>
      </c>
      <c r="C116" s="6" t="inlineStr">
        <is>
          <t>https://dym.asia/media/503erorr/</t>
        </is>
      </c>
      <c r="D116" s="12" t="inlineStr">
        <is>
          <t>2024.11.26</t>
        </is>
      </c>
      <c r="E116" s="12" t="inlineStr">
        <is>
          <t>2024.12.09</t>
        </is>
      </c>
      <c r="F116" s="47" t="inlineStr">
        <is>
          <t>法人</t>
        </is>
      </c>
      <c r="G116" s="47" t="inlineStr">
        <is>
          <t>WEB</t>
        </is>
      </c>
      <c r="H116" s="47" t="n"/>
      <c r="I116" s="6" t="inlineStr">
        <is>
          <t>https://dym.asia/services/web-promotion/production-operation/</t>
        </is>
      </c>
      <c r="J116" s="6" t="inlineStr">
        <is>
          <t>https://dym.asia/services/web-promotion/production-operation/</t>
        </is>
      </c>
      <c r="K116" s="47" t="n"/>
      <c r="L116" s="47" t="n"/>
    </row>
    <row r="117" ht="15.75" customHeight="1" s="185">
      <c r="A117" s="52">
        <f>row()-1</f>
        <v/>
      </c>
      <c r="B117" s="46" t="inlineStr">
        <is>
          <t>経営顧問とは？役割・選び方とその効果</t>
        </is>
      </c>
      <c r="C117" s="6" t="inlineStr">
        <is>
          <t>https://dym.asia/media/administration-advisor/</t>
        </is>
      </c>
      <c r="D117" s="12" t="inlineStr">
        <is>
          <t>2024.11.13</t>
        </is>
      </c>
      <c r="E117" s="12" t="inlineStr">
        <is>
          <t>2025.08.08</t>
        </is>
      </c>
      <c r="F117" s="47" t="inlineStr">
        <is>
          <t>法人</t>
        </is>
      </c>
      <c r="G117" s="47" t="inlineStr">
        <is>
          <t>人材</t>
        </is>
      </c>
      <c r="H117" s="47" t="n"/>
      <c r="I117" s="6" t="inlineStr">
        <is>
          <t>https://dym.asia/services/new-graduates/exe-part/</t>
        </is>
      </c>
      <c r="J117" s="6" t="inlineStr">
        <is>
          <t>https://dym.asia/media/administration-advisor/</t>
        </is>
      </c>
      <c r="K117" s="47" t="n"/>
      <c r="L117" s="47" t="n"/>
    </row>
    <row r="118" ht="15.75" customHeight="1" s="185">
      <c r="A118" s="52">
        <f>row()-1</f>
        <v/>
      </c>
      <c r="B118" s="46" t="inlineStr">
        <is>
          <t>Ahrefs（エイチレフス）とは？特徴や使い方を解説</t>
        </is>
      </c>
      <c r="C118" s="6" t="inlineStr">
        <is>
          <t>https://dym.asia/media/ahrefs/</t>
        </is>
      </c>
      <c r="D118" s="12" t="inlineStr">
        <is>
          <t>2024.11.15</t>
        </is>
      </c>
      <c r="E118" s="12" t="inlineStr">
        <is>
          <t>2024.12.09</t>
        </is>
      </c>
      <c r="F118" s="47" t="inlineStr">
        <is>
          <t>法人</t>
        </is>
      </c>
      <c r="G118" s="47" t="inlineStr">
        <is>
          <t>WEB</t>
        </is>
      </c>
      <c r="H118" s="47" t="n"/>
      <c r="I118" s="10" t="inlineStr">
        <is>
          <t>https://dym.asia/services/web-promotion/</t>
        </is>
      </c>
      <c r="J118" s="6" t="inlineStr">
        <is>
          <t>https://dym.asia/services/web-promotion/</t>
        </is>
      </c>
      <c r="K118" s="47" t="n"/>
      <c r="L118" s="47" t="n"/>
    </row>
    <row r="119" ht="15.75" customHeight="1" s="185">
      <c r="A119" s="52">
        <f>row()-1</f>
        <v/>
      </c>
      <c r="B119" s="46" t="inlineStr">
        <is>
          <t>5W1Hとは？意味や読み方、ビジネスでの使い方を簡単に解説</t>
        </is>
      </c>
      <c r="C119" s="6" t="inlineStr">
        <is>
          <t>https://dym.asia/media/business-5w1h/</t>
        </is>
      </c>
      <c r="D119" s="12" t="inlineStr">
        <is>
          <t>2024.11.22</t>
        </is>
      </c>
      <c r="E119" s="12" t="inlineStr">
        <is>
          <t>2024.12.09</t>
        </is>
      </c>
      <c r="F119" s="47" t="inlineStr">
        <is>
          <t>法人</t>
        </is>
      </c>
      <c r="G119" s="47" t="inlineStr">
        <is>
          <t>人材</t>
        </is>
      </c>
      <c r="H119" s="47" t="n"/>
      <c r="I119" s="6" t="inlineStr">
        <is>
          <t>https://dym.asia/services/new-graduates/development-training/</t>
        </is>
      </c>
      <c r="J119" s="6" t="inlineStr">
        <is>
          <t>https://dym.asia/services/new-graduates/development-training/</t>
        </is>
      </c>
      <c r="K119" s="47" t="n"/>
      <c r="L119" s="47" t="n"/>
    </row>
    <row r="120" ht="15.75" customHeight="1" s="185">
      <c r="A120" s="52">
        <f>row()-1</f>
        <v/>
      </c>
      <c r="B120" s="46" t="inlineStr">
        <is>
          <t>コールセンター資格の必要性と役立つスキル、おすすめ検定</t>
        </is>
      </c>
      <c r="C120" s="6" t="inlineStr">
        <is>
          <t>https://dym.asia/media/callcenter-qualification/</t>
        </is>
      </c>
      <c r="D120" s="12" t="inlineStr">
        <is>
          <t>2024.11.18</t>
        </is>
      </c>
      <c r="E120" s="12" t="inlineStr">
        <is>
          <t>2024.12.19</t>
        </is>
      </c>
      <c r="F120" s="47" t="inlineStr">
        <is>
          <t>法人</t>
        </is>
      </c>
      <c r="G120" s="47" t="inlineStr">
        <is>
          <t>HR Tech</t>
        </is>
      </c>
      <c r="H120" s="47" t="n"/>
      <c r="I120" s="10" t="inlineStr">
        <is>
          <t>https://dym.asia/services/hr-tech/call-center/</t>
        </is>
      </c>
      <c r="J120" s="10" t="inlineStr">
        <is>
          <t>https://dym.asia/services/hr-tech/call-center/</t>
        </is>
      </c>
      <c r="K120" s="47" t="n"/>
      <c r="L120" s="47" t="n"/>
    </row>
    <row r="121" ht="15.75" customHeight="1" s="185">
      <c r="A121" s="52">
        <f>row()-1</f>
        <v/>
      </c>
      <c r="B121" s="46" t="inlineStr">
        <is>
          <t>Cookieとは？初心者向けに分かりやすく解説</t>
        </is>
      </c>
      <c r="C121" s="6" t="inlineStr">
        <is>
          <t>https://dym.asia/media/cookie/</t>
        </is>
      </c>
      <c r="D121" s="12" t="inlineStr">
        <is>
          <t>2025.04.09</t>
        </is>
      </c>
      <c r="E121" s="12" t="inlineStr">
        <is>
          <t>2025.05.20</t>
        </is>
      </c>
      <c r="F121" s="47" t="inlineStr">
        <is>
          <t>法人</t>
        </is>
      </c>
      <c r="G121" s="47" t="inlineStr">
        <is>
          <t>WEB</t>
        </is>
      </c>
      <c r="H121" s="47" t="n"/>
      <c r="I121" s="6" t="inlineStr">
        <is>
          <t>https://dym.asia/services/web-promotion/production-operation/</t>
        </is>
      </c>
      <c r="J121" s="10" t="inlineStr">
        <is>
          <t>https://dym.asia/services/web-promotion/production-operation/</t>
        </is>
      </c>
      <c r="K121" s="47" t="n"/>
      <c r="L121" s="47" t="n"/>
    </row>
    <row r="122" ht="15" customHeight="1" s="185">
      <c r="A122" s="52">
        <f>row()-1</f>
        <v/>
      </c>
      <c r="B122" s="46" t="inlineStr">
        <is>
          <t>ダンスチームのスポンサー｜重要性やメリット、契約の流れを解説</t>
        </is>
      </c>
      <c r="C122" s="10" t="inlineStr">
        <is>
          <t>https://dym.asia/media/dance-sponsor/</t>
        </is>
      </c>
      <c r="D122" s="12" t="inlineStr">
        <is>
          <t>2024.11.28</t>
        </is>
      </c>
      <c r="E122" s="12" t="inlineStr">
        <is>
          <t>2024.12.16</t>
        </is>
      </c>
      <c r="F122" s="47" t="inlineStr">
        <is>
          <t>法人</t>
        </is>
      </c>
      <c r="G122" s="47" t="inlineStr">
        <is>
          <t>Dリーグ</t>
        </is>
      </c>
      <c r="H122" s="47" t="n"/>
      <c r="I122" s="10" t="inlineStr">
        <is>
          <t>https://dym.asia/services/sports/</t>
        </is>
      </c>
      <c r="J122" s="10" t="inlineStr">
        <is>
          <t>https://dym.asia/services/sports/</t>
        </is>
      </c>
      <c r="K122" s="47" t="n"/>
      <c r="L122" s="47" t="n"/>
    </row>
    <row r="123" ht="15.75" customHeight="1" s="185">
      <c r="A123" s="52">
        <f>row()-1</f>
        <v/>
      </c>
      <c r="B123" s="46" t="inlineStr">
        <is>
          <t>ドメインパワーとは？チェックする方法や目安、上げ方を解説</t>
        </is>
      </c>
      <c r="C123" s="6" t="inlineStr">
        <is>
          <t>https://dym.asia/media/domain-power/</t>
        </is>
      </c>
      <c r="D123" s="12" t="inlineStr">
        <is>
          <t>2024.10.18</t>
        </is>
      </c>
      <c r="E123" s="12" t="inlineStr">
        <is>
          <t>2024.11.06</t>
        </is>
      </c>
      <c r="F123" s="47" t="inlineStr">
        <is>
          <t>法人</t>
        </is>
      </c>
      <c r="G123" s="47" t="inlineStr">
        <is>
          <t>WEB</t>
        </is>
      </c>
      <c r="H123" s="47" t="n"/>
      <c r="I123" s="10" t="inlineStr">
        <is>
          <t>https://dym.asia/services/web-promotion/seo/</t>
        </is>
      </c>
      <c r="J123" s="6" t="inlineStr">
        <is>
          <t>https://dym.asia/services/web-promotion/production-operation/</t>
        </is>
      </c>
      <c r="K123" s="47" t="n"/>
      <c r="L123" s="47" t="n"/>
    </row>
    <row r="124" ht="15.75" customHeight="1" s="185">
      <c r="A124" s="52">
        <f>row()-1</f>
        <v/>
      </c>
      <c r="B124" s="46" t="inlineStr">
        <is>
          <t>毛穴、ニキビ跡に効果、エリシスセンスとは</t>
        </is>
      </c>
      <c r="C124" s="10" t="inlineStr">
        <is>
          <t>https://dym.asia/media/elysian-essence/</t>
        </is>
      </c>
      <c r="D124" s="12" t="inlineStr">
        <is>
          <t>2024.11.20</t>
        </is>
      </c>
      <c r="E124" s="12" t="inlineStr">
        <is>
          <t>2025.03.06</t>
        </is>
      </c>
      <c r="F124" s="47" t="inlineStr">
        <is>
          <t>法人</t>
        </is>
      </c>
      <c r="G124" s="47" t="inlineStr">
        <is>
          <t>クリニック</t>
        </is>
      </c>
      <c r="H124" s="47" t="n"/>
      <c r="I124" s="6" t="inlineStr">
        <is>
          <t>https://dym.asia/services/medicine/</t>
        </is>
      </c>
      <c r="J124" s="6" t="inlineStr">
        <is>
          <t>https://dym.asia/services/medicine/</t>
        </is>
      </c>
      <c r="K124" s="47" t="n"/>
      <c r="L124" s="47" t="n"/>
    </row>
    <row r="125" ht="15.75" customHeight="1" s="185">
      <c r="A125" s="52">
        <f>row()-1</f>
        <v/>
      </c>
      <c r="B125" s="46" t="inlineStr">
        <is>
          <t>Google広告費用の課金方式や相場は？予算の決め方やコストを抑えるコツも解説</t>
        </is>
      </c>
      <c r="C125" s="6" t="inlineStr">
        <is>
          <t>https://dym.asia/media/google-ads-cost/</t>
        </is>
      </c>
      <c r="D125" s="12" t="inlineStr">
        <is>
          <t>2024.11.19</t>
        </is>
      </c>
      <c r="E125" s="12" t="inlineStr">
        <is>
          <t>2024.12.09</t>
        </is>
      </c>
      <c r="F125" s="47" t="inlineStr">
        <is>
          <t>法人</t>
        </is>
      </c>
      <c r="G125" s="47" t="inlineStr">
        <is>
          <t>WEB</t>
        </is>
      </c>
      <c r="H125" s="47" t="n"/>
      <c r="I125" s="6" t="inlineStr">
        <is>
          <t>https://dym.asia/services/web-promotion/listing/</t>
        </is>
      </c>
      <c r="J125" s="6" t="inlineStr">
        <is>
          <t>https://dym.asia/services/web-promotion/listing/</t>
        </is>
      </c>
      <c r="K125" s="47" t="n"/>
      <c r="L125" s="47" t="n"/>
    </row>
    <row r="126" ht="15.75" customHeight="1" s="185">
      <c r="A126" s="52">
        <f>row()-1</f>
        <v/>
      </c>
      <c r="B126" s="46" t="inlineStr">
        <is>
          <t>検索結果ページとは？Googleの仕組みを解説</t>
        </is>
      </c>
      <c r="C126" s="6" t="inlineStr">
        <is>
          <t>https://dym.asia/media/google-search-about/</t>
        </is>
      </c>
      <c r="D126" s="12" t="inlineStr">
        <is>
          <t>2024.11.15</t>
        </is>
      </c>
      <c r="E126" s="12" t="inlineStr">
        <is>
          <t>2024.12.09</t>
        </is>
      </c>
      <c r="F126" s="47" t="inlineStr">
        <is>
          <t>法人</t>
        </is>
      </c>
      <c r="G126" s="47" t="inlineStr">
        <is>
          <t>WEB</t>
        </is>
      </c>
      <c r="H126" s="47" t="n"/>
      <c r="I126" s="10" t="inlineStr">
        <is>
          <t>https://dym.asia/services/web-promotion/seo/</t>
        </is>
      </c>
      <c r="J126" s="10" t="inlineStr">
        <is>
          <t>https://dym.asia/services/web-promotion/seo/</t>
        </is>
      </c>
      <c r="K126" s="47" t="n"/>
      <c r="L126" s="47" t="n"/>
    </row>
    <row r="127" ht="15.75" customHeight="1" s="185">
      <c r="A127" s="52">
        <f>row()-1</f>
        <v/>
      </c>
      <c r="B127" s="46" t="inlineStr">
        <is>
          <t>アイスブレイクの効果的な活用法と実践例20選</t>
        </is>
      </c>
      <c r="C127" s="6" t="inlineStr">
        <is>
          <t>https://dym.asia/media/ice-break/</t>
        </is>
      </c>
      <c r="D127" s="12" t="inlineStr">
        <is>
          <t>2024.11.22</t>
        </is>
      </c>
      <c r="E127" s="12" t="inlineStr">
        <is>
          <t>2024.12.10</t>
        </is>
      </c>
      <c r="F127" s="47" t="inlineStr">
        <is>
          <t>法人</t>
        </is>
      </c>
      <c r="G127" s="47" t="inlineStr">
        <is>
          <t>人材</t>
        </is>
      </c>
      <c r="H127" s="47" t="n"/>
      <c r="I127" s="6" t="inlineStr">
        <is>
          <t>https://dym.asia/services/new-graduates/development-training/</t>
        </is>
      </c>
      <c r="J127" s="10" t="inlineStr">
        <is>
          <t>https://dym.asia/services/new-graduates/development-training/</t>
        </is>
      </c>
      <c r="K127" s="47" t="n"/>
      <c r="L127" s="47" t="n"/>
    </row>
    <row r="128" ht="15.75" customHeight="1" s="185">
      <c r="A128" s="52">
        <f>row()-1</f>
        <v/>
      </c>
      <c r="B128" s="46" t="inlineStr">
        <is>
          <t>Indeed（インディード）運用の費用やコツ、運用代行会社の選び方を解説</t>
        </is>
      </c>
      <c r="C128" s="6" t="inlineStr">
        <is>
          <t>https://dym.asia/media/indeed_operation/</t>
        </is>
      </c>
      <c r="D128" s="12" t="inlineStr">
        <is>
          <t>2024.05.30</t>
        </is>
      </c>
      <c r="E128" s="12" t="inlineStr">
        <is>
          <t>2024.06.18</t>
        </is>
      </c>
      <c r="F128" s="47" t="inlineStr">
        <is>
          <t>法人</t>
        </is>
      </c>
      <c r="G128" s="47" t="inlineStr">
        <is>
          <t>HR Tech</t>
        </is>
      </c>
      <c r="H128" s="47" t="n"/>
      <c r="I128" s="10" t="inlineStr">
        <is>
          <t>https://dym.asia/services/hr-tech/indeed/</t>
        </is>
      </c>
      <c r="J128" s="10" t="inlineStr">
        <is>
          <t>https://dym.asia/services/hr-tech/indeed/</t>
        </is>
      </c>
      <c r="K128" s="47" t="n"/>
      <c r="L128" s="47" t="n"/>
    </row>
    <row r="129" ht="15.75" customHeight="1" s="185">
      <c r="A129" s="52">
        <f>row()-1</f>
        <v/>
      </c>
      <c r="B129" s="46" t="inlineStr">
        <is>
          <t>属人化（ぞくじんか）とは？メリットやデメリット、解消方法まで完全解説</t>
        </is>
      </c>
      <c r="C129" s="6" t="inlineStr">
        <is>
          <t>https://dym.asia/media/individual-efforts/</t>
        </is>
      </c>
      <c r="D129" s="12" t="inlineStr">
        <is>
          <t>2024.11.25</t>
        </is>
      </c>
      <c r="E129" s="12" t="inlineStr">
        <is>
          <t>2024.12.10</t>
        </is>
      </c>
      <c r="F129" s="47" t="inlineStr">
        <is>
          <t>法人</t>
        </is>
      </c>
      <c r="G129" s="47" t="inlineStr">
        <is>
          <t>人材</t>
        </is>
      </c>
      <c r="H129" s="47" t="n"/>
      <c r="I129" s="10" t="inlineStr">
        <is>
          <t>https://dym.asia/services/new-graduates/</t>
        </is>
      </c>
      <c r="J129" s="6" t="inlineStr">
        <is>
          <t>https://dym.asia/services/new-graduates/Former-graduate/</t>
        </is>
      </c>
      <c r="K129" s="47" t="n"/>
      <c r="L129" s="47" t="n"/>
    </row>
    <row r="130" ht="15.75" customHeight="1" s="185">
      <c r="A130" s="52">
        <f>row()-1</f>
        <v/>
      </c>
      <c r="B130" s="46" t="inlineStr">
        <is>
          <t>出向とは？意味や目的、種類、メリットを徹底解説</t>
        </is>
      </c>
      <c r="C130" s="10" t="inlineStr">
        <is>
          <t>https://dym.asia/media/job-assignment-system/</t>
        </is>
      </c>
      <c r="D130" s="12" t="inlineStr">
        <is>
          <t>2024.11.25</t>
        </is>
      </c>
      <c r="E130" s="12" t="inlineStr">
        <is>
          <t>2024.12.10</t>
        </is>
      </c>
      <c r="F130" s="47" t="inlineStr">
        <is>
          <t>法人</t>
        </is>
      </c>
      <c r="G130" s="47" t="inlineStr">
        <is>
          <t>人材</t>
        </is>
      </c>
      <c r="H130" s="47" t="n"/>
      <c r="I130" s="10" t="inlineStr">
        <is>
          <t>https://dym.asia/services/new-graduates/</t>
        </is>
      </c>
      <c r="J130" s="10" t="inlineStr">
        <is>
          <t>https://dym.asia/services/new-graduates/</t>
        </is>
      </c>
      <c r="K130" s="47" t="n"/>
      <c r="L130" s="47" t="n"/>
    </row>
    <row r="131" ht="15.75" customHeight="1" s="185">
      <c r="A131" s="52">
        <f>row()-1</f>
        <v/>
      </c>
      <c r="B131" s="46" t="inlineStr">
        <is>
          <t>ジョハリの窓とは？具体的なやり方や活用時の注意点を解説</t>
        </is>
      </c>
      <c r="C131" s="10" t="inlineStr">
        <is>
          <t>https://dym.asia/media/johari-window/</t>
        </is>
      </c>
      <c r="D131" s="12" t="inlineStr">
        <is>
          <t>2024.11.25</t>
        </is>
      </c>
      <c r="E131" s="12" t="inlineStr">
        <is>
          <t>2024.12.10</t>
        </is>
      </c>
      <c r="F131" s="47" t="inlineStr">
        <is>
          <t>法人</t>
        </is>
      </c>
      <c r="G131" s="47" t="inlineStr">
        <is>
          <t>人材</t>
        </is>
      </c>
      <c r="H131" s="47" t="n"/>
      <c r="I131" s="10" t="inlineStr">
        <is>
          <t>https://dym.asia/services/new-graduates/development-training/</t>
        </is>
      </c>
      <c r="J131" s="10" t="inlineStr">
        <is>
          <t>https://dym.asia/services/new-graduates/development-training/</t>
        </is>
      </c>
      <c r="K131" s="47" t="n"/>
      <c r="L131" s="47" t="n"/>
    </row>
    <row r="132" ht="15.75" customHeight="1" s="185">
      <c r="A132" s="52">
        <f>row()-1</f>
        <v/>
      </c>
      <c r="B132" s="46" t="inlineStr">
        <is>
          <t>求人ボックスとは？仕組みや掲載方法・料金、成功の5つのポイントや向いている企業の特徴</t>
        </is>
      </c>
      <c r="C132" s="6" t="inlineStr">
        <is>
          <t>https://dym.asia/media/kyujinbox/</t>
        </is>
      </c>
      <c r="D132" s="12" t="inlineStr">
        <is>
          <t>2024.05.30</t>
        </is>
      </c>
      <c r="E132" s="12" t="inlineStr">
        <is>
          <t>2024.06.14</t>
        </is>
      </c>
      <c r="F132" s="47" t="inlineStr">
        <is>
          <t>法人</t>
        </is>
      </c>
      <c r="G132" s="47" t="inlineStr">
        <is>
          <t>HR Tech</t>
        </is>
      </c>
      <c r="H132" s="47" t="n"/>
      <c r="I132" s="10" t="inlineStr">
        <is>
          <t>https://dym.asia/services/hr-tech/stanby-kyujinbox/</t>
        </is>
      </c>
      <c r="J132" s="6" t="inlineStr">
        <is>
          <t>https://dym.asia/services/hr-tech/stanby-kyujinbox/</t>
        </is>
      </c>
      <c r="K132" s="47" t="n"/>
      <c r="L132" s="47" t="n"/>
    </row>
    <row r="133" ht="15.75" customHeight="1" s="185">
      <c r="A133" s="52">
        <f>row()-1</f>
        <v/>
      </c>
      <c r="B133" s="46" t="inlineStr">
        <is>
          <t>LINE広告の費用はどのくらい？課金の仕組みや運用のポイントをご紹介！</t>
        </is>
      </c>
      <c r="C133" s="10" t="inlineStr">
        <is>
          <t>https://dym.asia/media/line-ad-cost/</t>
        </is>
      </c>
      <c r="D133" s="12" t="inlineStr">
        <is>
          <t>2024.10.15</t>
        </is>
      </c>
      <c r="E133" s="12" t="inlineStr">
        <is>
          <t>2024.10.24</t>
        </is>
      </c>
      <c r="F133" s="47" t="inlineStr">
        <is>
          <t>法人</t>
        </is>
      </c>
      <c r="G133" s="47" t="inlineStr">
        <is>
          <t>WEB</t>
        </is>
      </c>
      <c r="H133" s="47" t="n"/>
      <c r="I133" s="6" t="inlineStr">
        <is>
          <t>https://dym.asia/services/web-promotion/sns-ads/</t>
        </is>
      </c>
      <c r="J133" s="6" t="inlineStr">
        <is>
          <t>https://dym.asia/services/web-promotion/sns-ads/</t>
        </is>
      </c>
      <c r="K133" s="47" t="n"/>
      <c r="L133" s="47" t="n"/>
    </row>
    <row r="134" ht="15.75" customHeight="1" s="185">
      <c r="A134" s="52">
        <f>row()-1</f>
        <v/>
      </c>
      <c r="B134" s="46" t="inlineStr">
        <is>
          <t>新卒紹介のエージェントサービスを活用するメリットとは？特徴や選び方、活用事例を紹介</t>
        </is>
      </c>
      <c r="C134" s="6" t="inlineStr">
        <is>
          <t>https://dym.asia/media/new_graduate_introduction_agent/</t>
        </is>
      </c>
      <c r="D134" s="12" t="inlineStr">
        <is>
          <t>2024.06.17</t>
        </is>
      </c>
      <c r="E134" s="12" t="inlineStr">
        <is>
          <t>2024.06.17</t>
        </is>
      </c>
      <c r="F134" s="47" t="inlineStr">
        <is>
          <t>法人</t>
        </is>
      </c>
      <c r="G134" s="47" t="inlineStr">
        <is>
          <t>人材</t>
        </is>
      </c>
      <c r="H134" s="47" t="n"/>
      <c r="I134" s="10" t="inlineStr">
        <is>
          <t>https://dym.asia/services/new-graduates/new-graduate-recruitment/</t>
        </is>
      </c>
      <c r="J134" s="10" t="inlineStr">
        <is>
          <t>https://dym.asia/services/new-graduates/new-graduate-recruitment/</t>
        </is>
      </c>
      <c r="K134" s="47" t="n"/>
      <c r="L134" s="47" t="n"/>
    </row>
    <row r="135" ht="15.75" customHeight="1" s="185">
      <c r="A135" s="52">
        <f>row()-1</f>
        <v/>
      </c>
      <c r="B135" s="46" t="inlineStr">
        <is>
          <t>ポータルサイトとは？種類、ビジネスモデル、活用するメリットを詳しく解説</t>
        </is>
      </c>
      <c r="C135" s="6" t="inlineStr">
        <is>
          <t>https://dym.asia/media/portal-site/</t>
        </is>
      </c>
      <c r="D135" s="12" t="inlineStr">
        <is>
          <t>2024.11.27</t>
        </is>
      </c>
      <c r="E135" s="12" t="inlineStr">
        <is>
          <t>2025.02.17</t>
        </is>
      </c>
      <c r="F135" s="47" t="inlineStr">
        <is>
          <t>法人</t>
        </is>
      </c>
      <c r="G135" s="47" t="inlineStr">
        <is>
          <t>WEB</t>
        </is>
      </c>
      <c r="H135" s="47" t="n"/>
      <c r="I135" s="10" t="inlineStr">
        <is>
          <t>https://dym.asia/services/web-promotion/</t>
        </is>
      </c>
      <c r="J135" s="10" t="inlineStr">
        <is>
          <t>https://dym.asia/services/web-promotion/</t>
        </is>
      </c>
      <c r="K135" s="47" t="n"/>
      <c r="L135" s="47" t="n"/>
    </row>
    <row r="136" ht="15.75" customHeight="1" s="185">
      <c r="A136" s="52">
        <f>row()-1</f>
        <v/>
      </c>
      <c r="B136" s="46" t="inlineStr">
        <is>
          <t>ROASとは？意味や計算式・広告の費用対効果を高める方法を解説</t>
        </is>
      </c>
      <c r="C136" s="6" t="inlineStr">
        <is>
          <t>https://dym.asia/media/roas/</t>
        </is>
      </c>
      <c r="D136" s="12" t="inlineStr">
        <is>
          <t>2024.11.26</t>
        </is>
      </c>
      <c r="E136" s="12" t="inlineStr">
        <is>
          <t>2024.12.09</t>
        </is>
      </c>
      <c r="F136" s="47" t="inlineStr">
        <is>
          <t>法人</t>
        </is>
      </c>
      <c r="G136" s="47" t="inlineStr">
        <is>
          <t>WEB</t>
        </is>
      </c>
      <c r="H136" s="47" t="n"/>
      <c r="I136" s="10" t="inlineStr">
        <is>
          <t>https://dym.asia/services/web-promotion/</t>
        </is>
      </c>
      <c r="J136" s="10" t="inlineStr">
        <is>
          <t>https://dym.asia/services/web-promotion/sns-ads/</t>
        </is>
      </c>
      <c r="K136" s="47" t="n"/>
      <c r="L136" s="47" t="n"/>
    </row>
    <row r="137" ht="15.75" customHeight="1" s="185">
      <c r="A137" s="52">
        <f>row()-1</f>
        <v/>
      </c>
      <c r="B137" s="46" t="inlineStr">
        <is>
          <t>社会人研修とは？研修の基本とおすすめのプログラムについてご紹介</t>
        </is>
      </c>
      <c r="C137" s="10" t="inlineStr">
        <is>
          <t>https://dym.asia/media/society-training/</t>
        </is>
      </c>
      <c r="D137" s="12" t="inlineStr">
        <is>
          <t>2024.11.12</t>
        </is>
      </c>
      <c r="E137" s="12" t="inlineStr">
        <is>
          <t>2024.12.09</t>
        </is>
      </c>
      <c r="F137" s="47" t="inlineStr">
        <is>
          <t>法人</t>
        </is>
      </c>
      <c r="G137" s="47" t="inlineStr">
        <is>
          <t>人材</t>
        </is>
      </c>
      <c r="H137" s="47" t="n"/>
      <c r="I137" s="10" t="inlineStr">
        <is>
          <t>https://dym.asia/services/new-graduates/development-training/</t>
        </is>
      </c>
      <c r="J137" s="10" t="inlineStr">
        <is>
          <t>https://dym.asia/services/new-graduates/development-training/</t>
        </is>
      </c>
      <c r="K137" s="47" t="n"/>
      <c r="L137" s="47" t="n"/>
    </row>
    <row r="138" ht="15.75" customHeight="1" s="185">
      <c r="A138" s="52">
        <f>row()-1</f>
        <v/>
      </c>
      <c r="B138" s="46" t="inlineStr">
        <is>
          <t>ロングテールキーワードとは？SEOを意識した選び方と記事の効果的な活用法</t>
        </is>
      </c>
      <c r="C138" s="6" t="inlineStr">
        <is>
          <t>https://dym.asia/media/tail-word/</t>
        </is>
      </c>
      <c r="D138" s="12" t="inlineStr">
        <is>
          <t>2024.11.15</t>
        </is>
      </c>
      <c r="E138" s="12" t="inlineStr">
        <is>
          <t>2024.12.09</t>
        </is>
      </c>
      <c r="F138" s="47" t="inlineStr">
        <is>
          <t>法人</t>
        </is>
      </c>
      <c r="G138" s="47" t="inlineStr">
        <is>
          <t>WEB</t>
        </is>
      </c>
      <c r="H138" s="47" t="n"/>
      <c r="I138" s="10" t="inlineStr">
        <is>
          <t>https://dym.asia/services/web-promotion/seo/</t>
        </is>
      </c>
      <c r="J138" s="10" t="inlineStr">
        <is>
          <t>https://dym.asia/services/web-promotion/seo/</t>
        </is>
      </c>
      <c r="K138" s="47" t="n"/>
      <c r="L138" s="47" t="n"/>
    </row>
    <row r="139" ht="15.75" customHeight="1" s="185">
      <c r="A139" s="52">
        <f>row()-1</f>
        <v/>
      </c>
      <c r="B139" s="46" t="inlineStr">
        <is>
          <t>タレントサブスクとは？メリット・デメリット、費用相場を解説</t>
        </is>
      </c>
      <c r="C139" s="10" t="inlineStr">
        <is>
          <t>https://dym.asia/media/talent-subscription/</t>
        </is>
      </c>
      <c r="D139" s="12" t="inlineStr">
        <is>
          <t>2024.10.17</t>
        </is>
      </c>
      <c r="E139" s="12" t="inlineStr">
        <is>
          <t>2024.11.06</t>
        </is>
      </c>
      <c r="F139" s="47" t="inlineStr">
        <is>
          <t>法人</t>
        </is>
      </c>
      <c r="G139" s="47" t="inlineStr">
        <is>
          <t>WEB</t>
        </is>
      </c>
      <c r="H139" s="47" t="n"/>
      <c r="I139" s="10" t="inlineStr">
        <is>
          <t>https://dym.asia/services/web-promotion/talents-share/</t>
        </is>
      </c>
      <c r="J139" s="10" t="inlineStr">
        <is>
          <t>https://dym.asia/services/web-promotion/talents-share/</t>
        </is>
      </c>
      <c r="K139" s="47" t="n"/>
      <c r="L139" s="47" t="n"/>
    </row>
    <row r="140" ht="15.75" customHeight="1" s="185">
      <c r="A140" s="52">
        <f>row()-1</f>
        <v/>
      </c>
      <c r="B140" s="46" t="inlineStr">
        <is>
          <t>TikTok広告のターゲティング種類と仕組み一覧｜運用のポイントも解説</t>
        </is>
      </c>
      <c r="C140" s="6" t="inlineStr">
        <is>
          <t>https://dym.asia/media/tiktok-ad-target/</t>
        </is>
      </c>
      <c r="D140" s="12" t="inlineStr">
        <is>
          <t>2024.10.22</t>
        </is>
      </c>
      <c r="E140" s="12" t="inlineStr">
        <is>
          <t>2024.11.22</t>
        </is>
      </c>
      <c r="F140" s="47" t="inlineStr">
        <is>
          <t>法人</t>
        </is>
      </c>
      <c r="G140" s="47" t="inlineStr">
        <is>
          <t>WEB</t>
        </is>
      </c>
      <c r="H140" s="47" t="n"/>
      <c r="I140" s="10" t="inlineStr">
        <is>
          <t>https://dym.asia/services/web-promotion/sns-ads/</t>
        </is>
      </c>
      <c r="J140" s="10" t="inlineStr">
        <is>
          <t>https://dym.asia/services/web-promotion/sns-ads/</t>
        </is>
      </c>
      <c r="K140" s="47" t="n"/>
      <c r="L140" s="47" t="n"/>
    </row>
    <row r="141" ht="15.75" customHeight="1" s="185">
      <c r="A141" s="52">
        <f>row()-1</f>
        <v/>
      </c>
      <c r="B141" s="46" t="inlineStr">
        <is>
          <t>ホームページのバナー画像のサイズ、種類、作り方</t>
        </is>
      </c>
      <c r="C141" s="6" t="inlineStr">
        <is>
          <t>https://dym.asia/media/banner-size/</t>
        </is>
      </c>
      <c r="D141" s="12" t="inlineStr">
        <is>
          <t>2024.11.27</t>
        </is>
      </c>
      <c r="E141" s="12" t="inlineStr">
        <is>
          <t>2024.12.19</t>
        </is>
      </c>
      <c r="F141" s="47" t="inlineStr">
        <is>
          <t>法人</t>
        </is>
      </c>
      <c r="G141" s="47" t="inlineStr">
        <is>
          <t>WEB</t>
        </is>
      </c>
      <c r="H141" s="47" t="n"/>
      <c r="I141" s="10" t="inlineStr">
        <is>
          <t>https://dym.asia/services/web-promotion/</t>
        </is>
      </c>
      <c r="J141" s="10" t="inlineStr">
        <is>
          <t>https://dym.asia/services/web-promotion/</t>
        </is>
      </c>
      <c r="K141" s="47" t="n"/>
      <c r="L141" s="47" t="n"/>
    </row>
    <row r="142" ht="15.75" customHeight="1" s="185">
      <c r="A142" s="52">
        <f>row()-1</f>
        <v/>
      </c>
      <c r="B142" s="46" t="inlineStr">
        <is>
          <t>モチベーションの本質と効果的な向上策：学生と人事担当者のための完全ガイド</t>
        </is>
      </c>
      <c r="C142" s="10" t="inlineStr">
        <is>
          <t>https://dym.asia/media/business-motivation/</t>
        </is>
      </c>
      <c r="D142" s="12" t="inlineStr">
        <is>
          <t>2024.11.25</t>
        </is>
      </c>
      <c r="E142" s="12" t="inlineStr">
        <is>
          <t>2024.12.10</t>
        </is>
      </c>
      <c r="F142" s="47" t="inlineStr">
        <is>
          <t>法人</t>
        </is>
      </c>
      <c r="G142" s="47" t="inlineStr">
        <is>
          <t>人材</t>
        </is>
      </c>
      <c r="H142" s="47" t="n"/>
      <c r="I142" s="10" t="inlineStr">
        <is>
          <t>https://dym.asia/services/</t>
        </is>
      </c>
      <c r="J142" s="10" t="inlineStr">
        <is>
          <t>https://dym.asia/services/new-graduates/new-graduate-recruitment/</t>
        </is>
      </c>
      <c r="K142" s="47" t="n"/>
      <c r="L142" s="47" t="n"/>
    </row>
    <row r="143" ht="15.75" customHeight="1" s="185">
      <c r="A143" s="52">
        <f>row()-1</f>
        <v/>
      </c>
      <c r="B143" s="46" t="inlineStr">
        <is>
          <t>事業再生とは？概要や手法、企業再生との違いや成功のポイントを解説</t>
        </is>
      </c>
      <c r="C143" s="10" t="inlineStr">
        <is>
          <t>https://dym.asia/media/business_revitalization/</t>
        </is>
      </c>
      <c r="D143" s="12" t="inlineStr">
        <is>
          <t>2024.05.24</t>
        </is>
      </c>
      <c r="E143" s="12" t="inlineStr">
        <is>
          <t>2024.06.14</t>
        </is>
      </c>
      <c r="F143" s="47" t="inlineStr">
        <is>
          <t>法人</t>
        </is>
      </c>
      <c r="G143" s="47" t="inlineStr">
        <is>
          <t>M&amp;A</t>
        </is>
      </c>
      <c r="H143" s="47" t="n"/>
      <c r="I143" s="10" t="inlineStr">
        <is>
          <t>https://dym.asia/services/m&amp;a/consulting/</t>
        </is>
      </c>
      <c r="J143" s="10" t="inlineStr">
        <is>
          <t>https://dym.asia/services/m&amp;a/consulting/</t>
        </is>
      </c>
      <c r="K143" s="47" t="n"/>
      <c r="L143" s="47" t="n"/>
    </row>
    <row r="144" ht="15.75" customHeight="1" s="185">
      <c r="A144" s="52">
        <f>row()-1</f>
        <v/>
      </c>
      <c r="B144" s="46" t="inlineStr">
        <is>
          <t>コンタクトセンター・コールセンター用語集｜運営中に使用されている用語とは</t>
        </is>
      </c>
      <c r="C144" s="6" t="inlineStr">
        <is>
          <t>https://dym.asia/media/callcenter-term/</t>
        </is>
      </c>
      <c r="D144" s="12" t="inlineStr">
        <is>
          <t>2024.11.19</t>
        </is>
      </c>
      <c r="E144" s="12" t="inlineStr">
        <is>
          <t>2024.12.19</t>
        </is>
      </c>
      <c r="F144" s="47" t="inlineStr">
        <is>
          <t>法人</t>
        </is>
      </c>
      <c r="G144" s="47" t="inlineStr">
        <is>
          <t>HR Tech</t>
        </is>
      </c>
      <c r="H144" s="47" t="n"/>
      <c r="I144" s="10" t="inlineStr">
        <is>
          <t>https://dym.asia/services/hr-tech/call-center/</t>
        </is>
      </c>
      <c r="J144" s="10" t="inlineStr">
        <is>
          <t>https://dym.asia/services/hr-tech/call-center/</t>
        </is>
      </c>
      <c r="K144" s="47" t="n"/>
      <c r="L144" s="47" t="n"/>
    </row>
    <row r="145" ht="15.75" customHeight="1" s="185">
      <c r="A145" s="52">
        <f>row()-1</f>
        <v/>
      </c>
      <c r="B145" s="46" t="inlineStr">
        <is>
          <t>クリティカルシンキングとは｜意味・メリット・鍛え方</t>
        </is>
      </c>
      <c r="C145" s="10" t="inlineStr">
        <is>
          <t>https://dym.asia/media/critical-thinking/</t>
        </is>
      </c>
      <c r="D145" s="12" t="inlineStr">
        <is>
          <t>2024.11.25</t>
        </is>
      </c>
      <c r="E145" s="12" t="inlineStr">
        <is>
          <t>2024.12.10</t>
        </is>
      </c>
      <c r="F145" s="47" t="inlineStr">
        <is>
          <t>法人</t>
        </is>
      </c>
      <c r="G145" s="47" t="inlineStr">
        <is>
          <t>人材</t>
        </is>
      </c>
      <c r="H145" s="47" t="n"/>
      <c r="I145" s="10" t="inlineStr">
        <is>
          <t>https://dym.asia/services/new-graduates/new-graduate-recruitment/</t>
        </is>
      </c>
      <c r="J145" s="10" t="inlineStr">
        <is>
          <t>https://dym.asia/services/new-graduates/development-training/</t>
        </is>
      </c>
      <c r="K145" s="47" t="n"/>
      <c r="L145" s="47" t="n"/>
    </row>
    <row r="146" ht="15.75" customHeight="1" s="185">
      <c r="A146" s="52">
        <f>row()-1</f>
        <v/>
      </c>
      <c r="B146" s="46" t="inlineStr">
        <is>
          <t>DMCAとは？デジタルミレニアム著作権法の申請方法や意味を解説</t>
        </is>
      </c>
      <c r="C146" s="10" t="inlineStr">
        <is>
          <t>https://dym.asia/media/dmca/</t>
        </is>
      </c>
      <c r="D146" s="12" t="inlineStr">
        <is>
          <t>2024.11.27</t>
        </is>
      </c>
      <c r="E146" s="12" t="inlineStr">
        <is>
          <t>2024.12.09</t>
        </is>
      </c>
      <c r="F146" s="47" t="inlineStr">
        <is>
          <t>法人</t>
        </is>
      </c>
      <c r="G146" s="47" t="inlineStr">
        <is>
          <t>WEB</t>
        </is>
      </c>
      <c r="H146" s="47" t="n"/>
      <c r="I146" s="10" t="inlineStr">
        <is>
          <t>https://dym.asia/services/web-promotion/seo/</t>
        </is>
      </c>
      <c r="J146" s="10" t="inlineStr">
        <is>
          <t>https://dym.asia/services/web-promotion/seo/</t>
        </is>
      </c>
      <c r="K146" s="47" t="n"/>
      <c r="L146" s="47" t="n"/>
    </row>
    <row r="147" ht="15.75" customHeight="1" s="185">
      <c r="A147" s="52">
        <f>row()-1</f>
        <v/>
      </c>
      <c r="B147" s="46" t="inlineStr">
        <is>
          <t>フィードバックとは？効果や適切なやり方をわかりやすく解説</t>
        </is>
      </c>
      <c r="C147" s="6" t="inlineStr">
        <is>
          <t>https://dym.asia/media/feed-back/</t>
        </is>
      </c>
      <c r="D147" s="12" t="inlineStr">
        <is>
          <t>2024.11.22</t>
        </is>
      </c>
      <c r="E147" s="12" t="inlineStr">
        <is>
          <t>2024.12.09</t>
        </is>
      </c>
      <c r="F147" s="47" t="inlineStr">
        <is>
          <t>法人</t>
        </is>
      </c>
      <c r="G147" s="47" t="inlineStr">
        <is>
          <t>人材</t>
        </is>
      </c>
      <c r="H147" s="47" t="n"/>
      <c r="I147" s="10" t="inlineStr">
        <is>
          <t>https://dym.asia/services/new-graduates/development-training/</t>
        </is>
      </c>
      <c r="J147" s="6" t="inlineStr">
        <is>
          <t>https://dym.asia/services/new-graduates/development-training/</t>
        </is>
      </c>
      <c r="K147" s="47" t="n"/>
      <c r="L147" s="47" t="n"/>
    </row>
    <row r="148" ht="15.75" customHeight="1" s="185">
      <c r="A148" s="52">
        <f>row()-1</f>
        <v/>
      </c>
      <c r="B148" s="46" t="inlineStr">
        <is>
          <t>一般派遣と特定派遣の違いとは？特徴や労働者派遣法改正・廃止と現状について</t>
        </is>
      </c>
      <c r="C148" s="6" t="inlineStr">
        <is>
          <t>https://dym.asia/media/general_dispatch/</t>
        </is>
      </c>
      <c r="D148" s="12" t="inlineStr">
        <is>
          <t>2024.05.30</t>
        </is>
      </c>
      <c r="E148" s="12" t="inlineStr">
        <is>
          <t>2024.06.14</t>
        </is>
      </c>
      <c r="F148" s="47" t="inlineStr">
        <is>
          <t>法人</t>
        </is>
      </c>
      <c r="G148" s="47" t="inlineStr">
        <is>
          <t>人材</t>
        </is>
      </c>
      <c r="H148" s="47" t="n"/>
      <c r="I148" s="10" t="inlineStr">
        <is>
          <t>https://dym.asia/services/new-graduates/dym-tech/</t>
        </is>
      </c>
      <c r="J148" s="10" t="inlineStr">
        <is>
          <t>https://dym.asia/services/new-graduates/dym-tech/</t>
        </is>
      </c>
      <c r="K148" s="47" t="n"/>
      <c r="L148" s="47" t="n"/>
    </row>
    <row r="149" ht="15.75" customHeight="1" s="185">
      <c r="A149" s="52">
        <f>row()-1</f>
        <v/>
      </c>
      <c r="B149" s="46" t="inlineStr">
        <is>
          <t>ヘッドハンティングとは？引き抜きとの違い、会社に採用する流れ</t>
        </is>
      </c>
      <c r="C149" s="10" t="inlineStr">
        <is>
          <t>https://dym.asia/media/head-hunting/</t>
        </is>
      </c>
      <c r="D149" s="12" t="inlineStr">
        <is>
          <t>2024.10.28</t>
        </is>
      </c>
      <c r="E149" s="12" t="inlineStr">
        <is>
          <t>2024.11.13</t>
        </is>
      </c>
      <c r="F149" s="47" t="inlineStr">
        <is>
          <t>法人</t>
        </is>
      </c>
      <c r="G149" s="47" t="inlineStr">
        <is>
          <t>人材</t>
        </is>
      </c>
      <c r="H149" s="47" t="n"/>
      <c r="I149" s="10" t="inlineStr">
        <is>
          <t>https://dym.asia/services/new-graduates/high-class/</t>
        </is>
      </c>
      <c r="J149" s="10" t="inlineStr">
        <is>
          <t>https://dym.asia/services/new-graduates/high-class/</t>
        </is>
      </c>
      <c r="K149" s="47" t="n"/>
      <c r="L149" s="47" t="n"/>
    </row>
    <row r="150" ht="15.75" customHeight="1" s="185">
      <c r="A150" s="52">
        <f>row()-1</f>
        <v/>
      </c>
      <c r="B150" s="46" t="inlineStr">
        <is>
          <t>ホテルバイトがきついと言われる理由や仕事内容・メリットを解説</t>
        </is>
      </c>
      <c r="C150" s="6" t="inlineStr">
        <is>
          <t>https://dym.asia/media/hotel-parttime-job/</t>
        </is>
      </c>
      <c r="D150" s="12" t="inlineStr">
        <is>
          <t>2025.09.04</t>
        </is>
      </c>
      <c r="E150" s="12" t="inlineStr">
        <is>
          <t>2025.09.04</t>
        </is>
      </c>
      <c r="F150" s="47" t="inlineStr">
        <is>
          <t>法人</t>
        </is>
      </c>
      <c r="G150" s="47" t="inlineStr">
        <is>
          <t>HR Tech</t>
        </is>
      </c>
      <c r="H150" s="47" t="n"/>
      <c r="I150" s="10" t="inlineStr">
        <is>
          <t>https://dym.asia/services/hr-tech/indeed/</t>
        </is>
      </c>
      <c r="J150" s="6" t="inlineStr">
        <is>
          <t>https://dym.asia/services/hr-tech/indeed/</t>
        </is>
      </c>
      <c r="K150" s="47" t="n"/>
      <c r="L150" s="47" t="n"/>
    </row>
    <row r="151" ht="15.75" customHeight="1" s="185">
      <c r="A151" s="52">
        <f>row()-1</f>
        <v/>
      </c>
      <c r="B151" s="46" t="inlineStr">
        <is>
          <t>店舗物件の探し方！理想のテナントを探すコツを解説</t>
        </is>
      </c>
      <c r="C151" s="10" t="inlineStr">
        <is>
          <t>https://dym.asia/media/how-to-search-property/</t>
        </is>
      </c>
      <c r="D151" s="12" t="inlineStr">
        <is>
          <t>2024.11.20</t>
        </is>
      </c>
      <c r="E151" s="12" t="inlineStr">
        <is>
          <t>2025.02.14</t>
        </is>
      </c>
      <c r="F151" s="47" t="inlineStr">
        <is>
          <t>法人</t>
        </is>
      </c>
      <c r="G151" s="47" t="inlineStr">
        <is>
          <t>リアルエステート</t>
        </is>
      </c>
      <c r="H151" s="47" t="n"/>
      <c r="I151" s="6" t="inlineStr">
        <is>
          <t>https://dym.asia/services/new-business/relocation/</t>
        </is>
      </c>
      <c r="J151" s="10" t="inlineStr">
        <is>
          <t>https://dym.asia/services/new-business/relocation/</t>
        </is>
      </c>
      <c r="K151" s="47" t="n"/>
      <c r="L151" s="47" t="n"/>
    </row>
    <row r="152" ht="15.75" customHeight="1" s="185">
      <c r="A152" s="52">
        <f>row()-1</f>
        <v/>
      </c>
      <c r="B152" s="46" t="inlineStr">
        <is>
          <t>テナント（店舗物件）の探し方を完全解説！探し方のコツや注意点</t>
        </is>
      </c>
      <c r="C152" s="10" t="inlineStr">
        <is>
          <t>https://dym.asia/media/how-to-search-tenant/</t>
        </is>
      </c>
      <c r="D152" s="12" t="inlineStr">
        <is>
          <t>2024.11.20</t>
        </is>
      </c>
      <c r="E152" s="12" t="inlineStr">
        <is>
          <t>2025.02.14</t>
        </is>
      </c>
      <c r="F152" s="47" t="inlineStr">
        <is>
          <t>法人</t>
        </is>
      </c>
      <c r="G152" s="47" t="inlineStr">
        <is>
          <t>リアルエステート</t>
        </is>
      </c>
      <c r="H152" s="47" t="n"/>
      <c r="I152" s="10" t="inlineStr">
        <is>
          <t>https://dym.asia/services/new-business/relocation/</t>
        </is>
      </c>
      <c r="J152" s="10" t="inlineStr">
        <is>
          <t>https://dym.asia/services/new-business/relocation/</t>
        </is>
      </c>
      <c r="K152" s="47" t="n"/>
      <c r="L152" s="47" t="n"/>
    </row>
    <row r="153" ht="15.75" customHeight="1" s="185">
      <c r="A153" s="52">
        <f>row()-1</f>
        <v/>
      </c>
      <c r="B153" s="46" t="inlineStr">
        <is>
          <t>IT顧問サービスとは？依頼のメリットや料金</t>
        </is>
      </c>
      <c r="C153" s="6" t="inlineStr">
        <is>
          <t>https://dym.asia/media/it-advisor/</t>
        </is>
      </c>
      <c r="D153" s="12" t="inlineStr">
        <is>
          <t>2024.11.13</t>
        </is>
      </c>
      <c r="E153" s="12" t="inlineStr">
        <is>
          <t>2024.12.09</t>
        </is>
      </c>
      <c r="F153" s="47" t="inlineStr">
        <is>
          <t>法人</t>
        </is>
      </c>
      <c r="G153" s="47" t="inlineStr">
        <is>
          <t>人材</t>
        </is>
      </c>
      <c r="H153" s="47" t="n"/>
      <c r="I153" s="10" t="inlineStr">
        <is>
          <t>https://dym.asia/services/new-graduates/dym-tech/</t>
        </is>
      </c>
      <c r="J153" s="10" t="inlineStr">
        <is>
          <t>https://dym.asia/services/new-graduates/dym-tech/</t>
        </is>
      </c>
      <c r="K153" s="47" t="n"/>
      <c r="L153" s="47" t="n"/>
    </row>
    <row r="154" ht="15.75" customHeight="1" s="185">
      <c r="A154" s="52">
        <f>row()-1</f>
        <v/>
      </c>
      <c r="B154" s="46" t="inlineStr">
        <is>
          <t>求人ボックスの掲載料金は？無料・有料の違い</t>
        </is>
      </c>
      <c r="C154" s="6" t="inlineStr">
        <is>
          <t>https://dym.asia/media/kyujinbox-cost/</t>
        </is>
      </c>
      <c r="D154" s="12" t="inlineStr">
        <is>
          <t>2024.11.18</t>
        </is>
      </c>
      <c r="E154" s="12" t="inlineStr">
        <is>
          <t>2024.12.19</t>
        </is>
      </c>
      <c r="F154" s="47" t="inlineStr">
        <is>
          <t>法人</t>
        </is>
      </c>
      <c r="G154" s="47" t="inlineStr">
        <is>
          <t>HR Tech</t>
        </is>
      </c>
      <c r="H154" s="47" t="n"/>
      <c r="I154" s="10" t="inlineStr">
        <is>
          <t>https://dym.asia/services/hr-tech/stanby-kyujinbox/</t>
        </is>
      </c>
      <c r="J154" s="6" t="inlineStr">
        <is>
          <t>https://dym.asia/services/hr-tech/stanby-kyujinbox/</t>
        </is>
      </c>
      <c r="K154" s="47" t="n"/>
      <c r="L154" s="47" t="n"/>
    </row>
    <row r="155" ht="15.75" customHeight="1" s="185">
      <c r="A155" s="52">
        <f>row()-1</f>
        <v/>
      </c>
      <c r="B155" s="46" t="inlineStr">
        <is>
          <t>LGBTとは？意味やQとの関係をわかりやすく解説</t>
        </is>
      </c>
      <c r="C155" s="6" t="inlineStr">
        <is>
          <t>https://dym.asia/media/lgbt/</t>
        </is>
      </c>
      <c r="D155" s="12" t="inlineStr">
        <is>
          <t>2024.11.22</t>
        </is>
      </c>
      <c r="E155" s="12" t="inlineStr">
        <is>
          <t>2024.12.10</t>
        </is>
      </c>
      <c r="F155" s="47" t="inlineStr">
        <is>
          <t>法人</t>
        </is>
      </c>
      <c r="G155" s="47" t="inlineStr">
        <is>
          <t>人材</t>
        </is>
      </c>
      <c r="H155" s="47" t="n"/>
      <c r="I155" s="10" t="inlineStr">
        <is>
          <t>https://dym.asia/services/new-graduates/</t>
        </is>
      </c>
      <c r="J155" s="10" t="inlineStr">
        <is>
          <t>https://dym.asia/services/new-graduates/development-training/</t>
        </is>
      </c>
      <c r="K155" s="47" t="n"/>
      <c r="L155" s="47" t="n"/>
    </row>
    <row r="156" ht="15.75" customHeight="1" s="185">
      <c r="A156" s="52">
        <f>row()-1</f>
        <v/>
      </c>
      <c r="B156" s="46" t="inlineStr">
        <is>
          <t>オフィス移転のスケジュールと流れ｜成功させるポイントとは</t>
        </is>
      </c>
      <c r="C156" s="6" t="inlineStr">
        <is>
          <t>https://dym.asia/media/office-relocation-schedule/</t>
        </is>
      </c>
      <c r="D156" s="12" t="inlineStr">
        <is>
          <t>2024.11.20</t>
        </is>
      </c>
      <c r="E156" s="12" t="inlineStr">
        <is>
          <t>2025.02.14</t>
        </is>
      </c>
      <c r="F156" s="47" t="inlineStr">
        <is>
          <t>法人</t>
        </is>
      </c>
      <c r="G156" s="47" t="inlineStr">
        <is>
          <t>リアルエステート</t>
        </is>
      </c>
      <c r="H156" s="47" t="n"/>
      <c r="I156" s="10" t="inlineStr">
        <is>
          <t>https://dym.asia/services/new-business/relocation/</t>
        </is>
      </c>
      <c r="J156" s="10" t="inlineStr">
        <is>
          <t>https://dym.asia/services/new-business/relocation/</t>
        </is>
      </c>
      <c r="K156" s="47" t="n"/>
      <c r="L156" s="47" t="n"/>
    </row>
    <row r="157" ht="15.75" customHeight="1" s="185">
      <c r="A157" s="52">
        <f>row()-1</f>
        <v/>
      </c>
      <c r="B157" s="46" t="inlineStr">
        <is>
          <t>パラダイムシフトとは？意味や使い方を分かりやすく解説</t>
        </is>
      </c>
      <c r="C157" s="10" t="inlineStr">
        <is>
          <t>https://dym.asia/media/paradim-shift/</t>
        </is>
      </c>
      <c r="D157" s="12" t="inlineStr">
        <is>
          <t>2024.11.25</t>
        </is>
      </c>
      <c r="E157" s="12" t="inlineStr">
        <is>
          <t>2024.12.10</t>
        </is>
      </c>
      <c r="F157" s="47" t="inlineStr">
        <is>
          <t>法人</t>
        </is>
      </c>
      <c r="G157" s="47" t="inlineStr">
        <is>
          <t>人材</t>
        </is>
      </c>
      <c r="H157" s="47" t="n"/>
      <c r="I157" s="10" t="inlineStr">
        <is>
          <t>https://dym.asia/services/new-graduates/Former-graduate/</t>
        </is>
      </c>
      <c r="J157" s="10" t="inlineStr">
        <is>
          <t>https://dym.asia/services/new-graduates/Former-graduate/</t>
        </is>
      </c>
      <c r="K157" s="47" t="n"/>
      <c r="L157" s="47" t="n"/>
    </row>
    <row r="158" ht="15.75" customHeight="1" s="185">
      <c r="A158" s="52">
        <f>row()-1</f>
        <v/>
      </c>
      <c r="B158" s="46" t="inlineStr">
        <is>
          <t>パラメータとは？意味やWeb業界での使われ方・設定例を解説</t>
        </is>
      </c>
      <c r="C158" s="6" t="inlineStr">
        <is>
          <t>https://dym.asia/media/parameter/</t>
        </is>
      </c>
      <c r="D158" s="12" t="inlineStr">
        <is>
          <t>2024.11.26</t>
        </is>
      </c>
      <c r="E158" s="12" t="inlineStr">
        <is>
          <t>2024.12.09</t>
        </is>
      </c>
      <c r="F158" s="47" t="inlineStr">
        <is>
          <t>法人</t>
        </is>
      </c>
      <c r="G158" s="47" t="inlineStr">
        <is>
          <t>WEB</t>
        </is>
      </c>
      <c r="H158" s="47" t="n"/>
      <c r="I158" s="6" t="inlineStr">
        <is>
          <t>https://dym.asia/services/web-promotion/</t>
        </is>
      </c>
      <c r="J158" s="6" t="inlineStr">
        <is>
          <t>https://dym.asia/services/web-promotion/</t>
        </is>
      </c>
      <c r="K158" s="47" t="n"/>
      <c r="L158" s="47" t="n"/>
    </row>
    <row r="159" ht="15.75" customHeight="1" s="185">
      <c r="A159" s="52">
        <f>row()-1</f>
        <v/>
      </c>
      <c r="B159" s="46" t="inlineStr">
        <is>
          <t>RPO（採用代行）とは？RTOとの違い、委託範囲やメリットを解説</t>
        </is>
      </c>
      <c r="C159" s="6" t="inlineStr">
        <is>
          <t>https://dym.asia/media/rpo-meaning-merit/</t>
        </is>
      </c>
      <c r="D159" s="12" t="inlineStr">
        <is>
          <t>2025.04.10</t>
        </is>
      </c>
      <c r="E159" s="12" t="inlineStr">
        <is>
          <t>2025.04.22</t>
        </is>
      </c>
      <c r="F159" s="47" t="inlineStr">
        <is>
          <t>法人</t>
        </is>
      </c>
      <c r="G159" s="47" t="inlineStr">
        <is>
          <t>HR Tech</t>
        </is>
      </c>
      <c r="H159" s="47" t="n"/>
      <c r="I159" s="10" t="inlineStr">
        <is>
          <t>https://dym.asia/services/hr-tech/stanby-kyujinbox/</t>
        </is>
      </c>
      <c r="J159" s="10" t="inlineStr">
        <is>
          <t>https://dym.asia/services/hr-tech/stanby-kyujinbox/</t>
        </is>
      </c>
      <c r="K159" s="47" t="n"/>
      <c r="L159" s="47" t="n"/>
    </row>
    <row r="160" ht="15.75" customHeight="1" s="185">
      <c r="A160" s="52">
        <f>row()-1</f>
        <v/>
      </c>
      <c r="B160" s="46" t="inlineStr">
        <is>
          <t>営業顧問とは？役割や導入のメリット、報酬体系の種類について解説</t>
        </is>
      </c>
      <c r="C160" s="6" t="inlineStr">
        <is>
          <t>https://dym.asia/media/sales_advisor/</t>
        </is>
      </c>
      <c r="D160" s="12" t="inlineStr">
        <is>
          <t>2024.06.14</t>
        </is>
      </c>
      <c r="E160" s="12" t="inlineStr">
        <is>
          <t>2025.08.08</t>
        </is>
      </c>
      <c r="F160" s="47" t="inlineStr">
        <is>
          <t>法人</t>
        </is>
      </c>
      <c r="G160" s="47" t="inlineStr">
        <is>
          <t>人材</t>
        </is>
      </c>
      <c r="H160" s="47" t="n"/>
      <c r="I160" s="10" t="inlineStr">
        <is>
          <t>https://dym.asia/services/new-graduates/exe-part/</t>
        </is>
      </c>
      <c r="J160" s="10" t="inlineStr">
        <is>
          <t>https://dym.asia/services/new-graduates/exe-part/</t>
        </is>
      </c>
      <c r="K160" s="47" t="n"/>
      <c r="L160" s="47" t="n"/>
    </row>
    <row r="161" ht="15.75" customHeight="1" s="185">
      <c r="A161" s="52">
        <f>row()-1</f>
        <v/>
      </c>
      <c r="B161" s="46" t="inlineStr">
        <is>
          <t>構造化データとは？種類と具体例、SEOのメリットを解説</t>
        </is>
      </c>
      <c r="C161" s="6" t="inlineStr">
        <is>
          <t>https://dym.asia/media/structured-data/</t>
        </is>
      </c>
      <c r="D161" s="12" t="inlineStr">
        <is>
          <t>2024.11.15</t>
        </is>
      </c>
      <c r="E161" s="12" t="inlineStr">
        <is>
          <t>2024.12.09</t>
        </is>
      </c>
      <c r="F161" s="47" t="inlineStr">
        <is>
          <t>法人</t>
        </is>
      </c>
      <c r="G161" s="47" t="inlineStr">
        <is>
          <t>WEB</t>
        </is>
      </c>
      <c r="H161" s="47" t="n"/>
      <c r="I161" s="10" t="inlineStr">
        <is>
          <t>https://dym.asia/services/web-promotion/seo/</t>
        </is>
      </c>
      <c r="J161" s="10" t="inlineStr">
        <is>
          <t>https://dym.asia/services/web-promotion/seo/</t>
        </is>
      </c>
      <c r="K161" s="47" t="n"/>
      <c r="L161" s="47" t="n"/>
    </row>
    <row r="162" ht="15.75" customHeight="1" s="185">
      <c r="A162" s="52">
        <f>row()-1</f>
        <v/>
      </c>
      <c r="B162" s="46" t="inlineStr">
        <is>
          <t>芸能人をキャスティングする際に必要な費用相場は？キャスティングの方法と選び方を解説</t>
        </is>
      </c>
      <c r="C162" s="10" t="inlineStr">
        <is>
          <t>https://dym.asia/media/tarent-casting-cost/</t>
        </is>
      </c>
      <c r="D162" s="12" t="inlineStr">
        <is>
          <t>2024.11.28</t>
        </is>
      </c>
      <c r="E162" s="12" t="inlineStr">
        <is>
          <t>2024.12.09</t>
        </is>
      </c>
      <c r="F162" s="47" t="inlineStr">
        <is>
          <t>法人</t>
        </is>
      </c>
      <c r="G162" s="47" t="inlineStr">
        <is>
          <t>WEB</t>
        </is>
      </c>
      <c r="H162" s="47" t="n"/>
      <c r="I162" s="10" t="inlineStr">
        <is>
          <t>https://dym.asia/services/web-promotion/talents-share/</t>
        </is>
      </c>
      <c r="J162" s="10" t="inlineStr">
        <is>
          <t>https://dym.asia/services/web-promotion/talents-share/</t>
        </is>
      </c>
      <c r="K162" s="47" t="n"/>
      <c r="L162" s="47" t="n"/>
    </row>
    <row r="163" ht="15.75" customHeight="1" s="185">
      <c r="A163" s="52">
        <f>row()-1</f>
        <v/>
      </c>
      <c r="B163" s="46" t="inlineStr">
        <is>
          <t>WEB広告代理店のおすすめ企業とは？選び方のポイントや流れを詳しく解説</t>
        </is>
      </c>
      <c r="C163" s="10" t="inlineStr">
        <is>
          <t>https://dym.asia/media/web_advertisement_agency/</t>
        </is>
      </c>
      <c r="D163" s="12" t="inlineStr">
        <is>
          <t>2024.06.17</t>
        </is>
      </c>
      <c r="E163" s="12" t="inlineStr">
        <is>
          <t>2024.07.05</t>
        </is>
      </c>
      <c r="F163" s="47" t="inlineStr">
        <is>
          <t>法人</t>
        </is>
      </c>
      <c r="G163" s="47" t="inlineStr">
        <is>
          <t>WEB</t>
        </is>
      </c>
      <c r="H163" s="47" t="n"/>
      <c r="I163" s="10" t="inlineStr">
        <is>
          <t>https://dym.asia/services/web-promotion/</t>
        </is>
      </c>
      <c r="J163" s="10" t="inlineStr">
        <is>
          <t>https://dym.asia/services/web-promotion/</t>
        </is>
      </c>
      <c r="K163" s="47" t="n"/>
      <c r="L163" s="47" t="n"/>
    </row>
    <row r="164" ht="15.75" customHeight="1" s="185">
      <c r="A164" s="52">
        <f>row()-1</f>
        <v/>
      </c>
      <c r="B164" s="46" t="inlineStr">
        <is>
          <t>人気の福利厚生とは？最新トレンドと導入方法</t>
        </is>
      </c>
      <c r="C164" s="6" t="inlineStr">
        <is>
          <t>https://dym.asia/media/welfare-popular/</t>
        </is>
      </c>
      <c r="D164" s="12" t="inlineStr">
        <is>
          <t>2024.11.06</t>
        </is>
      </c>
      <c r="E164" s="12" t="inlineStr">
        <is>
          <t>2024.11.13</t>
        </is>
      </c>
      <c r="F164" s="47" t="inlineStr">
        <is>
          <t>法人</t>
        </is>
      </c>
      <c r="G164" s="47" t="inlineStr">
        <is>
          <t>人材</t>
        </is>
      </c>
      <c r="H164" s="47" t="n"/>
      <c r="I164" s="10" t="inlineStr">
        <is>
          <t>https://dym.asia/services/new-graduates/welfare/</t>
        </is>
      </c>
      <c r="J164" s="10" t="inlineStr">
        <is>
          <t>https://dym.asia/services/new-graduates/welfare/</t>
        </is>
      </c>
      <c r="K164" s="47" t="n"/>
      <c r="L164" s="47" t="n"/>
    </row>
    <row r="165" ht="15.75" customHeight="1" s="185">
      <c r="A165" s="52">
        <f>row()-1</f>
        <v/>
      </c>
      <c r="B165" s="46" t="inlineStr">
        <is>
          <t>あると嬉しいユニークな福利厚生とは？企業での事例とトレンドを解説</t>
        </is>
      </c>
      <c r="C165" s="6" t="inlineStr">
        <is>
          <t>https://dym.asia/media/welfare-unique/</t>
        </is>
      </c>
      <c r="D165" s="12" t="inlineStr">
        <is>
          <t>2024.11.13</t>
        </is>
      </c>
      <c r="E165" s="12" t="inlineStr">
        <is>
          <t>2024.12.09</t>
        </is>
      </c>
      <c r="F165" s="47" t="inlineStr">
        <is>
          <t>法人</t>
        </is>
      </c>
      <c r="G165" s="47" t="inlineStr">
        <is>
          <t>人材</t>
        </is>
      </c>
      <c r="H165" s="47" t="n"/>
      <c r="I165" s="10" t="inlineStr">
        <is>
          <t>https://dym.asia/services/new-graduates/welfare/</t>
        </is>
      </c>
      <c r="J165" s="10" t="inlineStr">
        <is>
          <t>https://dym.asia/services/new-graduates/welfare/</t>
        </is>
      </c>
      <c r="K165" s="47" t="n"/>
      <c r="L165" s="47" t="n"/>
    </row>
    <row r="166" ht="15.75" customHeight="1" s="185">
      <c r="A166" s="52">
        <f>row()-1</f>
        <v/>
      </c>
      <c r="B166" s="46" t="inlineStr">
        <is>
          <t>アドフラウドとは？広告不正の仕組みと効果的な対策を紹介</t>
        </is>
      </c>
      <c r="C166" s="10" t="inlineStr">
        <is>
          <t>https://dym.asia/media/ad-fraud/</t>
        </is>
      </c>
      <c r="D166" s="12" t="inlineStr">
        <is>
          <t>2025.08.25</t>
        </is>
      </c>
      <c r="E166" s="12" t="inlineStr">
        <is>
          <t>2025.08.25</t>
        </is>
      </c>
      <c r="F166" s="47" t="inlineStr">
        <is>
          <t>法人</t>
        </is>
      </c>
      <c r="G166" s="47" t="inlineStr">
        <is>
          <t>WEB</t>
        </is>
      </c>
      <c r="H166" s="47" t="n"/>
      <c r="I166" s="10" t="inlineStr">
        <is>
          <t>https://dym.asia/services/web-promotion/</t>
        </is>
      </c>
      <c r="J166" s="10" t="inlineStr">
        <is>
          <t>https://dym.asia/services/web-promotion/</t>
        </is>
      </c>
      <c r="K166" s="47" t="n"/>
      <c r="L166" s="47" t="n"/>
    </row>
    <row r="167" ht="15.75" customHeight="1" s="185">
      <c r="A167" s="52">
        <f>row()-1</f>
        <v/>
      </c>
      <c r="B167" s="46" t="inlineStr">
        <is>
          <t>アドネットワークとは？仕組みや種類を分かりやすく解説</t>
        </is>
      </c>
      <c r="C167" s="6" t="inlineStr">
        <is>
          <t>https://dym.asia/media/ad-network/</t>
        </is>
      </c>
      <c r="D167" s="12" t="inlineStr">
        <is>
          <t>2024.11.28</t>
        </is>
      </c>
      <c r="E167" s="12" t="inlineStr">
        <is>
          <t>2024.12.09</t>
        </is>
      </c>
      <c r="F167" s="47" t="inlineStr">
        <is>
          <t>法人</t>
        </is>
      </c>
      <c r="G167" s="47" t="inlineStr">
        <is>
          <t>WEB</t>
        </is>
      </c>
      <c r="H167" s="47" t="n"/>
      <c r="I167" s="10" t="inlineStr">
        <is>
          <t>https://dym.asia/services/web-promotion/</t>
        </is>
      </c>
      <c r="J167" s="10" t="inlineStr">
        <is>
          <t>https://dym.asia/services/web-promotion/</t>
        </is>
      </c>
      <c r="K167" s="47" t="n"/>
      <c r="L167" s="47" t="n"/>
    </row>
    <row r="168" ht="15.75" customHeight="1" s="185">
      <c r="A168" s="52">
        <f>row()-1</f>
        <v/>
      </c>
      <c r="B168" s="46" t="inlineStr">
        <is>
          <t>アフィリエイトのやり方｜ブログ収入で月3万を稼ぐコツを解説</t>
        </is>
      </c>
      <c r="C168" s="10" t="inlineStr">
        <is>
          <t>https://dym.asia/media/affiliate-blog/</t>
        </is>
      </c>
      <c r="D168" s="12" t="inlineStr">
        <is>
          <t>2024.11.21</t>
        </is>
      </c>
      <c r="E168" s="12" t="inlineStr">
        <is>
          <t>2024.12.09</t>
        </is>
      </c>
      <c r="F168" s="47" t="inlineStr">
        <is>
          <t>法人</t>
        </is>
      </c>
      <c r="G168" s="47" t="inlineStr">
        <is>
          <t>WEB</t>
        </is>
      </c>
      <c r="H168" s="47" t="n"/>
      <c r="I168" s="10" t="inlineStr">
        <is>
          <t>https://dym.asia/media/affiliate-blog/</t>
        </is>
      </c>
      <c r="J168" s="10" t="inlineStr">
        <is>
          <t>https://dym.asia/media/affiliate-blog/</t>
        </is>
      </c>
      <c r="K168" s="47" t="n"/>
      <c r="L168" s="47" t="n"/>
    </row>
    <row r="169" ht="15.75" customHeight="1" s="185">
      <c r="A169" s="52">
        <f>row()-1</f>
        <v/>
      </c>
      <c r="B169" s="46" t="inlineStr">
        <is>
          <t>インスタアフィリエイトとは？ASPがやり方・始め方と稼ぐコツを伝授</t>
        </is>
      </c>
      <c r="C169" s="6" t="inlineStr">
        <is>
          <t>https://dym.asia/media/affiliate-instagram/</t>
        </is>
      </c>
      <c r="D169" s="12" t="inlineStr">
        <is>
          <t>2024.11.21</t>
        </is>
      </c>
      <c r="E169" s="12" t="inlineStr">
        <is>
          <t>2024.12.09</t>
        </is>
      </c>
      <c r="F169" s="47" t="inlineStr">
        <is>
          <t>法人</t>
        </is>
      </c>
      <c r="G169" s="47" t="inlineStr">
        <is>
          <t>WEB</t>
        </is>
      </c>
      <c r="H169" s="47" t="n"/>
      <c r="I169" s="10" t="inlineStr">
        <is>
          <t>https://dym.asia/services/web-promotion/affiliate/</t>
        </is>
      </c>
      <c r="J169" s="10" t="inlineStr">
        <is>
          <t>https://dym.asia/services/web-promotion/affiliate/</t>
        </is>
      </c>
      <c r="K169" s="47" t="n"/>
      <c r="L169" s="47" t="n"/>
    </row>
    <row r="170" ht="15.75" customHeight="1" s="185">
      <c r="A170" s="52">
        <f>row()-1</f>
        <v/>
      </c>
      <c r="B170" s="46" t="inlineStr">
        <is>
          <t>不動産売却の仲介手数料はいくら？支払う時期は？失敗しないポイント</t>
        </is>
      </c>
      <c r="C170" s="10" t="inlineStr">
        <is>
          <t>https://dym.asia/media/agent-cost/</t>
        </is>
      </c>
      <c r="D170" s="12" t="inlineStr">
        <is>
          <t>2024.11.20</t>
        </is>
      </c>
      <c r="E170" s="12" t="inlineStr">
        <is>
          <t>2025.02.14</t>
        </is>
      </c>
      <c r="F170" s="47" t="inlineStr">
        <is>
          <t>法人</t>
        </is>
      </c>
      <c r="G170" s="47" t="inlineStr">
        <is>
          <t>リアルエステート</t>
        </is>
      </c>
      <c r="H170" s="47" t="n"/>
      <c r="I170" s="10" t="inlineStr">
        <is>
          <t>https://dym.asia/services/new-business/relocation/</t>
        </is>
      </c>
      <c r="J170" s="10" t="inlineStr">
        <is>
          <t>https://dym.asia/services/new-business/relocation/</t>
        </is>
      </c>
      <c r="K170" s="47" t="n"/>
      <c r="L170" s="47" t="n"/>
    </row>
    <row r="171" ht="15.75" customHeight="1" s="185">
      <c r="A171" s="52">
        <f>row()-1</f>
        <v/>
      </c>
      <c r="B171" s="46" t="inlineStr">
        <is>
          <t>役員研修の目的と内容、効果的な進め方を紹介</t>
        </is>
      </c>
      <c r="C171" s="10" t="inlineStr">
        <is>
          <t>https://dym.asia/media/board-member-training/</t>
        </is>
      </c>
      <c r="D171" s="12" t="inlineStr">
        <is>
          <t>2024.11.12</t>
        </is>
      </c>
      <c r="E171" s="12" t="inlineStr">
        <is>
          <t>2024.12.09</t>
        </is>
      </c>
      <c r="F171" s="47" t="inlineStr">
        <is>
          <t>法人</t>
        </is>
      </c>
      <c r="G171" s="47" t="inlineStr">
        <is>
          <t>人材</t>
        </is>
      </c>
      <c r="H171" s="47" t="n"/>
      <c r="I171" s="10" t="inlineStr">
        <is>
          <t>https://dym.asia/services/new-graduates/development-training/</t>
        </is>
      </c>
      <c r="J171" s="10" t="inlineStr">
        <is>
          <t>https://dym.asia/services/new-graduates/high-class/</t>
        </is>
      </c>
      <c r="K171" s="47" t="n"/>
      <c r="L171" s="47" t="n"/>
    </row>
    <row r="172" ht="15.75" customHeight="1" s="185">
      <c r="A172" s="52">
        <f>row()-1</f>
        <v/>
      </c>
      <c r="B172" s="46" t="inlineStr">
        <is>
          <t>ブラウザとは？機能や選び方、安全に利用するコツを徹底解説</t>
        </is>
      </c>
      <c r="C172" s="10" t="inlineStr">
        <is>
          <t>https://dym.asia/media/browser/</t>
        </is>
      </c>
      <c r="D172" s="12" t="inlineStr">
        <is>
          <t>2024.11.26</t>
        </is>
      </c>
      <c r="E172" s="12" t="inlineStr">
        <is>
          <t>2024.12.09</t>
        </is>
      </c>
      <c r="F172" s="47" t="inlineStr">
        <is>
          <t>法人</t>
        </is>
      </c>
      <c r="G172" s="47" t="inlineStr">
        <is>
          <t>WEB</t>
        </is>
      </c>
      <c r="H172" s="47" t="n"/>
      <c r="I172" s="10" t="inlineStr">
        <is>
          <t>https://dym.asia/services/web-promotion/</t>
        </is>
      </c>
      <c r="J172" s="10" t="inlineStr">
        <is>
          <t>https://dym.asia/services/web-promotion/</t>
        </is>
      </c>
      <c r="K172" s="47" t="n"/>
      <c r="L172" s="47" t="n"/>
    </row>
    <row r="173" ht="15.75" customHeight="1" s="185">
      <c r="A173" s="52">
        <f>row()-1</f>
        <v/>
      </c>
      <c r="B173" s="46" t="inlineStr">
        <is>
          <t>業務提携とは？資本提携・業務委託との違いや進め方、成功するためのポイントを解説</t>
        </is>
      </c>
      <c r="C173" s="10" t="inlineStr">
        <is>
          <t>https://dym.asia/media/business-partnership/</t>
        </is>
      </c>
      <c r="D173" s="12" t="inlineStr">
        <is>
          <t>2024.11.14</t>
        </is>
      </c>
      <c r="E173" s="12" t="inlineStr">
        <is>
          <t>2024.12.09</t>
        </is>
      </c>
      <c r="F173" s="47" t="inlineStr">
        <is>
          <t>法人</t>
        </is>
      </c>
      <c r="G173" s="47" t="inlineStr">
        <is>
          <t>M&amp;A</t>
        </is>
      </c>
      <c r="H173" s="47" t="n"/>
      <c r="I173" s="10" t="inlineStr">
        <is>
          <t>https://dym.asia/services/m&amp;a/consulting/</t>
        </is>
      </c>
      <c r="J173" s="10" t="inlineStr">
        <is>
          <t>https://dym.asia/services/m&amp;a/consulting/</t>
        </is>
      </c>
      <c r="K173" s="47" t="n"/>
      <c r="L173" s="47" t="n"/>
    </row>
    <row r="174" ht="15.75" customHeight="1" s="185">
      <c r="A174" s="52">
        <f>row()-1</f>
        <v/>
      </c>
      <c r="B174" s="46" t="inlineStr">
        <is>
          <t>コールセンターのSV、スーパーバイザーの仕事内容とは？</t>
        </is>
      </c>
      <c r="C174" s="10" t="inlineStr">
        <is>
          <t>https://dym.asia/media/call-center-sv/</t>
        </is>
      </c>
      <c r="D174" s="12" t="inlineStr">
        <is>
          <t>2024.11.13</t>
        </is>
      </c>
      <c r="E174" s="12" t="inlineStr">
        <is>
          <t>2024.12.09</t>
        </is>
      </c>
      <c r="F174" s="47" t="inlineStr">
        <is>
          <t>法人</t>
        </is>
      </c>
      <c r="G174" s="47" t="inlineStr">
        <is>
          <t>HR Tech</t>
        </is>
      </c>
      <c r="H174" s="47" t="n"/>
      <c r="I174" s="10" t="inlineStr">
        <is>
          <t>https://dym.asia/services/hr-tech/call-center/</t>
        </is>
      </c>
      <c r="J174" s="10" t="inlineStr">
        <is>
          <t>https://dym.asia/services/hr-tech/call-center/</t>
        </is>
      </c>
      <c r="K174" s="47" t="n"/>
      <c r="L174" s="47" t="n"/>
    </row>
    <row r="175" ht="15.75" customHeight="1" s="185">
      <c r="A175" s="52">
        <f>row()-1</f>
        <v/>
      </c>
      <c r="B175" s="46" t="inlineStr">
        <is>
          <t>顎のボトックス注射とは？効果と注意点を徹底解説</t>
        </is>
      </c>
      <c r="C175" s="10" t="inlineStr">
        <is>
          <t>https://dym.asia/media/chin-botox/</t>
        </is>
      </c>
      <c r="D175" s="12" t="inlineStr">
        <is>
          <t>2024.11.21</t>
        </is>
      </c>
      <c r="E175" s="12" t="inlineStr">
        <is>
          <t>2025.03.06</t>
        </is>
      </c>
      <c r="F175" s="47" t="inlineStr">
        <is>
          <t>法人</t>
        </is>
      </c>
      <c r="G175" s="47" t="inlineStr">
        <is>
          <t>クリニック</t>
        </is>
      </c>
      <c r="H175" s="47" t="n"/>
      <c r="I175" s="6" t="inlineStr">
        <is>
          <t>https://dym.asia/services/medicine/</t>
        </is>
      </c>
      <c r="J175" s="10" t="inlineStr">
        <is>
          <t>https://dym.asia/services/medicine/</t>
        </is>
      </c>
      <c r="K175" s="47" t="n"/>
      <c r="L175" s="47" t="n"/>
    </row>
    <row r="176" ht="15.75" customHeight="1" s="185">
      <c r="A176" s="52">
        <f>row()-1</f>
        <v/>
      </c>
      <c r="B176" s="46" t="inlineStr">
        <is>
          <t>クリニック継承はなぜ失敗する？トラブル事例と成功への道</t>
        </is>
      </c>
      <c r="C176" s="10" t="inlineStr">
        <is>
          <t>https://dym.asia/media/clinic-inheritance/</t>
        </is>
      </c>
      <c r="D176" s="12" t="inlineStr">
        <is>
          <t>2025.07.04</t>
        </is>
      </c>
      <c r="E176" s="12" t="inlineStr">
        <is>
          <t>2025.07.04</t>
        </is>
      </c>
      <c r="F176" s="47" t="inlineStr">
        <is>
          <t>法人</t>
        </is>
      </c>
      <c r="G176" s="47" t="inlineStr">
        <is>
          <t>M&amp;A</t>
        </is>
      </c>
      <c r="H176" s="47" t="n"/>
      <c r="I176" s="10" t="inlineStr">
        <is>
          <t>https://dym.asia/services/m&amp;a/consulting/</t>
        </is>
      </c>
      <c r="J176" s="10" t="inlineStr">
        <is>
          <t>https://dym.asia/services/m&amp;a/consulting/</t>
        </is>
      </c>
      <c r="K176" s="47" t="n"/>
      <c r="L176" s="47" t="n"/>
    </row>
    <row r="177" ht="15.75" customHeight="1" s="185">
      <c r="A177" s="52">
        <f>row()-1</f>
        <v/>
      </c>
      <c r="B177" s="46" t="inlineStr">
        <is>
          <t>クロージングとは？失敗する原因や役立つテクニックを解説</t>
        </is>
      </c>
      <c r="C177" s="10" t="inlineStr">
        <is>
          <t>https://dym.asia/media/closing/</t>
        </is>
      </c>
      <c r="D177" s="12" t="inlineStr">
        <is>
          <t>2024.11.27</t>
        </is>
      </c>
      <c r="E177" s="12" t="inlineStr">
        <is>
          <t>2024.12.09</t>
        </is>
      </c>
      <c r="F177" s="47" t="inlineStr">
        <is>
          <t>法人</t>
        </is>
      </c>
      <c r="G177" s="47" t="inlineStr">
        <is>
          <t>WEB</t>
        </is>
      </c>
      <c r="H177" s="47" t="n"/>
      <c r="I177" s="10" t="inlineStr">
        <is>
          <t>https://dym.asia/services/new-graduates/exe-part/</t>
        </is>
      </c>
      <c r="J177" s="10" t="inlineStr">
        <is>
          <t>https://dym.asia/services/web-promotion/</t>
        </is>
      </c>
      <c r="K177" s="47" t="n"/>
      <c r="L177" s="47" t="n"/>
    </row>
    <row r="178" ht="15.75" customHeight="1" s="185">
      <c r="A178" s="52">
        <f>row()-1</f>
        <v/>
      </c>
      <c r="B178" s="46" t="inlineStr">
        <is>
          <t>CPCとは？PPCとの違いやクリック単価の仕組み・費用対効果を上げる方法</t>
        </is>
      </c>
      <c r="C178" s="6" t="inlineStr">
        <is>
          <t>https://dym.asia/media/cpc/</t>
        </is>
      </c>
      <c r="D178" s="12" t="inlineStr">
        <is>
          <t>2024.11.26</t>
        </is>
      </c>
      <c r="E178" s="12" t="inlineStr">
        <is>
          <t>2024.12.09</t>
        </is>
      </c>
      <c r="F178" s="47" t="inlineStr">
        <is>
          <t>法人</t>
        </is>
      </c>
      <c r="G178" s="47" t="inlineStr">
        <is>
          <t>WEB</t>
        </is>
      </c>
      <c r="H178" s="47" t="n"/>
      <c r="I178" s="6" t="inlineStr">
        <is>
          <t>https://dym.asia/services/web-promotion/listing/</t>
        </is>
      </c>
      <c r="J178" s="6" t="inlineStr">
        <is>
          <t>https://dym.asia/services/web-promotion/listing/</t>
        </is>
      </c>
      <c r="K178" s="47" t="n"/>
      <c r="L178" s="47" t="n"/>
    </row>
    <row r="179" ht="15.75" customHeight="1" s="185">
      <c r="A179" s="52">
        <f>row()-1</f>
        <v/>
      </c>
      <c r="B179" s="46" t="inlineStr">
        <is>
          <t>CTR（クリック率）とは？意味、計算方法、平均値、改善策を解説</t>
        </is>
      </c>
      <c r="C179" s="10" t="inlineStr">
        <is>
          <t>https://dym.asia/media/ctr/</t>
        </is>
      </c>
      <c r="D179" s="12" t="inlineStr">
        <is>
          <t>2024.11.26</t>
        </is>
      </c>
      <c r="E179" s="12" t="inlineStr">
        <is>
          <t>2024.12.09</t>
        </is>
      </c>
      <c r="F179" s="47" t="inlineStr">
        <is>
          <t>法人</t>
        </is>
      </c>
      <c r="G179" s="47" t="inlineStr">
        <is>
          <t>WEB</t>
        </is>
      </c>
      <c r="H179" s="47" t="n"/>
      <c r="I179" s="10" t="inlineStr">
        <is>
          <t>https://dym.asia/services/web-promotion/seo/</t>
        </is>
      </c>
      <c r="J179" s="10" t="inlineStr">
        <is>
          <t>https://dym.asia/services/web-promotion/seo/</t>
        </is>
      </c>
      <c r="K179" s="47" t="n"/>
      <c r="L179" s="47" t="n"/>
    </row>
    <row r="180" ht="15.75" customHeight="1" s="185">
      <c r="A180" s="52">
        <f>row()-1</f>
        <v/>
      </c>
      <c r="B180" s="46" t="inlineStr">
        <is>
          <t>DX（デジタルトランスフォーメーション）とは？意味・定義を分かりやすく解説</t>
        </is>
      </c>
      <c r="C180" s="10" t="inlineStr">
        <is>
          <t>https://dym.asia/media/dx-about/</t>
        </is>
      </c>
      <c r="D180" s="12" t="inlineStr">
        <is>
          <t>2024.11.18</t>
        </is>
      </c>
      <c r="E180" s="12" t="inlineStr">
        <is>
          <t>2024.12.10</t>
        </is>
      </c>
      <c r="F180" s="47" t="inlineStr">
        <is>
          <t>法人</t>
        </is>
      </c>
      <c r="G180" s="47" t="inlineStr">
        <is>
          <t>WEB</t>
        </is>
      </c>
      <c r="H180" s="47" t="n"/>
      <c r="I180" s="10" t="inlineStr">
        <is>
          <t>https://dym.asia/services/web-promotion/</t>
        </is>
      </c>
      <c r="J180" s="10" t="inlineStr">
        <is>
          <t>https://dym.asia/services/web-promotion/</t>
        </is>
      </c>
      <c r="K180" s="47" t="n"/>
      <c r="L180" s="47" t="n"/>
    </row>
    <row r="181" ht="15.75" customHeight="1" s="185">
      <c r="A181" s="52">
        <f>row()-1</f>
        <v/>
      </c>
      <c r="B181" s="46" t="inlineStr">
        <is>
          <t>年末調整とは？必要書類の書き方および確定申告との違いを解説</t>
        </is>
      </c>
      <c r="C181" s="10" t="inlineStr">
        <is>
          <t>https://dym.asia/media/end-of-year-tax-adjustments/</t>
        </is>
      </c>
      <c r="D181" s="12" t="inlineStr">
        <is>
          <t>2024.11.22</t>
        </is>
      </c>
      <c r="E181" s="12" t="inlineStr">
        <is>
          <t>2024.12.09</t>
        </is>
      </c>
      <c r="F181" s="47" t="inlineStr">
        <is>
          <t>法人</t>
        </is>
      </c>
      <c r="G181" s="47" t="inlineStr">
        <is>
          <t>人材</t>
        </is>
      </c>
      <c r="H181" s="47" t="n"/>
      <c r="I181" s="10" t="inlineStr">
        <is>
          <t>https://dym.asia/services/new-graduates/Former-graduate/</t>
        </is>
      </c>
      <c r="J181" s="10" t="inlineStr">
        <is>
          <t>https://dym.asia/services/new-graduates/development-training/</t>
        </is>
      </c>
      <c r="K181" s="47" t="n"/>
      <c r="L181" s="47" t="n"/>
    </row>
    <row r="182" ht="15.75" customHeight="1" s="185">
      <c r="A182" s="52">
        <f>row()-1</f>
        <v/>
      </c>
      <c r="B182" s="46" t="inlineStr">
        <is>
          <t>Facebook運用代行のメリットと料金を紹介｜運用代行会社の選び方も解説</t>
        </is>
      </c>
      <c r="C182" s="10" t="inlineStr">
        <is>
          <t>https://dym.asia/media/facebook-operation/</t>
        </is>
      </c>
      <c r="D182" s="12" t="inlineStr">
        <is>
          <t>2024.11.21</t>
        </is>
      </c>
      <c r="E182" s="12" t="inlineStr">
        <is>
          <t>2024.12.09</t>
        </is>
      </c>
      <c r="F182" s="47" t="inlineStr">
        <is>
          <t>法人</t>
        </is>
      </c>
      <c r="G182" s="47" t="inlineStr">
        <is>
          <t>WEB</t>
        </is>
      </c>
      <c r="H182" s="47" t="n"/>
      <c r="I182" s="10" t="inlineStr">
        <is>
          <t>https://dym.asia/services/web-promotion/sns-consulting/</t>
        </is>
      </c>
      <c r="J182" s="10" t="inlineStr">
        <is>
          <t>https://dym.asia/services/web-promotion/sns-consulting/</t>
        </is>
      </c>
      <c r="K182" s="47" t="n"/>
      <c r="L182" s="47" t="n"/>
    </row>
    <row r="183" ht="15.75" customHeight="1" s="185">
      <c r="A183" s="52">
        <f>row()-1</f>
        <v/>
      </c>
      <c r="B183" s="46" t="inlineStr">
        <is>
          <t>風評被害対策とは？企業を守るための対策を解説</t>
        </is>
      </c>
      <c r="C183" s="10" t="inlineStr">
        <is>
          <t>https://dym.asia/media/fuhyo-higai-taisaku/</t>
        </is>
      </c>
      <c r="D183" s="12" t="inlineStr">
        <is>
          <t>2025.08.25</t>
        </is>
      </c>
      <c r="E183" s="12" t="inlineStr">
        <is>
          <t>2025.08.25</t>
        </is>
      </c>
      <c r="F183" s="47" t="inlineStr">
        <is>
          <t>法人</t>
        </is>
      </c>
      <c r="G183" s="47" t="inlineStr">
        <is>
          <t>WEB</t>
        </is>
      </c>
      <c r="H183" s="47" t="n"/>
      <c r="I183" s="10" t="inlineStr">
        <is>
          <t>https://dym.asia/services/web-promotion/sns-consulting/</t>
        </is>
      </c>
      <c r="J183" s="10" t="inlineStr">
        <is>
          <t>https://dym.asia/services/web-promotion/sns-consulting/</t>
        </is>
      </c>
      <c r="K183" s="47" t="n"/>
      <c r="L183" s="47" t="n"/>
    </row>
    <row r="184" ht="15.75" customHeight="1" s="185">
      <c r="A184" s="52">
        <f>row()-1</f>
        <v/>
      </c>
      <c r="B184" s="46" t="inlineStr">
        <is>
          <t>GDNとは？Googleディスプレイネットワーク広告の配信面やメリットを解説</t>
        </is>
      </c>
      <c r="C184" s="10" t="inlineStr">
        <is>
          <t>https://dym.asia/media/gdn/</t>
        </is>
      </c>
      <c r="D184" s="12" t="inlineStr">
        <is>
          <t>2025.08.25</t>
        </is>
      </c>
      <c r="E184" s="12" t="inlineStr">
        <is>
          <t>2025.08.25</t>
        </is>
      </c>
      <c r="F184" s="47" t="inlineStr">
        <is>
          <t>法人</t>
        </is>
      </c>
      <c r="G184" s="47" t="inlineStr">
        <is>
          <t>WEB</t>
        </is>
      </c>
      <c r="H184" s="47" t="n"/>
      <c r="I184" s="10" t="inlineStr">
        <is>
          <t>https://dym.asia/services/web-promotion/listing/</t>
        </is>
      </c>
      <c r="J184" s="10" t="inlineStr">
        <is>
          <t>https://dym.asia/services/web-promotion/listing/</t>
        </is>
      </c>
      <c r="K184" s="47" t="n"/>
      <c r="L184" s="47" t="n"/>
    </row>
    <row r="185" ht="15.75" customHeight="1" s="185">
      <c r="A185" s="52">
        <f>row()-1</f>
        <v/>
      </c>
      <c r="B185" s="46" t="inlineStr">
        <is>
          <t>Googleリスティング広告のキーワード選び方｜選定のコツや設定方法を解説</t>
        </is>
      </c>
      <c r="C185" s="10" t="inlineStr">
        <is>
          <t>https://dym.asia/media/google-ads-keywords/</t>
        </is>
      </c>
      <c r="D185" s="12" t="inlineStr">
        <is>
          <t>2024.11.19</t>
        </is>
      </c>
      <c r="E185" s="12" t="inlineStr">
        <is>
          <t>2024.12.09</t>
        </is>
      </c>
      <c r="F185" s="47" t="inlineStr">
        <is>
          <t>法人</t>
        </is>
      </c>
      <c r="G185" s="47" t="inlineStr">
        <is>
          <t>WEB</t>
        </is>
      </c>
      <c r="H185" s="47" t="n"/>
      <c r="I185" s="6" t="inlineStr">
        <is>
          <t>https://dym.asia/services/web-promotion/listing/</t>
        </is>
      </c>
      <c r="J185" s="6" t="inlineStr">
        <is>
          <t>https://dym.asia/services/web-promotion/listing/</t>
        </is>
      </c>
      <c r="K185" s="47" t="n"/>
      <c r="L185" s="47" t="n"/>
    </row>
    <row r="186" ht="15.75" customHeight="1" s="185">
      <c r="A186" s="52">
        <f>row()-1</f>
        <v/>
      </c>
      <c r="B186" s="46" t="inlineStr">
        <is>
          <t>GoogleとYahoo!の検索エンジンの違いは？検索結果の差異も</t>
        </is>
      </c>
      <c r="C186" s="10" t="inlineStr">
        <is>
          <t>https://dym.asia/media/google-yahoo/</t>
        </is>
      </c>
      <c r="D186" s="12" t="inlineStr">
        <is>
          <t>2024.10.17</t>
        </is>
      </c>
      <c r="E186" s="12" t="inlineStr">
        <is>
          <t>2024.10.31</t>
        </is>
      </c>
      <c r="F186" s="47" t="inlineStr">
        <is>
          <t>法人</t>
        </is>
      </c>
      <c r="G186" s="47" t="inlineStr">
        <is>
          <t>WEB</t>
        </is>
      </c>
      <c r="H186" s="47" t="n"/>
      <c r="I186" s="10" t="inlineStr">
        <is>
          <t>https://dym.asia/services/web-promotion/seo/</t>
        </is>
      </c>
      <c r="J186" s="10" t="inlineStr">
        <is>
          <t>https://dym.asia/services/web-promotion/seo/</t>
        </is>
      </c>
      <c r="K186" s="47" t="n"/>
      <c r="L186" s="47" t="n"/>
    </row>
    <row r="187" ht="15.75" customHeight="1" s="185">
      <c r="A187" s="52">
        <f>row()-1</f>
        <v/>
      </c>
      <c r="B187" s="46" t="inlineStr">
        <is>
          <t>インタビュー記事の書き方｜取材や構成のコツを徹底解説【例文付き】</t>
        </is>
      </c>
      <c r="C187" s="10" t="inlineStr">
        <is>
          <t>https://dym.asia/media/interview-article-how-to/</t>
        </is>
      </c>
      <c r="D187" s="12" t="inlineStr">
        <is>
          <t>2025.08.25</t>
        </is>
      </c>
      <c r="E187" s="12" t="inlineStr">
        <is>
          <t>2025.08.25</t>
        </is>
      </c>
      <c r="F187" s="47" t="inlineStr">
        <is>
          <t>法人</t>
        </is>
      </c>
      <c r="G187" s="47" t="inlineStr">
        <is>
          <t>WEB</t>
        </is>
      </c>
      <c r="H187" s="47" t="n"/>
      <c r="I187" s="10" t="inlineStr">
        <is>
          <t>https://dym.asia/services/web-promotion/seo/</t>
        </is>
      </c>
      <c r="J187" s="10" t="inlineStr">
        <is>
          <t>https://dym.asia/services/web-promotion/seo/</t>
        </is>
      </c>
      <c r="K187" s="47" t="n"/>
      <c r="L187" s="47" t="n"/>
    </row>
    <row r="188" ht="15.75" customHeight="1" s="185">
      <c r="A188" s="52">
        <f>row()-1</f>
        <v/>
      </c>
      <c r="B188" s="46" t="inlineStr">
        <is>
          <t>仲介手数料はいくら？土地売買のケースを徹底解説！計算方法や節約のコツ</t>
        </is>
      </c>
      <c r="C188" s="6" t="inlineStr">
        <is>
          <t>https://dym.asia/media/land-sales-agent-cost/</t>
        </is>
      </c>
      <c r="D188" s="12" t="inlineStr">
        <is>
          <t>2024.11.20</t>
        </is>
      </c>
      <c r="E188" s="12" t="inlineStr">
        <is>
          <t>2025.02.14</t>
        </is>
      </c>
      <c r="F188" s="47" t="inlineStr">
        <is>
          <t>法人</t>
        </is>
      </c>
      <c r="G188" s="47" t="inlineStr">
        <is>
          <t>リアルエステート</t>
        </is>
      </c>
      <c r="H188" s="47" t="n"/>
      <c r="I188" s="10" t="inlineStr">
        <is>
          <t>https://dym.asia/services/new-business/relocation/</t>
        </is>
      </c>
      <c r="J188" s="10" t="inlineStr">
        <is>
          <t>https://dym.asia/services/new-business/relocation/</t>
        </is>
      </c>
      <c r="K188" s="47" t="n"/>
      <c r="L188" s="47" t="n"/>
    </row>
    <row r="189" ht="15.75" customHeight="1" s="185">
      <c r="A189" s="52">
        <f>row()-1</f>
        <v/>
      </c>
      <c r="B189" s="46" t="inlineStr">
        <is>
          <t>リーダーシップとは？種類、意味、具体例をわかりやすく解説</t>
        </is>
      </c>
      <c r="C189" s="6" t="inlineStr">
        <is>
          <t>https://dym.asia/media/leadership/</t>
        </is>
      </c>
      <c r="D189" s="12" t="inlineStr">
        <is>
          <t>2024.11.25</t>
        </is>
      </c>
      <c r="E189" s="12" t="inlineStr">
        <is>
          <t>2024.12.19</t>
        </is>
      </c>
      <c r="F189" s="47" t="inlineStr">
        <is>
          <t>法人</t>
        </is>
      </c>
      <c r="G189" s="47" t="inlineStr">
        <is>
          <t>人材</t>
        </is>
      </c>
      <c r="H189" s="47" t="n"/>
      <c r="I189" s="47" t="inlineStr">
        <is>
          <t>URLがありませんでした。</t>
        </is>
      </c>
      <c r="J189" s="10" t="inlineStr">
        <is>
          <t>https://dym.asia/services/new-graduates/development-training/</t>
        </is>
      </c>
      <c r="K189" s="47" t="n"/>
      <c r="L189" s="47" t="n"/>
    </row>
    <row r="190" ht="15.75" customHeight="1" s="185">
      <c r="A190" s="52">
        <f>row()-1</f>
        <v/>
      </c>
      <c r="B190" s="46" t="inlineStr">
        <is>
          <t>LINE公式アカウントの運用代行・コンサルの活用メリット・選び方を解説</t>
        </is>
      </c>
      <c r="C190" s="10" t="inlineStr">
        <is>
          <t>https://dym.asia/media/line-official-consultant/</t>
        </is>
      </c>
      <c r="D190" s="12" t="inlineStr">
        <is>
          <t>2025.08.22</t>
        </is>
      </c>
      <c r="E190" s="12" t="inlineStr">
        <is>
          <t>2025.08.22</t>
        </is>
      </c>
      <c r="F190" s="47" t="inlineStr">
        <is>
          <t>法人</t>
        </is>
      </c>
      <c r="G190" s="47" t="inlineStr">
        <is>
          <t>WEB</t>
        </is>
      </c>
      <c r="H190" s="47" t="n"/>
      <c r="I190" s="10" t="inlineStr">
        <is>
          <t>https://dym.asia/services/web-promotion/line-official-account/</t>
        </is>
      </c>
      <c r="J190" s="10" t="inlineStr">
        <is>
          <t>https://dym.asia/services/web-promotion/line-official-account/</t>
        </is>
      </c>
      <c r="K190" s="47" t="n"/>
      <c r="L190" s="47" t="n"/>
    </row>
    <row r="191" ht="15.75" customHeight="1" s="185">
      <c r="A191" s="52">
        <f>row()-1</f>
        <v/>
      </c>
      <c r="B191" s="46" t="inlineStr">
        <is>
          <t>【運営者向け】LINE公式アカウントを削除する方法を解説｜削除時の注意点も</t>
        </is>
      </c>
      <c r="C191" s="10" t="inlineStr">
        <is>
          <t>https://dym.asia/media/line-official-delete/</t>
        </is>
      </c>
      <c r="D191" s="12" t="inlineStr">
        <is>
          <t>2025.08.21</t>
        </is>
      </c>
      <c r="E191" s="12" t="inlineStr">
        <is>
          <t>2025.08.21</t>
        </is>
      </c>
      <c r="F191" s="47" t="inlineStr">
        <is>
          <t>法人</t>
        </is>
      </c>
      <c r="G191" s="47" t="inlineStr">
        <is>
          <t>WEB</t>
        </is>
      </c>
      <c r="H191" s="47" t="n"/>
      <c r="I191" s="10" t="inlineStr">
        <is>
          <t>https://dym.asia/services/web-promotion/sns-consulting/</t>
        </is>
      </c>
      <c r="J191" s="6" t="inlineStr">
        <is>
          <t>https://dym.asia/services/web-promotion/sns-consulting/</t>
        </is>
      </c>
      <c r="K191" s="47" t="n"/>
      <c r="L191" s="47" t="n"/>
    </row>
    <row r="192" ht="15.75" customHeight="1" s="185">
      <c r="A192" s="52">
        <f>row()-1</f>
        <v/>
      </c>
      <c r="B192" s="46" t="inlineStr">
        <is>
          <t>リスティング広告の費用目安は？予算の決め方やコスパを高めるポイントを解説！</t>
        </is>
      </c>
      <c r="C192" s="10" t="inlineStr">
        <is>
          <t>https://dym.asia/media/listing-ads/</t>
        </is>
      </c>
      <c r="D192" s="12" t="inlineStr">
        <is>
          <t>2024.11.19</t>
        </is>
      </c>
      <c r="E192" s="12" t="inlineStr">
        <is>
          <t>2025.02.17</t>
        </is>
      </c>
      <c r="F192" s="47" t="inlineStr">
        <is>
          <t>法人</t>
        </is>
      </c>
      <c r="G192" s="47" t="inlineStr">
        <is>
          <t>WEB</t>
        </is>
      </c>
      <c r="H192" s="47" t="n"/>
      <c r="I192" s="6" t="inlineStr">
        <is>
          <t>https://dym.asia/services/web-promotion/listing/</t>
        </is>
      </c>
      <c r="J192" s="10" t="inlineStr">
        <is>
          <t>https://dym.asia/services/web-promotion/listing/</t>
        </is>
      </c>
      <c r="K192" s="47" t="n"/>
      <c r="L192" s="47" t="n"/>
    </row>
    <row r="193" ht="15.75" customHeight="1" s="185">
      <c r="A193" s="52">
        <f>row()-1</f>
        <v/>
      </c>
      <c r="B193" s="46" t="inlineStr">
        <is>
          <t>ロジカルシンキングとは？意味や構成要素・論理的思考の鍛え方解説</t>
        </is>
      </c>
      <c r="C193" s="10" t="inlineStr">
        <is>
          <t>https://dym.asia/media/logical-thinking/</t>
        </is>
      </c>
      <c r="D193" s="12" t="inlineStr">
        <is>
          <t>2024.11.25</t>
        </is>
      </c>
      <c r="E193" s="12" t="inlineStr">
        <is>
          <t>2024.12.10</t>
        </is>
      </c>
      <c r="F193" s="47" t="inlineStr">
        <is>
          <t>法人</t>
        </is>
      </c>
      <c r="G193" s="47" t="inlineStr">
        <is>
          <t>人材</t>
        </is>
      </c>
      <c r="H193" s="47" t="n"/>
      <c r="I193" s="10" t="inlineStr">
        <is>
          <t>https://dym.asia/services/new-graduates/development-training/</t>
        </is>
      </c>
      <c r="J193" s="6" t="inlineStr">
        <is>
          <t>https://dym.asia/services/new-graduates/development-training/</t>
        </is>
      </c>
      <c r="K193" s="47" t="n"/>
      <c r="L193" s="47" t="n"/>
    </row>
    <row r="194" ht="15.75" customHeight="1" s="185">
      <c r="A194" s="52">
        <f>row()-1</f>
        <v/>
      </c>
      <c r="B194" s="46" t="inlineStr">
        <is>
          <t>医療法人M&amp;A｜病院売却のスキーム解説</t>
        </is>
      </c>
      <c r="C194" s="10" t="inlineStr">
        <is>
          <t>https://dym.asia/media/medical-corporation-ma/</t>
        </is>
      </c>
      <c r="D194" s="12" t="inlineStr">
        <is>
          <t>2025.04.08</t>
        </is>
      </c>
      <c r="E194" s="12" t="inlineStr">
        <is>
          <t>2025.07.04</t>
        </is>
      </c>
      <c r="F194" s="47" t="inlineStr">
        <is>
          <t>法人</t>
        </is>
      </c>
      <c r="G194" s="47" t="inlineStr">
        <is>
          <t>M&amp;A</t>
        </is>
      </c>
      <c r="H194" s="47" t="n"/>
      <c r="I194" s="10" t="inlineStr">
        <is>
          <t>https://dym.asia/services/m&amp;a/consulting/</t>
        </is>
      </c>
      <c r="J194" s="6" t="inlineStr">
        <is>
          <t>https://dym.asia/services/m&amp;a/consulting/</t>
        </is>
      </c>
      <c r="K194" s="47" t="n"/>
      <c r="L194" s="47" t="n"/>
    </row>
    <row r="195" ht="15.75" customHeight="1" s="185">
      <c r="A195" s="52">
        <f>row()-1</f>
        <v/>
      </c>
      <c r="B195" s="46" t="inlineStr">
        <is>
          <t>ザイオンス効果とは?ビジネスや恋愛での活用法から逆効果になるケースまで解説</t>
        </is>
      </c>
      <c r="C195" s="10" t="inlineStr">
        <is>
          <t>https://dym.asia/media/mere-exposure-effect/</t>
        </is>
      </c>
      <c r="D195" s="12" t="inlineStr">
        <is>
          <t>2024.11.27</t>
        </is>
      </c>
      <c r="E195" s="12" t="inlineStr">
        <is>
          <t>2024.12.09</t>
        </is>
      </c>
      <c r="F195" s="47" t="inlineStr">
        <is>
          <t>法人</t>
        </is>
      </c>
      <c r="G195" s="47" t="inlineStr">
        <is>
          <t>WEB</t>
        </is>
      </c>
      <c r="H195" s="47" t="n"/>
      <c r="I195" s="10" t="inlineStr">
        <is>
          <t>https://dym.asia/services/web-promotion/</t>
        </is>
      </c>
      <c r="J195" s="6" t="inlineStr">
        <is>
          <t>https://dym.asia/services/web-promotion/</t>
        </is>
      </c>
      <c r="K195" s="47" t="n"/>
      <c r="L195" s="47" t="n"/>
    </row>
    <row r="196" ht="15.75" customHeight="1" s="185">
      <c r="A196" s="52">
        <f>row()-1</f>
        <v/>
      </c>
      <c r="B196" s="46" t="inlineStr">
        <is>
          <t>新卒採用の相談はどこにすればいい？採用方法や新卒紹介サービスを解説</t>
        </is>
      </c>
      <c r="C196" s="10" t="inlineStr">
        <is>
          <t>https://dym.asia/media/new-graduation-introduction-consulting/</t>
        </is>
      </c>
      <c r="D196" s="12" t="inlineStr">
        <is>
          <t>2024.11.19</t>
        </is>
      </c>
      <c r="E196" s="12" t="inlineStr">
        <is>
          <t>2024.12.09</t>
        </is>
      </c>
      <c r="F196" s="47" t="inlineStr">
        <is>
          <t>法人</t>
        </is>
      </c>
      <c r="G196" s="47" t="inlineStr">
        <is>
          <t>人材</t>
        </is>
      </c>
      <c r="H196" s="47" t="n"/>
      <c r="I196" s="10" t="inlineStr">
        <is>
          <t>https://dym.asia/services/new-graduates/new-graduate-recruitment/</t>
        </is>
      </c>
      <c r="J196" s="10" t="inlineStr">
        <is>
          <t>https://dym.asia/services/new-graduates/new-graduate-recruitment/</t>
        </is>
      </c>
      <c r="K196" s="47" t="n"/>
      <c r="L196" s="47" t="n"/>
    </row>
    <row r="197" ht="15.75" customHeight="1" s="185">
      <c r="A197" s="52">
        <f>row()-1</f>
        <v/>
      </c>
      <c r="B197" s="46" t="inlineStr">
        <is>
          <t>オプトアウトとは？その意味とビジネスや個人における重要性を徹底解説</t>
        </is>
      </c>
      <c r="C197" s="10" t="inlineStr">
        <is>
          <t>https://dym.asia/media/optout/</t>
        </is>
      </c>
      <c r="D197" s="12" t="inlineStr">
        <is>
          <t>2024.11.20</t>
        </is>
      </c>
      <c r="E197" s="12" t="inlineStr">
        <is>
          <t>2024.12.10</t>
        </is>
      </c>
      <c r="F197" s="47" t="inlineStr">
        <is>
          <t>法人</t>
        </is>
      </c>
      <c r="G197" s="47" t="inlineStr">
        <is>
          <t>WEB</t>
        </is>
      </c>
      <c r="H197" s="47" t="n"/>
      <c r="I197" s="10" t="inlineStr">
        <is>
          <t>https://dym.asia/services/web-promotion/</t>
        </is>
      </c>
      <c r="J197" s="10" t="inlineStr">
        <is>
          <t>https://dym.asia/services/web-promotion/</t>
        </is>
      </c>
      <c r="K197" s="47" t="n"/>
      <c r="L197" s="47" t="n"/>
    </row>
    <row r="198" ht="15.75" customHeight="1" s="185">
      <c r="A198" s="52">
        <f>row()-1</f>
        <v/>
      </c>
      <c r="B198" s="46" t="inlineStr">
        <is>
          <t>パートとアルバイトの違いとは？意味や雇用形態・保険についても解説</t>
        </is>
      </c>
      <c r="C198" s="10" t="inlineStr">
        <is>
          <t>https://dym.asia/media/parttime-casual-employee-differences/</t>
        </is>
      </c>
      <c r="D198" s="12" t="inlineStr">
        <is>
          <t>2025.09.04</t>
        </is>
      </c>
      <c r="E198" s="12" t="inlineStr">
        <is>
          <t>2025.09.04</t>
        </is>
      </c>
      <c r="F198" s="47" t="inlineStr">
        <is>
          <t>法人</t>
        </is>
      </c>
      <c r="G198" s="47" t="inlineStr">
        <is>
          <t>HR Tech</t>
        </is>
      </c>
      <c r="H198" s="47" t="n"/>
      <c r="I198" s="10" t="inlineStr">
        <is>
          <t>https://dym.asia/services/hr-tech/indeed/</t>
        </is>
      </c>
      <c r="J198" s="6" t="inlineStr">
        <is>
          <t>https://dym.asia/services/hr-tech/indeed/</t>
        </is>
      </c>
      <c r="K198" s="47" t="n"/>
      <c r="L198" s="47" t="n"/>
    </row>
    <row r="199" ht="15.75" customHeight="1" s="185">
      <c r="A199" s="52">
        <f>row()-1</f>
        <v/>
      </c>
      <c r="B199" s="46" t="inlineStr">
        <is>
          <t>Perplexity AIとは？使い方やChatGPTとの違いを解説</t>
        </is>
      </c>
      <c r="C199" s="10" t="inlineStr">
        <is>
          <t>https://dym.asia/media/perplexity/</t>
        </is>
      </c>
      <c r="D199" s="12" t="inlineStr">
        <is>
          <t>2025.10.23</t>
        </is>
      </c>
      <c r="E199" s="12" t="inlineStr">
        <is>
          <t>2025.10.23</t>
        </is>
      </c>
      <c r="F199" s="47" t="inlineStr">
        <is>
          <t>法人</t>
        </is>
      </c>
      <c r="G199" s="47" t="inlineStr">
        <is>
          <t>WEB</t>
        </is>
      </c>
      <c r="H199" s="47" t="n"/>
      <c r="I199" s="10" t="inlineStr">
        <is>
          <t>https://dym.asia/services/web-promotion/seo/</t>
        </is>
      </c>
      <c r="J199" s="10" t="inlineStr">
        <is>
          <t>https://dym.asia/services/web-promotion/seo/</t>
        </is>
      </c>
      <c r="K199" s="47" t="n"/>
      <c r="L199" s="47" t="n"/>
    </row>
    <row r="200" ht="15.75" customHeight="1" s="185">
      <c r="A200" s="52">
        <f>row()-1</f>
        <v/>
      </c>
      <c r="B200" s="46" t="inlineStr">
        <is>
          <t>ペルソナマーケティングは古い？今なお使える理由をメリットとともに解説</t>
        </is>
      </c>
      <c r="C200" s="10" t="inlineStr">
        <is>
          <t>https://dym.asia/media/persona-marketnig/</t>
        </is>
      </c>
      <c r="D200" s="12" t="inlineStr">
        <is>
          <t>2024.11.27</t>
        </is>
      </c>
      <c r="E200" s="12" t="inlineStr">
        <is>
          <t>2024.12.09</t>
        </is>
      </c>
      <c r="F200" s="47" t="inlineStr">
        <is>
          <t>法人</t>
        </is>
      </c>
      <c r="G200" s="47" t="inlineStr">
        <is>
          <t>WEB</t>
        </is>
      </c>
      <c r="H200" s="47" t="n"/>
      <c r="I200" s="6" t="inlineStr">
        <is>
          <t>https://dym.asia/services/web-promotion/</t>
        </is>
      </c>
      <c r="J200" s="10" t="inlineStr">
        <is>
          <t>https://dym.asia/services/web-promotion/</t>
        </is>
      </c>
      <c r="K200" s="47" t="n"/>
      <c r="L200" s="47" t="n"/>
    </row>
    <row r="201" ht="15.75" customHeight="1" s="185">
      <c r="A201" s="52">
        <f>row()-1</f>
        <v/>
      </c>
      <c r="B201" s="46" t="inlineStr">
        <is>
          <t>既卒とは？既卒採用のメリットや新卒との違い、おすすめの就活の進め方も解説</t>
        </is>
      </c>
      <c r="C201" s="10" t="inlineStr">
        <is>
          <t>https://dym.asia/media/post_graduate_employment/</t>
        </is>
      </c>
      <c r="D201" s="12" t="inlineStr">
        <is>
          <t>2024.06.14</t>
        </is>
      </c>
      <c r="E201" s="12" t="inlineStr">
        <is>
          <t>2024.06.14</t>
        </is>
      </c>
      <c r="F201" s="47" t="inlineStr">
        <is>
          <t>法人</t>
        </is>
      </c>
      <c r="G201" s="47" t="inlineStr">
        <is>
          <t>人材</t>
        </is>
      </c>
      <c r="H201" s="47" t="n"/>
      <c r="I201" s="10" t="inlineStr">
        <is>
          <t>https://dym.asia/services/new-graduates/Former-graduate/</t>
        </is>
      </c>
      <c r="J201" s="10" t="inlineStr">
        <is>
          <t>https://dym.asia/services/new-graduates/Former-graduate/</t>
        </is>
      </c>
      <c r="K201" s="47" t="n"/>
      <c r="L201" s="47" t="n"/>
    </row>
    <row r="202" ht="15.75" customHeight="1" s="185">
      <c r="A202" s="52">
        <f>row()-1</f>
        <v/>
      </c>
      <c r="B202" s="46" t="inlineStr">
        <is>
          <t>PRとは？意味やメリット・方法・広告との違いを分かりやすく解説！</t>
        </is>
      </c>
      <c r="C202" s="10" t="inlineStr">
        <is>
          <t>https://dym.asia/media/pr/</t>
        </is>
      </c>
      <c r="D202" s="12" t="inlineStr">
        <is>
          <t>2025.05.20</t>
        </is>
      </c>
      <c r="E202" s="12" t="inlineStr">
        <is>
          <t>2025.09.01</t>
        </is>
      </c>
      <c r="F202" s="47" t="inlineStr">
        <is>
          <t>法人</t>
        </is>
      </c>
      <c r="G202" s="47" t="inlineStr">
        <is>
          <t>WEB</t>
        </is>
      </c>
      <c r="H202" s="47" t="n"/>
      <c r="I202" s="10" t="inlineStr">
        <is>
          <t>https://dym.asia/services/web-promotion/production-operation/</t>
        </is>
      </c>
      <c r="J202" s="10" t="inlineStr">
        <is>
          <t>https://dym.asia/services/web-promotion/production-operation/</t>
        </is>
      </c>
      <c r="K202" s="47" t="n"/>
      <c r="L202" s="47" t="n"/>
    </row>
    <row r="203" ht="15.75" customHeight="1" s="185">
      <c r="A203" s="52">
        <f>row()-1</f>
        <v/>
      </c>
      <c r="B203" s="46" t="inlineStr">
        <is>
          <t>リブランディングとは？意味、事例、進め方、失敗から学ぶ成功ポイント</t>
        </is>
      </c>
      <c r="C203" s="10" t="inlineStr">
        <is>
          <t>https://dym.asia/media/re-branding/</t>
        </is>
      </c>
      <c r="D203" s="12" t="inlineStr">
        <is>
          <t>2024.11.27</t>
        </is>
      </c>
      <c r="E203" s="12" t="inlineStr">
        <is>
          <t>2024.12.09</t>
        </is>
      </c>
      <c r="F203" s="47" t="inlineStr">
        <is>
          <t>法人</t>
        </is>
      </c>
      <c r="G203" s="47" t="inlineStr">
        <is>
          <t>WEB</t>
        </is>
      </c>
      <c r="H203" s="47" t="n"/>
      <c r="I203" s="10" t="inlineStr">
        <is>
          <t>https://dym.asia/services/web-promotion/</t>
        </is>
      </c>
      <c r="J203" s="6" t="inlineStr">
        <is>
          <t>https://dym.asia/services/web-promotion/</t>
        </is>
      </c>
      <c r="K203" s="47" t="n"/>
      <c r="L203" s="47" t="n"/>
    </row>
    <row r="204" ht="15.75" customHeight="1" s="185">
      <c r="A204" s="52">
        <f>row()-1</f>
        <v/>
      </c>
      <c r="B204" s="46" t="inlineStr">
        <is>
          <t>不動産M&amp;Aスキームとは？メリット・デメリットを解説</t>
        </is>
      </c>
      <c r="C204" s="10" t="inlineStr">
        <is>
          <t>https://dym.asia/media/real-estate-ma/</t>
        </is>
      </c>
      <c r="D204" s="12" t="inlineStr">
        <is>
          <t>2025.04.08</t>
        </is>
      </c>
      <c r="E204" s="12" t="inlineStr">
        <is>
          <t>2025.04.08</t>
        </is>
      </c>
      <c r="F204" s="47" t="inlineStr">
        <is>
          <t>法人</t>
        </is>
      </c>
      <c r="G204" s="47" t="inlineStr">
        <is>
          <t>M&amp;A</t>
        </is>
      </c>
      <c r="H204" s="47" t="n"/>
      <c r="I204" s="6" t="inlineStr">
        <is>
          <t>https://dym.asia/services/m&amp;a/consulting/</t>
        </is>
      </c>
      <c r="J204" s="6" t="inlineStr">
        <is>
          <t>https://dym.asia/services/m&amp;a/consulting/</t>
        </is>
      </c>
      <c r="K204" s="47" t="n"/>
      <c r="L204" s="47" t="n"/>
    </row>
    <row r="205" ht="15.75" customHeight="1" s="185">
      <c r="A205" s="52">
        <f>row()-1</f>
        <v/>
      </c>
      <c r="B205" s="46" t="inlineStr">
        <is>
          <t>リクルーターとは？採用活動での役割や導入メリット・注意点を解説</t>
        </is>
      </c>
      <c r="C205" s="6" t="inlineStr">
        <is>
          <t>https://dym.asia/media/recruiter/</t>
        </is>
      </c>
      <c r="D205" s="12" t="inlineStr">
        <is>
          <t>2025.09.08</t>
        </is>
      </c>
      <c r="E205" s="12" t="inlineStr">
        <is>
          <t>2025.09.08</t>
        </is>
      </c>
      <c r="F205" s="47" t="inlineStr">
        <is>
          <t>法人</t>
        </is>
      </c>
      <c r="G205" s="47" t="inlineStr">
        <is>
          <t>人材</t>
        </is>
      </c>
      <c r="H205" s="47" t="n"/>
      <c r="I205" s="6" t="inlineStr">
        <is>
          <t>https://dym.asia/services/new-graduates/</t>
        </is>
      </c>
      <c r="J205" s="6" t="inlineStr">
        <is>
          <t>https://dym.asia/services/new-graduates/Former-graduate/</t>
        </is>
      </c>
      <c r="K205" s="47" t="n"/>
      <c r="L205" s="47" t="n"/>
    </row>
    <row r="206" ht="15.75" customHeight="1" s="185">
      <c r="A206" s="52">
        <f>row()-1</f>
        <v/>
      </c>
      <c r="B206" s="46" t="inlineStr">
        <is>
          <t>リマーケティングとは？基礎知識や仕組み、設定方法まで詳しく解説</t>
        </is>
      </c>
      <c r="C206" s="10" t="inlineStr">
        <is>
          <t>https://dym.asia/media/remarketing/</t>
        </is>
      </c>
      <c r="D206" s="12" t="inlineStr">
        <is>
          <t>2024.06.17</t>
        </is>
      </c>
      <c r="E206" s="12" t="inlineStr">
        <is>
          <t>2025.01.28</t>
        </is>
      </c>
      <c r="F206" s="47" t="inlineStr">
        <is>
          <t>法人</t>
        </is>
      </c>
      <c r="G206" s="47" t="inlineStr">
        <is>
          <t>WEB</t>
        </is>
      </c>
      <c r="H206" s="47" t="n"/>
      <c r="I206" s="6" t="inlineStr">
        <is>
          <t>https://dym.asia/services/web-promotion/listing/</t>
        </is>
      </c>
      <c r="J206" s="6" t="inlineStr">
        <is>
          <t>https://dym.asia/services/web-promotion/dsp-native-ads/</t>
        </is>
      </c>
      <c r="K206" s="47" t="n"/>
      <c r="L206" s="47" t="n"/>
    </row>
    <row r="207" ht="15.75" customHeight="1" s="185">
      <c r="A207" s="52">
        <f>row()-1</f>
        <v/>
      </c>
      <c r="B207" s="46" t="inlineStr">
        <is>
          <t>レスポンシブ対応とは？重要性やレスポンシブデザインのサイトの作り方</t>
        </is>
      </c>
      <c r="C207" s="10" t="inlineStr">
        <is>
          <t>https://dym.asia/media/responsive-style/</t>
        </is>
      </c>
      <c r="D207" s="12" t="inlineStr">
        <is>
          <t>2024.11.18</t>
        </is>
      </c>
      <c r="E207" s="12" t="inlineStr">
        <is>
          <t>2024.12.10</t>
        </is>
      </c>
      <c r="F207" s="47" t="inlineStr">
        <is>
          <t>法人</t>
        </is>
      </c>
      <c r="G207" s="47" t="inlineStr">
        <is>
          <t>WEB</t>
        </is>
      </c>
      <c r="H207" s="47" t="n"/>
      <c r="I207" s="6" t="inlineStr">
        <is>
          <t>https://dym.asia/services/web-promotion/seo/</t>
        </is>
      </c>
      <c r="J207" s="6" t="inlineStr">
        <is>
          <t>https://dym.asia/services/web-promotion/seo/</t>
        </is>
      </c>
      <c r="K207" s="47" t="n"/>
      <c r="L207" s="47" t="n"/>
    </row>
    <row r="208" ht="15.75" customHeight="1" s="185">
      <c r="A208" s="52">
        <f>row()-1</f>
        <v/>
      </c>
      <c r="B208" s="46" t="inlineStr">
        <is>
          <t>robots.txtとは？書き方・設定を解説</t>
        </is>
      </c>
      <c r="C208" s="10" t="inlineStr">
        <is>
          <t>https://dym.asia/media/robots-txt/</t>
        </is>
      </c>
      <c r="D208" s="12" t="inlineStr">
        <is>
          <t>2024.11.27</t>
        </is>
      </c>
      <c r="E208" s="12" t="inlineStr">
        <is>
          <t>2024.12.09</t>
        </is>
      </c>
      <c r="F208" s="47" t="inlineStr">
        <is>
          <t>法人</t>
        </is>
      </c>
      <c r="G208" s="47" t="inlineStr">
        <is>
          <t>WEB</t>
        </is>
      </c>
      <c r="H208" s="47" t="n"/>
      <c r="I208" s="6" t="inlineStr">
        <is>
          <t>https://dym.asia/services/web-promotion/production-operation/</t>
        </is>
      </c>
      <c r="J208" s="6" t="inlineStr">
        <is>
          <t>https://dym.asia/services/web-promotion/production-operation/</t>
        </is>
      </c>
      <c r="K208" s="47" t="n"/>
      <c r="L208" s="47" t="n"/>
    </row>
    <row r="209" ht="15.75" customHeight="1" s="185">
      <c r="A209" s="52">
        <f>row()-1</f>
        <v/>
      </c>
      <c r="B209" s="46" t="inlineStr">
        <is>
          <t>【2024年版】SEO対策の費用相場と料金体系を徹底解説</t>
        </is>
      </c>
      <c r="C209" s="10" t="inlineStr">
        <is>
          <t>https://dym.asia/media/seo-cost/</t>
        </is>
      </c>
      <c r="D209" s="12" t="inlineStr">
        <is>
          <t>2024.11.21</t>
        </is>
      </c>
      <c r="E209" s="12" t="inlineStr">
        <is>
          <t>2024.12.09</t>
        </is>
      </c>
      <c r="F209" s="47" t="inlineStr">
        <is>
          <t>法人</t>
        </is>
      </c>
      <c r="G209" s="47" t="inlineStr">
        <is>
          <t>WEB</t>
        </is>
      </c>
      <c r="H209" s="47" t="n"/>
      <c r="I209" s="10" t="inlineStr">
        <is>
          <t>https://dym.asia/services/new-graduates/dym-tech/</t>
        </is>
      </c>
      <c r="J209" s="6" t="inlineStr">
        <is>
          <t>https://dym.asia/services/web-promotion/seo/content-marketing/white-papers/</t>
        </is>
      </c>
      <c r="K209" s="47" t="n"/>
      <c r="L209" s="47" t="n"/>
    </row>
    <row r="210" ht="15.75" customHeight="1" s="185">
      <c r="A210" s="52">
        <f>row()-1</f>
        <v/>
      </c>
      <c r="B210" s="46" t="inlineStr">
        <is>
          <t>SESと派遣の違いとは？報酬条件やメリット・デメリットを解説</t>
        </is>
      </c>
      <c r="C210" s="6" t="inlineStr">
        <is>
          <t>https://dym.asia/media/ses-temporary/</t>
        </is>
      </c>
      <c r="D210" s="12" t="inlineStr">
        <is>
          <t>2024.11.13</t>
        </is>
      </c>
      <c r="E210" s="12" t="inlineStr">
        <is>
          <t>2024.12.09</t>
        </is>
      </c>
      <c r="F210" s="47" t="inlineStr">
        <is>
          <t>法人</t>
        </is>
      </c>
      <c r="G210" s="47" t="inlineStr">
        <is>
          <t>人材</t>
        </is>
      </c>
      <c r="H210" s="47" t="n"/>
      <c r="I210" s="6" t="inlineStr">
        <is>
          <t>https://dym.asia/services/new-graduates/dym-tech/</t>
        </is>
      </c>
      <c r="J210" s="6" t="inlineStr">
        <is>
          <t>https://dym.asia/services/new-graduates/dym-tech/</t>
        </is>
      </c>
      <c r="K210" s="47" t="n"/>
      <c r="L210" s="47" t="n"/>
    </row>
    <row r="211" ht="15.75" customHeight="1" s="185">
      <c r="A211" s="52">
        <f>row()-1</f>
        <v/>
      </c>
      <c r="B211" s="46" t="e"/>
      <c r="C211" s="10" t="inlineStr">
        <is>
          <t>https://dym.asia/media/site-create-subsidy/</t>
        </is>
      </c>
      <c r="D211" s="12" t="inlineStr">
        <is>
          <t>2024.10.23</t>
        </is>
      </c>
      <c r="E211" s="12" t="inlineStr">
        <is>
          <t>2025.01.27</t>
        </is>
      </c>
      <c r="F211" s="47" t="inlineStr">
        <is>
          <t>法人</t>
        </is>
      </c>
      <c r="G211" s="47" t="inlineStr">
        <is>
          <t>WEB</t>
        </is>
      </c>
      <c r="H211" s="47" t="n"/>
      <c r="I211" s="6" t="inlineStr">
        <is>
          <t>https://dym.asia/services/web-promotion/production-operation/</t>
        </is>
      </c>
      <c r="J211" s="6" t="inlineStr">
        <is>
          <t>https://dym.asia/services/web-promotion/production-operation/</t>
        </is>
      </c>
      <c r="K211" s="47" t="n"/>
      <c r="L211" s="47" t="n"/>
    </row>
    <row r="212" ht="15.75" customHeight="1" s="185">
      <c r="A212" s="52">
        <f>row()-1</f>
        <v/>
      </c>
      <c r="B212" s="46" t="inlineStr">
        <is>
          <t>SNS広告の費用目安は？媒体ごとの課金方式やコスパ最大化のコツを徹底解説！</t>
        </is>
      </c>
      <c r="C212" s="10" t="inlineStr">
        <is>
          <t>https://dym.asia/media/sns-ad-cost/</t>
        </is>
      </c>
      <c r="D212" s="12" t="inlineStr">
        <is>
          <t>2024.11.15</t>
        </is>
      </c>
      <c r="E212" s="12" t="inlineStr">
        <is>
          <t>2024.12.09</t>
        </is>
      </c>
      <c r="F212" s="47" t="inlineStr">
        <is>
          <t>法人</t>
        </is>
      </c>
      <c r="G212" s="47" t="inlineStr">
        <is>
          <t>WEB</t>
        </is>
      </c>
      <c r="H212" s="47" t="n"/>
      <c r="I212" s="10" t="inlineStr">
        <is>
          <t>https://dym.asia/services/web-promotion/sns-ads/</t>
        </is>
      </c>
      <c r="J212" s="10" t="inlineStr">
        <is>
          <t>https://dym.asia/services/web-promotion/sns-ads/</t>
        </is>
      </c>
      <c r="K212" s="47" t="n"/>
      <c r="L212" s="47" t="n"/>
    </row>
    <row r="213" ht="15.75" customHeight="1" s="185">
      <c r="A213" s="52">
        <f>row()-1</f>
        <v/>
      </c>
      <c r="B213" s="46" t="inlineStr">
        <is>
          <t>サンクコスト効果とは？「もったいない」心理と対策を紹介</t>
        </is>
      </c>
      <c r="C213" s="10" t="inlineStr">
        <is>
          <t>https://dym.asia/media/sunk-cost/</t>
        </is>
      </c>
      <c r="D213" s="12" t="inlineStr">
        <is>
          <t>2024.11.25</t>
        </is>
      </c>
      <c r="E213" s="12" t="inlineStr">
        <is>
          <t>2024.12.10</t>
        </is>
      </c>
      <c r="F213" s="47" t="inlineStr">
        <is>
          <t>法人</t>
        </is>
      </c>
      <c r="G213" s="47" t="inlineStr">
        <is>
          <t>人材</t>
        </is>
      </c>
      <c r="H213" s="47" t="n"/>
      <c r="I213" s="6" t="inlineStr">
        <is>
          <t>https://dym.asia/services/new-graduates/new-graduate-recruitment/</t>
        </is>
      </c>
      <c r="J213" s="6" t="inlineStr">
        <is>
          <t>https://dym.asia/services/new-graduates/new-graduate-recruitment/</t>
        </is>
      </c>
      <c r="K213" s="47" t="n"/>
      <c r="L213" s="47" t="n"/>
    </row>
    <row r="214" ht="15.75" customHeight="1" s="185">
      <c r="A214" s="52">
        <f>row()-1</f>
        <v/>
      </c>
      <c r="B214" s="46" t="inlineStr">
        <is>
          <t>TikTok広告とは｜種類や費用相場、効果的な運用方法を解説</t>
        </is>
      </c>
      <c r="C214" s="10" t="inlineStr">
        <is>
          <t>https://dym.asia/media/tiktok-ad-operation/</t>
        </is>
      </c>
      <c r="D214" s="12" t="inlineStr">
        <is>
          <t>2024.10.22</t>
        </is>
      </c>
      <c r="E214" s="12" t="inlineStr">
        <is>
          <t>2024.11.12</t>
        </is>
      </c>
      <c r="F214" s="47" t="inlineStr">
        <is>
          <t>法人</t>
        </is>
      </c>
      <c r="G214" s="47" t="inlineStr">
        <is>
          <t>WEB</t>
        </is>
      </c>
      <c r="H214" s="47" t="n"/>
      <c r="I214" s="6" t="inlineStr">
        <is>
          <t>https://dym.asia/services/web-promotion/sns-ads/</t>
        </is>
      </c>
      <c r="J214" s="6" t="inlineStr">
        <is>
          <t>https://dym.asia/services/web-promotion/sns-ads/</t>
        </is>
      </c>
      <c r="K214" s="47" t="n"/>
      <c r="L214" s="47" t="n"/>
    </row>
    <row r="215" ht="15.75" customHeight="1" s="185">
      <c r="A215" s="52">
        <f>row()-1</f>
        <v/>
      </c>
      <c r="B215" s="46" t="inlineStr">
        <is>
          <t>TikTok広告とは？種類・相場・メリットを解説</t>
        </is>
      </c>
      <c r="C215" s="10" t="inlineStr">
        <is>
          <t>https://dym.asia/media/tiktok-ad-type/</t>
        </is>
      </c>
      <c r="D215" s="12" t="inlineStr">
        <is>
          <t>2024.10.22</t>
        </is>
      </c>
      <c r="E215" s="12" t="inlineStr">
        <is>
          <t>2024.11.22</t>
        </is>
      </c>
      <c r="F215" s="47" t="inlineStr">
        <is>
          <t>法人</t>
        </is>
      </c>
      <c r="G215" s="47" t="inlineStr">
        <is>
          <t>WEB</t>
        </is>
      </c>
      <c r="H215" s="47" t="n"/>
      <c r="I215" s="6" t="inlineStr">
        <is>
          <t>https://dym.asia/services/web-promotion/sns-ads/</t>
        </is>
      </c>
      <c r="J215" s="6" t="inlineStr">
        <is>
          <t>https://dym.asia/services/web-promotion/sns-ads/</t>
        </is>
      </c>
      <c r="K215" s="47" t="n"/>
      <c r="L215" s="47" t="n"/>
    </row>
    <row r="216" ht="15.75" customHeight="1" s="185">
      <c r="A216" s="52">
        <f>row()-1</f>
        <v/>
      </c>
      <c r="B216" s="46" t="inlineStr">
        <is>
          <t>ディレクトリとは？意味を簡単にわかりやすく解説</t>
        </is>
      </c>
      <c r="C216" s="6" t="inlineStr">
        <is>
          <t>https://dym.asia/media/web-directory/</t>
        </is>
      </c>
      <c r="D216" s="12" t="inlineStr">
        <is>
          <t>2024.11.29</t>
        </is>
      </c>
      <c r="E216" s="12" t="inlineStr">
        <is>
          <t>2024.12.09</t>
        </is>
      </c>
      <c r="F216" s="47" t="inlineStr">
        <is>
          <t>法人</t>
        </is>
      </c>
      <c r="G216" s="47" t="inlineStr">
        <is>
          <t>WEB</t>
        </is>
      </c>
      <c r="H216" s="47" t="n"/>
      <c r="I216" s="6" t="inlineStr">
        <is>
          <t>https://dym.asia/services/web-promotion/seo/</t>
        </is>
      </c>
      <c r="J216" s="6" t="inlineStr">
        <is>
          <t>https://dym.asia/services/web-promotion/seo/</t>
        </is>
      </c>
      <c r="K216" s="47" t="n"/>
      <c r="L216" s="47" t="n"/>
    </row>
    <row r="217" ht="15.75" customHeight="1" s="185">
      <c r="A217" s="52">
        <f>row()-1</f>
        <v/>
      </c>
      <c r="B217" s="46" t="inlineStr">
        <is>
          <t>WEB広告とは？種類や特徴、費用や効果的な運用方法を詳しく解説</t>
        </is>
      </c>
      <c r="C217" s="10" t="inlineStr">
        <is>
          <t>https://dym.asia/media/web_advertisement/</t>
        </is>
      </c>
      <c r="D217" s="12" t="inlineStr">
        <is>
          <t>2024.06.17</t>
        </is>
      </c>
      <c r="E217" s="12" t="inlineStr">
        <is>
          <t>2024.06.17</t>
        </is>
      </c>
      <c r="F217" s="47" t="inlineStr">
        <is>
          <t>法人</t>
        </is>
      </c>
      <c r="G217" s="47" t="inlineStr">
        <is>
          <t>WEB</t>
        </is>
      </c>
      <c r="H217" s="47" t="n"/>
      <c r="I217" s="10" t="inlineStr">
        <is>
          <t>https://dym.asia/services/web-promotion/</t>
        </is>
      </c>
      <c r="J217" s="6" t="inlineStr">
        <is>
          <t>https://dym.asia/services/new-graduates/</t>
        </is>
      </c>
      <c r="K217" s="47" t="n"/>
      <c r="L217" s="47" t="n"/>
    </row>
    <row r="218" ht="15.75" customHeight="1" s="185">
      <c r="A218" s="52">
        <f>row()-1</f>
        <v/>
      </c>
      <c r="B218" s="46" t="inlineStr">
        <is>
          <t>福利厚生のいい会社とは？ユニークな福利厚生の企業や人気の福利厚生を紹介</t>
        </is>
      </c>
      <c r="C218" s="10" t="inlineStr">
        <is>
          <t>https://dym.asia/media/welfare-company/</t>
        </is>
      </c>
      <c r="D218" s="12" t="inlineStr">
        <is>
          <t>2024.11.15</t>
        </is>
      </c>
      <c r="E218" s="12" t="inlineStr">
        <is>
          <t>2024.12.09</t>
        </is>
      </c>
      <c r="F218" s="47" t="inlineStr">
        <is>
          <t>法人</t>
        </is>
      </c>
      <c r="G218" s="47" t="inlineStr">
        <is>
          <t>人材</t>
        </is>
      </c>
      <c r="H218" s="47" t="n"/>
      <c r="I218" s="6" t="inlineStr">
        <is>
          <t>https://dym.asia/services/new-graduates/welfare/</t>
        </is>
      </c>
      <c r="J218" s="6" t="inlineStr">
        <is>
          <t>https://dym.asia/services/new-graduates/welfare/</t>
        </is>
      </c>
      <c r="K218" s="47" t="n"/>
      <c r="L218" s="47" t="n"/>
    </row>
    <row r="219" ht="15.75" customHeight="1" s="185">
      <c r="A219" s="52">
        <f>row()-1</f>
        <v/>
      </c>
      <c r="B219" s="46" t="inlineStr">
        <is>
          <t>福利厚生の種類と人気の制度、導入のメリットをわかりやすく解説</t>
        </is>
      </c>
      <c r="C219" s="10" t="inlineStr">
        <is>
          <t>https://dym.asia/media/welfare-type/</t>
        </is>
      </c>
      <c r="D219" s="12" t="inlineStr">
        <is>
          <t>2024.11.06</t>
        </is>
      </c>
      <c r="E219" s="12" t="inlineStr">
        <is>
          <t>2024.11.13</t>
        </is>
      </c>
      <c r="F219" s="47" t="inlineStr">
        <is>
          <t>法人</t>
        </is>
      </c>
      <c r="G219" s="47" t="inlineStr">
        <is>
          <t>人材</t>
        </is>
      </c>
      <c r="H219" s="47" t="n"/>
      <c r="I219" s="6" t="inlineStr">
        <is>
          <t>https://dym.asia/services/new-graduates/welfare/</t>
        </is>
      </c>
      <c r="J219" s="6" t="inlineStr">
        <is>
          <t>https://dym.asia/services/new-graduates/welfare/</t>
        </is>
      </c>
      <c r="K219" s="47" t="n"/>
      <c r="L219" s="47" t="n"/>
    </row>
    <row r="220" ht="15.75" customHeight="1" s="185">
      <c r="A220" s="52">
        <f>row()-1</f>
        <v/>
      </c>
      <c r="B220" s="46" t="inlineStr">
        <is>
          <t>【2024年版】福利厚生サービスのおすすめ制度6選！特徴や料金、メリットについても解説</t>
        </is>
      </c>
      <c r="C220" s="10" t="inlineStr">
        <is>
          <t>https://dym.asia/media/welfare_benefits_service/</t>
        </is>
      </c>
      <c r="D220" s="12" t="inlineStr">
        <is>
          <t>2024.06.17</t>
        </is>
      </c>
      <c r="E220" s="12" t="inlineStr">
        <is>
          <t>2024.06.17</t>
        </is>
      </c>
      <c r="F220" s="47" t="inlineStr">
        <is>
          <t>法人</t>
        </is>
      </c>
      <c r="G220" s="47" t="inlineStr">
        <is>
          <t>人材</t>
        </is>
      </c>
      <c r="H220" s="47" t="n"/>
      <c r="I220" s="6" t="inlineStr">
        <is>
          <t>https://dym.asia/services/new-graduates/welfare/</t>
        </is>
      </c>
      <c r="J220" s="6" t="inlineStr">
        <is>
          <t>https://dym.asia/services/new-graduates/welfare/</t>
        </is>
      </c>
      <c r="K220" s="47" t="n"/>
      <c r="L220" s="47" t="n"/>
    </row>
    <row r="221" ht="15.75" customHeight="1" s="185">
      <c r="A221" s="52">
        <f>row()-1</f>
        <v/>
      </c>
      <c r="B221" s="46" t="inlineStr">
        <is>
          <t>障害者雇用で支給される補助金、助成金の条件と種類一覧</t>
        </is>
      </c>
      <c r="C221" s="10" t="inlineStr">
        <is>
          <t>https://dym.asia/media/with-disabilities-grant/</t>
        </is>
      </c>
      <c r="D221" s="12" t="inlineStr">
        <is>
          <t>2024.11.13</t>
        </is>
      </c>
      <c r="E221" s="12" t="inlineStr">
        <is>
          <t>2024.12.09</t>
        </is>
      </c>
      <c r="F221" s="47" t="inlineStr">
        <is>
          <t>法人</t>
        </is>
      </c>
      <c r="G221" s="47" t="inlineStr">
        <is>
          <t>人材</t>
        </is>
      </c>
      <c r="H221" s="47" t="n"/>
      <c r="I221" s="6" t="inlineStr">
        <is>
          <t>https://dym.asia/services/new-graduates/with-disabilities/</t>
        </is>
      </c>
      <c r="J221" s="6" t="inlineStr">
        <is>
          <t>https://dym.asia/services/new-graduates/with-disabilities/</t>
        </is>
      </c>
      <c r="K221" s="47" t="n"/>
      <c r="L221" s="47" t="n"/>
    </row>
    <row r="222" ht="15.75" customHeight="1" s="185">
      <c r="A222" s="52">
        <f>row()-1</f>
        <v/>
      </c>
      <c r="B222" s="46" t="inlineStr">
        <is>
          <t>Twitter採用とは｜メリット・デメリットや成功事例を紹介</t>
        </is>
      </c>
      <c r="C222" s="10" t="inlineStr">
        <is>
          <t>https://dym.asia/media/x-recruitment/</t>
        </is>
      </c>
      <c r="D222" s="12" t="inlineStr">
        <is>
          <t>2024.11.07</t>
        </is>
      </c>
      <c r="E222" s="12" t="inlineStr">
        <is>
          <t>2024.11.13</t>
        </is>
      </c>
      <c r="F222" s="47" t="inlineStr">
        <is>
          <t>法人</t>
        </is>
      </c>
      <c r="G222" s="47" t="inlineStr">
        <is>
          <t>人材</t>
        </is>
      </c>
      <c r="H222" s="47" t="n"/>
      <c r="I222" s="6" t="inlineStr">
        <is>
          <t>https://dym.asia/services/new-graduates/Former-graduate/</t>
        </is>
      </c>
      <c r="J222" s="6" t="inlineStr">
        <is>
          <t>https://dym.asia/services/new-graduates/Former-graduate/</t>
        </is>
      </c>
      <c r="K222" s="47" t="n"/>
      <c r="L222" s="47" t="n"/>
    </row>
    <row r="223" ht="15.75" customHeight="1" s="185">
      <c r="A223" s="52">
        <f>row()-1</f>
        <v/>
      </c>
      <c r="B223" s="46" t="inlineStr">
        <is>
          <t>2025年問題とは？社会への影響と課題、対策をわかりやすく解説</t>
        </is>
      </c>
      <c r="C223" s="10" t="inlineStr">
        <is>
          <t>https://dym.asia/media/2025-problem/</t>
        </is>
      </c>
      <c r="D223" s="12" t="inlineStr">
        <is>
          <t>2024.11.22</t>
        </is>
      </c>
      <c r="E223" s="12" t="inlineStr">
        <is>
          <t>2024.12.09</t>
        </is>
      </c>
      <c r="F223" s="47" t="inlineStr">
        <is>
          <t>法人</t>
        </is>
      </c>
      <c r="G223" s="47" t="inlineStr">
        <is>
          <t>人材</t>
        </is>
      </c>
      <c r="H223" s="47" t="n"/>
      <c r="I223" s="6" t="inlineStr">
        <is>
          <t>https://dym.asia/services/new-graduates/</t>
        </is>
      </c>
      <c r="J223" s="6" t="inlineStr">
        <is>
          <t>https://dym.asia/services/new-graduates/</t>
        </is>
      </c>
      <c r="K223" s="47" t="n"/>
      <c r="L223" s="47" t="n"/>
    </row>
    <row r="224" ht="15.75" customHeight="1" s="185">
      <c r="A224" s="52">
        <f>row()-1</f>
        <v/>
      </c>
      <c r="B224" s="46" t="inlineStr">
        <is>
          <t>吸収合併の特徴とは？合併の種類、M&amp;Aや新設合併との違いを解説</t>
        </is>
      </c>
      <c r="C224" s="6" t="inlineStr">
        <is>
          <t>https://dym.asia/media/absorption-type-merger/</t>
        </is>
      </c>
      <c r="D224" s="12" t="inlineStr">
        <is>
          <t>2024.11.14</t>
        </is>
      </c>
      <c r="E224" s="12" t="inlineStr">
        <is>
          <t>2024.12.09</t>
        </is>
      </c>
      <c r="F224" s="47" t="inlineStr">
        <is>
          <t>法人</t>
        </is>
      </c>
      <c r="G224" s="47" t="inlineStr">
        <is>
          <t>M&amp;A</t>
        </is>
      </c>
      <c r="H224" s="47" t="n"/>
      <c r="I224" s="6" t="inlineStr">
        <is>
          <t>https://dym.asia/services/m&amp;a/consulting/</t>
        </is>
      </c>
      <c r="J224" s="6" t="inlineStr">
        <is>
          <t>https://dym.asia/services/m&amp;a/consulting/</t>
        </is>
      </c>
      <c r="K224" s="47" t="n"/>
      <c r="L224" s="47" t="n"/>
    </row>
    <row r="225" ht="15.75" customHeight="1" s="185">
      <c r="A225" s="52">
        <f>row()-1</f>
        <v/>
      </c>
      <c r="B225" s="46" t="inlineStr">
        <is>
          <t>会計処理の「のれん」とはどういう意味？M&amp;Aとの関係性や償却方法を解説</t>
        </is>
      </c>
      <c r="C225" s="10" t="inlineStr">
        <is>
          <t>https://dym.asia/media/accounting-goodwill/</t>
        </is>
      </c>
      <c r="D225" s="12" t="inlineStr">
        <is>
          <t>2024.11.14</t>
        </is>
      </c>
      <c r="E225" s="12" t="inlineStr">
        <is>
          <t>2024.12.09</t>
        </is>
      </c>
      <c r="F225" s="47" t="inlineStr">
        <is>
          <t>法人</t>
        </is>
      </c>
      <c r="G225" s="47" t="inlineStr">
        <is>
          <t>M&amp;A</t>
        </is>
      </c>
      <c r="H225" s="47" t="n"/>
      <c r="I225" s="6" t="inlineStr">
        <is>
          <t>https://dym.asia/services/m&amp;a/consulting/</t>
        </is>
      </c>
      <c r="J225" s="6" t="inlineStr">
        <is>
          <t>https://dym.asia/services/m&amp;a/consulting/</t>
        </is>
      </c>
      <c r="K225" s="47" t="n"/>
      <c r="L225" s="47" t="n"/>
    </row>
    <row r="226" ht="15.75" customHeight="1" s="185">
      <c r="A226" s="52">
        <f>row()-1</f>
        <v/>
      </c>
      <c r="B226" s="46" t="inlineStr">
        <is>
          <t>企業買収とは？合併との違い、M&amp;Aのメリット・デメリットをわかりやすく解説</t>
        </is>
      </c>
      <c r="C226" s="10" t="inlineStr">
        <is>
          <t>https://dym.asia/media/acquisition/</t>
        </is>
      </c>
      <c r="D226" s="12" t="inlineStr">
        <is>
          <t>2024.11.20</t>
        </is>
      </c>
      <c r="E226" s="12" t="inlineStr">
        <is>
          <t>2024.12.09</t>
        </is>
      </c>
      <c r="F226" s="47" t="inlineStr">
        <is>
          <t>法人</t>
        </is>
      </c>
      <c r="G226" s="47" t="inlineStr">
        <is>
          <t>M&amp;A</t>
        </is>
      </c>
      <c r="H226" s="47" t="n"/>
      <c r="I226" s="6" t="inlineStr">
        <is>
          <t>https://dym.asia/services/m&amp;a/consulting/</t>
        </is>
      </c>
      <c r="J226" s="6" t="inlineStr">
        <is>
          <t>https://dym.asia/services/m&amp;a/consulting/</t>
        </is>
      </c>
      <c r="K226" s="47" t="n"/>
      <c r="L226" s="47" t="n"/>
    </row>
    <row r="227" ht="15.75" customHeight="1" s="185">
      <c r="A227" s="52">
        <f>row()-1</f>
        <v/>
      </c>
      <c r="B227" s="46" t="inlineStr">
        <is>
          <t>芸能人の広告効果を最大限に！タレント起用のポイントは？</t>
        </is>
      </c>
      <c r="C227" s="6" t="inlineStr">
        <is>
          <t>https://dym.asia/media/ad-talent/</t>
        </is>
      </c>
      <c r="D227" s="12" t="inlineStr">
        <is>
          <t>2024.10.17</t>
        </is>
      </c>
      <c r="E227" s="12" t="inlineStr">
        <is>
          <t>2024.10.31</t>
        </is>
      </c>
      <c r="F227" s="47" t="inlineStr">
        <is>
          <t>法人</t>
        </is>
      </c>
      <c r="G227" s="47" t="inlineStr">
        <is>
          <t>WEB</t>
        </is>
      </c>
      <c r="H227" s="47" t="n"/>
      <c r="I227" s="6" t="inlineStr">
        <is>
          <t>https://dym.asia/services/web-promotion/talents-share/</t>
        </is>
      </c>
      <c r="J227" s="6" t="inlineStr">
        <is>
          <t>https://dym.asia/services/web-promotion/talents-share/</t>
        </is>
      </c>
      <c r="K227" s="47" t="n"/>
      <c r="L227" s="47" t="n"/>
    </row>
    <row r="228" ht="15.75" customHeight="1" s="185">
      <c r="A228" s="52">
        <f>row()-1</f>
        <v/>
      </c>
      <c r="B228" s="46" t="inlineStr">
        <is>
          <t>広告運用とは？仕事内容や始め方・必要なスキルを紹介</t>
        </is>
      </c>
      <c r="C228" s="10" t="inlineStr">
        <is>
          <t>https://dym.asia/media/advertising-management/</t>
        </is>
      </c>
      <c r="D228" s="12" t="inlineStr">
        <is>
          <t>2025.10.23</t>
        </is>
      </c>
      <c r="E228" s="12" t="inlineStr">
        <is>
          <t>2025.10.23</t>
        </is>
      </c>
      <c r="F228" s="47" t="inlineStr">
        <is>
          <t>法人</t>
        </is>
      </c>
      <c r="G228" s="47" t="inlineStr">
        <is>
          <t>WEB</t>
        </is>
      </c>
      <c r="H228" s="47" t="n"/>
      <c r="I228" s="6" t="inlineStr">
        <is>
          <t>https://dym.asia/services/web-promotion/</t>
        </is>
      </c>
      <c r="J228" s="6" t="inlineStr">
        <is>
          <t>https://dym.asia/services/web-promotion/</t>
        </is>
      </c>
      <c r="K228" s="47" t="n"/>
      <c r="L228" s="47" t="n"/>
    </row>
    <row r="229" ht="15.75" customHeight="1" s="185">
      <c r="A229" s="52">
        <f>row()-1</f>
        <v/>
      </c>
      <c r="B229" s="46" t="inlineStr">
        <is>
          <t>アフィリエイト広告とは？仕組みとデメリットを分かりやすく解説</t>
        </is>
      </c>
      <c r="C229" s="10" t="inlineStr">
        <is>
          <t>https://dym.asia/media/affiliate-demerit/</t>
        </is>
      </c>
      <c r="D229" s="12" t="inlineStr">
        <is>
          <t>2024.11.21</t>
        </is>
      </c>
      <c r="E229" s="12" t="inlineStr">
        <is>
          <t>2024.12.09</t>
        </is>
      </c>
      <c r="F229" s="47" t="inlineStr">
        <is>
          <t>法人</t>
        </is>
      </c>
      <c r="G229" s="47" t="inlineStr">
        <is>
          <t>WEB</t>
        </is>
      </c>
      <c r="H229" s="47" t="n"/>
      <c r="I229" s="6" t="inlineStr">
        <is>
          <t>https://dym.asia/services/web-promotion/affiliate/</t>
        </is>
      </c>
      <c r="J229" s="6" t="inlineStr">
        <is>
          <t>https://dym.asia/services/web-promotion/affiliate/</t>
        </is>
      </c>
      <c r="K229" s="47" t="n"/>
      <c r="L229" s="47" t="n"/>
    </row>
    <row r="230" ht="15.75" customHeight="1" s="185">
      <c r="A230" s="52">
        <f>row()-1</f>
        <v/>
      </c>
      <c r="B230" s="46" t="inlineStr">
        <is>
          <t>アフィリエイト広告とは？仕組みやメリット・デメリットを解説</t>
        </is>
      </c>
      <c r="C230" s="10" t="inlineStr">
        <is>
          <t>https://dym.asia/media/affiliate-merit/</t>
        </is>
      </c>
      <c r="D230" s="12" t="inlineStr">
        <is>
          <t>2024.11.21</t>
        </is>
      </c>
      <c r="E230" s="12" t="inlineStr">
        <is>
          <t>2024.12.09</t>
        </is>
      </c>
      <c r="F230" s="47" t="inlineStr">
        <is>
          <t>法人</t>
        </is>
      </c>
      <c r="G230" s="47" t="inlineStr">
        <is>
          <t>WEB</t>
        </is>
      </c>
      <c r="H230" s="47" t="n"/>
      <c r="I230" s="6" t="inlineStr">
        <is>
          <t>https://dym.asia/services/web-promotion/affiliate/</t>
        </is>
      </c>
      <c r="J230" s="15" t="inlineStr">
        <is>
          <t>https://dym.asia/services/web-promotion/affiliate/</t>
        </is>
      </c>
      <c r="K230" s="47" t="n"/>
      <c r="L230" s="47" t="n"/>
    </row>
    <row r="231" ht="15.75" customHeight="1" s="185">
      <c r="A231" s="52">
        <f>row()-1</f>
        <v/>
      </c>
      <c r="B231" s="46" t="inlineStr">
        <is>
          <t>アフィリエイトとは？仕組みや報酬獲得の方法、サイトの作り方を解説</t>
        </is>
      </c>
      <c r="C231" s="10" t="inlineStr">
        <is>
          <t>https://dym.asia/media/affiliate/</t>
        </is>
      </c>
      <c r="D231" s="12" t="inlineStr">
        <is>
          <t>2024.05.30</t>
        </is>
      </c>
      <c r="E231" s="12" t="inlineStr">
        <is>
          <t>2024.11.28</t>
        </is>
      </c>
      <c r="F231" s="47" t="inlineStr">
        <is>
          <t>法人</t>
        </is>
      </c>
      <c r="G231" s="47" t="inlineStr">
        <is>
          <t>WEB</t>
        </is>
      </c>
      <c r="H231" s="47" t="n"/>
      <c r="I231" s="6" t="inlineStr">
        <is>
          <t>https://dym.asia/services/web-promotion/affiliate/</t>
        </is>
      </c>
      <c r="J231" s="15" t="inlineStr">
        <is>
          <t>https://dym.asia/services/web-promotion/affiliate/</t>
        </is>
      </c>
      <c r="K231" s="47" t="n"/>
      <c r="L231" s="47" t="n"/>
    </row>
    <row r="232" ht="15.75" customHeight="1" s="185">
      <c r="A232" s="52">
        <f>row()-1</f>
        <v/>
      </c>
      <c r="B232" s="46" t="inlineStr">
        <is>
          <t>AIDMA（アイドマ）とは？意味や活用方法、AISASとの違いまでわかりやすく解説</t>
        </is>
      </c>
      <c r="C232" s="10" t="inlineStr">
        <is>
          <t>https://dym.asia/media/aidma/</t>
        </is>
      </c>
      <c r="D232" s="12" t="inlineStr">
        <is>
          <t>2024.11.27</t>
        </is>
      </c>
      <c r="E232" s="12" t="inlineStr">
        <is>
          <t>2024.12.09</t>
        </is>
      </c>
      <c r="F232" s="47" t="inlineStr">
        <is>
          <t>法人</t>
        </is>
      </c>
      <c r="G232" s="47" t="inlineStr">
        <is>
          <t>WEB</t>
        </is>
      </c>
      <c r="H232" s="47" t="n"/>
      <c r="I232" s="6" t="inlineStr">
        <is>
          <t>https://dym.asia/services/web-promotion/</t>
        </is>
      </c>
      <c r="J232" s="10" t="inlineStr">
        <is>
          <t>https://dym.asia/services/web-promotion/listing/</t>
        </is>
      </c>
      <c r="K232" s="47" t="n"/>
      <c r="L232" s="47" t="n"/>
    </row>
    <row r="233" ht="15.75" customHeight="1" s="185">
      <c r="A233" s="52">
        <f>row()-1</f>
        <v/>
      </c>
      <c r="B233" s="46" t="inlineStr">
        <is>
          <t>アンチエイジングとは？効果的な方法をわかりやすく簡単に解説</t>
        </is>
      </c>
      <c r="C233" s="6" t="inlineStr">
        <is>
          <t>https://dym.asia/media/anti-aging/</t>
        </is>
      </c>
      <c r="D233" s="12" t="inlineStr">
        <is>
          <t>2024.11.20</t>
        </is>
      </c>
      <c r="E233" s="12" t="inlineStr">
        <is>
          <t>2025.02.14</t>
        </is>
      </c>
      <c r="F233" s="47" t="inlineStr">
        <is>
          <t>法人</t>
        </is>
      </c>
      <c r="G233" s="47" t="inlineStr">
        <is>
          <t>クリニック</t>
        </is>
      </c>
      <c r="H233" s="47" t="n"/>
      <c r="I233" s="6" t="inlineStr">
        <is>
          <t>https://dym.asia/services/medicine/</t>
        </is>
      </c>
      <c r="J233" s="6" t="inlineStr">
        <is>
          <t>https://dym.asia/services/medicine/</t>
        </is>
      </c>
      <c r="K233" s="47" t="n"/>
      <c r="L233" s="47" t="n"/>
    </row>
    <row r="234" ht="15.75" customHeight="1" s="185">
      <c r="A234" s="52">
        <f>row()-1</f>
        <v/>
      </c>
      <c r="B234" s="46" t="inlineStr">
        <is>
          <t>APIとは？連携の仕組みをわかりやすく解説</t>
        </is>
      </c>
      <c r="C234" s="10" t="inlineStr">
        <is>
          <t>https://dym.asia/media/api/</t>
        </is>
      </c>
      <c r="D234" s="12" t="inlineStr">
        <is>
          <t>2024.11.27</t>
        </is>
      </c>
      <c r="E234" s="12" t="inlineStr">
        <is>
          <t>2024.12.09</t>
        </is>
      </c>
      <c r="F234" s="47" t="inlineStr">
        <is>
          <t>法人</t>
        </is>
      </c>
      <c r="G234" s="47" t="inlineStr">
        <is>
          <t>WEB</t>
        </is>
      </c>
      <c r="H234" s="47" t="n"/>
      <c r="I234" s="6" t="inlineStr">
        <is>
          <t>https://dym.asia/services/medicine/</t>
        </is>
      </c>
      <c r="J234" s="6" t="inlineStr">
        <is>
          <t>https://dym.asia/services/web-promotion/</t>
        </is>
      </c>
      <c r="K234" s="47" t="n"/>
      <c r="L234" s="47" t="n"/>
    </row>
    <row r="235" ht="15.75" customHeight="1" s="185">
      <c r="A235" s="52">
        <f>row()-1</f>
        <v/>
      </c>
      <c r="B235" s="46" t="inlineStr">
        <is>
          <t>BtoBとは？BtoCとの違いやマーケティングのポイントをわかりやすく解説</t>
        </is>
      </c>
      <c r="C235" s="10" t="inlineStr">
        <is>
          <t>https://dym.asia/media/b-to-b/</t>
        </is>
      </c>
      <c r="D235" s="12" t="inlineStr">
        <is>
          <t>2024.11.26</t>
        </is>
      </c>
      <c r="E235" s="12" t="inlineStr">
        <is>
          <t>2024.12.09</t>
        </is>
      </c>
      <c r="F235" s="47" t="inlineStr">
        <is>
          <t>法人</t>
        </is>
      </c>
      <c r="G235" s="47" t="n"/>
      <c r="H235" s="47" t="n"/>
      <c r="I235" s="6" t="inlineStr">
        <is>
          <t>https://dym.asia/services/new-graduates/Former-graduate/</t>
        </is>
      </c>
      <c r="J235" s="6" t="inlineStr">
        <is>
          <t>https://dym.asia/services/new-graduates/Former-graduate/</t>
        </is>
      </c>
      <c r="K235" s="47" t="n"/>
      <c r="L235" s="47" t="inlineStr">
        <is>
          <t>タグなし</t>
        </is>
      </c>
    </row>
    <row r="236" ht="15.75" customHeight="1" s="185">
      <c r="A236" s="52">
        <f>row()-1</f>
        <v/>
      </c>
      <c r="B236" s="46" t="inlineStr">
        <is>
          <t>目の下のたるみ改善ガイド：原因と効果的な対策法を徹底解説</t>
        </is>
      </c>
      <c r="C236" s="10" t="inlineStr">
        <is>
          <t>https://dym.asia/media/bag-under-the-eyes/</t>
        </is>
      </c>
      <c r="D236" s="12" t="inlineStr">
        <is>
          <t>2024.11.21</t>
        </is>
      </c>
      <c r="E236" s="12" t="inlineStr">
        <is>
          <t>2025.02.17</t>
        </is>
      </c>
      <c r="F236" s="47" t="inlineStr">
        <is>
          <t>法人</t>
        </is>
      </c>
      <c r="G236" s="47" t="inlineStr">
        <is>
          <t>クリニック</t>
        </is>
      </c>
      <c r="H236" s="47" t="n"/>
      <c r="I236" s="6" t="inlineStr">
        <is>
          <t>https://dym.asia/services/medicine/</t>
        </is>
      </c>
      <c r="J236" s="6" t="inlineStr">
        <is>
          <t>https://dym.asia/services/medicine/</t>
        </is>
      </c>
      <c r="K236" s="47" t="n"/>
      <c r="L236" s="47" t="n"/>
    </row>
    <row r="237" ht="15.75" customHeight="1" s="185">
      <c r="A237" s="52">
        <f>row()-1</f>
        <v/>
      </c>
      <c r="B237" s="46" t="inlineStr">
        <is>
          <t>バンコクでの病院の選び方とおすすめクリニック【日本語対応可、保険対応、夜間診療】</t>
        </is>
      </c>
      <c r="C237" s="10" t="inlineStr">
        <is>
          <t>https://dym.asia/media/bangkok_hospital/</t>
        </is>
      </c>
      <c r="D237" s="12" t="inlineStr">
        <is>
          <t>2024.05.30</t>
        </is>
      </c>
      <c r="E237" s="12" t="inlineStr">
        <is>
          <t>2024.06.14</t>
        </is>
      </c>
      <c r="F237" s="47" t="inlineStr">
        <is>
          <t>法人</t>
        </is>
      </c>
      <c r="G237" s="47" t="inlineStr">
        <is>
          <t>クリニック</t>
        </is>
      </c>
      <c r="H237" s="47" t="n"/>
      <c r="I237" s="6" t="inlineStr">
        <is>
          <t>https://dym.asia/services/medicine/thailand-clinic/</t>
        </is>
      </c>
      <c r="J237" s="6" t="inlineStr">
        <is>
          <t>https://dym.asia/services/medicine/thailand-clinic/</t>
        </is>
      </c>
      <c r="K237" s="47" t="n"/>
      <c r="L237" s="47" t="n"/>
    </row>
    <row r="238" ht="15.75" customHeight="1" s="185">
      <c r="A238" s="52">
        <f>row()-1</f>
        <v/>
      </c>
      <c r="B238" s="46" t="inlineStr">
        <is>
          <t>スポーツと企業のスポンサーシップの効果</t>
        </is>
      </c>
      <c r="C238" s="6" t="inlineStr">
        <is>
          <t>https://dym.asia/media/basketball-sponsor/</t>
        </is>
      </c>
      <c r="D238" s="12" t="inlineStr">
        <is>
          <t>2024.11.18</t>
        </is>
      </c>
      <c r="E238" s="12" t="inlineStr">
        <is>
          <t>2024.12.10</t>
        </is>
      </c>
      <c r="F238" s="47" t="inlineStr">
        <is>
          <t>法人</t>
        </is>
      </c>
      <c r="G238" s="47" t="inlineStr">
        <is>
          <t>Dリーグ</t>
        </is>
      </c>
      <c r="H238" s="47" t="n"/>
      <c r="I238" s="6" t="inlineStr">
        <is>
          <t>https://dym.asia/services/sports/</t>
        </is>
      </c>
      <c r="J238" s="6" t="inlineStr">
        <is>
          <t>https://dym.asia/services/sports/</t>
        </is>
      </c>
      <c r="K238" s="47" t="n"/>
      <c r="L238" s="47" t="n"/>
    </row>
    <row r="239" ht="15.75" customHeight="1" s="185">
      <c r="A239" s="52">
        <f>row()-1</f>
        <v/>
      </c>
      <c r="B239" s="46" t="inlineStr">
        <is>
          <t>就職する際に必要な病院で受ける入社前健康診断とは？</t>
        </is>
      </c>
      <c r="C239" s="6" t="inlineStr">
        <is>
          <t>https://dym.asia/media/before-joining-health-check-hospital/</t>
        </is>
      </c>
      <c r="D239" s="12" t="inlineStr">
        <is>
          <t>2024.11.21</t>
        </is>
      </c>
      <c r="E239" s="12" t="inlineStr">
        <is>
          <t>2025.02.17</t>
        </is>
      </c>
      <c r="F239" s="47" t="inlineStr">
        <is>
          <t>法人</t>
        </is>
      </c>
      <c r="G239" s="47" t="inlineStr">
        <is>
          <t>クリニック</t>
        </is>
      </c>
      <c r="H239" s="47" t="n"/>
      <c r="I239" s="6" t="inlineStr">
        <is>
          <t>https://dym.asia/services/medicine/</t>
        </is>
      </c>
      <c r="J239" s="6" t="inlineStr">
        <is>
          <t>https://dym.asia/services/medicine/</t>
        </is>
      </c>
      <c r="K239" s="47" t="n"/>
      <c r="L239" s="47" t="n"/>
    </row>
    <row r="240" ht="15.75" customHeight="1" s="185">
      <c r="A240" s="52">
        <f>row()-1</f>
        <v/>
      </c>
      <c r="B240" s="46" t="inlineStr">
        <is>
          <t>入社前健康診断とは？検査項目や費用を抑える方法について</t>
        </is>
      </c>
      <c r="C240" s="6" t="inlineStr">
        <is>
          <t>https://dym.asia/media/before-joining-health-check-reasonable/</t>
        </is>
      </c>
      <c r="D240" s="12" t="inlineStr">
        <is>
          <t>2024.11.19</t>
        </is>
      </c>
      <c r="E240" s="12" t="inlineStr">
        <is>
          <t>2025.02.14</t>
        </is>
      </c>
      <c r="F240" s="47" t="inlineStr">
        <is>
          <t>法人</t>
        </is>
      </c>
      <c r="G240" s="47" t="inlineStr">
        <is>
          <t>クリニック</t>
        </is>
      </c>
      <c r="H240" s="47" t="n"/>
      <c r="I240" s="6" t="inlineStr">
        <is>
          <t>https://dym.asia/services/medicine/</t>
        </is>
      </c>
      <c r="J240" s="6" t="inlineStr">
        <is>
          <t>https://dym.asia/services/medicine/</t>
        </is>
      </c>
      <c r="K240" s="47" t="n"/>
      <c r="L240" s="47" t="n"/>
    </row>
    <row r="241" ht="15.75" customHeight="1" s="185">
      <c r="A241" s="52">
        <f>row()-1</f>
        <v/>
      </c>
      <c r="B241" s="46" t="inlineStr">
        <is>
          <t>ベネフィットとは？意味、メリットとの違い、使い方を解説</t>
        </is>
      </c>
      <c r="C241" s="10" t="inlineStr">
        <is>
          <t>https://dym.asia/media/benefit/</t>
        </is>
      </c>
      <c r="D241" s="12" t="inlineStr">
        <is>
          <t>2024.11.25</t>
        </is>
      </c>
      <c r="E241" s="12" t="inlineStr">
        <is>
          <t>2024.12.10</t>
        </is>
      </c>
      <c r="F241" s="47" t="inlineStr">
        <is>
          <t>法人</t>
        </is>
      </c>
      <c r="G241" s="47" t="inlineStr">
        <is>
          <t>人材</t>
        </is>
      </c>
      <c r="H241" s="47" t="n"/>
      <c r="I241" s="6" t="inlineStr">
        <is>
          <t>https://dym.asia/services/new-graduates/</t>
        </is>
      </c>
      <c r="J241" s="6" t="inlineStr">
        <is>
          <t>https://dym.asia/services/new-graduates/</t>
        </is>
      </c>
      <c r="K241" s="47" t="n"/>
      <c r="L241" s="47" t="n"/>
    </row>
    <row r="242" ht="15.75" customHeight="1" s="185">
      <c r="A242" s="52">
        <f>row()-1</f>
        <v/>
      </c>
      <c r="B242" s="46" t="inlineStr">
        <is>
          <t>健康診断の血液検査で何がわかる？結果の見方と注意点</t>
        </is>
      </c>
      <c r="C242" s="10" t="inlineStr">
        <is>
          <t>https://dym.asia/media/blood-test/</t>
        </is>
      </c>
      <c r="D242" s="12" t="inlineStr">
        <is>
          <t>2024.11.19</t>
        </is>
      </c>
      <c r="E242" s="12" t="inlineStr">
        <is>
          <t>2025.02.14</t>
        </is>
      </c>
      <c r="F242" s="47" t="inlineStr">
        <is>
          <t>法人</t>
        </is>
      </c>
      <c r="G242" s="47" t="inlineStr">
        <is>
          <t>クリニック</t>
        </is>
      </c>
      <c r="H242" s="47" t="n"/>
      <c r="I242" s="6" t="inlineStr">
        <is>
          <t>https://dym.asia/services/medicine/</t>
        </is>
      </c>
      <c r="J242" s="6" t="inlineStr">
        <is>
          <t>https://dym.asia/services/medicine/</t>
        </is>
      </c>
      <c r="K242" s="47" t="n"/>
      <c r="L242" s="47" t="n"/>
    </row>
    <row r="243" ht="15.75" customHeight="1" s="185">
      <c r="A243" s="52">
        <f>row()-1</f>
        <v/>
      </c>
      <c r="B243" s="46" t="inlineStr">
        <is>
          <t>BPOとは？意味、メリット、対象業務、企業選びを分かりやすく解説</t>
        </is>
      </c>
      <c r="C243" s="6" t="inlineStr">
        <is>
          <t>https://dym.asia/media/bpo-guide-for-business/</t>
        </is>
      </c>
      <c r="D243" s="12" t="inlineStr">
        <is>
          <t>2025.04.10</t>
        </is>
      </c>
      <c r="E243" s="12" t="inlineStr">
        <is>
          <t>2025.07.02</t>
        </is>
      </c>
      <c r="F243" s="47" t="inlineStr">
        <is>
          <t>法人</t>
        </is>
      </c>
      <c r="G243" s="47" t="inlineStr">
        <is>
          <t>HR Tech</t>
        </is>
      </c>
      <c r="H243" s="47" t="n"/>
      <c r="I243" s="6" t="inlineStr">
        <is>
          <t>https://dym.asia/services/hr-tech/</t>
        </is>
      </c>
      <c r="J243" s="6" t="inlineStr">
        <is>
          <t>https://dym.asia/services/hr-tech/</t>
        </is>
      </c>
      <c r="K243" s="47" t="n"/>
      <c r="L243" s="47" t="n"/>
    </row>
    <row r="244" ht="15.75" customHeight="1" s="185">
      <c r="A244" s="52">
        <f>row()-1</f>
        <v/>
      </c>
      <c r="B244" s="46" t="inlineStr">
        <is>
          <t>コーチングとは？ビジネスにおける重要性や5つのやり方を解説</t>
        </is>
      </c>
      <c r="C244" s="10" t="inlineStr">
        <is>
          <t>https://dym.asia/media/business-coaching/</t>
        </is>
      </c>
      <c r="D244" s="12" t="inlineStr">
        <is>
          <t>2024.11.22</t>
        </is>
      </c>
      <c r="E244" s="12" t="inlineStr">
        <is>
          <t>2024.12.10</t>
        </is>
      </c>
      <c r="F244" s="47" t="inlineStr">
        <is>
          <t>法人</t>
        </is>
      </c>
      <c r="G244" s="47" t="inlineStr">
        <is>
          <t>人材</t>
        </is>
      </c>
      <c r="H244" s="47" t="n"/>
      <c r="I244" s="6" t="inlineStr">
        <is>
          <t>https://dym.asia/services/new-graduates/development-training/</t>
        </is>
      </c>
      <c r="J244" s="6" t="inlineStr">
        <is>
          <t>https://dym.asia/services/new-graduates/development-training/</t>
        </is>
      </c>
      <c r="K244" s="47" t="n"/>
      <c r="L244" s="47" t="n"/>
    </row>
    <row r="245" ht="15.75" customHeight="1" s="185">
      <c r="A245" s="52">
        <f>row()-1</f>
        <v/>
      </c>
      <c r="B245" s="46" t="inlineStr">
        <is>
          <t>事業承継と事業継承は意味が違う？事業承継の定義と種類、流れや注意点を詳しく解説</t>
        </is>
      </c>
      <c r="C245" s="10" t="inlineStr">
        <is>
          <t>https://dym.asia/media/business-succession/</t>
        </is>
      </c>
      <c r="D245" s="12" t="inlineStr">
        <is>
          <t>2024.11.14</t>
        </is>
      </c>
      <c r="E245" s="12" t="inlineStr">
        <is>
          <t>2024.12.09</t>
        </is>
      </c>
      <c r="F245" s="47" t="inlineStr">
        <is>
          <t>法人</t>
        </is>
      </c>
      <c r="G245" s="47" t="inlineStr">
        <is>
          <t>M&amp;A</t>
        </is>
      </c>
      <c r="H245" s="47" t="n"/>
      <c r="I245" s="6" t="inlineStr">
        <is>
          <t>https://dym.asia/services/m&amp;a/consulting/</t>
        </is>
      </c>
      <c r="J245" s="6" t="inlineStr">
        <is>
          <t>https://dym.asia/services/m&amp;a/consulting/</t>
        </is>
      </c>
      <c r="K245" s="47" t="n"/>
      <c r="L245" s="47" t="n"/>
    </row>
    <row r="246" ht="15.75" customHeight="1" s="185">
      <c r="A246" s="52">
        <f>row()-1</f>
        <v/>
      </c>
      <c r="B246" s="46" t="inlineStr">
        <is>
          <t>ワークライフバランスとは？定義と目的を考える</t>
        </is>
      </c>
      <c r="C246" s="6" t="inlineStr">
        <is>
          <t>https://dym.asia/media/business-work-life-balance/</t>
        </is>
      </c>
      <c r="D246" s="12" t="inlineStr">
        <is>
          <t>2024.11.22</t>
        </is>
      </c>
      <c r="E246" s="12" t="inlineStr">
        <is>
          <t>2024.12.10</t>
        </is>
      </c>
      <c r="F246" s="47" t="inlineStr">
        <is>
          <t>法人</t>
        </is>
      </c>
      <c r="G246" s="47" t="inlineStr">
        <is>
          <t>人材</t>
        </is>
      </c>
      <c r="H246" s="47" t="n"/>
      <c r="I246" s="6" t="inlineStr">
        <is>
          <t>https://dym.asia/services/new-graduates/welfare/</t>
        </is>
      </c>
      <c r="J246" s="6" t="inlineStr">
        <is>
          <t>https://dym.asia/services/new-graduates/welfare/</t>
        </is>
      </c>
      <c r="K246" s="47" t="n"/>
      <c r="L246" s="47" t="n"/>
    </row>
    <row r="247" ht="15.75" customHeight="1" s="185">
      <c r="A247" s="52">
        <f>row()-1</f>
        <v/>
      </c>
      <c r="B247" s="46" t="inlineStr">
        <is>
          <t>ビジネスマナー研修とは？必要性や目的、プログラム例や効率的な実施方法を紹介</t>
        </is>
      </c>
      <c r="C247" s="6" t="inlineStr">
        <is>
          <t>https://dym.asia/media/business_manners_training/</t>
        </is>
      </c>
      <c r="D247" s="12" t="inlineStr">
        <is>
          <t>2024.05.30</t>
        </is>
      </c>
      <c r="E247" s="12" t="inlineStr">
        <is>
          <t>2024.06.14</t>
        </is>
      </c>
      <c r="F247" s="47" t="inlineStr">
        <is>
          <t>法人</t>
        </is>
      </c>
      <c r="G247" s="47" t="inlineStr">
        <is>
          <t>人材</t>
        </is>
      </c>
      <c r="H247" s="47" t="n"/>
      <c r="I247" s="6" t="inlineStr">
        <is>
          <t>https://dym.asia/services/new-graduates/development-training/</t>
        </is>
      </c>
      <c r="J247" s="6" t="inlineStr">
        <is>
          <t>https://dym.asia/services/new-graduates/development-training/</t>
        </is>
      </c>
      <c r="K247" s="47" t="n"/>
      <c r="L247" s="47" t="n"/>
    </row>
    <row r="248" ht="15.75" customHeight="1" s="185">
      <c r="A248" s="52">
        <f>row()-1</f>
        <v/>
      </c>
      <c r="B248" s="46" t="inlineStr">
        <is>
          <t>バイアウトとは？種類やメリット、成功のコツや注意点を解説</t>
        </is>
      </c>
      <c r="C248" s="10" t="inlineStr">
        <is>
          <t>https://dym.asia/media/buyout/</t>
        </is>
      </c>
      <c r="D248" s="12" t="inlineStr">
        <is>
          <t>2024.05.30</t>
        </is>
      </c>
      <c r="E248" s="12" t="inlineStr">
        <is>
          <t>2024.06.14</t>
        </is>
      </c>
      <c r="F248" s="47" t="inlineStr">
        <is>
          <t>法人</t>
        </is>
      </c>
      <c r="G248" s="47" t="inlineStr">
        <is>
          <t>M&amp;A</t>
        </is>
      </c>
      <c r="H248" s="47" t="n"/>
      <c r="I248" s="6" t="inlineStr">
        <is>
          <t>https://dym.asia/services/m&amp;a/consulting/</t>
        </is>
      </c>
      <c r="J248" s="6" t="inlineStr">
        <is>
          <t>https://dym.asia/services/m&amp;a/consulting/</t>
        </is>
      </c>
      <c r="K248" s="47" t="n"/>
      <c r="L248" s="47" t="n"/>
    </row>
    <row r="249" ht="15.75" customHeight="1" s="185">
      <c r="A249" s="52">
        <f>row()-1</f>
        <v/>
      </c>
      <c r="B249" s="46" t="inlineStr">
        <is>
          <t>コールセンター代行会社のおすすめ｜対応業務や選び方・費用相場まで</t>
        </is>
      </c>
      <c r="C249" s="10" t="inlineStr">
        <is>
          <t>https://dym.asia/media/callcenter-outsourcing/</t>
        </is>
      </c>
      <c r="D249" s="12" t="inlineStr">
        <is>
          <t>2024.11.18</t>
        </is>
      </c>
      <c r="E249" s="12" t="inlineStr">
        <is>
          <t>2024.12.19</t>
        </is>
      </c>
      <c r="F249" s="47" t="inlineStr">
        <is>
          <t>法人</t>
        </is>
      </c>
      <c r="G249" s="47" t="inlineStr">
        <is>
          <t>HR Tech</t>
        </is>
      </c>
      <c r="H249" s="47" t="n"/>
      <c r="I249" s="6" t="inlineStr">
        <is>
          <t>https://dym.asia/services/hr-tech/call-center/</t>
        </is>
      </c>
      <c r="J249" s="10" t="inlineStr">
        <is>
          <t>https://dym.asia/media/callcenter-outsourcing/</t>
        </is>
      </c>
      <c r="K249" s="47" t="n"/>
      <c r="L249" s="47" t="n"/>
    </row>
    <row r="250" ht="15.75" customHeight="1" s="185">
      <c r="A250" s="52">
        <f>row()-1</f>
        <v/>
      </c>
      <c r="B250" s="46" t="inlineStr">
        <is>
          <t>キャリアアップ助成金の活用ガイド：企業成長と人材育成を支援する制度</t>
        </is>
      </c>
      <c r="C250" s="10" t="inlineStr">
        <is>
          <t>https://dym.asia/media/career-up-grant/</t>
        </is>
      </c>
      <c r="D250" s="12" t="inlineStr">
        <is>
          <t>2024.11.22</t>
        </is>
      </c>
      <c r="E250" s="12" t="inlineStr">
        <is>
          <t>2024.12.10</t>
        </is>
      </c>
      <c r="F250" s="47" t="inlineStr">
        <is>
          <t>法人</t>
        </is>
      </c>
      <c r="G250" s="47" t="inlineStr">
        <is>
          <t>人材</t>
        </is>
      </c>
      <c r="H250" s="47" t="n"/>
      <c r="I250" s="6" t="inlineStr">
        <is>
          <t>https://dym.asia/media/career-up-grant/</t>
        </is>
      </c>
      <c r="J250" s="6" t="inlineStr">
        <is>
          <t>https://dym.asia/media/career-up-grant/</t>
        </is>
      </c>
      <c r="K250" s="47" t="n"/>
      <c r="L250" s="47" t="n"/>
    </row>
    <row r="251" ht="15.75" customHeight="1" s="185">
      <c r="A251" s="52">
        <f>row()-1</f>
        <v/>
      </c>
      <c r="B251" s="46" t="inlineStr">
        <is>
          <t>タレントのキャスティング会社とは？役割や依頼するメリット、選び方を解説</t>
        </is>
      </c>
      <c r="C251" s="6" t="inlineStr">
        <is>
          <t>https://dym.asia/media/casting-company/</t>
        </is>
      </c>
      <c r="D251" s="12" t="inlineStr">
        <is>
          <t>2024.10.17</t>
        </is>
      </c>
      <c r="E251" s="12" t="inlineStr">
        <is>
          <t>2024.11.06</t>
        </is>
      </c>
      <c r="F251" s="47" t="inlineStr">
        <is>
          <t>法人</t>
        </is>
      </c>
      <c r="G251" s="47" t="inlineStr">
        <is>
          <t>WEB</t>
        </is>
      </c>
      <c r="H251" s="47" t="n"/>
      <c r="I251" s="6" t="inlineStr">
        <is>
          <t>https://dym.asia/services/web-promotion/talents-share/</t>
        </is>
      </c>
      <c r="J251" s="6" t="inlineStr">
        <is>
          <t>https://dym.asia/services/web-promotion/talents-share/</t>
        </is>
      </c>
      <c r="K251" s="47" t="n"/>
      <c r="L251" s="47" t="n"/>
    </row>
    <row r="252" ht="15.75" customHeight="1" s="185">
      <c r="A252" s="52">
        <f>row()-1</f>
        <v/>
      </c>
      <c r="B252" s="46" t="inlineStr">
        <is>
          <t>育児休業（育休）とは？休暇との違いや期間はいつまでか、給付金はいくらなのか解説</t>
        </is>
      </c>
      <c r="C252" s="10" t="inlineStr">
        <is>
          <t>https://dym.asia/media/childcare-leave/</t>
        </is>
      </c>
      <c r="D252" s="12" t="inlineStr">
        <is>
          <t>2024.11.25</t>
        </is>
      </c>
      <c r="E252" s="12" t="inlineStr">
        <is>
          <t>2024.12.19</t>
        </is>
      </c>
      <c r="F252" s="47" t="inlineStr">
        <is>
          <t>法人</t>
        </is>
      </c>
      <c r="G252" s="47" t="inlineStr">
        <is>
          <t>人材</t>
        </is>
      </c>
      <c r="H252" s="47" t="n"/>
      <c r="I252" s="6" t="inlineStr">
        <is>
          <t>https://dym.asia/services/new-graduates/welfare/</t>
        </is>
      </c>
      <c r="J252" s="6" t="inlineStr">
        <is>
          <t>https://dym.asia/services/new-graduates/welfare/</t>
        </is>
      </c>
      <c r="K252" s="47" t="n"/>
      <c r="L252" s="47" t="n"/>
    </row>
    <row r="253" ht="15.75" customHeight="1" s="185">
      <c r="A253" s="52">
        <f>row()-1</f>
        <v/>
      </c>
      <c r="B253" s="46" t="inlineStr">
        <is>
          <t>クリニックのM&amp;A・事業継承のメリットや手続きを解説！売却価格相場も紹介</t>
        </is>
      </c>
      <c r="C253" s="6" t="inlineStr">
        <is>
          <t>https://dym.asia/media/clinic-mna/</t>
        </is>
      </c>
      <c r="D253" s="12" t="inlineStr">
        <is>
          <t>2025.08.28</t>
        </is>
      </c>
      <c r="E253" s="12" t="inlineStr">
        <is>
          <t>2025.08.28</t>
        </is>
      </c>
      <c r="F253" s="47" t="inlineStr">
        <is>
          <t>法人</t>
        </is>
      </c>
      <c r="G253" s="47" t="inlineStr">
        <is>
          <t>M&amp;A</t>
        </is>
      </c>
      <c r="H253" s="47" t="n"/>
      <c r="I253" s="6" t="inlineStr">
        <is>
          <t>https://dym.asia/services/m&amp;a/consulting/</t>
        </is>
      </c>
      <c r="J253" s="6" t="inlineStr">
        <is>
          <t>https://dym.asia/services/m&amp;a/consulting/</t>
        </is>
      </c>
      <c r="K253" s="47" t="n"/>
      <c r="L253" s="47" t="n"/>
    </row>
    <row r="254" ht="15.75" customHeight="1" s="185">
      <c r="A254" s="52">
        <f>row()-1</f>
        <v/>
      </c>
      <c r="B254" s="46" t="inlineStr">
        <is>
          <t>コーディングとは？プログラミングとの違いや必要なスキルをわかりやすく解説</t>
        </is>
      </c>
      <c r="C254" s="6" t="inlineStr">
        <is>
          <t>https://dym.asia/media/coding/</t>
        </is>
      </c>
      <c r="D254" s="12" t="inlineStr">
        <is>
          <t>2025.10.23</t>
        </is>
      </c>
      <c r="E254" s="12" t="inlineStr">
        <is>
          <t>2025.10.23</t>
        </is>
      </c>
      <c r="F254" s="47" t="inlineStr">
        <is>
          <t>法人</t>
        </is>
      </c>
      <c r="G254" s="47" t="inlineStr">
        <is>
          <t>WEB</t>
        </is>
      </c>
      <c r="H254" s="47" t="n"/>
      <c r="I254" s="6" t="inlineStr">
        <is>
          <t>https://dym.asia/services/web-promotion/</t>
        </is>
      </c>
      <c r="J254" s="6" t="inlineStr">
        <is>
          <t>https://dym.asia/services/web-promotion/</t>
        </is>
      </c>
      <c r="K254" s="47" t="n"/>
      <c r="L254" s="47" t="n"/>
    </row>
    <row r="255" ht="15.75" customHeight="1" s="185">
      <c r="A255" s="52">
        <f>row()-1</f>
        <v/>
      </c>
      <c r="B255" s="46" t="inlineStr">
        <is>
          <t>クレーム対応の基本！手順と適切な話し方、コツ、NGポイントを解説</t>
        </is>
      </c>
      <c r="C255" s="6" t="inlineStr">
        <is>
          <t>https://dym.asia/media/complaint-handling/</t>
        </is>
      </c>
      <c r="D255" s="12" t="inlineStr">
        <is>
          <t>2024.11.19</t>
        </is>
      </c>
      <c r="E255" s="12" t="inlineStr">
        <is>
          <t>2024.12.19</t>
        </is>
      </c>
      <c r="F255" s="47" t="inlineStr">
        <is>
          <t>法人</t>
        </is>
      </c>
      <c r="G255" s="47" t="inlineStr">
        <is>
          <t>HR Tech</t>
        </is>
      </c>
      <c r="H255" s="47" t="n"/>
      <c r="I255" s="6" t="inlineStr">
        <is>
          <t>https://dym.asia/services/hr-tech/</t>
        </is>
      </c>
      <c r="J255" s="6" t="inlineStr">
        <is>
          <t>https://dym.asia/services/hr-tech/</t>
        </is>
      </c>
      <c r="K255" s="47" t="n"/>
      <c r="L255" s="47" t="n"/>
    </row>
    <row r="256" ht="15.75" customHeight="1" s="185">
      <c r="A256" s="52">
        <f>row()-1</f>
        <v/>
      </c>
      <c r="B256" s="46" t="inlineStr">
        <is>
          <t>施工管理技士の採用は難しい？採用成功法を紹介</t>
        </is>
      </c>
      <c r="C256" s="6" t="inlineStr">
        <is>
          <t>https://dym.asia/media/construction-management-employ/</t>
        </is>
      </c>
      <c r="D256" s="12" t="inlineStr">
        <is>
          <t>2024.10.28</t>
        </is>
      </c>
      <c r="E256" s="12" t="inlineStr">
        <is>
          <t>2025.02.03</t>
        </is>
      </c>
      <c r="F256" s="47" t="inlineStr">
        <is>
          <t>法人</t>
        </is>
      </c>
      <c r="G256" s="47" t="inlineStr">
        <is>
          <t>人材</t>
        </is>
      </c>
      <c r="H256" s="47" t="n"/>
      <c r="I256" s="6" t="inlineStr">
        <is>
          <t>https://dym.asia/services/new-graduates/Former-graduate/</t>
        </is>
      </c>
      <c r="J256" s="6" t="inlineStr">
        <is>
          <t>https://dym.asia/services/new-graduates/Former-graduate/</t>
        </is>
      </c>
      <c r="K256" s="47" t="n"/>
      <c r="L256" s="47" t="n"/>
    </row>
    <row r="257" ht="15.75" customHeight="1" s="185">
      <c r="A257" s="52">
        <f>row()-1</f>
        <v/>
      </c>
      <c r="B257" s="46" t="inlineStr">
        <is>
          <t>企業の採用担当者必見！協調性の重要性と育成方法</t>
        </is>
      </c>
      <c r="C257" s="6" t="inlineStr">
        <is>
          <t>https://dym.asia/media/cooperativeness/</t>
        </is>
      </c>
      <c r="D257" s="12" t="inlineStr">
        <is>
          <t>2024.11.25</t>
        </is>
      </c>
      <c r="E257" s="12" t="inlineStr">
        <is>
          <t>2024.12.10</t>
        </is>
      </c>
      <c r="F257" s="47" t="inlineStr">
        <is>
          <t>法人</t>
        </is>
      </c>
      <c r="G257" s="47" t="inlineStr">
        <is>
          <t>人材</t>
        </is>
      </c>
      <c r="H257" s="47" t="n"/>
      <c r="I257" s="6" t="inlineStr">
        <is>
          <t>https://dym.asia/services/</t>
        </is>
      </c>
      <c r="J257" s="6" t="inlineStr">
        <is>
          <t>https://dym.asia/services/new-graduates/development-training/</t>
        </is>
      </c>
      <c r="K257" s="47" t="n"/>
      <c r="L257" s="47" t="n"/>
    </row>
    <row r="258" ht="15.75" customHeight="1" s="185">
      <c r="A258" s="52">
        <f>row()-1</f>
        <v/>
      </c>
      <c r="B258" s="46" t="inlineStr">
        <is>
          <t>CPMとは？利用するメリット・デメリットや効果を高めるポイントを解説</t>
        </is>
      </c>
      <c r="C258" s="10" t="inlineStr">
        <is>
          <t>https://dym.asia/media/cpm/</t>
        </is>
      </c>
      <c r="D258" s="12" t="inlineStr">
        <is>
          <t>2024.11.26</t>
        </is>
      </c>
      <c r="E258" s="12" t="inlineStr">
        <is>
          <t>2024.12.09</t>
        </is>
      </c>
      <c r="F258" s="47" t="inlineStr">
        <is>
          <t>法人</t>
        </is>
      </c>
      <c r="G258" s="47" t="inlineStr">
        <is>
          <t>WEB</t>
        </is>
      </c>
      <c r="H258" s="47" t="n"/>
      <c r="I258" s="6" t="inlineStr">
        <is>
          <t>https://dym.asia/services/web-promotion/</t>
        </is>
      </c>
      <c r="J258" s="6" t="inlineStr">
        <is>
          <t>https://dym.asia/services/web-promotion/</t>
        </is>
      </c>
      <c r="K258" s="47" t="n"/>
      <c r="L258" s="47" t="n"/>
    </row>
    <row r="259" ht="15.75" customHeight="1" s="185">
      <c r="A259" s="52">
        <f>row()-1</f>
        <v/>
      </c>
      <c r="B259" s="46" t="inlineStr">
        <is>
          <t>クレドとは？企業理念を浸透させる効果的な手法と導入のポイント</t>
        </is>
      </c>
      <c r="C259" s="6" t="inlineStr">
        <is>
          <t>https://dym.asia/media/credo/</t>
        </is>
      </c>
      <c r="D259" s="12" t="inlineStr">
        <is>
          <t>2024.11.25</t>
        </is>
      </c>
      <c r="E259" s="12" t="inlineStr">
        <is>
          <t>2024.12.10</t>
        </is>
      </c>
      <c r="F259" s="47" t="inlineStr">
        <is>
          <t>法人</t>
        </is>
      </c>
      <c r="G259" s="47" t="inlineStr">
        <is>
          <t>人材</t>
        </is>
      </c>
      <c r="H259" s="47" t="n"/>
      <c r="I259" s="6" t="inlineStr">
        <is>
          <t>https://dym.asia/services/</t>
        </is>
      </c>
      <c r="J259" s="6" t="inlineStr">
        <is>
          <t>https://dym.asia/services/new-graduates/</t>
        </is>
      </c>
      <c r="K259" s="47" t="n"/>
      <c r="L259" s="47" t="n"/>
    </row>
    <row r="260" ht="15.75" customHeight="1" s="185">
      <c r="A260" s="52">
        <f>row()-1</f>
        <v/>
      </c>
      <c r="B260" s="46" t="inlineStr">
        <is>
          <t>CSとは？顧客満足度を高めるためのマーケティング戦略</t>
        </is>
      </c>
      <c r="C260" s="10" t="inlineStr">
        <is>
          <t>https://dym.asia/media/cs/</t>
        </is>
      </c>
      <c r="D260" s="12" t="inlineStr">
        <is>
          <t>2024.11.25</t>
        </is>
      </c>
      <c r="E260" s="12" t="inlineStr">
        <is>
          <t>2024.12.10</t>
        </is>
      </c>
      <c r="F260" s="47" t="inlineStr">
        <is>
          <t>法人</t>
        </is>
      </c>
      <c r="G260" s="47" t="inlineStr">
        <is>
          <t>人材</t>
        </is>
      </c>
      <c r="H260" s="47" t="n"/>
      <c r="I260" s="6" t="inlineStr">
        <is>
          <t>https://dym.asia/services/new-graduates/development-training/</t>
        </is>
      </c>
      <c r="J260" s="6" t="inlineStr">
        <is>
          <t>https://dym.asia/services/new-graduates/development-training/</t>
        </is>
      </c>
      <c r="K260" s="47" t="n"/>
      <c r="L260" s="47" t="n"/>
    </row>
    <row r="261" ht="15.75" customHeight="1" s="185">
      <c r="A261" s="52">
        <f>row()-1</f>
        <v/>
      </c>
      <c r="B261" s="46" t="inlineStr">
        <is>
          <t>CSRとは？企業の社会的責任の意味と重要性を徹底解説</t>
        </is>
      </c>
      <c r="C261" s="10" t="inlineStr">
        <is>
          <t>https://dym.asia/media/csr/</t>
        </is>
      </c>
      <c r="D261" s="12" t="inlineStr">
        <is>
          <t>2024.11.25</t>
        </is>
      </c>
      <c r="E261" s="12" t="inlineStr">
        <is>
          <t>2024.12.10</t>
        </is>
      </c>
      <c r="F261" s="47" t="inlineStr">
        <is>
          <t>法人</t>
        </is>
      </c>
      <c r="G261" s="47" t="inlineStr">
        <is>
          <t>人材</t>
        </is>
      </c>
      <c r="H261" s="47" t="n"/>
      <c r="I261" s="6" t="inlineStr">
        <is>
          <t>https://dym.asia/services/new-graduates/</t>
        </is>
      </c>
      <c r="J261" s="6" t="inlineStr">
        <is>
          <t>https://dym.asia/services/new-graduates/</t>
        </is>
      </c>
      <c r="K261" s="47" t="n"/>
      <c r="L261" s="47" t="n"/>
    </row>
    <row r="262" ht="15.75" customHeight="1" s="185">
      <c r="A262" s="52">
        <f>row()-1</f>
        <v/>
      </c>
      <c r="B262" s="46" t="e">
        <v>#N/A</v>
      </c>
      <c r="C262" s="10" t="inlineStr">
        <is>
          <t>https://dym.asia/media/cta/</t>
        </is>
      </c>
      <c r="D262" s="12" t="inlineStr">
        <is>
          <t>2024.11.26</t>
        </is>
      </c>
      <c r="E262" s="12" t="inlineStr">
        <is>
          <t>2024.12.09</t>
        </is>
      </c>
      <c r="F262" s="47" t="inlineStr">
        <is>
          <t>法人</t>
        </is>
      </c>
      <c r="G262" s="47" t="inlineStr">
        <is>
          <t>WEB</t>
        </is>
      </c>
      <c r="H262" s="47" t="n"/>
      <c r="I262" s="47" t="inlineStr">
        <is>
          <t>URLがありませんでした。</t>
        </is>
      </c>
      <c r="J262" s="15" t="inlineStr">
        <is>
          <t>https://dym.asia/services/web-promotion/listing/</t>
        </is>
      </c>
      <c r="K262" s="47" t="n"/>
      <c r="L262" s="47" t="n"/>
    </row>
    <row r="263" ht="15.75" customHeight="1" s="185">
      <c r="A263" s="52">
        <f>row()-1</f>
        <v/>
      </c>
      <c r="B263" s="46" t="inlineStr">
        <is>
          <t>【2024年最新】デジタルマーケティングとは|基本の手法と成功事例</t>
        </is>
      </c>
      <c r="C263" s="6" t="inlineStr">
        <is>
          <t>https://dym.asia/media/degital-marketing/</t>
        </is>
      </c>
      <c r="D263" s="12" t="inlineStr">
        <is>
          <t>2024.11.19</t>
        </is>
      </c>
      <c r="E263" s="12" t="inlineStr">
        <is>
          <t>2024.12.09</t>
        </is>
      </c>
      <c r="F263" s="47" t="inlineStr">
        <is>
          <t>法人</t>
        </is>
      </c>
      <c r="G263" s="47" t="inlineStr">
        <is>
          <t>WEB</t>
        </is>
      </c>
      <c r="H263" s="47" t="n"/>
      <c r="I263" s="6" t="inlineStr">
        <is>
          <t>https://dym.asia/services/web-promotion/</t>
        </is>
      </c>
      <c r="J263" s="6" t="inlineStr">
        <is>
          <t>https://dym.asia/services/web-promotion/</t>
        </is>
      </c>
      <c r="K263" s="47" t="n"/>
      <c r="L263" s="47" t="n"/>
    </row>
    <row r="264" ht="15.75" customHeight="1" s="185">
      <c r="A264" s="52">
        <f>row()-1</f>
        <v/>
      </c>
      <c r="B264" s="46" t="inlineStr">
        <is>
          <t>ダーマペンとは？ニキビ跡、毛穴への効果を詳しく解説</t>
        </is>
      </c>
      <c r="C264" s="6" t="inlineStr">
        <is>
          <t>https://dym.asia/media/dermapen/</t>
        </is>
      </c>
      <c r="D264" s="12" t="inlineStr">
        <is>
          <t>2024.11.20</t>
        </is>
      </c>
      <c r="E264" s="12" t="inlineStr">
        <is>
          <t>2025.02.14</t>
        </is>
      </c>
      <c r="F264" s="47" t="inlineStr">
        <is>
          <t>法人</t>
        </is>
      </c>
      <c r="G264" s="47" t="inlineStr">
        <is>
          <t>クリニック</t>
        </is>
      </c>
      <c r="H264" s="47" t="n"/>
      <c r="I264" s="6" t="inlineStr">
        <is>
          <t>https://dym.asia/services/medicine/</t>
        </is>
      </c>
      <c r="J264" s="6" t="inlineStr">
        <is>
          <t>https://dym.asia/services/web-promotion/</t>
        </is>
      </c>
      <c r="K264" s="47" t="n"/>
      <c r="L264" s="47" t="n"/>
    </row>
    <row r="265" ht="15.75" customHeight="1" s="185">
      <c r="A265" s="52">
        <f>row()-1</f>
        <v/>
      </c>
      <c r="B265" s="46" t="inlineStr">
        <is>
          <t>デューデリジェンスとは？用語の意味と目的や種類、実施手順を解説</t>
        </is>
      </c>
      <c r="C265" s="6" t="inlineStr">
        <is>
          <t>https://dym.asia/media/due-diligence/</t>
        </is>
      </c>
      <c r="D265" s="12" t="inlineStr">
        <is>
          <t>2024.11.14</t>
        </is>
      </c>
      <c r="E265" s="12" t="inlineStr">
        <is>
          <t>2024.12.09</t>
        </is>
      </c>
      <c r="F265" s="47" t="inlineStr">
        <is>
          <t>法人</t>
        </is>
      </c>
      <c r="G265" s="47" t="inlineStr">
        <is>
          <t>M&amp;A</t>
        </is>
      </c>
      <c r="H265" s="47" t="n"/>
      <c r="I265" s="6" t="inlineStr">
        <is>
          <t>https://dym.asia/services/m&amp;a/consulting/</t>
        </is>
      </c>
      <c r="J265" s="6" t="inlineStr">
        <is>
          <t>https://dym.asia/services/m&amp;a/consulting/</t>
        </is>
      </c>
      <c r="K265" s="47" t="n"/>
      <c r="L265" s="47" t="n"/>
    </row>
    <row r="266" ht="15.75" customHeight="1" s="185">
      <c r="A266" s="52">
        <f>row()-1</f>
        <v/>
      </c>
      <c r="B266" s="46" t="inlineStr">
        <is>
          <t>社員教育の目的とメリットとは？ 成果を最大化する方法</t>
        </is>
      </c>
      <c r="C266" s="10" t="inlineStr">
        <is>
          <t>https://dym.asia/media/employee-training/</t>
        </is>
      </c>
      <c r="D266" s="12" t="inlineStr">
        <is>
          <t>2024.11.12</t>
        </is>
      </c>
      <c r="E266" s="12" t="inlineStr">
        <is>
          <t>2024.12.09</t>
        </is>
      </c>
      <c r="F266" s="47" t="inlineStr">
        <is>
          <t>法人</t>
        </is>
      </c>
      <c r="G266" s="47" t="inlineStr">
        <is>
          <t>人材</t>
        </is>
      </c>
      <c r="H266" s="47" t="n"/>
      <c r="I266" s="6" t="inlineStr">
        <is>
          <t>https://dym.asia/services/m&amp;a/consulting/</t>
        </is>
      </c>
      <c r="J266" s="6" t="inlineStr">
        <is>
          <t>https://dym.asia/services/new-graduates/development-training/</t>
        </is>
      </c>
      <c r="K266" s="47" t="n"/>
      <c r="L266" s="47" t="n"/>
    </row>
    <row r="267" ht="15.75" customHeight="1" s="185">
      <c r="A267" s="52">
        <f>row()-1</f>
        <v/>
      </c>
      <c r="B267" s="46" t="inlineStr">
        <is>
          <t>エンジニア採用は難しい？成功させるポイントや効果的な採用手法を紹介</t>
        </is>
      </c>
      <c r="C267" s="10" t="inlineStr">
        <is>
          <t>https://dym.asia/media/engineer-recruitment/</t>
        </is>
      </c>
      <c r="D267" s="12" t="inlineStr">
        <is>
          <t>2024.11.26</t>
        </is>
      </c>
      <c r="E267" s="12" t="inlineStr">
        <is>
          <t>2024.12.09</t>
        </is>
      </c>
      <c r="F267" s="47" t="inlineStr">
        <is>
          <t>法人</t>
        </is>
      </c>
      <c r="G267" s="47" t="inlineStr">
        <is>
          <t>人材</t>
        </is>
      </c>
      <c r="H267" s="47" t="n"/>
      <c r="I267" s="6" t="inlineStr">
        <is>
          <t>https://dym.asia/services/new-graduates/dym-tech/</t>
        </is>
      </c>
      <c r="J267" s="6" t="inlineStr">
        <is>
          <t>https://dym.asia/services/new-graduates/dym-tech/</t>
        </is>
      </c>
      <c r="K267" s="47" t="n"/>
      <c r="L267" s="47" t="n"/>
    </row>
    <row r="268" ht="15.75" customHeight="1" s="185">
      <c r="A268" s="52">
        <f>row()-1</f>
        <v/>
      </c>
      <c r="B268" s="46" t="inlineStr">
        <is>
          <t>エンジニア派遣とは？種類や特徴、企業が活用するメリットや注意点も解説</t>
        </is>
      </c>
      <c r="C268" s="10" t="inlineStr">
        <is>
          <t>https://dym.asia/media/engineer_dispatch/</t>
        </is>
      </c>
      <c r="D268" s="12" t="inlineStr">
        <is>
          <t>2024.05.30</t>
        </is>
      </c>
      <c r="E268" s="12" t="inlineStr">
        <is>
          <t>2024.06.14</t>
        </is>
      </c>
      <c r="F268" s="47" t="inlineStr">
        <is>
          <t>法人</t>
        </is>
      </c>
      <c r="G268" s="47" t="inlineStr">
        <is>
          <t>人材</t>
        </is>
      </c>
      <c r="H268" s="47" t="n"/>
      <c r="I268" s="6" t="inlineStr">
        <is>
          <t>https://dym.asia/services/new-graduates/dym-tech/</t>
        </is>
      </c>
      <c r="J268" s="6" t="inlineStr">
        <is>
          <t>https://dym.asia/services/new-graduates/dym-tech/</t>
        </is>
      </c>
      <c r="K268" s="47" t="n"/>
      <c r="L268" s="47" t="n"/>
    </row>
    <row r="269" ht="15.75" customHeight="1" s="185">
      <c r="A269" s="52">
        <f>row()-1</f>
        <v/>
      </c>
      <c r="B269" s="46" t="inlineStr">
        <is>
          <t>エラボトックス注射の効果と特徴：小顔治療の革新的アプローチ</t>
        </is>
      </c>
      <c r="C269" s="6" t="inlineStr">
        <is>
          <t>https://dym.asia/media/erabotox/</t>
        </is>
      </c>
      <c r="D269" s="12" t="inlineStr">
        <is>
          <t>2024.06.14</t>
        </is>
      </c>
      <c r="E269" s="12" t="inlineStr">
        <is>
          <t>2025.02.17</t>
        </is>
      </c>
      <c r="F269" s="47" t="inlineStr">
        <is>
          <t>法人</t>
        </is>
      </c>
      <c r="G269" s="47" t="inlineStr">
        <is>
          <t>クリニック</t>
        </is>
      </c>
      <c r="H269" s="47" t="n"/>
      <c r="I269" s="6" t="inlineStr">
        <is>
          <t>https://dym.asia/services/medicine/</t>
        </is>
      </c>
      <c r="J269" s="10" t="inlineStr">
        <is>
          <t>https://dym.asia/services/medicine/</t>
        </is>
      </c>
      <c r="K269" s="47" t="n"/>
      <c r="L269" s="47" t="n"/>
    </row>
    <row r="270" ht="15.75" customHeight="1" s="185">
      <c r="A270" s="52">
        <f>row()-1</f>
        <v/>
      </c>
      <c r="B270" s="46" t="inlineStr">
        <is>
          <t>Facebook広告の費用相場は？課金方式や予算の設定方法についても解説！</t>
        </is>
      </c>
      <c r="C270" s="6" t="inlineStr">
        <is>
          <t>https://dym.asia/media/facebook-ad-cost/</t>
        </is>
      </c>
      <c r="D270" s="12" t="inlineStr">
        <is>
          <t>2024.11.15</t>
        </is>
      </c>
      <c r="E270" s="12" t="inlineStr">
        <is>
          <t>2024.12.09</t>
        </is>
      </c>
      <c r="F270" s="47" t="inlineStr">
        <is>
          <t>法人</t>
        </is>
      </c>
      <c r="G270" s="47" t="inlineStr">
        <is>
          <t>WEB</t>
        </is>
      </c>
      <c r="H270" s="47" t="n"/>
      <c r="I270" s="6" t="inlineStr">
        <is>
          <t>https://dym.asia/services/web-promotion/sns-ads/</t>
        </is>
      </c>
      <c r="J270" s="6" t="inlineStr">
        <is>
          <t>https://dym.asia/services/web-promotion/sns-ads/</t>
        </is>
      </c>
      <c r="K270" s="47" t="n"/>
      <c r="L270" s="47" t="n"/>
    </row>
    <row r="271" ht="15.75" customHeight="1" s="185">
      <c r="A271" s="52">
        <f>row()-1</f>
        <v/>
      </c>
      <c r="B271" s="46" t="inlineStr">
        <is>
          <t>断食ダイエットの効果と安全なやり方は？専門家が解説する最新情報</t>
        </is>
      </c>
      <c r="C271" s="6" t="inlineStr">
        <is>
          <t>https://dym.asia/media/fast-diet/</t>
        </is>
      </c>
      <c r="D271" s="12" t="inlineStr">
        <is>
          <t>2024.11.21</t>
        </is>
      </c>
      <c r="E271" s="12" t="inlineStr">
        <is>
          <t>2025.02.17</t>
        </is>
      </c>
      <c r="F271" s="47" t="inlineStr">
        <is>
          <t>法人</t>
        </is>
      </c>
      <c r="G271" s="47" t="inlineStr">
        <is>
          <t>クリニック</t>
        </is>
      </c>
      <c r="H271" s="47" t="n"/>
      <c r="I271" s="6" t="inlineStr">
        <is>
          <t>https://dym.asia/services/medicine/</t>
        </is>
      </c>
      <c r="J271" s="6" t="inlineStr">
        <is>
          <t>https://dym.asia/services/medicine/</t>
        </is>
      </c>
      <c r="K271" s="47" t="n"/>
      <c r="L271" s="47" t="n"/>
    </row>
    <row r="272" ht="15.75" customHeight="1" s="185">
      <c r="A272" s="52">
        <f>row()-1</f>
        <v/>
      </c>
      <c r="B272" s="46" t="inlineStr">
        <is>
          <t>フォローアップ研修のカリキュラム内容とは？目的と実施時期のポイント解説</t>
        </is>
      </c>
      <c r="C272" s="6" t="inlineStr">
        <is>
          <t>https://dym.asia/media/follow-up-training/</t>
        </is>
      </c>
      <c r="D272" s="12" t="inlineStr">
        <is>
          <t>2024.11.12</t>
        </is>
      </c>
      <c r="E272" s="12" t="inlineStr">
        <is>
          <t>2024.12.09</t>
        </is>
      </c>
      <c r="F272" s="47" t="inlineStr">
        <is>
          <t>法人</t>
        </is>
      </c>
      <c r="G272" s="47" t="inlineStr">
        <is>
          <t>人材</t>
        </is>
      </c>
      <c r="H272" s="47" t="n"/>
      <c r="I272" s="6" t="inlineStr">
        <is>
          <t>https://dym.asia/services/new-graduates/</t>
        </is>
      </c>
      <c r="J272" s="6" t="inlineStr">
        <is>
          <t>https://dym.asia/services/new-graduates/development-training/</t>
        </is>
      </c>
      <c r="K272" s="47" t="n"/>
      <c r="L272" s="47" t="n"/>
    </row>
    <row r="273" ht="15.75" customHeight="1" s="185">
      <c r="A273" s="52">
        <f>row()-1</f>
        <v/>
      </c>
      <c r="B273" s="46" t="inlineStr">
        <is>
          <t>中途採用が難しい理由と成功の秘訣</t>
        </is>
      </c>
      <c r="C273" s="6" t="inlineStr">
        <is>
          <t>https://dym.asia/media/former-recruitment-difficult/</t>
        </is>
      </c>
      <c r="D273" s="12" t="inlineStr">
        <is>
          <t>2024.11.08</t>
        </is>
      </c>
      <c r="E273" s="12" t="inlineStr">
        <is>
          <t>2024.11.13</t>
        </is>
      </c>
      <c r="F273" s="47" t="inlineStr">
        <is>
          <t>法人</t>
        </is>
      </c>
      <c r="G273" s="47" t="inlineStr">
        <is>
          <t>人材</t>
        </is>
      </c>
      <c r="H273" s="47" t="n"/>
      <c r="I273" s="6" t="inlineStr">
        <is>
          <t>https://dym.asia/services/new-graduates/high-class/</t>
        </is>
      </c>
      <c r="J273" s="6" t="inlineStr">
        <is>
          <t>https://dym.asia/services/new-graduates/Former-graduate/</t>
        </is>
      </c>
      <c r="K273" s="47" t="n"/>
      <c r="L273" s="47" t="n"/>
    </row>
    <row r="274" ht="15.75" customHeight="1" s="185">
      <c r="A274" s="52">
        <f>row()-1</f>
        <v/>
      </c>
      <c r="B274" s="46" t="inlineStr">
        <is>
          <t>新入社員の雇い入れ時健康診断の項目・費用負担を解説</t>
        </is>
      </c>
      <c r="C274" s="6" t="inlineStr">
        <is>
          <t>https://dym.asia/media/freshmen-health-check/</t>
        </is>
      </c>
      <c r="D274" s="12" t="inlineStr">
        <is>
          <t>2024.11.19</t>
        </is>
      </c>
      <c r="E274" s="12" t="inlineStr">
        <is>
          <t>2025.02.14</t>
        </is>
      </c>
      <c r="F274" s="47" t="inlineStr">
        <is>
          <t>法人</t>
        </is>
      </c>
      <c r="G274" s="47" t="inlineStr">
        <is>
          <t>クリニック</t>
        </is>
      </c>
      <c r="H274" s="47" t="n"/>
      <c r="I274" s="6" t="inlineStr">
        <is>
          <t>https://dym.asia/services/medicine/</t>
        </is>
      </c>
      <c r="J274" s="6" t="inlineStr">
        <is>
          <t>https://dym.asia/services/medicine/</t>
        </is>
      </c>
      <c r="K274" s="47" t="n"/>
      <c r="L274" s="47" t="n"/>
    </row>
    <row r="275" ht="15.75" customHeight="1" s="185">
      <c r="A275" s="52">
        <f>row()-1</f>
        <v/>
      </c>
      <c r="B275" s="46" t="inlineStr">
        <is>
          <t>資金調達の目的と具体的な方法とは？成功の秘訣と注意点を詳しく解説</t>
        </is>
      </c>
      <c r="C275" s="6" t="inlineStr">
        <is>
          <t>https://dym.asia/media/funding/</t>
        </is>
      </c>
      <c r="D275" s="12" t="inlineStr">
        <is>
          <t>2024.11.14</t>
        </is>
      </c>
      <c r="E275" s="12" t="inlineStr">
        <is>
          <t>2024.12.09</t>
        </is>
      </c>
      <c r="F275" s="47" t="inlineStr">
        <is>
          <t>法人</t>
        </is>
      </c>
      <c r="G275" s="47" t="inlineStr">
        <is>
          <t>M&amp;A</t>
        </is>
      </c>
      <c r="H275" s="47" t="n"/>
      <c r="I275" s="6" t="inlineStr">
        <is>
          <t>https://dym.asia/services/m&amp;a/investment/</t>
        </is>
      </c>
      <c r="J275" s="6" t="inlineStr">
        <is>
          <t>https://dym.asia/services/m&amp;a/investment/</t>
        </is>
      </c>
      <c r="K275" s="47" t="n"/>
      <c r="L275" s="47" t="n"/>
    </row>
    <row r="276" ht="15.75" customHeight="1" s="185">
      <c r="A276" s="52">
        <f>row()-1</f>
        <v/>
      </c>
      <c r="B276" s="46" t="inlineStr">
        <is>
          <t>Googleアルゴリズムとは？SEO対策のポイント</t>
        </is>
      </c>
      <c r="C276" s="6" t="inlineStr">
        <is>
          <t>https://dym.asia/media/google-algorithm/</t>
        </is>
      </c>
      <c r="D276" s="12" t="inlineStr">
        <is>
          <t>2024.11.15</t>
        </is>
      </c>
      <c r="E276" s="12" t="inlineStr">
        <is>
          <t>2024.12.09</t>
        </is>
      </c>
      <c r="F276" s="47" t="inlineStr">
        <is>
          <t>法人</t>
        </is>
      </c>
      <c r="G276" s="47" t="inlineStr">
        <is>
          <t>WEB</t>
        </is>
      </c>
      <c r="H276" s="47" t="n"/>
      <c r="I276" s="6" t="inlineStr">
        <is>
          <t>https://dym.asia/services/web-promotion/seo/</t>
        </is>
      </c>
      <c r="J276" s="6" t="inlineStr">
        <is>
          <t>https://dym.asia/services/web-promotion/seo/</t>
        </is>
      </c>
      <c r="K276" s="47" t="n"/>
      <c r="L276" s="47" t="n"/>
    </row>
    <row r="277" ht="15.75" customHeight="1" s="185">
      <c r="A277" s="52">
        <f>row()-1</f>
        <v/>
      </c>
      <c r="B277" s="46" t="inlineStr">
        <is>
          <t>GTM（Googleタグマネージャー）とは？設定方法を解説</t>
        </is>
      </c>
      <c r="C277" s="10" t="inlineStr">
        <is>
          <t>https://dym.asia/media/gtm/</t>
        </is>
      </c>
      <c r="D277" s="12" t="inlineStr">
        <is>
          <t>2024.11.15</t>
        </is>
      </c>
      <c r="E277" s="12" t="inlineStr">
        <is>
          <t>2024.12.09</t>
        </is>
      </c>
      <c r="F277" s="47" t="inlineStr">
        <is>
          <t>法人</t>
        </is>
      </c>
      <c r="G277" s="47" t="inlineStr">
        <is>
          <t>WEB</t>
        </is>
      </c>
      <c r="H277" s="47" t="n"/>
      <c r="I277" s="6" t="inlineStr">
        <is>
          <t>https://dym.asia/services/web-promotion/seo/</t>
        </is>
      </c>
      <c r="J277" s="6" t="inlineStr">
        <is>
          <t>https://dym.asia/services/web-promotion/seo/</t>
        </is>
      </c>
      <c r="K277" s="47" t="n"/>
      <c r="L277" s="47" t="n"/>
    </row>
    <row r="278" ht="15.75" customHeight="1" s="185">
      <c r="A278" s="52">
        <f>row()-1</f>
        <v/>
      </c>
      <c r="B278" s="46" t="inlineStr">
        <is>
          <t>ハラスメントとは？職場で起こりやすい種類と効果的な対策</t>
        </is>
      </c>
      <c r="C278" s="6" t="inlineStr">
        <is>
          <t>https://dym.asia/media/harassment/</t>
        </is>
      </c>
      <c r="D278" s="12" t="inlineStr">
        <is>
          <t>2024.11.22</t>
        </is>
      </c>
      <c r="E278" s="12" t="inlineStr">
        <is>
          <t>2024.12.10</t>
        </is>
      </c>
      <c r="F278" s="47" t="inlineStr">
        <is>
          <t>法人</t>
        </is>
      </c>
      <c r="G278" s="47" t="inlineStr">
        <is>
          <t>人材</t>
        </is>
      </c>
      <c r="H278" s="47" t="n"/>
      <c r="I278" s="6" t="inlineStr">
        <is>
          <t>https://dym.asia/services/new-graduates/</t>
        </is>
      </c>
      <c r="J278" s="6" t="inlineStr">
        <is>
          <t>https://dym.asia/services/new-graduates/development-training/</t>
        </is>
      </c>
      <c r="K278" s="47" t="n"/>
      <c r="L278" s="47" t="n"/>
    </row>
    <row r="279" ht="15.75" customHeight="1" s="185">
      <c r="A279" s="52">
        <f>row()-1</f>
        <v/>
      </c>
      <c r="B279" s="46" t="inlineStr">
        <is>
          <t>40代の人間ドックで体の不調をチェック</t>
        </is>
      </c>
      <c r="C279" s="10" t="inlineStr">
        <is>
          <t>https://dym.asia/media/health-check-40s/</t>
        </is>
      </c>
      <c r="D279" s="12" t="inlineStr">
        <is>
          <t>2024.11.21</t>
        </is>
      </c>
      <c r="E279" s="12" t="inlineStr">
        <is>
          <t>2025.02.17</t>
        </is>
      </c>
      <c r="F279" s="47" t="inlineStr">
        <is>
          <t>法人</t>
        </is>
      </c>
      <c r="G279" s="47" t="inlineStr">
        <is>
          <t>クリニック</t>
        </is>
      </c>
      <c r="H279" s="47" t="n"/>
      <c r="I279" s="6" t="inlineStr">
        <is>
          <t>https://dym.asia/services/medicine/</t>
        </is>
      </c>
      <c r="J279" s="6" t="inlineStr">
        <is>
          <t>https://dym.asia/services/medicine/</t>
        </is>
      </c>
      <c r="K279" s="47" t="n"/>
      <c r="L279" s="47" t="n"/>
    </row>
    <row r="280" ht="15.75" customHeight="1" s="185">
      <c r="A280" s="52">
        <f>row()-1</f>
        <v/>
      </c>
      <c r="B280" s="46" t="inlineStr">
        <is>
          <t>健康診断（健診）と検診の違いを解説</t>
        </is>
      </c>
      <c r="C280" s="6" t="inlineStr">
        <is>
          <t>https://dym.asia/media/health-check/</t>
        </is>
      </c>
      <c r="D280" s="12" t="inlineStr">
        <is>
          <t>2024.11.21</t>
        </is>
      </c>
      <c r="E280" s="12" t="inlineStr">
        <is>
          <t>2025.02.17</t>
        </is>
      </c>
      <c r="F280" s="47" t="inlineStr">
        <is>
          <t>法人</t>
        </is>
      </c>
      <c r="G280" s="47" t="inlineStr">
        <is>
          <t>クリニック</t>
        </is>
      </c>
      <c r="H280" s="47" t="n"/>
      <c r="I280" s="6" t="inlineStr">
        <is>
          <t>https://dym.asia/services/medicine/</t>
        </is>
      </c>
      <c r="J280" s="6" t="inlineStr">
        <is>
          <t>https://dym.asia/services/medicine/</t>
        </is>
      </c>
      <c r="K280" s="47" t="n"/>
      <c r="L280" s="47" t="n"/>
    </row>
    <row r="281" ht="15.75" customHeight="1" s="185">
      <c r="A281" s="52">
        <f>row()-1</f>
        <v/>
      </c>
      <c r="B281" s="46" t="inlineStr">
        <is>
          <t>雇い入れ時健康診断とは？実施内容と注意点</t>
        </is>
      </c>
      <c r="C281" s="6" t="inlineStr">
        <is>
          <t>https://dym.asia/media/health-checkup-upon-item/</t>
        </is>
      </c>
      <c r="D281" s="12" t="inlineStr">
        <is>
          <t>2024.11.19</t>
        </is>
      </c>
      <c r="E281" s="12" t="inlineStr">
        <is>
          <t>2025.02.14</t>
        </is>
      </c>
      <c r="F281" s="47" t="inlineStr">
        <is>
          <t>法人</t>
        </is>
      </c>
      <c r="G281" s="47" t="inlineStr">
        <is>
          <t>クリニック</t>
        </is>
      </c>
      <c r="H281" s="47" t="n"/>
      <c r="I281" s="6" t="inlineStr">
        <is>
          <t>https://dym.asia/services/medicine/</t>
        </is>
      </c>
      <c r="J281" s="6" t="inlineStr">
        <is>
          <t>https://dym.asia/services/medicine/</t>
        </is>
      </c>
      <c r="K281" s="47" t="n"/>
      <c r="L281" s="47" t="n"/>
    </row>
    <row r="282" ht="15.75" customHeight="1" s="185">
      <c r="A282" s="52">
        <f>row()-1</f>
        <v/>
      </c>
      <c r="B282" s="46" t="inlineStr">
        <is>
          <t>求人広告とは？メリット・デメリットと採用成功のための3つのポイント</t>
        </is>
      </c>
      <c r="C282" s="10" t="inlineStr">
        <is>
          <t>https://dym.asia/media/help-wanted-ads/</t>
        </is>
      </c>
      <c r="D282" s="12" t="inlineStr">
        <is>
          <t>2025.06.26</t>
        </is>
      </c>
      <c r="E282" s="12" t="inlineStr">
        <is>
          <t>2025.06.26</t>
        </is>
      </c>
      <c r="F282" s="47" t="inlineStr">
        <is>
          <t>法人</t>
        </is>
      </c>
      <c r="G282" s="47" t="inlineStr">
        <is>
          <t>HR Tech</t>
        </is>
      </c>
      <c r="H282" s="47" t="n"/>
      <c r="I282" s="6" t="inlineStr">
        <is>
          <t>https://dym.asia/services/new-graduates/Former-graduate/</t>
        </is>
      </c>
      <c r="J282" s="6" t="inlineStr">
        <is>
          <t>https://dym.asia/services/hr-tech/kyujinbox/</t>
        </is>
      </c>
      <c r="K282" s="47" t="n"/>
      <c r="L282" s="47" t="n"/>
    </row>
    <row r="283" ht="15.75" customHeight="1" s="185">
      <c r="A283" s="52">
        <f>row()-1</f>
        <v/>
      </c>
      <c r="B283" s="46" t="inlineStr">
        <is>
          <t>店舗物件の探し方マニュアル！空きテナントを見つけるコツと注意点</t>
        </is>
      </c>
      <c r="C283" s="6" t="inlineStr">
        <is>
          <t>https://dym.asia/media/how-to-search-empty-property/</t>
        </is>
      </c>
      <c r="D283" s="12" t="inlineStr">
        <is>
          <t>2024.11.20</t>
        </is>
      </c>
      <c r="E283" s="12" t="inlineStr">
        <is>
          <t>2025.02.14</t>
        </is>
      </c>
      <c r="F283" s="47" t="inlineStr">
        <is>
          <t>法人</t>
        </is>
      </c>
      <c r="G283" s="47" t="inlineStr">
        <is>
          <t>リアルエステート</t>
        </is>
      </c>
      <c r="H283" s="47" t="n"/>
      <c r="I283" s="6" t="inlineStr">
        <is>
          <t>https://dym.asia/services/new-business/relocation/</t>
        </is>
      </c>
      <c r="J283" s="6" t="inlineStr">
        <is>
          <t>https://dym.asia/services/new-business/relocation/</t>
        </is>
      </c>
      <c r="K283" s="47" t="n"/>
      <c r="L283" s="47" t="n"/>
    </row>
    <row r="284" ht="15.75" customHeight="1" s="185">
      <c r="A284" s="52">
        <f>row()-1</f>
        <v/>
      </c>
      <c r="B284" s="46" t="inlineStr">
        <is>
          <t>初心者のためのSEO対策のやり方｜上位表示するための効果的な方法</t>
        </is>
      </c>
      <c r="C284" s="6" t="inlineStr">
        <is>
          <t>https://dym.asia/media/how-to-seo/</t>
        </is>
      </c>
      <c r="D284" s="12" t="inlineStr">
        <is>
          <t>2024.11.19</t>
        </is>
      </c>
      <c r="E284" s="12" t="inlineStr">
        <is>
          <t>2025.02.14</t>
        </is>
      </c>
      <c r="F284" s="47" t="inlineStr">
        <is>
          <t>法人</t>
        </is>
      </c>
      <c r="G284" s="47" t="inlineStr">
        <is>
          <t>WEB</t>
        </is>
      </c>
      <c r="H284" s="47" t="n"/>
      <c r="I284" s="6" t="inlineStr">
        <is>
          <t>https://dym.asia/services/web-promotion/seo/</t>
        </is>
      </c>
      <c r="J284" s="6" t="inlineStr">
        <is>
          <t>https://dym.asia/services/web-promotion/seo/</t>
        </is>
      </c>
      <c r="K284" s="47" t="n"/>
      <c r="L284" s="47" t="n"/>
    </row>
    <row r="285" ht="15.75" customHeight="1" s="185">
      <c r="A285" s="52">
        <f>row()-1</f>
        <v/>
      </c>
      <c r="B285" s="46" t="inlineStr">
        <is>
          <t>ヒューマンエラーとは？原因と対策を具体例で解説</t>
        </is>
      </c>
      <c r="C285" s="6" t="inlineStr">
        <is>
          <t>https://dym.asia/media/human-error/</t>
        </is>
      </c>
      <c r="D285" s="12" t="inlineStr">
        <is>
          <t>2024.11.26</t>
        </is>
      </c>
      <c r="E285" s="12" t="inlineStr">
        <is>
          <t>2024.12.10</t>
        </is>
      </c>
      <c r="F285" s="47" t="inlineStr">
        <is>
          <t>法人</t>
        </is>
      </c>
      <c r="G285" s="47" t="inlineStr">
        <is>
          <t>人材</t>
        </is>
      </c>
      <c r="H285" s="47" t="n"/>
      <c r="I285" s="6" t="inlineStr">
        <is>
          <t>https://dym.asia/services/new-graduates/new-graduate-recruitment/</t>
        </is>
      </c>
      <c r="J285" s="16" t="inlineStr">
        <is>
          <t>https://dym.asia/services/new-graduates/new-graduate-recruitment/</t>
        </is>
      </c>
      <c r="K285" s="47" t="n"/>
      <c r="L285" s="47" t="n"/>
    </row>
    <row r="286" ht="15.75" customHeight="1" s="185">
      <c r="A286" s="52">
        <f>row()-1</f>
        <v/>
      </c>
      <c r="B286" s="46" t="inlineStr">
        <is>
          <t>インプレッションとは？意味・広告との関係、リーチとの違いを解説</t>
        </is>
      </c>
      <c r="C286" s="10" t="inlineStr">
        <is>
          <t>https://dym.asia/media/impression/</t>
        </is>
      </c>
      <c r="D286" s="12" t="inlineStr">
        <is>
          <t>2024.11.20</t>
        </is>
      </c>
      <c r="E286" s="12" t="inlineStr">
        <is>
          <t>2024.12.10</t>
        </is>
      </c>
      <c r="F286" s="47" t="inlineStr">
        <is>
          <t>法人</t>
        </is>
      </c>
      <c r="G286" s="47" t="inlineStr">
        <is>
          <t>WEB</t>
        </is>
      </c>
      <c r="H286" s="47" t="n"/>
      <c r="I286" s="6" t="inlineStr">
        <is>
          <t>https://dym.asia/services/web-promotion/</t>
        </is>
      </c>
      <c r="J286" s="6" t="inlineStr">
        <is>
          <t>https://dym.asia/services/web-promotion/</t>
        </is>
      </c>
      <c r="K286" s="47" t="n"/>
      <c r="L286" s="47" t="n"/>
    </row>
    <row r="287" ht="15.75" customHeight="1" s="185">
      <c r="A287" s="52">
        <f>row()-1</f>
        <v/>
      </c>
      <c r="B287" s="46" t="inlineStr">
        <is>
          <t>社内研修とは？目的・種類や研修の作り方・進め方</t>
        </is>
      </c>
      <c r="C287" s="10" t="inlineStr">
        <is>
          <t>https://dym.asia/media/in-house-training/</t>
        </is>
      </c>
      <c r="D287" s="12" t="inlineStr">
        <is>
          <t>2024.11.12</t>
        </is>
      </c>
      <c r="E287" s="12" t="inlineStr">
        <is>
          <t>2024.12.09</t>
        </is>
      </c>
      <c r="F287" s="47" t="inlineStr">
        <is>
          <t>法人</t>
        </is>
      </c>
      <c r="G287" s="47" t="inlineStr">
        <is>
          <t>人材</t>
        </is>
      </c>
      <c r="H287" s="47" t="n"/>
      <c r="I287" s="6" t="inlineStr">
        <is>
          <t>https://dym.asia/services/new-graduates/development-training/</t>
        </is>
      </c>
      <c r="J287" s="6" t="inlineStr">
        <is>
          <t>https://dym.asia/services/new-graduates/development-training/</t>
        </is>
      </c>
      <c r="K287" s="47" t="n"/>
      <c r="L287" s="47" t="n"/>
    </row>
    <row r="288" ht="15.75" customHeight="1" s="185">
      <c r="A288" s="52">
        <f>row()-1</f>
        <v/>
      </c>
      <c r="B288" s="46" t="inlineStr">
        <is>
          <t>Indeed（インディード）代理店の比較方法・選び方と直販との違いを解説</t>
        </is>
      </c>
      <c r="C288" s="10" t="inlineStr">
        <is>
          <t>https://dym.asia/media/indeed_agency/</t>
        </is>
      </c>
      <c r="D288" s="12" t="inlineStr">
        <is>
          <t>2024.06.18</t>
        </is>
      </c>
      <c r="E288" s="12" t="inlineStr">
        <is>
          <t>2024.06.18</t>
        </is>
      </c>
      <c r="F288" s="47" t="inlineStr">
        <is>
          <t>法人</t>
        </is>
      </c>
      <c r="G288" s="47" t="inlineStr">
        <is>
          <t>HR Tech</t>
        </is>
      </c>
      <c r="H288" s="47" t="n"/>
      <c r="I288" s="6" t="inlineStr">
        <is>
          <t>https://dym.asia/services/hr-tech/indeed/</t>
        </is>
      </c>
      <c r="J288" s="6" t="inlineStr">
        <is>
          <t>https://dym.asia/services/hr-tech/indeed/</t>
        </is>
      </c>
      <c r="K288" s="47" t="n"/>
      <c r="L288" s="47" t="n"/>
    </row>
    <row r="289" ht="15.75" customHeight="1" s="185">
      <c r="A289" s="52">
        <f>row()-1</f>
        <v/>
      </c>
      <c r="B289" s="46" t="inlineStr">
        <is>
          <t>インデックスとは？Google検索におけるSEO効果と登録方法、重要性を解説</t>
        </is>
      </c>
      <c r="C289" s="10" t="inlineStr">
        <is>
          <t>https://dym.asia/media/index/</t>
        </is>
      </c>
      <c r="D289" s="12" t="inlineStr">
        <is>
          <t>2024.11.26</t>
        </is>
      </c>
      <c r="E289" s="12" t="inlineStr">
        <is>
          <t>2024.12.09</t>
        </is>
      </c>
      <c r="F289" s="47" t="inlineStr">
        <is>
          <t>法人</t>
        </is>
      </c>
      <c r="G289" s="47" t="inlineStr">
        <is>
          <t>WEB</t>
        </is>
      </c>
      <c r="H289" s="47" t="n"/>
      <c r="I289" s="6" t="inlineStr">
        <is>
          <t>https://dym.asia/services/web-promotion/seo/</t>
        </is>
      </c>
      <c r="J289" s="6" t="inlineStr">
        <is>
          <t>https://dym.asia/services/web-promotion/seo/</t>
        </is>
      </c>
      <c r="K289" s="47" t="n"/>
      <c r="L289" s="47" t="n"/>
    </row>
    <row r="290" ht="15.75" customHeight="1" s="185">
      <c r="A290" s="52">
        <f>row()-1</f>
        <v/>
      </c>
      <c r="B290" s="46" t="inlineStr">
        <is>
          <t>インフィード広告とは？ネイティブ広告（ネイティブアド）と違いや効果を解説</t>
        </is>
      </c>
      <c r="C290" s="10" t="inlineStr">
        <is>
          <t>https://dym.asia/media/infeed-ad/</t>
        </is>
      </c>
      <c r="D290" s="12" t="inlineStr">
        <is>
          <t>2024.10.23</t>
        </is>
      </c>
      <c r="E290" s="12" t="inlineStr">
        <is>
          <t>2024.11.29</t>
        </is>
      </c>
      <c r="F290" s="47" t="inlineStr">
        <is>
          <t>法人</t>
        </is>
      </c>
      <c r="G290" s="47" t="inlineStr">
        <is>
          <t>WEB</t>
        </is>
      </c>
      <c r="H290" s="47" t="n"/>
      <c r="I290" s="6" t="inlineStr">
        <is>
          <t>https://dym.asia/media/infeed-ad/</t>
        </is>
      </c>
      <c r="J290" s="10" t="inlineStr">
        <is>
          <t>https://dym.asia/media/infeed-ad/</t>
        </is>
      </c>
      <c r="K290" s="47" t="n"/>
      <c r="L290" s="47" t="n"/>
    </row>
    <row r="291" ht="15.75" customHeight="1" s="185">
      <c r="A291" s="52">
        <f>row()-1</f>
        <v/>
      </c>
      <c r="B291" s="46" t="inlineStr">
        <is>
          <t>Instagram広告のターゲティングとは？特徴やターゲット設定のポイント</t>
        </is>
      </c>
      <c r="C291" s="10" t="inlineStr">
        <is>
          <t>https://dym.asia/media/instagram-target/</t>
        </is>
      </c>
      <c r="D291" s="12" t="inlineStr">
        <is>
          <t>2024.10.21</t>
        </is>
      </c>
      <c r="E291" s="12" t="inlineStr">
        <is>
          <t>2024.11.06</t>
        </is>
      </c>
      <c r="F291" s="47" t="inlineStr">
        <is>
          <t>法人</t>
        </is>
      </c>
      <c r="G291" s="47" t="inlineStr">
        <is>
          <t>WEB</t>
        </is>
      </c>
      <c r="H291" s="47" t="n"/>
      <c r="I291" s="6" t="inlineStr">
        <is>
          <t>https://dym.asia/media/instagram-target/</t>
        </is>
      </c>
      <c r="J291" s="6" t="inlineStr">
        <is>
          <t>https://dym.asia/services/web-promotion/sns-ads/</t>
        </is>
      </c>
      <c r="K291" s="47" t="n"/>
      <c r="L291" s="47" t="n"/>
    </row>
    <row r="292" ht="15.75" customHeight="1" s="185">
      <c r="A292" s="52">
        <f>row()-1</f>
        <v/>
      </c>
      <c r="B292" s="46" t="inlineStr">
        <is>
          <t>インタビュー記事の書き方｜構成・事前準備・形式を解説</t>
        </is>
      </c>
      <c r="C292" s="10" t="inlineStr">
        <is>
          <t>https://dym.asia/media/interview-article/</t>
        </is>
      </c>
      <c r="D292" s="12" t="inlineStr">
        <is>
          <t>2024.11.28</t>
        </is>
      </c>
      <c r="E292" s="12" t="inlineStr">
        <is>
          <t>2025.02.17</t>
        </is>
      </c>
      <c r="F292" s="47" t="inlineStr">
        <is>
          <t>法人</t>
        </is>
      </c>
      <c r="G292" s="47" t="inlineStr">
        <is>
          <t>WEB</t>
        </is>
      </c>
      <c r="H292" s="47" t="n"/>
      <c r="I292" s="6" t="inlineStr">
        <is>
          <t>https://dym.asia/services/web-promotion/</t>
        </is>
      </c>
      <c r="J292" s="6" t="inlineStr">
        <is>
          <t>https://dym.asia/services/web-promotion/</t>
        </is>
      </c>
      <c r="K292" s="47" t="n"/>
      <c r="L292" s="47" t="n"/>
    </row>
    <row r="293" ht="15.75" customHeight="1" s="185">
      <c r="A293" s="52">
        <f>row()-1</f>
        <v/>
      </c>
      <c r="B293" s="46" t="inlineStr">
        <is>
          <t>IPO支援・コンサルティングとは? 種類や業務内容、メリットや成功のポイントを解説</t>
        </is>
      </c>
      <c r="C293" s="6" t="inlineStr">
        <is>
          <t>https://dym.asia/media/ipo_support/</t>
        </is>
      </c>
      <c r="D293" s="12" t="inlineStr">
        <is>
          <t>2024.05.24</t>
        </is>
      </c>
      <c r="E293" s="12" t="inlineStr">
        <is>
          <t>2024.06.14</t>
        </is>
      </c>
      <c r="F293" s="47" t="inlineStr">
        <is>
          <t>法人</t>
        </is>
      </c>
      <c r="G293" s="47" t="inlineStr">
        <is>
          <t>M&amp;A</t>
        </is>
      </c>
      <c r="H293" s="47" t="n"/>
      <c r="I293" s="6" t="inlineStr">
        <is>
          <t>https://dym.asia/services/m&amp;a/consulting/</t>
        </is>
      </c>
      <c r="J293" s="6" t="inlineStr">
        <is>
          <t>https://dym.asia/services/m&amp;a/consulting/</t>
        </is>
      </c>
      <c r="K293" s="47" t="n"/>
      <c r="L293" s="47" t="n"/>
    </row>
    <row r="294" ht="15.75" customHeight="1" s="185">
      <c r="A294" s="52">
        <f>row()-1</f>
        <v/>
      </c>
      <c r="B294" s="46" t="inlineStr">
        <is>
          <t>求人サイトとは？人材紹介との違いや転職サイトの比較を紹介</t>
        </is>
      </c>
      <c r="C294" s="10" t="inlineStr">
        <is>
          <t>https://dym.asia/media/job-offer-site/</t>
        </is>
      </c>
      <c r="D294" s="12" t="inlineStr">
        <is>
          <t>2025.06.26</t>
        </is>
      </c>
      <c r="E294" s="12" t="inlineStr">
        <is>
          <t>2025.06.26</t>
        </is>
      </c>
      <c r="F294" s="47" t="inlineStr">
        <is>
          <t>法人</t>
        </is>
      </c>
      <c r="G294" s="47" t="inlineStr">
        <is>
          <t>HR Tech</t>
        </is>
      </c>
      <c r="H294" s="47" t="n"/>
      <c r="I294" s="6" t="inlineStr">
        <is>
          <t>https://dym.asia/services/new-graduates/Former-graduate/</t>
        </is>
      </c>
      <c r="J294" s="6" t="inlineStr">
        <is>
          <t>https://dym.asia/services/hr-tech/kyujinbox/</t>
        </is>
      </c>
      <c r="K294" s="47" t="n"/>
      <c r="L294" s="47" t="n"/>
    </row>
    <row r="295" ht="15.75" customHeight="1" s="185">
      <c r="A295" s="52">
        <f>row()-1</f>
        <v/>
      </c>
      <c r="B295" s="46" t="inlineStr">
        <is>
          <t>知らない方も多い！「健診」と「検診」の違いを徹底解説</t>
        </is>
      </c>
      <c r="C295" s="6" t="inlineStr">
        <is>
          <t>https://dym.asia/media/kenshin/</t>
        </is>
      </c>
      <c r="D295" s="12" t="inlineStr">
        <is>
          <t>2024.11.19</t>
        </is>
      </c>
      <c r="E295" s="12" t="inlineStr">
        <is>
          <t>2025.02.14</t>
        </is>
      </c>
      <c r="F295" s="47" t="inlineStr">
        <is>
          <t>法人</t>
        </is>
      </c>
      <c r="G295" s="47" t="inlineStr">
        <is>
          <t>クリニック</t>
        </is>
      </c>
      <c r="H295" s="47" t="n"/>
      <c r="I295" s="6" t="inlineStr">
        <is>
          <t>https://dym.asia/services/medicine/</t>
        </is>
      </c>
      <c r="J295" s="6" t="inlineStr">
        <is>
          <t>https://dym.asia/services/medicine/</t>
        </is>
      </c>
      <c r="K295" s="47" t="n"/>
      <c r="L295" s="47" t="n"/>
    </row>
    <row r="296" ht="15.75" customHeight="1" s="185">
      <c r="A296" s="52">
        <f>row()-1</f>
        <v/>
      </c>
      <c r="B296" s="46" t="inlineStr">
        <is>
          <t>SEOキーワード選定のやり方！手順やコツなど基本の選び方を初心者向けに解説</t>
        </is>
      </c>
      <c r="C296" s="10" t="inlineStr">
        <is>
          <t>https://dym.asia/media/keyword-selection/</t>
        </is>
      </c>
      <c r="D296" s="12" t="inlineStr">
        <is>
          <t>2024.11.15</t>
        </is>
      </c>
      <c r="E296" s="12" t="inlineStr">
        <is>
          <t>2024.12.09</t>
        </is>
      </c>
      <c r="F296" s="47" t="inlineStr">
        <is>
          <t>法人</t>
        </is>
      </c>
      <c r="G296" s="47" t="inlineStr">
        <is>
          <t>WEB</t>
        </is>
      </c>
      <c r="H296" s="47" t="n"/>
      <c r="I296" s="6" t="inlineStr">
        <is>
          <t>https://dym.asia/services/web-promotion/seo/</t>
        </is>
      </c>
      <c r="J296" s="6" t="inlineStr">
        <is>
          <t>https://dym.asia/services/web-promotion/seo/</t>
        </is>
      </c>
      <c r="K296" s="47" t="n"/>
      <c r="L296" s="47" t="n"/>
    </row>
    <row r="297" ht="15.75" customHeight="1" s="185">
      <c r="A297" s="52">
        <f>row()-1</f>
        <v/>
      </c>
      <c r="B297" s="46" t="inlineStr">
        <is>
          <t>KGIとは？KPIとの違いや具体例・設定するメリットを解説</t>
        </is>
      </c>
      <c r="C297" s="10" t="inlineStr">
        <is>
          <t>https://dym.asia/media/kgi/</t>
        </is>
      </c>
      <c r="D297" s="12" t="inlineStr">
        <is>
          <t>2024.11.26</t>
        </is>
      </c>
      <c r="E297" s="12" t="inlineStr">
        <is>
          <t>2024.12.09</t>
        </is>
      </c>
      <c r="F297" s="47" t="inlineStr">
        <is>
          <t>法人</t>
        </is>
      </c>
      <c r="G297" s="47" t="inlineStr">
        <is>
          <t>WEB</t>
        </is>
      </c>
      <c r="H297" s="47" t="n"/>
      <c r="I297" s="6" t="inlineStr">
        <is>
          <t>https://dym.asia/services/web-promotion/listing/</t>
        </is>
      </c>
      <c r="J297" s="6" t="inlineStr">
        <is>
          <t>https://dym.asia/services/web-promotion/listing/</t>
        </is>
      </c>
      <c r="K297" s="47" t="n"/>
      <c r="L297" s="47" t="n"/>
    </row>
    <row r="298" ht="15.75" customHeight="1" s="185">
      <c r="A298" s="52">
        <f>row()-1</f>
        <v/>
      </c>
      <c r="B298" s="46" t="inlineStr">
        <is>
          <t>KPIとは？ KGIの違いと方法、具体例を簡単に解説</t>
        </is>
      </c>
      <c r="C298" s="6" t="inlineStr">
        <is>
          <t>https://dym.asia/media/kpi-about/</t>
        </is>
      </c>
      <c r="D298" s="12" t="inlineStr">
        <is>
          <t>2024.11.18</t>
        </is>
      </c>
      <c r="E298" s="12" t="inlineStr">
        <is>
          <t>2024.12.10</t>
        </is>
      </c>
      <c r="F298" s="47" t="inlineStr">
        <is>
          <t>法人</t>
        </is>
      </c>
      <c r="G298" s="47" t="inlineStr">
        <is>
          <t>WEB</t>
        </is>
      </c>
      <c r="H298" s="47" t="n"/>
      <c r="I298" s="6" t="inlineStr">
        <is>
          <t>https://dym.asia/services/new-graduates/development-training/</t>
        </is>
      </c>
      <c r="J298" s="6" t="inlineStr">
        <is>
          <t>https://dym.asia/services/new-graduates/development-training/</t>
        </is>
      </c>
      <c r="K298" s="47" t="n"/>
      <c r="L298" s="47" t="n"/>
    </row>
    <row r="299" ht="15.75" customHeight="1" s="185">
      <c r="A299" s="52">
        <f>row()-1</f>
        <v/>
      </c>
      <c r="B299" s="46" t="inlineStr">
        <is>
          <t>求人ボックスに求人を掲載する！無料掲載から有料広告まで</t>
        </is>
      </c>
      <c r="C299" s="6" t="inlineStr">
        <is>
          <t>https://dym.asia/media/kyujinbox-2/</t>
        </is>
      </c>
      <c r="D299" s="12" t="inlineStr">
        <is>
          <t>2025.06.26</t>
        </is>
      </c>
      <c r="E299" s="12" t="inlineStr">
        <is>
          <t>2025.06.26</t>
        </is>
      </c>
      <c r="F299" s="47" t="inlineStr">
        <is>
          <t>法人</t>
        </is>
      </c>
      <c r="G299" s="47" t="inlineStr">
        <is>
          <t>HR Tech</t>
        </is>
      </c>
      <c r="H299" s="47" t="n"/>
      <c r="I299" s="6" t="inlineStr">
        <is>
          <t>https://dym.asia/services/new-graduates/Former-graduate/</t>
        </is>
      </c>
      <c r="J299" s="6" t="inlineStr">
        <is>
          <t>https://dym.asia/services/hr-tech/kyujinbox/</t>
        </is>
      </c>
      <c r="K299" s="47" t="n"/>
      <c r="L299" s="47" t="n"/>
    </row>
    <row r="300" ht="15.75" customHeight="1" s="185">
      <c r="A300" s="52">
        <f>row()-1</f>
        <v/>
      </c>
      <c r="B300" s="46" t="inlineStr">
        <is>
          <t>求人ボックスとは？仕組み・掲載料金・特徴・メリットを解説</t>
        </is>
      </c>
      <c r="C300" s="6" t="inlineStr">
        <is>
          <t>https://dym.asia/media/kyujinbox-about/</t>
        </is>
      </c>
      <c r="D300" s="12" t="inlineStr">
        <is>
          <t>2024.11.18</t>
        </is>
      </c>
      <c r="E300" s="12" t="inlineStr">
        <is>
          <t>2024.12.19</t>
        </is>
      </c>
      <c r="F300" s="47" t="inlineStr">
        <is>
          <t>法人</t>
        </is>
      </c>
      <c r="G300" s="47" t="inlineStr">
        <is>
          <t>HR Tech</t>
        </is>
      </c>
      <c r="H300" s="47" t="n"/>
      <c r="I300" s="6" t="inlineStr">
        <is>
          <t>https://dym.asia/services/hr-tech/stanby-kyujinbox/</t>
        </is>
      </c>
      <c r="J300" s="6" t="inlineStr">
        <is>
          <t>https://dym.asia/services/hr-tech/stanby-kyujinbox/</t>
        </is>
      </c>
      <c r="K300" s="47" t="n"/>
      <c r="L300" s="47" t="n"/>
    </row>
    <row r="301" ht="15.75" customHeight="1" s="185">
      <c r="A301" s="52">
        <f>row()-1</f>
        <v/>
      </c>
      <c r="B301" s="46" t="inlineStr">
        <is>
          <t>求人ボックスとは？仕組み・使い方・掲載方法・掲載料金・特徴を解説</t>
        </is>
      </c>
      <c r="C301" s="6" t="inlineStr">
        <is>
          <t>https://dym.asia/media/kyujinbox-how-to-use/</t>
        </is>
      </c>
      <c r="D301" s="12" t="inlineStr">
        <is>
          <t>2024.11.18</t>
        </is>
      </c>
      <c r="E301" s="12" t="inlineStr">
        <is>
          <t>2024.12.19</t>
        </is>
      </c>
      <c r="F301" s="47" t="inlineStr">
        <is>
          <t>法人</t>
        </is>
      </c>
      <c r="G301" s="47" t="inlineStr">
        <is>
          <t>HR Tech</t>
        </is>
      </c>
      <c r="H301" s="47" t="n"/>
      <c r="I301" s="6" t="inlineStr">
        <is>
          <t>https://dym.asia/services/hr-tech/stanby-kyujinbox/</t>
        </is>
      </c>
      <c r="J301" s="6" t="inlineStr">
        <is>
          <t>https://dym.asia/services/hr-tech/stanby-kyujinbox/</t>
        </is>
      </c>
      <c r="K301" s="47" t="n"/>
      <c r="L301" s="47" t="n"/>
    </row>
    <row r="302" ht="15.75" customHeight="1" s="185">
      <c r="A302" s="52">
        <f>row()-1</f>
        <v/>
      </c>
      <c r="B302" s="46" t="inlineStr">
        <is>
          <t>労働基準法とは？労働時間、有給、休日、違反などわかりやすく解説</t>
        </is>
      </c>
      <c r="C302" s="6" t="inlineStr">
        <is>
          <t>https://dym.asia/media/labor-standards-act/</t>
        </is>
      </c>
      <c r="D302" s="12" t="inlineStr">
        <is>
          <t>2024.11.22</t>
        </is>
      </c>
      <c r="E302" s="12" t="inlineStr">
        <is>
          <t>2024.12.09</t>
        </is>
      </c>
      <c r="F302" s="47" t="inlineStr">
        <is>
          <t>法人</t>
        </is>
      </c>
      <c r="G302" s="47" t="inlineStr">
        <is>
          <t>人材</t>
        </is>
      </c>
      <c r="H302" s="47" t="n"/>
      <c r="I302" s="6" t="inlineStr">
        <is>
          <t>https://dym.asia/services/hr-tech/stanby-kyujinbox/</t>
        </is>
      </c>
      <c r="J302" s="6" t="inlineStr">
        <is>
          <t>https://dym.asia/services/new-graduates/development-training/</t>
        </is>
      </c>
      <c r="K302" s="47" t="n"/>
      <c r="L302" s="47" t="n"/>
    </row>
    <row r="303" ht="15.75" customHeight="1" s="185">
      <c r="A303" s="52">
        <f>row()-1</f>
        <v/>
      </c>
      <c r="B303" s="46" t="inlineStr">
        <is>
          <t>リーダー研修とは？3つの目的と求められる8つのスキル、研修内容について解説</t>
        </is>
      </c>
      <c r="C303" s="6" t="inlineStr">
        <is>
          <t>https://dym.asia/media/leader_training/</t>
        </is>
      </c>
      <c r="D303" s="12" t="inlineStr">
        <is>
          <t>2024.06.14</t>
        </is>
      </c>
      <c r="E303" s="12" t="inlineStr">
        <is>
          <t>2024.06.14</t>
        </is>
      </c>
      <c r="F303" s="47" t="inlineStr">
        <is>
          <t>法人</t>
        </is>
      </c>
      <c r="G303" s="47" t="inlineStr">
        <is>
          <t>人材</t>
        </is>
      </c>
      <c r="H303" s="47" t="n"/>
      <c r="I303" s="6" t="inlineStr">
        <is>
          <t>https://dym.asia/services/new-graduates/development-training/</t>
        </is>
      </c>
      <c r="J303" s="6" t="inlineStr">
        <is>
          <t>https://dym.asia/services/new-graduates/development-training/</t>
        </is>
      </c>
      <c r="K303" s="47" t="n"/>
      <c r="L303" s="47" t="n"/>
    </row>
    <row r="304" ht="15.75" customHeight="1" s="185">
      <c r="A304" s="52">
        <f>row()-1</f>
        <v/>
      </c>
      <c r="B304" s="46" t="inlineStr">
        <is>
          <t>LINE広告のターゲティングとは？種類と配信方法</t>
        </is>
      </c>
      <c r="C304" s="6" t="inlineStr">
        <is>
          <t>https://dym.asia/media/line-ad-target/</t>
        </is>
      </c>
      <c r="D304" s="12" t="inlineStr">
        <is>
          <t>2024.10.22</t>
        </is>
      </c>
      <c r="E304" s="12" t="inlineStr">
        <is>
          <t>2024.11.12</t>
        </is>
      </c>
      <c r="F304" s="47" t="inlineStr">
        <is>
          <t>法人</t>
        </is>
      </c>
      <c r="G304" s="47" t="inlineStr">
        <is>
          <t>WEB</t>
        </is>
      </c>
      <c r="H304" s="47" t="n"/>
      <c r="I304" s="6" t="inlineStr">
        <is>
          <t>https://dym.asia/media/line-ad-target/</t>
        </is>
      </c>
      <c r="J304" s="6" t="inlineStr">
        <is>
          <t>https://dym.asia/services/web-promotion/sns-ads/</t>
        </is>
      </c>
      <c r="K304" s="47" t="n"/>
      <c r="L304" s="47" t="n"/>
    </row>
    <row r="305" ht="15.75" customHeight="1" s="185">
      <c r="A305" s="52">
        <f>row()-1</f>
        <v/>
      </c>
      <c r="B305" s="46" t="inlineStr">
        <is>
          <t>LINE公式アカウントの開設・運用にかかる料金｜プランや変更する方法を解説</t>
        </is>
      </c>
      <c r="C305" s="6" t="inlineStr">
        <is>
          <t>https://dym.asia/media/line-official-fee/</t>
        </is>
      </c>
      <c r="D305" s="12" t="inlineStr">
        <is>
          <t>2025.08.22</t>
        </is>
      </c>
      <c r="E305" s="12" t="inlineStr">
        <is>
          <t>2025.08.22</t>
        </is>
      </c>
      <c r="F305" s="47" t="inlineStr">
        <is>
          <t>法人</t>
        </is>
      </c>
      <c r="G305" s="47" t="inlineStr">
        <is>
          <t>WEB</t>
        </is>
      </c>
      <c r="H305" s="47" t="n"/>
      <c r="I305" s="6" t="inlineStr">
        <is>
          <t>https://dym.asia/media/line-official-fee/</t>
        </is>
      </c>
      <c r="J305" s="6" t="inlineStr">
        <is>
          <t>https://dym.asia/services/web-promotion/sns-ads/</t>
        </is>
      </c>
      <c r="K305" s="47" t="n"/>
      <c r="L305" s="47" t="n"/>
    </row>
    <row r="306" ht="15.75" customHeight="1" s="185">
      <c r="A306" s="52">
        <f>row()-1</f>
        <v/>
      </c>
      <c r="B306" s="46" t="inlineStr">
        <is>
          <t>【スマホ・PC別】LINE公式アカウントにログインする方法｜対処法も解説</t>
        </is>
      </c>
      <c r="C306" s="10" t="inlineStr">
        <is>
          <t>https://dym.asia/media/line-official-login/</t>
        </is>
      </c>
      <c r="D306" s="12" t="inlineStr">
        <is>
          <t>2025.08.21</t>
        </is>
      </c>
      <c r="E306" s="12" t="inlineStr">
        <is>
          <t>2025.08.21</t>
        </is>
      </c>
      <c r="F306" s="47" t="inlineStr">
        <is>
          <t>法人</t>
        </is>
      </c>
      <c r="G306" s="47" t="inlineStr">
        <is>
          <t>WEB</t>
        </is>
      </c>
      <c r="H306" s="47" t="n"/>
      <c r="I306" s="6" t="inlineStr">
        <is>
          <t>https://dym.asia/services/web-promotion/sns-consulting/</t>
        </is>
      </c>
      <c r="J306" s="6" t="inlineStr">
        <is>
          <t>https://dym.asia/services/web-promotion/sns-consulting/</t>
        </is>
      </c>
      <c r="K306" s="47" t="n"/>
      <c r="L306" s="47" t="n"/>
    </row>
    <row r="307" ht="15.75" customHeight="1" s="185">
      <c r="A307" s="52">
        <f>row()-1</f>
        <v/>
      </c>
      <c r="B307" s="46" t="inlineStr">
        <is>
          <t>LINE公式アカウントのメッセージ配信方法・効果的な送り方を解説</t>
        </is>
      </c>
      <c r="C307" s="6" t="inlineStr">
        <is>
          <t>https://dym.asia/media/line-official-message/</t>
        </is>
      </c>
      <c r="D307" s="12" t="inlineStr">
        <is>
          <t>2025.08.22</t>
        </is>
      </c>
      <c r="E307" s="12" t="inlineStr">
        <is>
          <t>2025.08.22</t>
        </is>
      </c>
      <c r="F307" s="47" t="inlineStr">
        <is>
          <t>法人</t>
        </is>
      </c>
      <c r="G307" s="47" t="inlineStr">
        <is>
          <t>WEB</t>
        </is>
      </c>
      <c r="H307" s="47" t="n"/>
      <c r="I307" s="6" t="inlineStr">
        <is>
          <t>https://dym.asia/services/web-promotion/line-official-account/</t>
        </is>
      </c>
      <c r="J307" s="6" t="inlineStr">
        <is>
          <t>https://dym.asia/services/web-promotion/sns-consulting/</t>
        </is>
      </c>
      <c r="K307" s="47" t="n"/>
      <c r="L307" s="47" t="n"/>
    </row>
    <row r="308" ht="15.75" customHeight="1" s="185">
      <c r="A308" s="52">
        <f>row()-1</f>
        <v/>
      </c>
      <c r="B308" s="46" t="inlineStr">
        <is>
          <t>LINE公式アカウントの料金プランを紹介！費用を抑えるコツも解説</t>
        </is>
      </c>
      <c r="C308" s="6" t="inlineStr">
        <is>
          <t>https://dym.asia/media/line-official-paid/</t>
        </is>
      </c>
      <c r="D308" s="12" t="inlineStr">
        <is>
          <t>2025.08.22</t>
        </is>
      </c>
      <c r="E308" s="12" t="inlineStr">
        <is>
          <t>2025.08.22</t>
        </is>
      </c>
      <c r="F308" s="47" t="inlineStr">
        <is>
          <t>法人</t>
        </is>
      </c>
      <c r="G308" s="47" t="inlineStr">
        <is>
          <t>WEB</t>
        </is>
      </c>
      <c r="H308" s="47" t="n"/>
      <c r="I308" s="6" t="inlineStr">
        <is>
          <t>https://dym.asia/services/web-promotion/line-official-account/</t>
        </is>
      </c>
      <c r="J308" s="6" t="inlineStr">
        <is>
          <t>https://dym.asia/services/web-promotion/sns-consulting/</t>
        </is>
      </c>
      <c r="K308" s="47" t="n"/>
      <c r="L308" s="47" t="n"/>
    </row>
    <row r="309" ht="15.75" customHeight="1" s="185">
      <c r="A309" s="52">
        <f>row()-1</f>
        <v/>
      </c>
      <c r="B309" s="46" t="inlineStr">
        <is>
          <t>LINE公式アカウントのリッチメッセージとは？作成するメリットや手順を解説</t>
        </is>
      </c>
      <c r="C309" s="10" t="inlineStr">
        <is>
          <t>https://dym.asia/media/line-official-rich-message/</t>
        </is>
      </c>
      <c r="D309" s="12" t="inlineStr">
        <is>
          <t>2025.08.22</t>
        </is>
      </c>
      <c r="E309" s="12" t="inlineStr">
        <is>
          <t>2025.08.22</t>
        </is>
      </c>
      <c r="F309" s="47" t="inlineStr">
        <is>
          <t>法人</t>
        </is>
      </c>
      <c r="G309" s="47" t="inlineStr">
        <is>
          <t>WEB</t>
        </is>
      </c>
      <c r="H309" s="47" t="n"/>
      <c r="I309" s="6" t="inlineStr">
        <is>
          <t>https://dym.asia/services/web-promotion/line-official-account/</t>
        </is>
      </c>
      <c r="J309" s="6" t="inlineStr">
        <is>
          <t>https://dym.asia/services/web-promotion/line-official-account/</t>
        </is>
      </c>
      <c r="K309" s="47" t="n"/>
      <c r="L309" s="47" t="n"/>
    </row>
    <row r="310" ht="15.75" customHeight="1" s="185">
      <c r="A310" s="52">
        <f>row()-1</f>
        <v/>
      </c>
      <c r="B310" s="46" t="inlineStr">
        <is>
          <t>LINE公式アカウントを検索する方法を解説｜友だち数を増やすポイントも紹介！</t>
        </is>
      </c>
      <c r="C310" s="6" t="inlineStr">
        <is>
          <t>https://dym.asia/media/line-official-search/</t>
        </is>
      </c>
      <c r="D310" s="12" t="inlineStr">
        <is>
          <t>2025.08.22</t>
        </is>
      </c>
      <c r="E310" s="12" t="inlineStr">
        <is>
          <t>2025.08.22</t>
        </is>
      </c>
      <c r="F310" s="47" t="inlineStr">
        <is>
          <t>法人</t>
        </is>
      </c>
      <c r="G310" s="47" t="inlineStr">
        <is>
          <t>WEB</t>
        </is>
      </c>
      <c r="H310" s="47" t="n"/>
      <c r="I310" s="6" t="inlineStr">
        <is>
          <t>https://dym.asia/services/web-promotion/line-official-account/</t>
        </is>
      </c>
      <c r="J310" s="6" t="inlineStr">
        <is>
          <t>https://dym.asia/services/web-promotion/line-official-account/</t>
        </is>
      </c>
      <c r="K310" s="47" t="n"/>
      <c r="L310" s="47" t="n"/>
    </row>
    <row r="311" ht="15.75" customHeight="1" s="185">
      <c r="A311" s="52">
        <f>row()-1</f>
        <v/>
      </c>
      <c r="B311" s="46" t="inlineStr">
        <is>
          <t>LINE運用代行に依頼できる業務は？費用の目安や選び方のポイントなども解説</t>
        </is>
      </c>
      <c r="C311" s="6" t="inlineStr">
        <is>
          <t>https://dym.asia/media/line-operation/</t>
        </is>
      </c>
      <c r="D311" s="12" t="inlineStr">
        <is>
          <t>2024.10.16</t>
        </is>
      </c>
      <c r="E311" s="12" t="inlineStr">
        <is>
          <t>2024.10.30</t>
        </is>
      </c>
      <c r="F311" s="47" t="inlineStr">
        <is>
          <t>法人</t>
        </is>
      </c>
      <c r="G311" s="47" t="inlineStr">
        <is>
          <t>WEB</t>
        </is>
      </c>
      <c r="H311" s="47" t="n"/>
      <c r="I311" s="6" t="inlineStr">
        <is>
          <t>https://dym.asia/services/web-promotion/sns-consulting/</t>
        </is>
      </c>
      <c r="J311" s="6" t="inlineStr">
        <is>
          <t>https://dym.asia/services/web-promotion/line-official-account/</t>
        </is>
      </c>
      <c r="K311" s="47" t="n"/>
      <c r="L311" s="47" t="n"/>
    </row>
    <row r="312" ht="15.75" customHeight="1" s="185">
      <c r="A312" s="52">
        <f>row()-1</f>
        <v/>
      </c>
      <c r="B312" s="46" t="inlineStr">
        <is>
          <t>リスティング広告の種類は？主要媒体の違いや特徴を解説</t>
        </is>
      </c>
      <c r="C312" s="6" t="inlineStr">
        <is>
          <t>https://dym.asia/media/listing-ads-type/</t>
        </is>
      </c>
      <c r="D312" s="12" t="inlineStr">
        <is>
          <t>2024.11.19</t>
        </is>
      </c>
      <c r="E312" s="12" t="inlineStr">
        <is>
          <t>2024.11.29</t>
        </is>
      </c>
      <c r="F312" s="47" t="inlineStr">
        <is>
          <t>法人</t>
        </is>
      </c>
      <c r="G312" s="47" t="inlineStr">
        <is>
          <t>WEB</t>
        </is>
      </c>
      <c r="H312" s="47" t="n"/>
      <c r="I312" s="47" t="inlineStr">
        <is>
          <t>投稿がうまくいってませんでした。</t>
        </is>
      </c>
      <c r="J312" s="47" t="n"/>
      <c r="K312" s="47" t="n"/>
      <c r="L312" s="47" t="inlineStr">
        <is>
          <t>記事崩れ</t>
        </is>
      </c>
    </row>
    <row r="313" ht="15.75" customHeight="1" s="185">
      <c r="A313" s="52">
        <f>row()-1</f>
        <v/>
      </c>
      <c r="B313" s="46" t="inlineStr">
        <is>
          <t>ディスプレイ広告とは？運用メリットとリスティング広告との違いを解説</t>
        </is>
      </c>
      <c r="C313" s="6" t="inlineStr">
        <is>
          <t>https://dym.asia/media/listing-display-ads/</t>
        </is>
      </c>
      <c r="D313" s="12" t="inlineStr">
        <is>
          <t>2024.11.19</t>
        </is>
      </c>
      <c r="E313" s="12" t="inlineStr">
        <is>
          <t>2024.12.09</t>
        </is>
      </c>
      <c r="F313" s="47" t="inlineStr">
        <is>
          <t>法人</t>
        </is>
      </c>
      <c r="G313" s="47" t="inlineStr">
        <is>
          <t>WEB</t>
        </is>
      </c>
      <c r="H313" s="47" t="n"/>
      <c r="I313" s="6" t="inlineStr">
        <is>
          <t>https://dym.asia/services/web-promotion/</t>
        </is>
      </c>
      <c r="J313" s="6" t="inlineStr">
        <is>
          <t>https://dym.asia/services/web-promotion/</t>
        </is>
      </c>
      <c r="K313" s="47" t="n"/>
      <c r="L313" s="47" t="n"/>
    </row>
    <row r="314" ht="15.75" customHeight="1" s="185">
      <c r="A314" s="52">
        <f>row()-1</f>
        <v/>
      </c>
      <c r="B314" s="46" t="inlineStr">
        <is>
          <t>リスティング広告とは？仕組みや費用、運用のコツやメリット・デメリットを解説！</t>
        </is>
      </c>
      <c r="C314" s="6" t="inlineStr">
        <is>
          <t>https://dym.asia/media/listing_advertisement/</t>
        </is>
      </c>
      <c r="D314" s="12" t="inlineStr">
        <is>
          <t>2024.05.30</t>
        </is>
      </c>
      <c r="E314" s="12" t="inlineStr">
        <is>
          <t>2024.06.14</t>
        </is>
      </c>
      <c r="F314" s="47" t="inlineStr">
        <is>
          <t>法人</t>
        </is>
      </c>
      <c r="G314" s="47" t="inlineStr">
        <is>
          <t>WEB</t>
        </is>
      </c>
      <c r="H314" s="47" t="n"/>
      <c r="I314" s="6" t="inlineStr">
        <is>
          <t>https://dym.asia/services/web-promotion/listing/</t>
        </is>
      </c>
      <c r="J314" s="6" t="inlineStr">
        <is>
          <t>https://dym.asia/services/web-promotion/listing/</t>
        </is>
      </c>
      <c r="K314" s="47" t="n"/>
      <c r="L314" s="47" t="n"/>
    </row>
    <row r="315" ht="15.75" customHeight="1" s="185">
      <c r="A315" s="52">
        <f>row()-1</f>
        <v/>
      </c>
      <c r="B315" s="46" t="inlineStr">
        <is>
          <t>ロジックツリーとは？種類・活用メリット・作り方のポイントを解説</t>
        </is>
      </c>
      <c r="C315" s="6" t="inlineStr">
        <is>
          <t>https://dym.asia/media/logic-tree/</t>
        </is>
      </c>
      <c r="D315" s="12" t="inlineStr">
        <is>
          <t>2024.11.25</t>
        </is>
      </c>
      <c r="E315" s="12" t="inlineStr">
        <is>
          <t>2024.12.10</t>
        </is>
      </c>
      <c r="F315" s="47" t="inlineStr">
        <is>
          <t>法人</t>
        </is>
      </c>
      <c r="G315" s="47" t="inlineStr">
        <is>
          <t>人材</t>
        </is>
      </c>
      <c r="H315" s="47" t="n"/>
      <c r="I315" s="6" t="inlineStr">
        <is>
          <t>https://dym.asia/services/new-graduates/development-training/</t>
        </is>
      </c>
      <c r="J315" s="6" t="inlineStr">
        <is>
          <t>https://dym.asia/services/new-graduates/development-training/</t>
        </is>
      </c>
      <c r="K315" s="47" t="n"/>
      <c r="L315" s="47" t="n"/>
    </row>
    <row r="316" ht="15.75" customHeight="1" s="185">
      <c r="A316" s="52">
        <f>row()-1</f>
        <v/>
      </c>
      <c r="B316" s="46" t="inlineStr">
        <is>
          <t>M&amp;Aコンサルティングとは？アドバイザリーとの違いや業務内容、企業の選び方まで解説</t>
        </is>
      </c>
      <c r="C316" s="6" t="inlineStr">
        <is>
          <t>https://dym.asia/media/ma_consulting/</t>
        </is>
      </c>
      <c r="D316" s="12" t="inlineStr">
        <is>
          <t>2024.05.24</t>
        </is>
      </c>
      <c r="E316" s="12" t="inlineStr">
        <is>
          <t>2024.06.14</t>
        </is>
      </c>
      <c r="F316" s="47" t="inlineStr">
        <is>
          <t>法人</t>
        </is>
      </c>
      <c r="G316" s="47" t="inlineStr">
        <is>
          <t>M&amp;A</t>
        </is>
      </c>
      <c r="H316" s="47" t="n"/>
      <c r="I316" s="6" t="inlineStr">
        <is>
          <t>https://dym.asia/services/m&amp;a/consulting/</t>
        </is>
      </c>
      <c r="J316" s="6" t="inlineStr">
        <is>
          <t>https://dym.asia/services/m&amp;a/consulting/</t>
        </is>
      </c>
      <c r="K316" s="47" t="n"/>
      <c r="L316" s="47" t="n"/>
    </row>
    <row r="317" ht="15.75" customHeight="1" s="185">
      <c r="A317" s="52">
        <f>row()-1</f>
        <v/>
      </c>
      <c r="B317" s="46" t="inlineStr">
        <is>
          <t>マネジメントの本質と実践：効果的な組織運営のための包括的ガイド</t>
        </is>
      </c>
      <c r="C317" s="6" t="inlineStr">
        <is>
          <t>https://dym.asia/media/management/</t>
        </is>
      </c>
      <c r="D317" s="12" t="inlineStr">
        <is>
          <t>2024.11.22</t>
        </is>
      </c>
      <c r="E317" s="12" t="inlineStr">
        <is>
          <t>2024.12.10</t>
        </is>
      </c>
      <c r="F317" s="47" t="inlineStr">
        <is>
          <t>法人</t>
        </is>
      </c>
      <c r="G317" s="47" t="inlineStr">
        <is>
          <t>人材</t>
        </is>
      </c>
      <c r="H317" s="47" t="n"/>
      <c r="I317" s="6" t="inlineStr">
        <is>
          <t>https://dym.asia/services/new-graduates/development-training/</t>
        </is>
      </c>
      <c r="J317" s="6" t="inlineStr">
        <is>
          <t>https://dym.asia/services/new-graduates/development-training/</t>
        </is>
      </c>
      <c r="K317" s="47" t="n"/>
      <c r="L317" s="47" t="n"/>
    </row>
    <row r="318" ht="15.75" customHeight="1" s="185">
      <c r="A318" s="52">
        <f>row()-1</f>
        <v/>
      </c>
      <c r="B318" s="46" t="inlineStr">
        <is>
          <t>マネージャー研修の効果とおすすめマネジメントスキル向上法</t>
        </is>
      </c>
      <c r="C318" s="10" t="inlineStr">
        <is>
          <t>https://dym.asia/media/manager-training/</t>
        </is>
      </c>
      <c r="D318" s="12" t="inlineStr">
        <is>
          <t>2024.11.12</t>
        </is>
      </c>
      <c r="E318" s="12" t="inlineStr">
        <is>
          <t>2024.12.09</t>
        </is>
      </c>
      <c r="F318" s="47" t="inlineStr">
        <is>
          <t>法人</t>
        </is>
      </c>
      <c r="G318" s="47" t="inlineStr">
        <is>
          <t>人材</t>
        </is>
      </c>
      <c r="H318" s="47" t="n"/>
      <c r="I318" s="6" t="inlineStr">
        <is>
          <t>https://dym.asia/services/new-graduates/development-training/</t>
        </is>
      </c>
      <c r="J318" s="6" t="inlineStr">
        <is>
          <t>https://dym.asia/services/new-graduates/development-training/</t>
        </is>
      </c>
      <c r="K318" s="47" t="n"/>
      <c r="L318" s="47" t="n"/>
    </row>
    <row r="319" ht="15.75" customHeight="1" s="185">
      <c r="A319" s="52">
        <f>row()-1</f>
        <v/>
      </c>
      <c r="B319" s="46" t="inlineStr">
        <is>
          <t>マーケター採用はなぜ難しい？優秀な人材を見抜くポイントと採用方法</t>
        </is>
      </c>
      <c r="C319" s="10" t="inlineStr">
        <is>
          <t>https://dym.asia/media/marketer-recruitement/</t>
        </is>
      </c>
      <c r="D319" s="12" t="inlineStr">
        <is>
          <t>2024.11.13</t>
        </is>
      </c>
      <c r="E319" s="12" t="inlineStr">
        <is>
          <t>2024.12.09</t>
        </is>
      </c>
      <c r="F319" s="47" t="inlineStr">
        <is>
          <t>法人</t>
        </is>
      </c>
      <c r="G319" s="47" t="inlineStr">
        <is>
          <t>人材</t>
        </is>
      </c>
      <c r="H319" s="47" t="n"/>
      <c r="I319" s="6" t="inlineStr">
        <is>
          <t>https://dym.asia/services/new-graduates/dym-tech/</t>
        </is>
      </c>
      <c r="J319" s="6" t="inlineStr">
        <is>
          <t>https://dym.asia/services/new-graduates/exe-part/</t>
        </is>
      </c>
      <c r="K319" s="47" t="n"/>
      <c r="L319" s="47" t="n"/>
    </row>
    <row r="320" ht="15.75" customHeight="1" s="185">
      <c r="A320" s="52">
        <f>row()-1</f>
        <v/>
      </c>
      <c r="B320" s="46" t="inlineStr">
        <is>
          <t>マーケティング顧問、専門家の効果的戦略</t>
        </is>
      </c>
      <c r="C320" s="10" t="inlineStr">
        <is>
          <t>https://dym.asia/media/marketing-advisor/</t>
        </is>
      </c>
      <c r="D320" s="12" t="inlineStr">
        <is>
          <t>2024.11.13</t>
        </is>
      </c>
      <c r="E320" s="12" t="inlineStr">
        <is>
          <t>2024.12.09</t>
        </is>
      </c>
      <c r="F320" s="47" t="inlineStr">
        <is>
          <t>法人</t>
        </is>
      </c>
      <c r="G320" s="47" t="inlineStr">
        <is>
          <t>人材</t>
        </is>
      </c>
      <c r="H320" s="47" t="n"/>
      <c r="I320" s="6" t="inlineStr">
        <is>
          <t>https://dym.asia/services/new-graduates/exe-part/</t>
        </is>
      </c>
      <c r="J320" s="6" t="inlineStr">
        <is>
          <t>https://dym.asia/services/new-graduates/exe-part/</t>
        </is>
      </c>
      <c r="K320" s="47" t="n"/>
      <c r="L320" s="47" t="n"/>
    </row>
    <row r="321" ht="15.75" customHeight="1" s="185">
      <c r="A321" s="52">
        <f>row()-1</f>
        <v/>
      </c>
      <c r="B321" s="46" t="inlineStr">
        <is>
          <t>マーケターに業務委託するメリットとは？費用相場や成功のポイント</t>
        </is>
      </c>
      <c r="C321" s="10" t="inlineStr">
        <is>
          <t>https://dym.asia/media/marketing-outsourcing/</t>
        </is>
      </c>
      <c r="D321" s="12" t="inlineStr">
        <is>
          <t>2024.11.13</t>
        </is>
      </c>
      <c r="E321" s="12" t="inlineStr">
        <is>
          <t>2024.12.09</t>
        </is>
      </c>
      <c r="F321" s="47" t="inlineStr">
        <is>
          <t>法人</t>
        </is>
      </c>
      <c r="G321" s="47" t="inlineStr">
        <is>
          <t>人材</t>
        </is>
      </c>
      <c r="H321" s="47" t="n"/>
      <c r="I321" s="6" t="inlineStr">
        <is>
          <t>https://dym.asia/services/new-graduates/dym-tech/</t>
        </is>
      </c>
      <c r="J321" s="6" t="inlineStr">
        <is>
          <t>https://dym.asia/services/new-graduates/dym-tech/</t>
        </is>
      </c>
      <c r="K321" s="47" t="n"/>
      <c r="L321" s="47" t="n"/>
    </row>
    <row r="322" ht="15.75" customHeight="1" s="185">
      <c r="A322" s="52">
        <f>row()-1</f>
        <v/>
      </c>
      <c r="B322" s="46" t="inlineStr">
        <is>
          <t>MBOの意味は？メリットと種類、実施の流れや注意点を解説</t>
        </is>
      </c>
      <c r="C322" s="6" t="inlineStr">
        <is>
          <t>https://dym.asia/media/mbo/</t>
        </is>
      </c>
      <c r="D322" s="12" t="inlineStr">
        <is>
          <t>2024.11.14</t>
        </is>
      </c>
      <c r="E322" s="12" t="inlineStr">
        <is>
          <t>2024.12.09</t>
        </is>
      </c>
      <c r="F322" s="47" t="inlineStr">
        <is>
          <t>法人</t>
        </is>
      </c>
      <c r="G322" s="47" t="inlineStr">
        <is>
          <t>M&amp;A</t>
        </is>
      </c>
      <c r="H322" s="47" t="n"/>
      <c r="I322" s="6" t="inlineStr">
        <is>
          <t>https://dym.asia/services/m&amp;a/consulting/</t>
        </is>
      </c>
      <c r="J322" s="6" t="inlineStr">
        <is>
          <t>https://dym.asia/services/m&amp;a/consulting/</t>
        </is>
      </c>
      <c r="K322" s="47" t="n"/>
      <c r="L322" s="47" t="n"/>
    </row>
    <row r="323" ht="15.75" customHeight="1" s="185">
      <c r="A323" s="52">
        <f>row()-1</f>
        <v/>
      </c>
      <c r="B323" s="46" t="inlineStr">
        <is>
          <t>MECEとは？フレームワークで論理的思考を学ぼう</t>
        </is>
      </c>
      <c r="C323" s="6" t="inlineStr">
        <is>
          <t>https://dym.asia/media/mece/</t>
        </is>
      </c>
      <c r="D323" s="12" t="inlineStr">
        <is>
          <t>2024.11.25</t>
        </is>
      </c>
      <c r="E323" s="12" t="inlineStr">
        <is>
          <t>2024.12.10</t>
        </is>
      </c>
      <c r="F323" s="47" t="inlineStr">
        <is>
          <t>法人</t>
        </is>
      </c>
      <c r="G323" s="47" t="inlineStr">
        <is>
          <t>人材</t>
        </is>
      </c>
      <c r="H323" s="47" t="n"/>
      <c r="I323" s="10" t="inlineStr">
        <is>
          <t>https://dym.asia/services/new-graduates/development-training/</t>
        </is>
      </c>
      <c r="J323" s="10" t="inlineStr">
        <is>
          <t>https://dym.asia/services/new-graduates/development-training/</t>
        </is>
      </c>
      <c r="K323" s="47" t="n"/>
      <c r="L323" s="47" t="n"/>
    </row>
    <row r="324" ht="15.75" customHeight="1" s="185">
      <c r="A324" s="52">
        <f>row()-1</f>
        <v/>
      </c>
      <c r="B324" s="46" t="inlineStr">
        <is>
          <t>MEOとは？MEO対策の方法と上位表示のポイント｜マーケティング用語</t>
        </is>
      </c>
      <c r="C324" s="10" t="inlineStr">
        <is>
          <t>https://dym.asia/media/meo/</t>
        </is>
      </c>
      <c r="D324" s="12" t="inlineStr">
        <is>
          <t>2024.11.15</t>
        </is>
      </c>
      <c r="E324" s="12" t="inlineStr">
        <is>
          <t>2024.12.09</t>
        </is>
      </c>
      <c r="F324" s="47" t="inlineStr">
        <is>
          <t>法人</t>
        </is>
      </c>
      <c r="G324" s="47" t="inlineStr">
        <is>
          <t>WEB</t>
        </is>
      </c>
      <c r="H324" s="47" t="n"/>
      <c r="I324" s="6" t="inlineStr">
        <is>
          <t>https://dym.asia/services/web-promotion/seo/</t>
        </is>
      </c>
      <c r="J324" s="6" t="inlineStr">
        <is>
          <t>https://dym.asia/services/web-promotion/seo/</t>
        </is>
      </c>
      <c r="K324" s="47" t="n"/>
      <c r="L324" s="47" t="n"/>
    </row>
    <row r="325" ht="15.75" customHeight="1" s="185">
      <c r="A325" s="52">
        <f>row()-1</f>
        <v/>
      </c>
      <c r="B325" s="46" t="inlineStr">
        <is>
          <t>メタディスクリプションとは？SEOの効果は？書き方や文字数も合わせて解説</t>
        </is>
      </c>
      <c r="C325" s="6" t="inlineStr">
        <is>
          <t>https://dym.asia/media/meta-description/</t>
        </is>
      </c>
      <c r="D325" s="12" t="inlineStr">
        <is>
          <t>2024.11.18</t>
        </is>
      </c>
      <c r="E325" s="12" t="inlineStr">
        <is>
          <t>2024.12.10</t>
        </is>
      </c>
      <c r="F325" s="47" t="inlineStr">
        <is>
          <t>法人</t>
        </is>
      </c>
      <c r="G325" s="47" t="inlineStr">
        <is>
          <t>WEB</t>
        </is>
      </c>
      <c r="H325" s="47" t="n"/>
      <c r="I325" s="6" t="inlineStr">
        <is>
          <t>https://dym.asia/media/meta-description/</t>
        </is>
      </c>
      <c r="J325" s="6" t="inlineStr">
        <is>
          <t>https://dym.asia/services/web-promotion/</t>
        </is>
      </c>
      <c r="K325" s="47" t="n"/>
      <c r="L325" s="47" t="n"/>
    </row>
    <row r="326" ht="15.75" customHeight="1" s="185">
      <c r="A326" s="52">
        <f>row()-1</f>
        <v/>
      </c>
      <c r="B326" s="46" t="inlineStr">
        <is>
          <t>マインドセットの重要性と企業成長への活用法：人材育成のカギ</t>
        </is>
      </c>
      <c r="C326" s="6" t="inlineStr">
        <is>
          <t>https://dym.asia/media/mind-set/</t>
        </is>
      </c>
      <c r="D326" s="12" t="inlineStr">
        <is>
          <t>2024.11.25</t>
        </is>
      </c>
      <c r="E326" s="12" t="inlineStr">
        <is>
          <t>2024.12.10</t>
        </is>
      </c>
      <c r="F326" s="47" t="inlineStr">
        <is>
          <t>法人</t>
        </is>
      </c>
      <c r="G326" s="47" t="inlineStr">
        <is>
          <t>人材</t>
        </is>
      </c>
      <c r="H326" s="47" t="n"/>
      <c r="I326" s="6" t="inlineStr">
        <is>
          <t>https://dym.asia/services/</t>
        </is>
      </c>
      <c r="J326" s="6" t="inlineStr">
        <is>
          <t>https://dym.asia/services/new-graduates/development-training/</t>
        </is>
      </c>
      <c r="K326" s="47" t="n"/>
      <c r="L326" s="47" t="n"/>
    </row>
    <row r="327" ht="15.75" customHeight="1" s="185">
      <c r="A327" s="52">
        <f>row()-1</f>
        <v/>
      </c>
      <c r="B327" s="46" t="inlineStr">
        <is>
          <t>モデルキャスティングのメリットやキャスティング会社の選び方を紹介</t>
        </is>
      </c>
      <c r="C327" s="6" t="inlineStr">
        <is>
          <t>https://dym.asia/media/model-casting/</t>
        </is>
      </c>
      <c r="D327" s="12" t="inlineStr">
        <is>
          <t>2024.10.16</t>
        </is>
      </c>
      <c r="E327" s="12" t="inlineStr">
        <is>
          <t>2024.10.31</t>
        </is>
      </c>
      <c r="F327" s="47" t="inlineStr">
        <is>
          <t>法人</t>
        </is>
      </c>
      <c r="G327" s="47" t="inlineStr">
        <is>
          <t>WEB</t>
        </is>
      </c>
      <c r="H327" s="47" t="n"/>
      <c r="I327" s="6" t="inlineStr">
        <is>
          <t>https://dym.asia/services/web-promotion/talents-share/</t>
        </is>
      </c>
      <c r="J327" s="6" t="inlineStr">
        <is>
          <t>https://dym.asia/services/web-promotion/talents-share/</t>
        </is>
      </c>
      <c r="K327" s="47" t="n"/>
      <c r="L327" s="47" t="n"/>
    </row>
    <row r="328" ht="15.75" customHeight="1" s="185">
      <c r="A328" s="52">
        <f>row()-1</f>
        <v/>
      </c>
      <c r="B328" s="46" t="inlineStr">
        <is>
          <t>ネイティブ広告とは？6つの種類と主な媒体・メリットなど詳しく解説</t>
        </is>
      </c>
      <c r="C328" s="10" t="inlineStr">
        <is>
          <t>https://dym.asia/media/native-ads-medium/</t>
        </is>
      </c>
      <c r="D328" s="12" t="inlineStr">
        <is>
          <t>2024.11.21</t>
        </is>
      </c>
      <c r="E328" s="12" t="inlineStr">
        <is>
          <t>2024.12.09</t>
        </is>
      </c>
      <c r="F328" s="47" t="inlineStr">
        <is>
          <t>法人</t>
        </is>
      </c>
      <c r="G328" s="47" t="inlineStr">
        <is>
          <t>WEB</t>
        </is>
      </c>
      <c r="H328" s="47" t="n"/>
      <c r="I328" s="6" t="inlineStr">
        <is>
          <t>https://dym.asia/services/web-promotion/dsp-native-ads/</t>
        </is>
      </c>
      <c r="J328" s="6" t="inlineStr">
        <is>
          <t>https://dym.asia/services/web-promotion/dsp-native-ads/</t>
        </is>
      </c>
      <c r="K328" s="47" t="n"/>
      <c r="L328" s="47" t="n"/>
    </row>
    <row r="329" ht="15.75" customHeight="1" s="185">
      <c r="A329" s="52">
        <f>row()-1</f>
        <v/>
      </c>
      <c r="B329" s="46" t="inlineStr">
        <is>
          <t>新入社員研修のカリキュラムで押さえるべき教育手法と作り方を紹介</t>
        </is>
      </c>
      <c r="C329" s="6" t="inlineStr">
        <is>
          <t>https://dym.asia/media/new-graduate-training-curriculum/</t>
        </is>
      </c>
      <c r="D329" s="12" t="inlineStr">
        <is>
          <t>2024.11.13</t>
        </is>
      </c>
      <c r="E329" s="12" t="inlineStr">
        <is>
          <t>2024.12.09</t>
        </is>
      </c>
      <c r="F329" s="47" t="inlineStr">
        <is>
          <t>法人</t>
        </is>
      </c>
      <c r="G329" s="47" t="inlineStr">
        <is>
          <t>人材</t>
        </is>
      </c>
      <c r="H329" s="47" t="n"/>
      <c r="I329" s="6" t="inlineStr">
        <is>
          <t>https://dym.asia/services/new-graduates/development-training/</t>
        </is>
      </c>
      <c r="J329" s="6" t="inlineStr">
        <is>
          <t>https://dym.asia/services/new-graduates/development-training/</t>
        </is>
      </c>
      <c r="K329" s="47" t="n"/>
      <c r="L329" s="47" t="n"/>
    </row>
    <row r="330" ht="15.75" customHeight="1" s="185">
      <c r="A330" s="52">
        <f>row()-1</f>
        <v/>
      </c>
      <c r="B330" s="46" t="inlineStr">
        <is>
          <t>新卒エージェントの費用相場や選び方を徹底比較</t>
        </is>
      </c>
      <c r="C330" s="10" t="inlineStr">
        <is>
          <t>https://dym.asia/media/new-graduation-agent-cost/</t>
        </is>
      </c>
      <c r="D330" s="12" t="inlineStr">
        <is>
          <t>2024.11.19</t>
        </is>
      </c>
      <c r="E330" s="12" t="inlineStr">
        <is>
          <t>2024.12.09</t>
        </is>
      </c>
      <c r="F330" s="47" t="inlineStr">
        <is>
          <t>法人</t>
        </is>
      </c>
      <c r="G330" s="47" t="inlineStr">
        <is>
          <t>人材</t>
        </is>
      </c>
      <c r="H330" s="47" t="n"/>
      <c r="I330" s="6" t="inlineStr">
        <is>
          <t>https://dym.asia/services/new-graduates/new-graduate-recruitment/</t>
        </is>
      </c>
      <c r="J330" s="6" t="inlineStr">
        <is>
          <t>https://dym.asia/services/new-graduates/development-training/</t>
        </is>
      </c>
      <c r="K330" s="47" t="n"/>
      <c r="L330" s="47" t="n"/>
    </row>
    <row r="331" ht="15.75" customHeight="1" s="185">
      <c r="A331" s="52">
        <f>row()-1</f>
        <v/>
      </c>
      <c r="B331" s="46" t="inlineStr">
        <is>
          <t>新卒採用の費用はいくら必要？｜削減方法や平均相場を解説</t>
        </is>
      </c>
      <c r="C331" s="10" t="inlineStr">
        <is>
          <t>https://dym.asia/media/new-graduation-recruitment-cost/</t>
        </is>
      </c>
      <c r="D331" s="12" t="inlineStr">
        <is>
          <t>2024.11.18</t>
        </is>
      </c>
      <c r="E331" s="12" t="inlineStr">
        <is>
          <t>2024.12.10</t>
        </is>
      </c>
      <c r="F331" s="47" t="inlineStr">
        <is>
          <t>法人</t>
        </is>
      </c>
      <c r="G331" s="47" t="inlineStr">
        <is>
          <t>人材</t>
        </is>
      </c>
      <c r="H331" s="47" t="n"/>
      <c r="I331" s="6" t="inlineStr">
        <is>
          <t>https://dym.asia/services/new-graduates/new-graduate-recruitment/</t>
        </is>
      </c>
      <c r="J331" s="6" t="inlineStr">
        <is>
          <t>https://dym.asia/services/new-graduates/new-graduate-recruitment/</t>
        </is>
      </c>
      <c r="K331" s="47" t="n"/>
      <c r="L331" s="47" t="n"/>
    </row>
    <row r="332" ht="15.75" customHeight="1" s="185">
      <c r="A332" s="52">
        <f>row()-1</f>
        <v/>
      </c>
      <c r="B332" s="46" t="inlineStr">
        <is>
          <t>新入社員研修の期間はどのくらいの長さが適切？ポイントを解説</t>
        </is>
      </c>
      <c r="C332" s="6" t="inlineStr">
        <is>
          <t>https://dym.asia/media/new-graduation-training-term/</t>
        </is>
      </c>
      <c r="D332" s="12" t="inlineStr">
        <is>
          <t>2024.11.18</t>
        </is>
      </c>
      <c r="E332" s="12" t="inlineStr">
        <is>
          <t>2024.12.10</t>
        </is>
      </c>
      <c r="F332" s="47" t="inlineStr">
        <is>
          <t>法人</t>
        </is>
      </c>
      <c r="G332" s="47" t="inlineStr">
        <is>
          <t>人材</t>
        </is>
      </c>
      <c r="H332" s="47" t="n"/>
      <c r="I332" s="6" t="inlineStr">
        <is>
          <t>https://dym.asia/services/new-graduates/development-training/</t>
        </is>
      </c>
      <c r="J332" s="6" t="inlineStr">
        <is>
          <t>https://dym.asia/services/new-graduates/development-training/</t>
        </is>
      </c>
      <c r="K332" s="47" t="n"/>
      <c r="L332" s="47" t="n"/>
    </row>
    <row r="333" ht="15.75" customHeight="1" s="185">
      <c r="A333" s="52">
        <f>row()-1</f>
        <v/>
      </c>
      <c r="B333" s="46" t="inlineStr">
        <is>
          <t>新人社員研修を成功させるコツとは？種類や目的、実施すべき内容を解説</t>
        </is>
      </c>
      <c r="C333" s="6" t="inlineStr">
        <is>
          <t>https://dym.asia/media/new_employee_training/</t>
        </is>
      </c>
      <c r="D333" s="12" t="inlineStr">
        <is>
          <t>2024.05.30</t>
        </is>
      </c>
      <c r="E333" s="12" t="inlineStr">
        <is>
          <t>2024.06.14</t>
        </is>
      </c>
      <c r="F333" s="47" t="inlineStr">
        <is>
          <t>法人</t>
        </is>
      </c>
      <c r="G333" s="47" t="inlineStr">
        <is>
          <t>人材</t>
        </is>
      </c>
      <c r="H333" s="47" t="n"/>
      <c r="I333" s="6" t="inlineStr">
        <is>
          <t>https://dym.asia/services/new-graduates/development-training/</t>
        </is>
      </c>
      <c r="J333" s="6" t="inlineStr">
        <is>
          <t>https://dym.asia/services/new-graduates/development-training/</t>
        </is>
      </c>
      <c r="K333" s="47" t="n"/>
      <c r="L333" s="47" t="n"/>
    </row>
    <row r="334" ht="15.75" customHeight="1" s="185">
      <c r="A334" s="52">
        <f>row()-1</f>
        <v/>
      </c>
      <c r="B334" s="46" t="inlineStr">
        <is>
          <t>新卒採用のメリットや目的とは？意義や実施のフロー、中途採用との違いを解説</t>
        </is>
      </c>
      <c r="C334" s="6" t="inlineStr">
        <is>
          <t>https://dym.asia/media/new_graduate_recruitment/</t>
        </is>
      </c>
      <c r="D334" s="12" t="inlineStr">
        <is>
          <t>2024.05.30</t>
        </is>
      </c>
      <c r="E334" s="12" t="inlineStr">
        <is>
          <t>2024.06.14</t>
        </is>
      </c>
      <c r="F334" s="47" t="inlineStr">
        <is>
          <t>法人</t>
        </is>
      </c>
      <c r="G334" s="47" t="inlineStr">
        <is>
          <t>人材</t>
        </is>
      </c>
      <c r="H334" s="47" t="n"/>
      <c r="I334" s="6" t="inlineStr">
        <is>
          <t>https://dym.asia/services/new-graduates/new-graduate-recruitment/</t>
        </is>
      </c>
      <c r="J334" s="10" t="inlineStr">
        <is>
          <t>https://dym.asia/services/new-graduates/development-training/</t>
        </is>
      </c>
      <c r="K334" s="47" t="n"/>
      <c r="L334" s="47" t="n"/>
    </row>
    <row r="335" ht="15.75" customHeight="1" s="185">
      <c r="A335" s="52">
        <f>row()-1</f>
        <v/>
      </c>
      <c r="B335" s="46" t="inlineStr">
        <is>
          <t>産業医とは？役割や仕事内容、医師との違い、選任義務や探し方を解説</t>
        </is>
      </c>
      <c r="C335" s="6" t="inlineStr">
        <is>
          <t>https://dym.asia/media/occupational_physician/</t>
        </is>
      </c>
      <c r="D335" s="12" t="inlineStr">
        <is>
          <t>2024.05.30</t>
        </is>
      </c>
      <c r="E335" s="12" t="inlineStr">
        <is>
          <t>2024.06.14</t>
        </is>
      </c>
      <c r="F335" s="47" t="inlineStr">
        <is>
          <t>法人</t>
        </is>
      </c>
      <c r="G335" s="47" t="inlineStr">
        <is>
          <t>クリニック</t>
        </is>
      </c>
      <c r="H335" s="47" t="n"/>
      <c r="I335" s="6" t="inlineStr">
        <is>
          <t>https://dym.asia/services/medicine/</t>
        </is>
      </c>
      <c r="J335" s="6" t="inlineStr">
        <is>
          <t>https://dym.asia/services/medicine/</t>
        </is>
      </c>
      <c r="K335" s="47" t="n"/>
      <c r="L335" s="47" t="n"/>
    </row>
    <row r="336" ht="15.75" customHeight="1" s="185">
      <c r="A336" s="52">
        <f>row()-1</f>
        <v/>
      </c>
      <c r="B336" s="46" t="inlineStr">
        <is>
          <t>オフィス仲介業者の選定ポイントは？失敗しない方法や利用のメリットを解説</t>
        </is>
      </c>
      <c r="C336" s="6" t="inlineStr">
        <is>
          <t>https://dym.asia/media/office_brokerage/</t>
        </is>
      </c>
      <c r="D336" s="12" t="inlineStr">
        <is>
          <t>2024.05.30</t>
        </is>
      </c>
      <c r="E336" s="12" t="inlineStr">
        <is>
          <t>2024.06.14</t>
        </is>
      </c>
      <c r="F336" s="47" t="inlineStr">
        <is>
          <t>法人</t>
        </is>
      </c>
      <c r="G336" s="47" t="inlineStr">
        <is>
          <t>リアルエステート</t>
        </is>
      </c>
      <c r="H336" s="47" t="n"/>
      <c r="I336" s="6" t="inlineStr">
        <is>
          <t>https://dym.asia/services/new-business/relocation/</t>
        </is>
      </c>
      <c r="J336" s="6" t="inlineStr">
        <is>
          <t>https://dym.asia/services/new-business/relocation/</t>
        </is>
      </c>
      <c r="K336" s="47" t="n"/>
      <c r="L336" s="47" t="n"/>
    </row>
    <row r="337" ht="15.75" customHeight="1" s="185">
      <c r="A337" s="52">
        <f>row()-1</f>
        <v/>
      </c>
      <c r="B337" s="46" t="inlineStr">
        <is>
          <t>スポンサーのメリットと協賛企業のポイントを探る</t>
        </is>
      </c>
      <c r="C337" s="6" t="inlineStr">
        <is>
          <t>https://dym.asia/media/official-sponsor/</t>
        </is>
      </c>
      <c r="D337" s="12" t="inlineStr">
        <is>
          <t>2024.11.18</t>
        </is>
      </c>
      <c r="E337" s="12" t="inlineStr">
        <is>
          <t>2024.12.10</t>
        </is>
      </c>
      <c r="F337" s="47" t="inlineStr">
        <is>
          <t>法人</t>
        </is>
      </c>
      <c r="G337" s="47" t="inlineStr">
        <is>
          <t>Dリーグ</t>
        </is>
      </c>
      <c r="H337" s="47" t="n"/>
      <c r="I337" s="6" t="inlineStr">
        <is>
          <t>https://dym.asia/services/sports/</t>
        </is>
      </c>
      <c r="J337" s="6" t="inlineStr">
        <is>
          <t>https://dym.asia/services/sports/</t>
        </is>
      </c>
      <c r="K337" s="47" t="n"/>
      <c r="L337" s="47" t="n"/>
    </row>
    <row r="338" ht="15.75" customHeight="1" s="185">
      <c r="A338" s="52">
        <f>row()-1</f>
        <v/>
      </c>
      <c r="B338" s="46" t="inlineStr">
        <is>
          <t>OGPとは？役割から設定方法まで詳しく解説</t>
        </is>
      </c>
      <c r="C338" s="6" t="inlineStr">
        <is>
          <t>https://dym.asia/media/opg/</t>
        </is>
      </c>
      <c r="D338" s="12" t="inlineStr">
        <is>
          <t>2024.11.27</t>
        </is>
      </c>
      <c r="E338" s="12" t="inlineStr">
        <is>
          <t>2024.12.09</t>
        </is>
      </c>
      <c r="F338" s="47" t="inlineStr">
        <is>
          <t>法人</t>
        </is>
      </c>
      <c r="G338" s="47" t="inlineStr">
        <is>
          <t>WEB</t>
        </is>
      </c>
      <c r="H338" s="47" t="n"/>
      <c r="I338" s="6" t="inlineStr">
        <is>
          <t>https://dym.asia/services/web-promotion/</t>
        </is>
      </c>
      <c r="J338" s="6" t="inlineStr">
        <is>
          <t>https://dym.asia/services/web-promotion/</t>
        </is>
      </c>
      <c r="K338" s="47" t="n"/>
      <c r="L338" s="47" t="n"/>
    </row>
    <row r="339" ht="15.75" customHeight="1" s="185">
      <c r="A339" s="52">
        <f>row()-1</f>
        <v/>
      </c>
      <c r="B339" s="46" t="inlineStr">
        <is>
          <t>PageSpeed Insightsの使い方と表示速度の改善方法</t>
        </is>
      </c>
      <c r="C339" s="6" t="inlineStr">
        <is>
          <t>https://dym.asia/media/page-speed-insights/</t>
        </is>
      </c>
      <c r="D339" s="12" t="inlineStr">
        <is>
          <t>2025.10.23</t>
        </is>
      </c>
      <c r="E339" s="12" t="inlineStr">
        <is>
          <t>2025.10.23</t>
        </is>
      </c>
      <c r="F339" s="47" t="inlineStr">
        <is>
          <t>法人</t>
        </is>
      </c>
      <c r="G339" s="47" t="inlineStr">
        <is>
          <t>WEB</t>
        </is>
      </c>
      <c r="H339" s="47" t="n"/>
      <c r="I339" s="6" t="inlineStr">
        <is>
          <t>https://dym.asia/services/web-promotion/seo/</t>
        </is>
      </c>
      <c r="J339" s="6" t="inlineStr">
        <is>
          <t>https://dym.asia/services/web-promotion/</t>
        </is>
      </c>
      <c r="K339" s="47" t="n"/>
      <c r="L339" s="47" t="n"/>
    </row>
    <row r="340" ht="15.75" customHeight="1" s="185">
      <c r="A340" s="52">
        <f>row()-1</f>
        <v/>
      </c>
      <c r="B340" s="46" t="inlineStr">
        <is>
          <t>ページネーションとは？意味、作り方、SEO効果を解説</t>
        </is>
      </c>
      <c r="C340" s="6" t="inlineStr">
        <is>
          <t>https://dym.asia/media/pagenation/</t>
        </is>
      </c>
      <c r="D340" s="12" t="inlineStr">
        <is>
          <t>2024.11.27</t>
        </is>
      </c>
      <c r="E340" s="12" t="inlineStr">
        <is>
          <t>2024.12.09</t>
        </is>
      </c>
      <c r="F340" s="47" t="inlineStr">
        <is>
          <t>法人</t>
        </is>
      </c>
      <c r="G340" s="47" t="inlineStr">
        <is>
          <t>WEB</t>
        </is>
      </c>
      <c r="H340" s="47" t="n"/>
      <c r="I340" s="6" t="inlineStr">
        <is>
          <t>https://dym.asia/services/web-promotion/</t>
        </is>
      </c>
      <c r="J340" s="6" t="inlineStr">
        <is>
          <t>https://dym.asia/services/web-promotion/</t>
        </is>
      </c>
      <c r="K340" s="47" t="n"/>
      <c r="L340" s="47" t="n"/>
    </row>
    <row r="341" ht="15.75" customHeight="1" s="185">
      <c r="A341" s="52">
        <f>row()-1</f>
        <v/>
      </c>
      <c r="B341" s="46" t="inlineStr">
        <is>
          <t>アルバイトと正社員の違いを比較！それぞれのメリット・デメリットを解説</t>
        </is>
      </c>
      <c r="C341" s="6" t="inlineStr">
        <is>
          <t>https://dym.asia/media/parttime-fulltime-difference/</t>
        </is>
      </c>
      <c r="D341" s="12" t="inlineStr">
        <is>
          <t>2025.11.13</t>
        </is>
      </c>
      <c r="E341" s="12" t="inlineStr">
        <is>
          <t>2025.11.13</t>
        </is>
      </c>
      <c r="F341" s="47" t="inlineStr">
        <is>
          <t>法人</t>
        </is>
      </c>
      <c r="G341" s="47" t="inlineStr">
        <is>
          <t>HR Tech</t>
        </is>
      </c>
      <c r="H341" s="47" t="n"/>
      <c r="I341" s="6" t="inlineStr">
        <is>
          <t>https://dymtech.jp/2859/?_gl=1*rjjsxv*_ga*MTI1MjE5NTY3My4xNzU2NDMyNTY0*_ga_ZXCZZJJ72V*czE3Njg5NTc1NTAkbzI3JGcxJHQxNzY4OTU4Mzc3JGo1MiRsMCRoMA..</t>
        </is>
      </c>
      <c r="J341" s="6" t="inlineStr">
        <is>
          <t>https://dymtech.jp/2859/?_gl=1*rjjsxv*_ga*MTI1MjE5NTY3My4xNzU2NDMyNTY0*_ga_ZXCZZJJ72V*czE3Njg5NTc1NTAkbzI3JGcxJHQxNzY4OTU4Mzc3JGo1MiRsMCRoMA..</t>
        </is>
      </c>
      <c r="K341" s="47" t="n"/>
      <c r="L341" s="47" t="n"/>
    </row>
    <row r="342" ht="15.75" customHeight="1" s="185">
      <c r="A342" s="52">
        <f>row()-1</f>
        <v/>
      </c>
      <c r="B342" s="46" t="inlineStr">
        <is>
          <t>アルバイト採用の流れは？募集方法・手続きや採用のコツまで解説</t>
        </is>
      </c>
      <c r="C342" s="6" t="inlineStr">
        <is>
          <t>https://dym.asia/media/parttime-hiring/</t>
        </is>
      </c>
      <c r="D342" s="12" t="inlineStr">
        <is>
          <t>2025.09.04</t>
        </is>
      </c>
      <c r="E342" s="12" t="inlineStr">
        <is>
          <t>2025.09.04</t>
        </is>
      </c>
      <c r="F342" s="47" t="inlineStr">
        <is>
          <t>法人</t>
        </is>
      </c>
      <c r="G342" s="47" t="inlineStr">
        <is>
          <t>HR Tech</t>
        </is>
      </c>
      <c r="H342" s="47" t="n"/>
      <c r="I342" s="6" t="inlineStr">
        <is>
          <t>https://dym.asia/services/web-promotion/line-official-account/</t>
        </is>
      </c>
      <c r="J342" s="6" t="inlineStr">
        <is>
          <t>https://dym.asia/services/hr-tech/kyujinbox/</t>
        </is>
      </c>
      <c r="K342" s="47" t="n"/>
      <c r="L342" s="47" t="n"/>
    </row>
    <row r="343" ht="15.75" customHeight="1" s="185">
      <c r="A343" s="52">
        <f>row()-1</f>
        <v/>
      </c>
      <c r="B343" s="46" t="inlineStr">
        <is>
          <t>PDCAとは？サイクルの回し方や業務改善への繋げ方を簡単に解説</t>
        </is>
      </c>
      <c r="C343" s="6" t="inlineStr">
        <is>
          <t>https://dym.asia/media/pdca-about/</t>
        </is>
      </c>
      <c r="D343" s="12" t="inlineStr">
        <is>
          <t>2024.11.18</t>
        </is>
      </c>
      <c r="E343" s="12" t="inlineStr">
        <is>
          <t>2024.12.10</t>
        </is>
      </c>
      <c r="F343" s="47" t="inlineStr">
        <is>
          <t>法人</t>
        </is>
      </c>
      <c r="G343" s="47" t="inlineStr">
        <is>
          <t>WEB</t>
        </is>
      </c>
      <c r="H343" s="47" t="n"/>
      <c r="I343" s="6" t="inlineStr">
        <is>
          <t>https://dym.asia/services/new-graduates/development-training/</t>
        </is>
      </c>
      <c r="J343" s="6" t="inlineStr">
        <is>
          <t>https://dym.asia/services/new-graduates/development-training/</t>
        </is>
      </c>
      <c r="K343" s="47" t="n"/>
      <c r="L343" s="47" t="n"/>
    </row>
    <row r="344" ht="15.75" customHeight="1" s="185">
      <c r="A344" s="52">
        <f>row()-1</f>
        <v/>
      </c>
      <c r="B344" s="46" t="inlineStr">
        <is>
          <t>パートと契約社員の違いを一覧比較！それぞれのメリット・デメリットを徹底解説</t>
        </is>
      </c>
      <c r="C344" s="6" t="inlineStr">
        <is>
          <t>https://dym.asia/media/perttime-contract-employee-differences/</t>
        </is>
      </c>
      <c r="D344" s="12" t="inlineStr">
        <is>
          <t>2025.11.12</t>
        </is>
      </c>
      <c r="E344" s="12" t="inlineStr">
        <is>
          <t>2025.11.12</t>
        </is>
      </c>
      <c r="F344" s="47" t="inlineStr">
        <is>
          <t>法人</t>
        </is>
      </c>
      <c r="G344" s="47" t="inlineStr">
        <is>
          <t>HR Tech</t>
        </is>
      </c>
      <c r="H344" s="47" t="n"/>
      <c r="I344" s="6" t="inlineStr">
        <is>
          <t>https://dymtech.jp/2859/?_gl=1*1gfsrwb*_ga*MTI1MjE5NTY3My4xNzU2NDMyNTY0*_ga_ZXCZZJJ72V*czE3Njg5NTc1NTAkbzI3JGcxJHQxNzY4OTU4ODA2JGo2MCRsMCRoMA..</t>
        </is>
      </c>
      <c r="J344" s="6" t="inlineStr">
        <is>
          <t>https://dym.asia/services/hr-tech/kyujinbox/</t>
        </is>
      </c>
      <c r="K344" s="47" t="n"/>
      <c r="L344" s="47" t="n"/>
    </row>
    <row r="345" ht="15.75" customHeight="1" s="185">
      <c r="A345" s="52">
        <f>row()-1</f>
        <v/>
      </c>
      <c r="B345" s="46" t="inlineStr">
        <is>
          <t>PEST分析とは？やり方手順や業界事例をわかりやすく解説</t>
        </is>
      </c>
      <c r="C345" s="6" t="inlineStr">
        <is>
          <t>https://dym.asia/media/pest-analysis/</t>
        </is>
      </c>
      <c r="D345" s="12" t="inlineStr">
        <is>
          <t>2024.11.22</t>
        </is>
      </c>
      <c r="E345" s="12" t="inlineStr">
        <is>
          <t>2024.12.10</t>
        </is>
      </c>
      <c r="F345" s="47" t="inlineStr">
        <is>
          <t>法人</t>
        </is>
      </c>
      <c r="G345" s="47" t="inlineStr">
        <is>
          <t>WEB</t>
        </is>
      </c>
      <c r="H345" s="47" t="n"/>
      <c r="I345" s="6" t="inlineStr">
        <is>
          <t>https://dym.asia/media/pest-analysis/</t>
        </is>
      </c>
      <c r="J345" s="10" t="inlineStr">
        <is>
          <t>https://dym.asia/services/web-promotion/</t>
        </is>
      </c>
      <c r="K345" s="47" t="n"/>
      <c r="L345" s="47" t="n"/>
    </row>
    <row r="346" ht="15.75" customHeight="1" s="185">
      <c r="A346" s="52">
        <f>row()-1</f>
        <v/>
      </c>
      <c r="B346" s="46" t="inlineStr">
        <is>
          <t>フォトフェイシャルの効果とは？デメリットや副作用も解説</t>
        </is>
      </c>
      <c r="C346" s="6" t="inlineStr">
        <is>
          <t>https://dym.asia/media/photo-facial/</t>
        </is>
      </c>
      <c r="D346" s="12" t="inlineStr">
        <is>
          <t>2024.11.20</t>
        </is>
      </c>
      <c r="E346" s="12" t="inlineStr">
        <is>
          <t>2025.03.21</t>
        </is>
      </c>
      <c r="F346" s="47" t="inlineStr">
        <is>
          <t>法人</t>
        </is>
      </c>
      <c r="G346" s="47" t="inlineStr">
        <is>
          <t>クリニック</t>
        </is>
      </c>
      <c r="H346" s="47" t="n"/>
      <c r="I346" s="6" t="inlineStr">
        <is>
          <t>https://dym.asia/services/medicine/</t>
        </is>
      </c>
      <c r="J346" s="6" t="inlineStr">
        <is>
          <t>https://dym.asia/services/medicine/</t>
        </is>
      </c>
      <c r="K346" s="47" t="n"/>
      <c r="L346" s="47" t="n"/>
    </row>
    <row r="347" ht="15.75" customHeight="1" s="185">
      <c r="A347" s="52">
        <f>row()-1</f>
        <v/>
      </c>
      <c r="B347" s="46" t="inlineStr">
        <is>
          <t>PMI（ポスト・マ―ジャー・インテグレーション）とは？成功の秘訣と進め方</t>
        </is>
      </c>
      <c r="C347" s="6" t="inlineStr">
        <is>
          <t>https://dym.asia/media/pmi/</t>
        </is>
      </c>
      <c r="D347" s="12" t="inlineStr">
        <is>
          <t>2024.11.13</t>
        </is>
      </c>
      <c r="E347" s="12" t="inlineStr">
        <is>
          <t>2024.12.09</t>
        </is>
      </c>
      <c r="F347" s="47" t="inlineStr">
        <is>
          <t>法人</t>
        </is>
      </c>
      <c r="G347" s="47" t="inlineStr">
        <is>
          <t>M&amp;A</t>
        </is>
      </c>
      <c r="H347" s="47" t="n"/>
      <c r="I347" s="6" t="inlineStr">
        <is>
          <t>https://dym.asia/services/m&amp;a/consulting/</t>
        </is>
      </c>
      <c r="J347" s="6" t="inlineStr">
        <is>
          <t>https://dym.asia/services/m&amp;a/consulting/</t>
        </is>
      </c>
      <c r="K347" s="47" t="n"/>
      <c r="L347" s="47" t="n"/>
    </row>
    <row r="348" ht="15.75" customHeight="1" s="185">
      <c r="A348" s="52">
        <f>row()-1</f>
        <v/>
      </c>
      <c r="B348" s="46" t="inlineStr">
        <is>
          <t>ポテンシャル採用とは？メリット・デメリットや成功のための注意点をご紹介</t>
        </is>
      </c>
      <c r="C348" s="6" t="inlineStr">
        <is>
          <t>https://dym.asia/media/potential-recruitment/</t>
        </is>
      </c>
      <c r="D348" s="12" t="inlineStr">
        <is>
          <t>2024.11.26</t>
        </is>
      </c>
      <c r="E348" s="12" t="inlineStr">
        <is>
          <t>2024.12.09</t>
        </is>
      </c>
      <c r="F348" s="47" t="inlineStr">
        <is>
          <t>法人</t>
        </is>
      </c>
      <c r="G348" s="47" t="inlineStr">
        <is>
          <t>人材</t>
        </is>
      </c>
      <c r="H348" s="47" t="n"/>
      <c r="I348" s="6" t="inlineStr">
        <is>
          <t>https://dym.asia/services/new-graduates/</t>
        </is>
      </c>
      <c r="J348" s="6" t="inlineStr">
        <is>
          <t>https://dym.asia/services/new-graduates/new-graduate-recruitment/</t>
        </is>
      </c>
      <c r="K348" s="47" t="n"/>
      <c r="L348" s="47" t="n"/>
    </row>
    <row r="349" ht="15.75" customHeight="1" s="185">
      <c r="A349" s="52">
        <f>row()-1</f>
        <v/>
      </c>
      <c r="B349" s="46" t="inlineStr">
        <is>
          <t>内定者研修で実施すべき内容やメリットとは？成功するためのポイントも解説</t>
        </is>
      </c>
      <c r="C349" s="10" t="inlineStr">
        <is>
          <t>https://dym.asia/media/pre_employment_training/</t>
        </is>
      </c>
      <c r="D349" s="12" t="inlineStr">
        <is>
          <t>2024.05.30</t>
        </is>
      </c>
      <c r="E349" s="12" t="inlineStr">
        <is>
          <t>2024.06.14</t>
        </is>
      </c>
      <c r="F349" s="47" t="inlineStr">
        <is>
          <t>法人</t>
        </is>
      </c>
      <c r="G349" s="47" t="inlineStr">
        <is>
          <t>人材</t>
        </is>
      </c>
      <c r="H349" s="47" t="n"/>
      <c r="I349" s="6" t="inlineStr">
        <is>
          <t>https://dym.asia/services/new-graduates/development-training/</t>
        </is>
      </c>
      <c r="J349" s="6" t="inlineStr">
        <is>
          <t>https://dym.asia/services/new-graduates/development-training/</t>
        </is>
      </c>
      <c r="K349" s="47" t="n"/>
      <c r="L349" s="47" t="n"/>
    </row>
    <row r="350" ht="15.75" customHeight="1" s="185">
      <c r="A350" s="52">
        <f>row()-1</f>
        <v/>
      </c>
      <c r="B350" s="46" t="inlineStr">
        <is>
          <t>入社前研修は何をすればいい？研修内容や目的、入れるべき内容を解説</t>
        </is>
      </c>
      <c r="C350" s="6" t="inlineStr">
        <is>
          <t>https://dym.asia/media/pre_entry_training/</t>
        </is>
      </c>
      <c r="D350" s="12" t="inlineStr">
        <is>
          <t>2024.05.30</t>
        </is>
      </c>
      <c r="E350" s="12" t="inlineStr">
        <is>
          <t>2024.06.14</t>
        </is>
      </c>
      <c r="F350" s="47" t="inlineStr">
        <is>
          <t>法人</t>
        </is>
      </c>
      <c r="G350" s="47" t="inlineStr">
        <is>
          <t>人材</t>
        </is>
      </c>
      <c r="H350" s="47" t="n"/>
      <c r="I350" s="6" t="inlineStr">
        <is>
          <t>https://dym.asia/services/new-graduates/development-training/</t>
        </is>
      </c>
      <c r="J350" s="6" t="inlineStr">
        <is>
          <t>https://dym.asia/services/new-graduates/development-training/</t>
        </is>
      </c>
      <c r="K350" s="47" t="n"/>
      <c r="L350" s="47" t="n"/>
    </row>
    <row r="351" ht="15.75" customHeight="1" s="185">
      <c r="A351" s="52">
        <f>row()-1</f>
        <v/>
      </c>
      <c r="B351" s="46" t="inlineStr">
        <is>
          <t>PV（ページビュー）とは？Webマーケティングにおける重要性を解説</t>
        </is>
      </c>
      <c r="C351" s="6" t="inlineStr">
        <is>
          <t>https://dym.asia/media/pv/</t>
        </is>
      </c>
      <c r="D351" s="12" t="inlineStr">
        <is>
          <t>2024.11.27</t>
        </is>
      </c>
      <c r="E351" s="12" t="inlineStr">
        <is>
          <t>2024.12.09</t>
        </is>
      </c>
      <c r="F351" s="47" t="inlineStr">
        <is>
          <t>法人</t>
        </is>
      </c>
      <c r="G351" s="47" t="inlineStr">
        <is>
          <t>WEB</t>
        </is>
      </c>
      <c r="H351" s="47" t="n"/>
      <c r="I351" s="6" t="inlineStr">
        <is>
          <t>https://dym.asia/services/web-promotion/</t>
        </is>
      </c>
      <c r="J351" s="6" t="inlineStr">
        <is>
          <t>https://dym.asia/services/web-promotion/</t>
        </is>
      </c>
      <c r="K351" s="47" t="n"/>
      <c r="L351" s="47" t="n"/>
    </row>
    <row r="352" ht="15.75" customHeight="1" s="185">
      <c r="A352" s="52">
        <f>row()-1</f>
        <v/>
      </c>
      <c r="B352" s="46" t="inlineStr">
        <is>
          <t>ラポールとは？意味をわかりやすく解説｜信頼関係形成の心理学</t>
        </is>
      </c>
      <c r="C352" s="6" t="inlineStr">
        <is>
          <t>https://dym.asia/media/rapport/</t>
        </is>
      </c>
      <c r="D352" s="12" t="inlineStr">
        <is>
          <t>2024.11.22</t>
        </is>
      </c>
      <c r="E352" s="12" t="inlineStr">
        <is>
          <t>2024.12.10</t>
        </is>
      </c>
      <c r="F352" s="47" t="inlineStr">
        <is>
          <t>法人</t>
        </is>
      </c>
      <c r="G352" s="47" t="inlineStr">
        <is>
          <t>人材</t>
        </is>
      </c>
      <c r="H352" s="47" t="n"/>
      <c r="I352" s="6" t="inlineStr">
        <is>
          <t>https://dym.asia/services/new-graduates/development-training/</t>
        </is>
      </c>
      <c r="J352" s="6" t="inlineStr">
        <is>
          <t>https://dym.asia/services/new-graduates/development-training/</t>
        </is>
      </c>
      <c r="K352" s="47" t="n"/>
      <c r="L352" s="47" t="n"/>
    </row>
    <row r="353" ht="15.75" customHeight="1" s="185">
      <c r="A353" s="52">
        <f>row()-1</f>
        <v/>
      </c>
      <c r="B353" s="46" t="inlineStr">
        <is>
          <t>不動産売却の仲介手数料を徹底解説：企業担当者が知っておくべき重要ポイント</t>
        </is>
      </c>
      <c r="C353" s="6" t="inlineStr">
        <is>
          <t>https://dym.asia/media/real-estate-sale-agent-cost/</t>
        </is>
      </c>
      <c r="D353" s="12" t="inlineStr">
        <is>
          <t>2024.11.20</t>
        </is>
      </c>
      <c r="E353" s="12" t="inlineStr">
        <is>
          <t>2025.02.14</t>
        </is>
      </c>
      <c r="F353" s="47" t="inlineStr">
        <is>
          <t>法人</t>
        </is>
      </c>
      <c r="G353" s="47" t="inlineStr">
        <is>
          <t>リアルエステート</t>
        </is>
      </c>
      <c r="H353" s="47" t="n"/>
      <c r="I353" s="6" t="inlineStr">
        <is>
          <t>https://dym.asia/services/new-business/relocation/</t>
        </is>
      </c>
      <c r="J353" s="6" t="inlineStr">
        <is>
          <t>https://dym.asia/services/new-business/relocation/</t>
        </is>
      </c>
      <c r="K353" s="47" t="n"/>
      <c r="L353" s="47" t="n"/>
    </row>
    <row r="354" ht="15.75" customHeight="1" s="185">
      <c r="A354" s="52">
        <f>row()-1</f>
        <v/>
      </c>
      <c r="B354" s="46" t="inlineStr">
        <is>
          <t>受付バイトとは？きついと言われる理由やメリット・仕事内容を解説</t>
        </is>
      </c>
      <c r="C354" s="6" t="inlineStr">
        <is>
          <t>https://dym.asia/media/receptionist-parttime-job/</t>
        </is>
      </c>
      <c r="D354" s="12" t="inlineStr">
        <is>
          <t>2025.11.17</t>
        </is>
      </c>
      <c r="E354" s="12" t="inlineStr">
        <is>
          <t>2025.11.17</t>
        </is>
      </c>
      <c r="F354" s="47" t="inlineStr">
        <is>
          <t>法人</t>
        </is>
      </c>
      <c r="G354" s="47" t="inlineStr">
        <is>
          <t>HR Tech</t>
        </is>
      </c>
      <c r="H354" s="47" t="n"/>
      <c r="I354" s="6" t="inlineStr">
        <is>
          <t>https://dymtech.jp/2859/?_gl=1*ws03uj*_ga*MTI1MjE5NTY3My4xNzU2NDMyNTY0*_ga_ZXCZZJJ72V*czE3Njg5NTc1NTAkbzI3JGcxJHQxNzY4OTU5MTcxJGoxNiRsMCRoMA..</t>
        </is>
      </c>
      <c r="J354" s="6" t="inlineStr">
        <is>
          <t>https://dym.asia/services/hr-tech/kyujinbox/</t>
        </is>
      </c>
      <c r="K354" s="47" t="n"/>
      <c r="L354" s="47" t="n"/>
    </row>
    <row r="355" ht="15.75" customHeight="1" s="185">
      <c r="A355" s="52">
        <f>row()-1</f>
        <v/>
      </c>
      <c r="B355" s="46" t="inlineStr">
        <is>
          <t>採用コンサルティングとは？サービス内容やメリット、おすすめの会社を解説</t>
        </is>
      </c>
      <c r="C355" s="10" t="inlineStr">
        <is>
          <t>https://dym.asia/media/recruitment-consulting-guide/</t>
        </is>
      </c>
      <c r="D355" s="12" t="inlineStr">
        <is>
          <t>2025.04.11</t>
        </is>
      </c>
      <c r="E355" s="12" t="inlineStr">
        <is>
          <t>2025.07.02</t>
        </is>
      </c>
      <c r="F355" s="47" t="inlineStr">
        <is>
          <t>法人</t>
        </is>
      </c>
      <c r="G355" s="47" t="inlineStr">
        <is>
          <t>HR Tech</t>
        </is>
      </c>
      <c r="H355" s="47" t="n"/>
      <c r="I355" s="6" t="inlineStr">
        <is>
          <t>https://dym.asia/services/hr-tech/indeed/</t>
        </is>
      </c>
      <c r="J355" s="6" t="inlineStr">
        <is>
          <t>https://dym.asia/services/hr-tech/indeed/</t>
        </is>
      </c>
      <c r="K355" s="47" t="n"/>
      <c r="L355" s="47" t="n"/>
    </row>
    <row r="356" ht="15.75" customHeight="1" s="185">
      <c r="A356" s="52">
        <f>row()-1</f>
        <v/>
      </c>
      <c r="B356" s="46" t="inlineStr">
        <is>
          <t>Instagram採用のポイント｜成功する企業の条件</t>
        </is>
      </c>
      <c r="C356" s="6" t="inlineStr">
        <is>
          <t>https://dym.asia/media/recruitment-instagram/</t>
        </is>
      </c>
      <c r="D356" s="12" t="inlineStr">
        <is>
          <t>2024.11.07</t>
        </is>
      </c>
      <c r="E356" s="12" t="inlineStr">
        <is>
          <t>2024.11.29</t>
        </is>
      </c>
      <c r="F356" s="47" t="inlineStr">
        <is>
          <t>法人</t>
        </is>
      </c>
      <c r="G356" s="47" t="inlineStr">
        <is>
          <t>人材</t>
        </is>
      </c>
      <c r="H356" s="47" t="n"/>
      <c r="I356" s="6" t="inlineStr">
        <is>
          <t>https://dym.asia/services/web-promotion/sns-consulting/</t>
        </is>
      </c>
      <c r="J356" s="6" t="inlineStr">
        <is>
          <t>https://dym.asia/services/web-promotion/sns-consulting/</t>
        </is>
      </c>
      <c r="K356" s="47" t="n"/>
      <c r="L356" s="47" t="n"/>
    </row>
    <row r="357" ht="15.75" customHeight="1" s="185">
      <c r="A357" s="52">
        <f>row()-1</f>
        <v/>
      </c>
      <c r="B357" s="46" t="inlineStr">
        <is>
          <t>リソースとは？ビジネス上の意味や重要性を簡単に解説</t>
        </is>
      </c>
      <c r="C357" s="10" t="inlineStr">
        <is>
          <t>https://dym.asia/media/resource/</t>
        </is>
      </c>
      <c r="D357" s="12" t="inlineStr">
        <is>
          <t>2025.09.04</t>
        </is>
      </c>
      <c r="E357" s="12" t="inlineStr">
        <is>
          <t>2025.09.04</t>
        </is>
      </c>
      <c r="F357" s="47" t="inlineStr">
        <is>
          <t>法人</t>
        </is>
      </c>
      <c r="G357" s="47" t="inlineStr">
        <is>
          <t>HR Tech</t>
        </is>
      </c>
      <c r="H357" s="47" t="n"/>
      <c r="I357" s="6" t="inlineStr">
        <is>
          <t>https://dym.asia/services/hr-tech/office-work-outsourcing/</t>
        </is>
      </c>
      <c r="J357" s="6" t="inlineStr">
        <is>
          <t>https://dym.asia/services/hr-tech/</t>
        </is>
      </c>
      <c r="K357" s="47" t="n"/>
      <c r="L357" s="47" t="n"/>
    </row>
    <row r="358" ht="15.75" customHeight="1" s="185">
      <c r="A358" s="52">
        <f>row()-1</f>
        <v/>
      </c>
      <c r="B358" s="46" t="inlineStr">
        <is>
          <t>風評被害対策とは？影響や解決策を分かりやすく解説</t>
        </is>
      </c>
      <c r="C358" s="10" t="inlineStr">
        <is>
          <t>https://dym.asia/media/rumor-control-measures/</t>
        </is>
      </c>
      <c r="D358" s="12" t="inlineStr">
        <is>
          <t>2024.11.28</t>
        </is>
      </c>
      <c r="E358" s="12" t="inlineStr">
        <is>
          <t>2025.02.17</t>
        </is>
      </c>
      <c r="F358" s="47" t="inlineStr">
        <is>
          <t>法人</t>
        </is>
      </c>
      <c r="G358" s="47" t="inlineStr">
        <is>
          <t>WEB</t>
        </is>
      </c>
      <c r="H358" s="47" t="n"/>
      <c r="I358" s="6" t="inlineStr">
        <is>
          <t>https://dym.asia/services/web-promotion/sns-ads/</t>
        </is>
      </c>
      <c r="J358" s="6" t="inlineStr">
        <is>
          <t>https://dym.asia/services/web-promotion/sns-ads/</t>
        </is>
      </c>
      <c r="K358" s="47" t="n"/>
      <c r="L358" s="47" t="n"/>
    </row>
    <row r="359" ht="15.75" customHeight="1" s="185">
      <c r="A359" s="52">
        <f>row()-1</f>
        <v/>
      </c>
      <c r="B359" s="46" t="inlineStr">
        <is>
          <t>検索連動型広告とは？仕組みやメリット・デメリット・掲載手順まで徹底解説</t>
        </is>
      </c>
      <c r="C359" s="6" t="inlineStr">
        <is>
          <t>https://dym.asia/media/search-ads/</t>
        </is>
      </c>
      <c r="D359" s="12" t="inlineStr">
        <is>
          <t>2024.11.19</t>
        </is>
      </c>
      <c r="E359" s="12" t="inlineStr">
        <is>
          <t>2024.12.09</t>
        </is>
      </c>
      <c r="F359" s="47" t="inlineStr">
        <is>
          <t>法人</t>
        </is>
      </c>
      <c r="G359" s="47" t="inlineStr">
        <is>
          <t>WEB</t>
        </is>
      </c>
      <c r="H359" s="47" t="n"/>
      <c r="I359" s="6" t="inlineStr">
        <is>
          <t>https://dym.asia/services/web-promotion/listing/</t>
        </is>
      </c>
      <c r="J359" s="6" t="inlineStr">
        <is>
          <t>https://dym.asia/services/web-promotion/listing/</t>
        </is>
      </c>
      <c r="K359" s="47" t="n"/>
      <c r="L359" s="47" t="n"/>
    </row>
    <row r="360" ht="15.75" customHeight="1" s="185">
      <c r="A360" s="52">
        <f>row()-1</f>
        <v/>
      </c>
      <c r="B360" s="46" t="inlineStr">
        <is>
          <t>検索キーワードの調べ方、選定方法、効果的な活用</t>
        </is>
      </c>
      <c r="C360" s="6" t="inlineStr">
        <is>
          <t>https://dym.asia/media/search-keyword/</t>
        </is>
      </c>
      <c r="D360" s="12" t="inlineStr">
        <is>
          <t>2024.11.15</t>
        </is>
      </c>
      <c r="E360" s="12" t="inlineStr">
        <is>
          <t>2024.12.09</t>
        </is>
      </c>
      <c r="F360" s="47" t="inlineStr">
        <is>
          <t>法人</t>
        </is>
      </c>
      <c r="G360" s="47" t="inlineStr">
        <is>
          <t>WEB</t>
        </is>
      </c>
      <c r="H360" s="47" t="n"/>
      <c r="I360" s="6" t="inlineStr">
        <is>
          <t>https://dym.asia/services/web-promotion/seo/</t>
        </is>
      </c>
      <c r="J360" s="6" t="inlineStr">
        <is>
          <t>https://dym.asia/services/web-promotion/seo/</t>
        </is>
      </c>
      <c r="K360" s="47" t="n"/>
      <c r="L360" s="47" t="n"/>
    </row>
    <row r="361" ht="15.75" customHeight="1" s="185">
      <c r="A361" s="52">
        <f>row()-1</f>
        <v/>
      </c>
      <c r="B361" s="46" t="inlineStr">
        <is>
          <t>サイト内検索とは？サイト内検索機能の利用方法や導入方法を解説</t>
        </is>
      </c>
      <c r="C361" s="6" t="inlineStr">
        <is>
          <t>https://dym.asia/media/search-within-page/</t>
        </is>
      </c>
      <c r="D361" s="12" t="inlineStr">
        <is>
          <t>2024.11.27</t>
        </is>
      </c>
      <c r="E361" s="12" t="inlineStr">
        <is>
          <t>2024.12.09</t>
        </is>
      </c>
      <c r="F361" s="47" t="inlineStr">
        <is>
          <t>法人</t>
        </is>
      </c>
      <c r="G361" s="47" t="inlineStr">
        <is>
          <t>WEB</t>
        </is>
      </c>
      <c r="H361" s="47" t="n"/>
      <c r="I361" s="47" t="inlineStr">
        <is>
          <t>URLがありませんでした。</t>
        </is>
      </c>
      <c r="J361" s="15" t="inlineStr">
        <is>
          <t>https://dym.asia/services/web-promotion/listing/</t>
        </is>
      </c>
      <c r="K361" s="47" t="n"/>
      <c r="L361" s="47" t="n"/>
    </row>
    <row r="362" ht="15.75" customHeight="1" s="185">
      <c r="A362" s="52">
        <f>row()-1</f>
        <v/>
      </c>
      <c r="B362" s="46" t="inlineStr">
        <is>
          <t>第二新卒とは？採用のメリットや優秀な人材を確保する3つの手法を紹介！</t>
        </is>
      </c>
      <c r="C362" s="6" t="inlineStr">
        <is>
          <t>https://dym.asia/media/second_graduate/</t>
        </is>
      </c>
      <c r="D362" s="12" t="inlineStr">
        <is>
          <t>2024.05.30</t>
        </is>
      </c>
      <c r="E362" s="12" t="inlineStr">
        <is>
          <t>2024.06.14</t>
        </is>
      </c>
      <c r="F362" s="47" t="inlineStr">
        <is>
          <t>法人</t>
        </is>
      </c>
      <c r="G362" s="47" t="inlineStr">
        <is>
          <t>人材</t>
        </is>
      </c>
      <c r="H362" s="47" t="n"/>
      <c r="I362" s="6" t="inlineStr">
        <is>
          <t>https://dym.asia/services/new-graduates/Former-graduate/</t>
        </is>
      </c>
      <c r="J362" s="6" t="inlineStr">
        <is>
          <t>https://dym.asia/services/new-graduates/Former-graduate/</t>
        </is>
      </c>
      <c r="K362" s="47" t="n"/>
      <c r="L362" s="47" t="n"/>
    </row>
    <row r="363" ht="15.75" customHeight="1" s="185">
      <c r="A363" s="52">
        <f>row()-1</f>
        <v/>
      </c>
      <c r="B363" s="46" t="inlineStr">
        <is>
          <t>SEMとは？SEOとの違いを知ってWebマーケティングを活用しよう</t>
        </is>
      </c>
      <c r="C363" s="6" t="inlineStr">
        <is>
          <t>https://dym.asia/media/sem-about/</t>
        </is>
      </c>
      <c r="D363" s="12" t="inlineStr">
        <is>
          <t>2024.11.19</t>
        </is>
      </c>
      <c r="E363" s="12" t="inlineStr">
        <is>
          <t>2024.11.27</t>
        </is>
      </c>
      <c r="F363" s="47" t="inlineStr">
        <is>
          <t>法人</t>
        </is>
      </c>
      <c r="G363" s="47" t="inlineStr">
        <is>
          <t>WEB</t>
        </is>
      </c>
      <c r="H363" s="47" t="n"/>
      <c r="I363" s="6" t="inlineStr">
        <is>
          <t>https://dym.asia/services/web-promotion/listing/</t>
        </is>
      </c>
      <c r="J363" s="6" t="inlineStr">
        <is>
          <t>https://dym.asia/services/web-promotion/seo/backlink/</t>
        </is>
      </c>
      <c r="K363" s="47" t="n"/>
      <c r="L363" s="47" t="n"/>
    </row>
    <row r="364" ht="15.75" customHeight="1" s="185">
      <c r="A364" s="52">
        <f>row()-1</f>
        <v/>
      </c>
      <c r="B364" s="46" t="inlineStr">
        <is>
          <t>セミナー集客の方法7選！集客の流れや成功のコツを詳しく解説</t>
        </is>
      </c>
      <c r="C364" s="6" t="inlineStr">
        <is>
          <t>https://dym.asia/media/seminar-attracting-customers/</t>
        </is>
      </c>
      <c r="D364" s="12" t="inlineStr">
        <is>
          <t>2024.11.28</t>
        </is>
      </c>
      <c r="E364" s="12" t="inlineStr">
        <is>
          <t>2024.12.09</t>
        </is>
      </c>
      <c r="F364" s="47" t="inlineStr">
        <is>
          <t>法人</t>
        </is>
      </c>
      <c r="G364" s="47" t="inlineStr">
        <is>
          <t>WEB</t>
        </is>
      </c>
      <c r="H364" s="47" t="n"/>
      <c r="I364" s="6" t="inlineStr">
        <is>
          <t>https://dym.asia/services/web-promotion/</t>
        </is>
      </c>
      <c r="J364" s="6" t="inlineStr">
        <is>
          <t>https://dym.asia/services/web-promotion/</t>
        </is>
      </c>
      <c r="K364" s="47" t="n"/>
      <c r="L364" s="47" t="n"/>
    </row>
    <row r="365" ht="15.75" customHeight="1" s="185">
      <c r="A365" s="52">
        <f>row()-1</f>
        <v/>
      </c>
      <c r="B365" s="46" t="inlineStr">
        <is>
          <t>SEOで最適な文字数とは？タイトルの作り方を解説</t>
        </is>
      </c>
      <c r="C365" s="6" t="inlineStr">
        <is>
          <t>https://dym.asia/media/seo-title-number-of-words/</t>
        </is>
      </c>
      <c r="D365" s="12" t="inlineStr">
        <is>
          <t>2024.11.15</t>
        </is>
      </c>
      <c r="E365" s="12" t="inlineStr">
        <is>
          <t>2024.12.09</t>
        </is>
      </c>
      <c r="F365" s="47" t="inlineStr">
        <is>
          <t>法人</t>
        </is>
      </c>
      <c r="G365" s="47" t="inlineStr">
        <is>
          <t>WEB</t>
        </is>
      </c>
      <c r="H365" s="47" t="n"/>
      <c r="I365" s="6" t="inlineStr">
        <is>
          <t>https://dym.asia/services/web-promotion/seo/</t>
        </is>
      </c>
      <c r="J365" s="6" t="inlineStr">
        <is>
          <t>https://dym.asia/services/web-promotion/seo/</t>
        </is>
      </c>
      <c r="K365" s="47" t="n"/>
      <c r="L365" s="47" t="n"/>
    </row>
    <row r="366" ht="15.75" customHeight="1" s="185">
      <c r="A366" s="52">
        <f>row()-1</f>
        <v/>
      </c>
      <c r="B366" s="46" t="inlineStr">
        <is>
          <t>SESのM&amp;Aを徹底解説|メリット・デメリットや成功事例</t>
        </is>
      </c>
      <c r="C366" s="10" t="inlineStr">
        <is>
          <t>https://dym.asia/media/ses-mna/</t>
        </is>
      </c>
      <c r="D366" s="12" t="inlineStr">
        <is>
          <t>2025.09.18</t>
        </is>
      </c>
      <c r="E366" s="12" t="inlineStr">
        <is>
          <t>2025.09.18</t>
        </is>
      </c>
      <c r="F366" s="47" t="inlineStr">
        <is>
          <t>法人</t>
        </is>
      </c>
      <c r="G366" s="47" t="inlineStr">
        <is>
          <t>M&amp;A</t>
        </is>
      </c>
      <c r="H366" s="47" t="n"/>
      <c r="I366" s="6" t="inlineStr">
        <is>
          <t>https://dym.asia/media/ses-mna/</t>
        </is>
      </c>
      <c r="J366" s="6" t="inlineStr">
        <is>
          <t>https://dym.asia/services/web-promotion/</t>
        </is>
      </c>
      <c r="K366" s="47" t="n"/>
      <c r="L366" s="47" t="n"/>
    </row>
    <row r="367" ht="15.75" customHeight="1" s="185">
      <c r="A367" s="52">
        <f>row()-1</f>
        <v/>
      </c>
      <c r="B367" s="46" t="inlineStr">
        <is>
          <t>肩ボトックス治療の効果と注意点：専門家が解説する最新情報</t>
        </is>
      </c>
      <c r="C367" s="6" t="inlineStr">
        <is>
          <t>https://dym.asia/media/shoulder-botox/</t>
        </is>
      </c>
      <c r="D367" s="12" t="inlineStr">
        <is>
          <t>2024.11.21</t>
        </is>
      </c>
      <c r="E367" s="12" t="inlineStr">
        <is>
          <t>2025.02.17</t>
        </is>
      </c>
      <c r="F367" s="47" t="inlineStr">
        <is>
          <t>法人</t>
        </is>
      </c>
      <c r="G367" s="47" t="inlineStr">
        <is>
          <t>クリニック</t>
        </is>
      </c>
      <c r="H367" s="47" t="n"/>
      <c r="I367" s="6" t="inlineStr">
        <is>
          <t>https://dym.asia/services/medicine/</t>
        </is>
      </c>
      <c r="J367" s="6" t="inlineStr">
        <is>
          <t>https://dym.asia/services/medicine/</t>
        </is>
      </c>
      <c r="K367" s="47" t="n"/>
      <c r="L367" s="47" t="n"/>
    </row>
    <row r="368" ht="15.75" customHeight="1" s="185">
      <c r="A368" s="52">
        <f>row()-1</f>
        <v/>
      </c>
      <c r="B368" s="46" t="inlineStr">
        <is>
          <t>大手Web制作会社・ホームページ制作会社を選ぶポイント</t>
        </is>
      </c>
      <c r="C368" s="6" t="inlineStr">
        <is>
          <t>https://dym.asia/media/site-create-company/</t>
        </is>
      </c>
      <c r="D368" s="12" t="inlineStr">
        <is>
          <t>2024.10.23</t>
        </is>
      </c>
      <c r="E368" s="12" t="inlineStr">
        <is>
          <t>2024.12.02</t>
        </is>
      </c>
      <c r="F368" s="47" t="inlineStr">
        <is>
          <t>法人</t>
        </is>
      </c>
      <c r="G368" s="47" t="inlineStr">
        <is>
          <t>WEB</t>
        </is>
      </c>
      <c r="H368" s="47" t="n"/>
      <c r="I368" s="6" t="inlineStr">
        <is>
          <t>https://dym.asia/services/web-promotion/production-operation/</t>
        </is>
      </c>
      <c r="J368" s="6" t="inlineStr">
        <is>
          <t>https://dym.asia/services/web-promotion/production-operation/</t>
        </is>
      </c>
      <c r="K368" s="47" t="n"/>
      <c r="L368" s="47" t="n"/>
    </row>
    <row r="369" ht="15.75" customHeight="1" s="185">
      <c r="A369" s="52">
        <f>row()-1</f>
        <v/>
      </c>
      <c r="B369" s="46" t="inlineStr">
        <is>
          <t>Web制作のヒアリングシートの基本｜確認すべき項目も解説【テンプレート取得可能】</t>
        </is>
      </c>
      <c r="C369" s="10" t="inlineStr">
        <is>
          <t>https://dym.asia/media/site-create-hearing/</t>
        </is>
      </c>
      <c r="D369" s="12" t="inlineStr">
        <is>
          <t>2024.10.23</t>
        </is>
      </c>
      <c r="E369" s="12" t="inlineStr">
        <is>
          <t>2024.11.20</t>
        </is>
      </c>
      <c r="F369" s="47" t="inlineStr">
        <is>
          <t>法人</t>
        </is>
      </c>
      <c r="G369" s="47" t="inlineStr">
        <is>
          <t>WEB</t>
        </is>
      </c>
      <c r="H369" s="47" t="n"/>
      <c r="I369" s="6" t="inlineStr">
        <is>
          <t>https://dym.asia/services/web-promotion/production-operation/</t>
        </is>
      </c>
      <c r="J369" s="6" t="inlineStr">
        <is>
          <t>https://dym.asia/services/web-promotion/production-operation/</t>
        </is>
      </c>
      <c r="K369" s="47" t="n"/>
      <c r="L369" s="47" t="n"/>
    </row>
    <row r="370" ht="15.75" customHeight="1" s="185">
      <c r="A370" s="52">
        <f>row()-1</f>
        <v/>
      </c>
      <c r="B370" s="46" t="inlineStr">
        <is>
          <t>SNSマーケティング成功事例！効果的な戦略を解説</t>
        </is>
      </c>
      <c r="C370" s="6" t="inlineStr">
        <is>
          <t>https://dym.asia/media/sns-ad-example/</t>
        </is>
      </c>
      <c r="D370" s="12" t="inlineStr">
        <is>
          <t>2024.10.21</t>
        </is>
      </c>
      <c r="E370" s="12" t="inlineStr">
        <is>
          <t>2024.11.06</t>
        </is>
      </c>
      <c r="F370" s="47" t="inlineStr">
        <is>
          <t>法人</t>
        </is>
      </c>
      <c r="G370" s="47" t="inlineStr">
        <is>
          <t>WEB</t>
        </is>
      </c>
      <c r="H370" s="47" t="n"/>
      <c r="I370" s="6" t="inlineStr">
        <is>
          <t>https://dym.asia/services/web-promotion/sns-ads/</t>
        </is>
      </c>
      <c r="J370" s="6" t="inlineStr">
        <is>
          <t>https://dym.asia/services/web-promotion/sns-ads/</t>
        </is>
      </c>
      <c r="K370" s="47" t="n"/>
      <c r="L370" s="47" t="n"/>
    </row>
    <row r="371" ht="15.75" customHeight="1" s="185">
      <c r="A371" s="52">
        <f>row()-1</f>
        <v/>
      </c>
      <c r="B371" s="46" t="inlineStr">
        <is>
          <t>SNS広告とは？目的・媒体種類別に効果的な運用の特徴</t>
        </is>
      </c>
      <c r="C371" s="10" t="inlineStr">
        <is>
          <t>https://dym.asia/media/sns-ad-type/</t>
        </is>
      </c>
      <c r="D371" s="12" t="inlineStr">
        <is>
          <t>2024.10.18</t>
        </is>
      </c>
      <c r="E371" s="12" t="inlineStr">
        <is>
          <t>2024.11.22</t>
        </is>
      </c>
      <c r="F371" s="47" t="inlineStr">
        <is>
          <t>法人</t>
        </is>
      </c>
      <c r="G371" s="47" t="inlineStr">
        <is>
          <t>WEB</t>
        </is>
      </c>
      <c r="H371" s="47" t="n"/>
      <c r="I371" s="6" t="inlineStr">
        <is>
          <t>https://dym.asia/media/sns-ad-type/</t>
        </is>
      </c>
      <c r="J371" s="6" t="inlineStr">
        <is>
          <t>https://dym.asia/services/web-promotion/sns-ads/</t>
        </is>
      </c>
      <c r="K371" s="47" t="n"/>
      <c r="L371" s="47" t="n"/>
    </row>
    <row r="372" ht="15.75" customHeight="1" s="185">
      <c r="A372" s="52">
        <f>row()-1</f>
        <v/>
      </c>
      <c r="B372" s="46" t="inlineStr">
        <is>
          <t>SNS運用代行サービス会社の選び方｜料金・費用相場も</t>
        </is>
      </c>
      <c r="C372" s="6" t="inlineStr">
        <is>
          <t>https://dym.asia/media/sns-company/</t>
        </is>
      </c>
      <c r="D372" s="12" t="inlineStr">
        <is>
          <t>2024.10.16</t>
        </is>
      </c>
      <c r="E372" s="12" t="inlineStr">
        <is>
          <t>2024.11.28</t>
        </is>
      </c>
      <c r="F372" s="47" t="inlineStr">
        <is>
          <t>法人</t>
        </is>
      </c>
      <c r="G372" s="47" t="inlineStr">
        <is>
          <t>WEB</t>
        </is>
      </c>
      <c r="H372" s="47" t="n"/>
      <c r="I372" s="6" t="inlineStr">
        <is>
          <t>https://dym.asia/services/web-promotion/sns-consulting/</t>
        </is>
      </c>
      <c r="J372" s="6" t="inlineStr">
        <is>
          <t>https://dym.asia/services/web-promotion/sns-consulting/</t>
        </is>
      </c>
      <c r="K372" s="47" t="n"/>
      <c r="L372" s="47" t="n"/>
    </row>
    <row r="373" ht="15.75" customHeight="1" s="185">
      <c r="A373" s="52">
        <f>row()-1</f>
        <v/>
      </c>
      <c r="B373" s="46" t="inlineStr">
        <is>
          <t>SNS運用代行をフリーランスに依頼するメリット・デメリット、探し方から費用相場、おすすめの選び方</t>
        </is>
      </c>
      <c r="C373" s="6" t="inlineStr">
        <is>
          <t>https://dym.asia/media/sns-operation-freerance-market/</t>
        </is>
      </c>
      <c r="D373" s="12" t="inlineStr">
        <is>
          <t>2024.11.21</t>
        </is>
      </c>
      <c r="E373" s="12" t="inlineStr">
        <is>
          <t>2024.12.09</t>
        </is>
      </c>
      <c r="F373" s="47" t="inlineStr">
        <is>
          <t>法人</t>
        </is>
      </c>
      <c r="G373" s="47" t="inlineStr">
        <is>
          <t>WEB</t>
        </is>
      </c>
      <c r="H373" s="47" t="n"/>
      <c r="I373" s="6" t="inlineStr">
        <is>
          <t>https://dym.asia/services/web-promotion/sns-consulting/</t>
        </is>
      </c>
      <c r="J373" s="6" t="inlineStr">
        <is>
          <t>https://dym.asia/services/web-promotion/sns-consulting/</t>
        </is>
      </c>
      <c r="K373" s="47" t="n"/>
      <c r="L373" s="47" t="n"/>
    </row>
    <row r="374" ht="15.75" customHeight="1" s="185">
      <c r="A374" s="52">
        <f>row()-1</f>
        <v/>
      </c>
      <c r="B374" s="46" t="inlineStr">
        <is>
          <t>スポンサーのメリットと協賛企業の効果的な活用法</t>
        </is>
      </c>
      <c r="C374" s="6" t="inlineStr">
        <is>
          <t>https://dym.asia/media/sports-sponsorship/</t>
        </is>
      </c>
      <c r="D374" s="12" t="inlineStr">
        <is>
          <t>2024.11.18</t>
        </is>
      </c>
      <c r="E374" s="12" t="inlineStr">
        <is>
          <t>2024.12.10</t>
        </is>
      </c>
      <c r="F374" s="47" t="inlineStr">
        <is>
          <t>法人</t>
        </is>
      </c>
      <c r="G374" s="47" t="inlineStr">
        <is>
          <t>Dリーグ</t>
        </is>
      </c>
      <c r="H374" s="47" t="n"/>
      <c r="I374" s="6" t="inlineStr">
        <is>
          <t>https://dym.asia/services/sports/</t>
        </is>
      </c>
      <c r="J374" s="6" t="inlineStr">
        <is>
          <t>https://dym.asia/services/sports/</t>
        </is>
      </c>
      <c r="K374" s="47" t="n"/>
      <c r="L374" s="47" t="n"/>
    </row>
    <row r="375" ht="15.75" customHeight="1" s="185">
      <c r="A375" s="52">
        <f>row()-1</f>
        <v/>
      </c>
      <c r="B375" s="46" t="inlineStr">
        <is>
          <t>人手不足の原因と対策！企業ができる解決策と今後の見通し</t>
        </is>
      </c>
      <c r="C375" s="6" t="inlineStr">
        <is>
          <t>https://dym.asia/media/staff-shortage/</t>
        </is>
      </c>
      <c r="D375" s="12" t="inlineStr">
        <is>
          <t>2025.11.12</t>
        </is>
      </c>
      <c r="E375" s="12" t="inlineStr">
        <is>
          <t>2025.11.12</t>
        </is>
      </c>
      <c r="F375" s="47" t="inlineStr">
        <is>
          <t>法人</t>
        </is>
      </c>
      <c r="G375" s="47" t="inlineStr">
        <is>
          <t>HR Tech</t>
        </is>
      </c>
      <c r="H375" s="47" t="n"/>
      <c r="I375" s="6" t="inlineStr">
        <is>
          <t>https://dym.asia/services/hr-tech/office-work-outsourcing/</t>
        </is>
      </c>
      <c r="J375" s="6" t="inlineStr">
        <is>
          <t>https://dym.asia/services/hr-tech/office-work-outsourcing/</t>
        </is>
      </c>
      <c r="K375" s="47" t="n"/>
      <c r="L375" s="47" t="n"/>
    </row>
    <row r="376" ht="15.75" customHeight="1" s="185">
      <c r="A376" s="52">
        <f>row()-1</f>
        <v/>
      </c>
      <c r="B376" s="46" t="inlineStr">
        <is>
          <t>スタンバイとは？特徴や掲載料金、導入方法などを解説</t>
        </is>
      </c>
      <c r="C376" s="6" t="inlineStr">
        <is>
          <t>https://dym.asia/media/standby-how-to-use/</t>
        </is>
      </c>
      <c r="D376" s="12" t="inlineStr">
        <is>
          <t>2024.11.18</t>
        </is>
      </c>
      <c r="E376" s="12" t="inlineStr">
        <is>
          <t>2024.12.19</t>
        </is>
      </c>
      <c r="F376" s="47" t="inlineStr">
        <is>
          <t>法人</t>
        </is>
      </c>
      <c r="G376" s="47" t="inlineStr">
        <is>
          <t>HR Tech</t>
        </is>
      </c>
      <c r="H376" s="47" t="n"/>
      <c r="I376" s="6" t="inlineStr">
        <is>
          <t>https://dym.asia/services/hr-tech/stanby-kyujinbox/</t>
        </is>
      </c>
      <c r="J376" s="6" t="inlineStr">
        <is>
          <t>https://dym.asia/services/hr-tech/stanby-kyujinbox/</t>
        </is>
      </c>
      <c r="K376" s="47" t="n"/>
      <c r="L376" s="47" t="n"/>
    </row>
    <row r="377" ht="15.75" customHeight="1" s="185">
      <c r="A377" s="52">
        <f>row()-1</f>
        <v/>
      </c>
      <c r="B377" s="46" t="inlineStr">
        <is>
          <t>スタンバイとは？仕組みや掲載方法、特徴、料金プランを解説</t>
        </is>
      </c>
      <c r="C377" s="6" t="inlineStr">
        <is>
          <t>https://dym.asia/media/standby/</t>
        </is>
      </c>
      <c r="D377" s="12" t="inlineStr">
        <is>
          <t>2024.06.18</t>
        </is>
      </c>
      <c r="E377" s="12" t="inlineStr">
        <is>
          <t>2024.06.18</t>
        </is>
      </c>
      <c r="F377" s="47" t="inlineStr">
        <is>
          <t>法人</t>
        </is>
      </c>
      <c r="G377" s="47" t="inlineStr">
        <is>
          <t>HR Tech</t>
        </is>
      </c>
      <c r="H377" s="47" t="n"/>
      <c r="I377" s="6" t="inlineStr">
        <is>
          <t>https://dym.asia/services/hr-tech/stanby-kyujinbox/</t>
        </is>
      </c>
      <c r="J377" s="6" t="inlineStr">
        <is>
          <t>https://dym.asia/services/hr-tech/stanby-kyujinbox/</t>
        </is>
      </c>
      <c r="K377" s="47" t="n"/>
      <c r="L377" s="47" t="n"/>
    </row>
    <row r="378" ht="15.75" customHeight="1" s="185">
      <c r="A378" s="52">
        <f>row()-1</f>
        <v/>
      </c>
      <c r="B378" s="46" t="inlineStr">
        <is>
          <t>スタンバイの運用を代理店に任せるメリットとは？運用代行会社の選び方や特徴を解説</t>
        </is>
      </c>
      <c r="C378" s="6" t="inlineStr">
        <is>
          <t>https://dym.asia/media/standby_agency/</t>
        </is>
      </c>
      <c r="D378" s="12" t="inlineStr">
        <is>
          <t>2024.06.18</t>
        </is>
      </c>
      <c r="E378" s="12" t="inlineStr">
        <is>
          <t>2024.06.19</t>
        </is>
      </c>
      <c r="F378" s="47" t="inlineStr">
        <is>
          <t>法人</t>
        </is>
      </c>
      <c r="G378" s="47" t="inlineStr">
        <is>
          <t>HR Tech</t>
        </is>
      </c>
      <c r="H378" s="47" t="n"/>
      <c r="I378" s="6" t="inlineStr">
        <is>
          <t>https://dym.asia/services/hr-tech/stanby-kyujinbox/</t>
        </is>
      </c>
      <c r="J378" s="6" t="inlineStr">
        <is>
          <t>https://dym.asia/services/hr-tech/stanby-kyujinbox/</t>
        </is>
      </c>
      <c r="K378" s="47" t="n"/>
      <c r="L378" s="47" t="n"/>
    </row>
    <row r="379" ht="15.75" customHeight="1" s="185">
      <c r="A379" s="52">
        <f>row()-1</f>
        <v/>
      </c>
      <c r="B379" s="46" t="inlineStr">
        <is>
          <t>株式譲渡とは？事業譲渡との違いやメリット・デメリットや手続きの流れを解説</t>
        </is>
      </c>
      <c r="C379" s="6" t="inlineStr">
        <is>
          <t>https://dym.asia/media/stock-transfer/</t>
        </is>
      </c>
      <c r="D379" s="12" t="inlineStr">
        <is>
          <t>2024.11.19</t>
        </is>
      </c>
      <c r="E379" s="12" t="inlineStr">
        <is>
          <t>2024.12.09</t>
        </is>
      </c>
      <c r="F379" s="47" t="inlineStr">
        <is>
          <t>法人</t>
        </is>
      </c>
      <c r="G379" s="47" t="inlineStr">
        <is>
          <t>M&amp;A</t>
        </is>
      </c>
      <c r="H379" s="47" t="n"/>
      <c r="I379" s="6" t="inlineStr">
        <is>
          <t>https://dym.asia/services/m&amp;a/consulting/</t>
        </is>
      </c>
      <c r="J379" s="6" t="inlineStr">
        <is>
          <t>https://dym.asia/services/m&amp;a/consulting/</t>
        </is>
      </c>
      <c r="K379" s="47" t="n"/>
      <c r="L379" s="47" t="n"/>
    </row>
    <row r="380" ht="15.75" customHeight="1" s="185">
      <c r="A380" s="52">
        <f>row()-1</f>
        <v/>
      </c>
      <c r="B380" s="46" t="inlineStr">
        <is>
          <t>STP分析とは？具体的なやり方やメリット・デメリットを解説</t>
        </is>
      </c>
      <c r="C380" s="10" t="inlineStr">
        <is>
          <t>https://dym.asia/media/stp-analysis/</t>
        </is>
      </c>
      <c r="D380" s="12" t="inlineStr">
        <is>
          <t>2024.11.26</t>
        </is>
      </c>
      <c r="E380" s="12" t="inlineStr">
        <is>
          <t>2024.12.09</t>
        </is>
      </c>
      <c r="F380" s="47" t="inlineStr">
        <is>
          <t>法人</t>
        </is>
      </c>
      <c r="G380" s="47" t="inlineStr">
        <is>
          <t>WEB</t>
        </is>
      </c>
      <c r="H380" s="47" t="n"/>
      <c r="I380" s="6" t="inlineStr">
        <is>
          <t>https://dym.asia/media/stp-analysis/</t>
        </is>
      </c>
      <c r="J380" s="6" t="inlineStr">
        <is>
          <t>https://dym.asia/services/web-promotion/</t>
        </is>
      </c>
      <c r="K380" s="47" t="n"/>
      <c r="L380" s="47" t="n"/>
    </row>
    <row r="381" ht="15.75" customHeight="1" s="185">
      <c r="A381" s="52">
        <f>row()-1</f>
        <v/>
      </c>
      <c r="B381" s="46" t="inlineStr">
        <is>
          <t>サブドメインとは？作り方やメリット・デメリット、ドメインとの違いを解説！</t>
        </is>
      </c>
      <c r="C381" s="6" t="inlineStr">
        <is>
          <t>https://dym.asia/media/sub-domain/</t>
        </is>
      </c>
      <c r="D381" s="12" t="inlineStr">
        <is>
          <t>2024.11.27</t>
        </is>
      </c>
      <c r="E381" s="12" t="inlineStr">
        <is>
          <t>2024.12.09</t>
        </is>
      </c>
      <c r="F381" s="47" t="inlineStr">
        <is>
          <t>法人</t>
        </is>
      </c>
      <c r="G381" s="47" t="inlineStr">
        <is>
          <t>WEB</t>
        </is>
      </c>
      <c r="H381" s="47" t="n"/>
      <c r="I381" s="6" t="inlineStr">
        <is>
          <t>https://dym.asia/services/web-promotion/production-operation/</t>
        </is>
      </c>
      <c r="J381" s="6" t="inlineStr">
        <is>
          <t>https://dym.asia/services/web-promotion/production-operation/</t>
        </is>
      </c>
      <c r="K381" s="47" t="n"/>
      <c r="L381" s="47" t="n"/>
    </row>
    <row r="382" ht="15.75" customHeight="1" s="185">
      <c r="A382" s="52">
        <f>row()-1</f>
        <v/>
      </c>
      <c r="B382" s="46" t="inlineStr">
        <is>
          <t>サジェストキーワードとは？無料ツールで効率的なキーワード選定</t>
        </is>
      </c>
      <c r="C382" s="6" t="inlineStr">
        <is>
          <t>https://dym.asia/media/suggest-leyword/</t>
        </is>
      </c>
      <c r="D382" s="12" t="inlineStr">
        <is>
          <t>2024.11.15</t>
        </is>
      </c>
      <c r="E382" s="12" t="inlineStr">
        <is>
          <t>2024.12.09</t>
        </is>
      </c>
      <c r="F382" s="47" t="inlineStr">
        <is>
          <t>法人</t>
        </is>
      </c>
      <c r="G382" s="47" t="inlineStr">
        <is>
          <t>WEB</t>
        </is>
      </c>
      <c r="H382" s="47" t="n"/>
      <c r="I382" s="6" t="inlineStr">
        <is>
          <t>https://dym.asia/services/web-promotion/seo/</t>
        </is>
      </c>
      <c r="J382" s="6" t="inlineStr">
        <is>
          <t>https://dym.asia/services/web-promotion/seo/</t>
        </is>
      </c>
      <c r="K382" s="47" t="n"/>
      <c r="L382" s="47" t="n"/>
    </row>
    <row r="383" ht="15.75" customHeight="1" s="185">
      <c r="A383" s="52">
        <f>row()-1</f>
        <v/>
      </c>
      <c r="B383" s="46" t="inlineStr">
        <is>
          <t>SWOT分析とは？具体的なやり方や活用事例をわかりやすく解説</t>
        </is>
      </c>
      <c r="C383" s="6" t="inlineStr">
        <is>
          <t>https://dym.asia/media/swot-analysis/</t>
        </is>
      </c>
      <c r="D383" s="12" t="inlineStr">
        <is>
          <t>2024.11.18</t>
        </is>
      </c>
      <c r="E383" s="12" t="inlineStr">
        <is>
          <t>2024.12.10</t>
        </is>
      </c>
      <c r="F383" s="47" t="inlineStr">
        <is>
          <t>法人</t>
        </is>
      </c>
      <c r="G383" s="47" t="inlineStr">
        <is>
          <t>WEB</t>
        </is>
      </c>
      <c r="H383" s="47" t="n"/>
      <c r="I383" s="6" t="inlineStr">
        <is>
          <t>https://dym.asia/services/web-promotion/</t>
        </is>
      </c>
      <c r="J383" s="6" t="inlineStr">
        <is>
          <t>https://dym.asia/services/web-promotion/</t>
        </is>
      </c>
      <c r="K383" s="47" t="n"/>
      <c r="L383" s="47" t="n"/>
    </row>
    <row r="384" ht="15.75" customHeight="1" s="185">
      <c r="A384" s="52">
        <f>row()-1</f>
        <v/>
      </c>
      <c r="B384" s="46" t="inlineStr">
        <is>
          <t>広告にタレント起用するメリットとは？効果的な活用方法も</t>
        </is>
      </c>
      <c r="C384" s="6" t="inlineStr">
        <is>
          <t>https://dym.asia/media/talent-appoint/</t>
        </is>
      </c>
      <c r="D384" s="12" t="inlineStr">
        <is>
          <t>2024.10.17</t>
        </is>
      </c>
      <c r="E384" s="12" t="inlineStr">
        <is>
          <t>2024.10.31</t>
        </is>
      </c>
      <c r="F384" s="47" t="inlineStr">
        <is>
          <t>法人</t>
        </is>
      </c>
      <c r="G384" s="47" t="inlineStr">
        <is>
          <t>WEB</t>
        </is>
      </c>
      <c r="H384" s="47" t="n"/>
      <c r="I384" s="6" t="inlineStr">
        <is>
          <t>https://dym.asia/services/web-promotion/talents-share/</t>
        </is>
      </c>
      <c r="J384" s="6" t="inlineStr">
        <is>
          <t>https://dym.asia/services/web-promotion/talents-share/</t>
        </is>
      </c>
      <c r="K384" s="47" t="n"/>
      <c r="L384" s="47" t="n"/>
    </row>
    <row r="385" ht="15.75" customHeight="1" s="185">
      <c r="A385" s="52">
        <f>row()-1</f>
        <v/>
      </c>
      <c r="B385" s="46" t="inlineStr">
        <is>
          <t>ターゲティング広告とは？Web広告のリスティング広告との違いも解説</t>
        </is>
      </c>
      <c r="C385" s="6" t="inlineStr">
        <is>
          <t>https://dym.asia/media/targeting-ad/</t>
        </is>
      </c>
      <c r="D385" s="12" t="inlineStr">
        <is>
          <t>2024.10.15</t>
        </is>
      </c>
      <c r="E385" s="12" t="inlineStr">
        <is>
          <t>2024.10.31</t>
        </is>
      </c>
      <c r="F385" s="47" t="inlineStr">
        <is>
          <t>法人</t>
        </is>
      </c>
      <c r="G385" s="47" t="inlineStr">
        <is>
          <t>WEB</t>
        </is>
      </c>
      <c r="H385" s="47" t="n"/>
      <c r="I385" s="6" t="inlineStr">
        <is>
          <t>https://dym.asia/services/web-promotion/sns-ads/</t>
        </is>
      </c>
      <c r="J385" s="6" t="inlineStr">
        <is>
          <t>https://dym.asia/services/web-promotion/sns-ads/</t>
        </is>
      </c>
      <c r="K385" s="47" t="n"/>
      <c r="L385" s="47" t="n"/>
    </row>
    <row r="386" ht="15.75" customHeight="1" s="185">
      <c r="A386" s="52">
        <f>row()-1</f>
        <v/>
      </c>
      <c r="B386" s="46" t="inlineStr">
        <is>
          <t>テレマーケティングとテレアポの違いと成功するコツを解説</t>
        </is>
      </c>
      <c r="C386" s="6" t="inlineStr">
        <is>
          <t>https://dym.asia/media/tele-marketng/</t>
        </is>
      </c>
      <c r="D386" s="12" t="inlineStr">
        <is>
          <t>2024.11.19</t>
        </is>
      </c>
      <c r="E386" s="12" t="inlineStr">
        <is>
          <t>2024.12.19</t>
        </is>
      </c>
      <c r="F386" s="47" t="inlineStr">
        <is>
          <t>法人</t>
        </is>
      </c>
      <c r="G386" s="47" t="inlineStr">
        <is>
          <t>HR Tech</t>
        </is>
      </c>
      <c r="H386" s="47" t="n"/>
      <c r="I386" s="6" t="inlineStr">
        <is>
          <t>https://dym.asia/services/hr-tech/</t>
        </is>
      </c>
      <c r="J386" s="6" t="inlineStr">
        <is>
          <t>https://dym.asia/services/hr-tech/</t>
        </is>
      </c>
      <c r="K386" s="47" t="n"/>
      <c r="L386" s="47" t="n"/>
    </row>
    <row r="387" ht="15.75" customHeight="1" s="185">
      <c r="A387" s="52">
        <f>row()-1</f>
        <v/>
      </c>
      <c r="B387" s="46" t="inlineStr">
        <is>
          <t>テレアポとはどんな仕事？内容やコツを紹介</t>
        </is>
      </c>
      <c r="C387" s="6" t="inlineStr">
        <is>
          <t>https://dym.asia/media/telephone-appoint/</t>
        </is>
      </c>
      <c r="D387" s="12" t="inlineStr">
        <is>
          <t>2024.11.20</t>
        </is>
      </c>
      <c r="E387" s="12" t="inlineStr">
        <is>
          <t>2024.12.10</t>
        </is>
      </c>
      <c r="F387" s="47" t="inlineStr">
        <is>
          <t>法人</t>
        </is>
      </c>
      <c r="G387" s="47" t="inlineStr">
        <is>
          <t>WEB</t>
        </is>
      </c>
      <c r="H387" s="47" t="n"/>
      <c r="I387" s="6" t="inlineStr">
        <is>
          <t>https://dym.asia/services/web-promotion/</t>
        </is>
      </c>
      <c r="J387" s="6" t="inlineStr">
        <is>
          <t>https://dym.asia/services/web-promotion/</t>
        </is>
      </c>
      <c r="K387" s="47" t="n"/>
      <c r="L387" s="47" t="n"/>
    </row>
    <row r="388" ht="15.75" customHeight="1" s="185">
      <c r="A388" s="52">
        <f>row()-1</f>
        <v/>
      </c>
      <c r="B388" s="46" t="inlineStr">
        <is>
          <t>The Modelとは？組織・営業プロセス・KPIを解説</t>
        </is>
      </c>
      <c r="C388" s="6" t="inlineStr">
        <is>
          <t>https://dym.asia/media/the-model/</t>
        </is>
      </c>
      <c r="D388" s="12" t="inlineStr">
        <is>
          <t>2024.11.27</t>
        </is>
      </c>
      <c r="E388" s="12" t="inlineStr">
        <is>
          <t>2024.12.09</t>
        </is>
      </c>
      <c r="F388" s="47" t="inlineStr">
        <is>
          <t>法人</t>
        </is>
      </c>
      <c r="G388" s="47" t="inlineStr">
        <is>
          <t>WEB</t>
        </is>
      </c>
      <c r="H388" s="47" t="n"/>
      <c r="I388" s="6" t="inlineStr">
        <is>
          <t>https://dym.asia/services/web-promotion/</t>
        </is>
      </c>
      <c r="J388" s="6" t="inlineStr">
        <is>
          <t>https://dym.asia/services/web-promotion/</t>
        </is>
      </c>
      <c r="K388" s="47" t="n"/>
      <c r="L388" s="47" t="n"/>
    </row>
    <row r="389" ht="15.75" customHeight="1" s="185">
      <c r="A389" s="52">
        <f>row()-1</f>
        <v/>
      </c>
      <c r="B389" s="46" t="inlineStr">
        <is>
          <t>TikTok広告の平均費用は？始めるための基礎知識と事前準備の手順を解説</t>
        </is>
      </c>
      <c r="C389" s="10" t="inlineStr">
        <is>
          <t>https://dym.asia/media/tiktok-ad-cost/</t>
        </is>
      </c>
      <c r="D389" s="12" t="inlineStr">
        <is>
          <t>2024.11.15</t>
        </is>
      </c>
      <c r="E389" s="12" t="inlineStr">
        <is>
          <t>2024.12.09</t>
        </is>
      </c>
      <c r="F389" s="47" t="inlineStr">
        <is>
          <t>法人</t>
        </is>
      </c>
      <c r="G389" s="47" t="inlineStr">
        <is>
          <t>WEB</t>
        </is>
      </c>
      <c r="H389" s="47" t="n"/>
      <c r="I389" s="6" t="inlineStr">
        <is>
          <t>https://dym.asia/services/web-promotion/sns-ads/</t>
        </is>
      </c>
      <c r="J389" s="16" t="inlineStr">
        <is>
          <t>https://dym.asia/services/web-promotion/sns-ads/</t>
        </is>
      </c>
      <c r="K389" s="47" t="n"/>
      <c r="L389" s="47" t="n"/>
    </row>
    <row r="390" ht="15.75" customHeight="1" s="185">
      <c r="A390" s="52">
        <f>row()-1</f>
        <v/>
      </c>
      <c r="B390" s="46" t="inlineStr">
        <is>
          <t>【2024年最新】TikTok広告とは？種類や費用、メリットや成果を出すポイントについて解説</t>
        </is>
      </c>
      <c r="C390" s="6" t="inlineStr">
        <is>
          <t>https://dym.asia/media/tiktok_advertisement/</t>
        </is>
      </c>
      <c r="D390" s="12" t="inlineStr">
        <is>
          <t>2024.06.17</t>
        </is>
      </c>
      <c r="E390" s="12" t="inlineStr">
        <is>
          <t>2024.06.17</t>
        </is>
      </c>
      <c r="F390" s="47" t="inlineStr">
        <is>
          <t>法人</t>
        </is>
      </c>
      <c r="G390" s="47" t="inlineStr">
        <is>
          <t>WEB</t>
        </is>
      </c>
      <c r="H390" s="47" t="n"/>
      <c r="I390" s="6" t="inlineStr">
        <is>
          <t>https://dym.asia/services/web-promotion/sns-ads/</t>
        </is>
      </c>
      <c r="J390" s="6" t="inlineStr">
        <is>
          <t>https://dym.asia/services/web-promotion/sns-ads/</t>
        </is>
      </c>
      <c r="K390" s="47" t="n"/>
      <c r="L390" s="47" t="n"/>
    </row>
    <row r="391" ht="15.75" customHeight="1" s="185">
      <c r="A391" s="52">
        <f>row()-1</f>
        <v/>
      </c>
      <c r="B391" s="46" t="inlineStr">
        <is>
          <t>TOBとは？用語の意味と実施の目的、メリットや注意点をわかりやすく解説</t>
        </is>
      </c>
      <c r="C391" s="10" t="inlineStr">
        <is>
          <t>https://dym.asia/media/tob/</t>
        </is>
      </c>
      <c r="D391" s="12" t="inlineStr">
        <is>
          <t>2024.11.14</t>
        </is>
      </c>
      <c r="E391" s="12" t="inlineStr">
        <is>
          <t>2024.12.09</t>
        </is>
      </c>
      <c r="F391" s="47" t="inlineStr">
        <is>
          <t>法人</t>
        </is>
      </c>
      <c r="G391" s="47" t="inlineStr">
        <is>
          <t>M&amp;A</t>
        </is>
      </c>
      <c r="H391" s="47" t="n"/>
      <c r="I391" s="6" t="inlineStr">
        <is>
          <t>https://dym.asia/services/m&amp;a/consulting/</t>
        </is>
      </c>
      <c r="J391" s="6" t="inlineStr">
        <is>
          <t>https://dym.asia/services/m&amp;a/consulting/</t>
        </is>
      </c>
      <c r="K391" s="47" t="n"/>
      <c r="L391" s="47" t="n"/>
    </row>
    <row r="392" ht="15.75" customHeight="1" s="185">
      <c r="A392" s="52">
        <f>row()-1</f>
        <v/>
      </c>
      <c r="B392" s="46" t="inlineStr">
        <is>
          <t>【最新】Twitter広告(X広告)とは？費用や特徴、始め方を徹底解説</t>
        </is>
      </c>
      <c r="C392" s="6" t="inlineStr">
        <is>
          <t>https://dym.asia/media/twitter_x_advertisement/</t>
        </is>
      </c>
      <c r="D392" s="12" t="inlineStr">
        <is>
          <t>2024.05.30</t>
        </is>
      </c>
      <c r="E392" s="12" t="inlineStr">
        <is>
          <t>2024.06.14</t>
        </is>
      </c>
      <c r="F392" s="47" t="inlineStr">
        <is>
          <t>法人</t>
        </is>
      </c>
      <c r="G392" s="47" t="inlineStr">
        <is>
          <t>WEB</t>
        </is>
      </c>
      <c r="H392" s="47" t="n"/>
      <c r="I392" s="6" t="inlineStr">
        <is>
          <t>https://dym.asia/services/web-promotion/sns-ads/</t>
        </is>
      </c>
      <c r="J392" s="6" t="inlineStr">
        <is>
          <t>https://dym.asia/services/m&amp;a/consulting/</t>
        </is>
      </c>
      <c r="K392" s="47" t="n"/>
      <c r="L392" s="47" t="n"/>
    </row>
    <row r="393" ht="15.75" customHeight="1" s="185">
      <c r="A393" s="52">
        <f>row()-1</f>
        <v/>
      </c>
      <c r="B393" s="46" t="inlineStr">
        <is>
          <t>WEB広告とは？種類・費用・運用方法</t>
        </is>
      </c>
      <c r="C393" s="10" t="inlineStr">
        <is>
          <t>https://dym.asia/media/web-ads/</t>
        </is>
      </c>
      <c r="D393" s="12" t="inlineStr">
        <is>
          <t>2024.11.19</t>
        </is>
      </c>
      <c r="E393" s="12" t="inlineStr">
        <is>
          <t>2024.12.09</t>
        </is>
      </c>
      <c r="F393" s="47" t="inlineStr">
        <is>
          <t>法人</t>
        </is>
      </c>
      <c r="G393" s="47" t="inlineStr">
        <is>
          <t>WEB</t>
        </is>
      </c>
      <c r="H393" s="47" t="n"/>
      <c r="I393" s="6" t="inlineStr">
        <is>
          <t>https://dym.asia/services/web-promotion/</t>
        </is>
      </c>
      <c r="J393" s="6" t="inlineStr">
        <is>
          <t>https://dym.asia/services/web-promotion/</t>
        </is>
      </c>
      <c r="K393" s="47" t="n"/>
      <c r="L393" s="47" t="n"/>
    </row>
    <row r="394" ht="15.75" customHeight="1" s="185">
      <c r="A394" s="52">
        <f>row()-1</f>
        <v/>
      </c>
      <c r="B394" s="46" t="inlineStr">
        <is>
          <t>WEBマーケティングの仕事内容とは？未経験から目指す方法を解説</t>
        </is>
      </c>
      <c r="C394" s="6" t="inlineStr">
        <is>
          <t>https://dym.asia/media/web-marketing/</t>
        </is>
      </c>
      <c r="D394" s="12" t="inlineStr">
        <is>
          <t>2024.11.19</t>
        </is>
      </c>
      <c r="E394" s="12" t="inlineStr">
        <is>
          <t>2024.12.09</t>
        </is>
      </c>
      <c r="F394" s="47" t="inlineStr">
        <is>
          <t>法人</t>
        </is>
      </c>
      <c r="G394" s="47" t="inlineStr">
        <is>
          <t>WEB</t>
        </is>
      </c>
      <c r="H394" s="47" t="n"/>
      <c r="I394" s="6" t="inlineStr">
        <is>
          <t>https://dym.asia/services/web-promotion/</t>
        </is>
      </c>
      <c r="J394" s="6" t="inlineStr">
        <is>
          <t>https://dym.asia/services/web-promotion/</t>
        </is>
      </c>
      <c r="K394" s="47" t="n"/>
      <c r="L394" s="47" t="n"/>
    </row>
    <row r="395" ht="15.75" customHeight="1" s="185">
      <c r="A395" s="52">
        <f>row()-1</f>
        <v/>
      </c>
      <c r="B395" s="46" t="inlineStr">
        <is>
          <t>ホームページ制作費の勘定科目は？経費にする仕訳方法も解説</t>
        </is>
      </c>
      <c r="C395" s="6" t="inlineStr">
        <is>
          <t>https://dym.asia/media/web-site-production-cost-account-item/</t>
        </is>
      </c>
      <c r="D395" s="12" t="inlineStr">
        <is>
          <t>2024.11.21</t>
        </is>
      </c>
      <c r="E395" s="12" t="inlineStr">
        <is>
          <t>2024.12.09</t>
        </is>
      </c>
      <c r="F395" s="47" t="inlineStr">
        <is>
          <t>法人</t>
        </is>
      </c>
      <c r="G395" s="47" t="inlineStr">
        <is>
          <t>WEB</t>
        </is>
      </c>
      <c r="H395" s="47" t="n"/>
      <c r="I395" s="6" t="inlineStr">
        <is>
          <t>https://dym.asia/services/web-promotion/</t>
        </is>
      </c>
      <c r="J395" s="6" t="inlineStr">
        <is>
          <t>https://dym.asia/services/web-promotion/</t>
        </is>
      </c>
      <c r="K395" s="47" t="n"/>
      <c r="L395" s="47" t="n"/>
    </row>
    <row r="396" ht="15.75" customHeight="1" s="185">
      <c r="A396" s="52">
        <f>row()-1</f>
        <v/>
      </c>
      <c r="B396" s="46" t="inlineStr">
        <is>
          <t>ウェビナーとは？Zoomウェビナーの使い方とミーティングとの違いを解説</t>
        </is>
      </c>
      <c r="C396" s="6" t="inlineStr">
        <is>
          <t>https://dym.asia/media/webinar/</t>
        </is>
      </c>
      <c r="D396" s="12" t="inlineStr">
        <is>
          <t>2024.11.26</t>
        </is>
      </c>
      <c r="E396" s="12" t="inlineStr">
        <is>
          <t>2024.12.09</t>
        </is>
      </c>
      <c r="F396" s="47" t="inlineStr">
        <is>
          <t>法人</t>
        </is>
      </c>
      <c r="G396" s="47" t="inlineStr">
        <is>
          <t>WEB</t>
        </is>
      </c>
      <c r="H396" s="47" t="n"/>
      <c r="I396" s="6" t="inlineStr">
        <is>
          <t>https://dym.asia/services/web-promotion/production-operation/</t>
        </is>
      </c>
      <c r="J396" s="6" t="inlineStr">
        <is>
          <t>https://dym.asia/services/web-promotion/production-operation/</t>
        </is>
      </c>
      <c r="K396" s="47" t="n"/>
      <c r="L396" s="47" t="n"/>
    </row>
    <row r="397" ht="15.75" customHeight="1" s="185">
      <c r="A397" s="52">
        <f>row()-1</f>
        <v/>
      </c>
      <c r="B397" s="46" t="inlineStr">
        <is>
          <t>福利厚生代行とは？おすすめのサービスと導入メリットを比較</t>
        </is>
      </c>
      <c r="C397" s="6" t="inlineStr">
        <is>
          <t>https://dym.asia/media/welfare-operation/</t>
        </is>
      </c>
      <c r="D397" s="12" t="inlineStr">
        <is>
          <t>2024.11.05</t>
        </is>
      </c>
      <c r="E397" s="12" t="inlineStr">
        <is>
          <t>2024.11.13</t>
        </is>
      </c>
      <c r="F397" s="47" t="inlineStr">
        <is>
          <t>法人</t>
        </is>
      </c>
      <c r="G397" s="47" t="inlineStr">
        <is>
          <t>人材</t>
        </is>
      </c>
      <c r="H397" s="47" t="n"/>
      <c r="I397" s="6" t="inlineStr">
        <is>
          <t>https://dym.asia/services/new-graduates/welfare/</t>
        </is>
      </c>
      <c r="J397" s="6" t="inlineStr">
        <is>
          <t>https://dym.asia/services/new-graduates/welfare/</t>
        </is>
      </c>
      <c r="K397" s="47" t="n"/>
      <c r="L397" s="47" t="n"/>
    </row>
    <row r="398" ht="15.75" customHeight="1" s="185">
      <c r="A398" s="52">
        <f>row()-1</f>
        <v/>
      </c>
      <c r="B398" s="46" t="inlineStr">
        <is>
          <t>福利厚生のアウトソーシングとは？導入のメリットやおすすめサービスを紹介</t>
        </is>
      </c>
      <c r="C398" s="6" t="inlineStr">
        <is>
          <t>https://dym.asia/media/welfare_benefits_outsourcing/</t>
        </is>
      </c>
      <c r="D398" s="12" t="inlineStr">
        <is>
          <t>2024.06.17</t>
        </is>
      </c>
      <c r="E398" s="12" t="inlineStr">
        <is>
          <t>2024.06.17</t>
        </is>
      </c>
      <c r="F398" s="47" t="inlineStr">
        <is>
          <t>法人</t>
        </is>
      </c>
      <c r="G398" s="47" t="inlineStr">
        <is>
          <t>人材</t>
        </is>
      </c>
      <c r="H398" s="47" t="n"/>
      <c r="I398" s="6" t="inlineStr">
        <is>
          <t>https://dym.asia/services/new-graduates/welfare/</t>
        </is>
      </c>
      <c r="J398" s="6" t="inlineStr">
        <is>
          <t>https://dym.asia/services/new-graduates/welfare/</t>
        </is>
      </c>
      <c r="K398" s="47" t="n"/>
      <c r="L398" s="47" t="n"/>
    </row>
    <row r="399" ht="15.75" customHeight="1" s="185">
      <c r="A399" s="52">
        <f>row()-1</f>
        <v/>
      </c>
      <c r="B399" s="46" t="inlineStr">
        <is>
          <t>DNSとは？仕組み、サーバー、設定を分かりやすく解説！</t>
        </is>
      </c>
      <c r="C399" s="6" t="inlineStr">
        <is>
          <t>https://dym.asia/media/what-is-dns/</t>
        </is>
      </c>
      <c r="D399" s="12" t="inlineStr">
        <is>
          <t>2025.04.10</t>
        </is>
      </c>
      <c r="E399" s="12" t="inlineStr">
        <is>
          <t>2025.05.20</t>
        </is>
      </c>
      <c r="F399" s="47" t="inlineStr">
        <is>
          <t>法人</t>
        </is>
      </c>
      <c r="G399" s="47" t="inlineStr">
        <is>
          <t>WEB</t>
        </is>
      </c>
      <c r="H399" s="47" t="n"/>
      <c r="I399" s="6" t="inlineStr">
        <is>
          <t>https://dym.asia/services/web-promotion/production-operation/</t>
        </is>
      </c>
      <c r="J399" s="6" t="inlineStr">
        <is>
          <t>https://dym.asia/services/web-promotion/production-operation/</t>
        </is>
      </c>
      <c r="K399" s="47" t="n"/>
      <c r="L399" s="47" t="n"/>
    </row>
    <row r="400" ht="15.75" customHeight="1" s="185">
      <c r="A400" s="52">
        <f>row()-1</f>
        <v/>
      </c>
      <c r="B400" s="46" t="inlineStr">
        <is>
          <t>SEOは何の略称？初心者でもサイトを検索結果の上位に表示させるポイント</t>
        </is>
      </c>
      <c r="C400" s="6" t="inlineStr">
        <is>
          <t>https://dym.asia/media/what-is-seo/</t>
        </is>
      </c>
      <c r="D400" s="12" t="inlineStr">
        <is>
          <t>2024.11.15</t>
        </is>
      </c>
      <c r="E400" s="12" t="inlineStr">
        <is>
          <t>2024.12.09</t>
        </is>
      </c>
      <c r="F400" s="47" t="inlineStr">
        <is>
          <t>法人</t>
        </is>
      </c>
      <c r="G400" s="47" t="inlineStr">
        <is>
          <t>WEB</t>
        </is>
      </c>
      <c r="H400" s="47" t="n"/>
      <c r="I400" s="6" t="inlineStr">
        <is>
          <t>https://dym.asia/services/web-promotion/seo/</t>
        </is>
      </c>
      <c r="J400" s="6" t="inlineStr">
        <is>
          <t>https://dym.asia/services/web-promotion/seo/</t>
        </is>
      </c>
      <c r="K400" s="47" t="n"/>
      <c r="L400" s="47" t="n"/>
    </row>
    <row r="401" ht="15.75" customHeight="1" s="185">
      <c r="A401" s="52">
        <f>row()-1</f>
        <v/>
      </c>
      <c r="B401" s="46" t="inlineStr">
        <is>
          <t>農福連携とは？ 農家のメリットと、障害者雇用の成功事例</t>
        </is>
      </c>
      <c r="C401" s="6" t="inlineStr">
        <is>
          <t>https://dym.asia/media/with-disabilities-farming/</t>
        </is>
      </c>
      <c r="D401" s="12" t="inlineStr">
        <is>
          <t>2024.11.13</t>
        </is>
      </c>
      <c r="E401" s="12" t="inlineStr">
        <is>
          <t>2024.12.09</t>
        </is>
      </c>
      <c r="F401" s="47" t="inlineStr">
        <is>
          <t>法人</t>
        </is>
      </c>
      <c r="G401" s="47" t="inlineStr">
        <is>
          <t>人材</t>
        </is>
      </c>
      <c r="H401" s="47" t="n"/>
      <c r="I401" s="6" t="inlineStr">
        <is>
          <t>https://dym.asia/services/new-graduates/with-disabilities/</t>
        </is>
      </c>
      <c r="J401" s="6" t="inlineStr">
        <is>
          <t>https://dym.asia/services/new-graduates/with-disabilities/</t>
        </is>
      </c>
      <c r="K401" s="47" t="n"/>
      <c r="L401" s="47" t="n"/>
    </row>
    <row r="402" ht="15.75" customHeight="1" s="185">
      <c r="A402" s="52">
        <f>row()-1</f>
        <v/>
      </c>
      <c r="B402" s="46" t="inlineStr">
        <is>
          <t>障害者トライアル雇用とは｜制度の概要やメリットをくわしく解説</t>
        </is>
      </c>
      <c r="C402" s="6" t="inlineStr">
        <is>
          <t>https://dym.asia/media/with-disabilities-recruitment-trial/</t>
        </is>
      </c>
      <c r="D402" s="12" t="inlineStr">
        <is>
          <t>2024.11.13</t>
        </is>
      </c>
      <c r="E402" s="12" t="inlineStr">
        <is>
          <t>2024.12.09</t>
        </is>
      </c>
      <c r="F402" s="47" t="inlineStr">
        <is>
          <t>法人</t>
        </is>
      </c>
      <c r="G402" s="47" t="inlineStr">
        <is>
          <t>人材</t>
        </is>
      </c>
      <c r="H402" s="47" t="n"/>
      <c r="I402" s="6" t="inlineStr">
        <is>
          <t>https://dym.asia/services/new-graduates/with-disabilities/</t>
        </is>
      </c>
      <c r="J402" s="6" t="inlineStr">
        <is>
          <t>https://dym.asia/services/new-graduates/with-disabilities/</t>
        </is>
      </c>
      <c r="K402" s="47" t="n"/>
      <c r="L402" s="47" t="n"/>
    </row>
    <row r="403" ht="15.75" customHeight="1" s="185">
      <c r="A403" s="52">
        <f>row()-1</f>
        <v/>
      </c>
      <c r="B403" s="46" t="inlineStr">
        <is>
          <t>働き方改革とは？目的や課題、法改正の概要をわかりやすく紹介</t>
        </is>
      </c>
      <c r="C403" s="6" t="inlineStr">
        <is>
          <t>https://dym.asia/media/work-style-reform/</t>
        </is>
      </c>
      <c r="D403" s="12" t="inlineStr">
        <is>
          <t>2024.11.15</t>
        </is>
      </c>
      <c r="E403" s="12" t="inlineStr">
        <is>
          <t>2024.12.09</t>
        </is>
      </c>
      <c r="F403" s="47" t="inlineStr">
        <is>
          <t>法人</t>
        </is>
      </c>
      <c r="G403" s="47" t="inlineStr">
        <is>
          <t>人材</t>
        </is>
      </c>
      <c r="H403" s="47" t="n"/>
      <c r="I403" s="6" t="inlineStr">
        <is>
          <t>https://dym.asia/services/new-graduates/</t>
        </is>
      </c>
      <c r="J403" s="6" t="inlineStr">
        <is>
          <t>https://dym.asia/services/new-graduates/</t>
        </is>
      </c>
      <c r="K403" s="47" t="n"/>
      <c r="L403" s="47" t="n"/>
    </row>
    <row r="404" ht="15.75" customHeight="1" s="185">
      <c r="A404" s="52">
        <f>row()-1</f>
        <v/>
      </c>
      <c r="B404" s="46" t="inlineStr">
        <is>
          <t>社会人教育とは？リカレント教育を受けるメリットやおすすめの支援制度</t>
        </is>
      </c>
      <c r="C404" s="6" t="inlineStr">
        <is>
          <t>https://dym.asia/media/working-person-education/</t>
        </is>
      </c>
      <c r="D404" s="12" t="inlineStr">
        <is>
          <t>2024.11.12</t>
        </is>
      </c>
      <c r="E404" s="12" t="inlineStr">
        <is>
          <t>2024.12.09</t>
        </is>
      </c>
      <c r="F404" s="47" t="inlineStr">
        <is>
          <t>法人</t>
        </is>
      </c>
      <c r="G404" s="47" t="inlineStr">
        <is>
          <t>人材</t>
        </is>
      </c>
      <c r="H404" s="47" t="n"/>
      <c r="I404" s="47" t="inlineStr">
        <is>
          <t>URLがありませんでした。</t>
        </is>
      </c>
      <c r="J404" s="10" t="inlineStr">
        <is>
          <t>https://dym.asia/services/new-graduates/development-training/</t>
        </is>
      </c>
      <c r="K404" s="47" t="n"/>
      <c r="L404" s="47" t="n"/>
    </row>
    <row r="405" ht="15.75" customHeight="1" s="185">
      <c r="A405" s="52">
        <f>row()-1</f>
        <v/>
      </c>
      <c r="B405" s="46" t="inlineStr">
        <is>
          <t>X（旧Twitter）広告に費用はどの程度かかる？平均相場や広告の費用と種類を解説</t>
        </is>
      </c>
      <c r="C405" s="6" t="inlineStr">
        <is>
          <t>https://dym.asia/media/x-ad/</t>
        </is>
      </c>
      <c r="D405" s="12" t="inlineStr">
        <is>
          <t>2024.10.11</t>
        </is>
      </c>
      <c r="E405" s="12" t="inlineStr">
        <is>
          <t>2024.10.22</t>
        </is>
      </c>
      <c r="F405" s="47" t="inlineStr">
        <is>
          <t>法人</t>
        </is>
      </c>
      <c r="G405" s="47" t="inlineStr">
        <is>
          <t>WEB</t>
        </is>
      </c>
      <c r="H405" s="47" t="n"/>
      <c r="I405" s="6" t="inlineStr">
        <is>
          <t>https://dym.asia/services/web-promotion/sns-ads/</t>
        </is>
      </c>
      <c r="J405" s="6" t="inlineStr">
        <is>
          <t>https://dym.asia/services/web-promotion/sns-ads/</t>
        </is>
      </c>
      <c r="K405" s="47" t="n"/>
      <c r="L405" s="47" t="n"/>
    </row>
    <row r="406" ht="15.75" customHeight="1" s="185">
      <c r="A406" s="52">
        <f>row()-1</f>
        <v/>
      </c>
      <c r="B406" s="46" t="inlineStr">
        <is>
          <t>X (旧Twitter) 運用代行の費用目安は？メリットや選び方の注意点なども解説</t>
        </is>
      </c>
      <c r="C406" s="6" t="inlineStr">
        <is>
          <t>https://dym.asia/media/x-operation/</t>
        </is>
      </c>
      <c r="D406" s="12" t="inlineStr">
        <is>
          <t>2024.11.15</t>
        </is>
      </c>
      <c r="E406" s="12" t="inlineStr">
        <is>
          <t>2024.10.30</t>
        </is>
      </c>
      <c r="F406" s="47" t="inlineStr">
        <is>
          <t>法人</t>
        </is>
      </c>
      <c r="G406" s="47" t="inlineStr">
        <is>
          <t>WEB</t>
        </is>
      </c>
      <c r="H406" s="47" t="n"/>
      <c r="I406" s="6" t="inlineStr">
        <is>
          <t>https://dym.asia/services/web-promotion/sns-consulting/</t>
        </is>
      </c>
      <c r="J406" s="6" t="inlineStr">
        <is>
          <t>https://dym.asia/services/web-promotion/sns-consulting/</t>
        </is>
      </c>
      <c r="K406" s="47" t="n"/>
      <c r="L406" s="47" t="n"/>
    </row>
    <row r="407" ht="15.75" customHeight="1" s="185">
      <c r="A407" s="52">
        <f>row()-1</f>
        <v/>
      </c>
      <c r="B407" s="46" t="inlineStr">
        <is>
          <t>Yahoo!広告の費用相場は？予算の決め方や広告選びのポイントも解説</t>
        </is>
      </c>
      <c r="C407" s="6" t="inlineStr">
        <is>
          <t>https://dym.asia/media/yahoo-ad-cost/</t>
        </is>
      </c>
      <c r="E407" s="12" t="inlineStr">
        <is>
          <t>2024.11.21</t>
        </is>
      </c>
      <c r="F407" s="47" t="inlineStr">
        <is>
          <t>法人</t>
        </is>
      </c>
      <c r="G407" s="47" t="inlineStr">
        <is>
          <t>WEB</t>
        </is>
      </c>
      <c r="H407" s="47" t="n"/>
      <c r="I407" s="6" t="inlineStr">
        <is>
          <t>https://dym.asia/services/web-promotion/listing/</t>
        </is>
      </c>
      <c r="J407" s="6" t="inlineStr">
        <is>
          <t>https://dym.asia/services/web-promotion/listing/</t>
        </is>
      </c>
      <c r="K407" s="47" t="n"/>
      <c r="L407" s="47" t="n"/>
    </row>
    <row r="408" ht="15.75" customHeight="1" s="185">
      <c r="A408" s="52">
        <f>row()-1</f>
        <v/>
      </c>
      <c r="B408" s="46" t="inlineStr">
        <is>
          <t>Yahoo!広告とは？費用や特徴、始め方や代理店に依頼するメリットを解説</t>
        </is>
      </c>
      <c r="C408" s="6" t="inlineStr">
        <is>
          <t>https://dym.asia/media/yahoo_advertisement/</t>
        </is>
      </c>
      <c r="D408" s="12" t="inlineStr">
        <is>
          <t>2024.06.17</t>
        </is>
      </c>
      <c r="E408" s="12" t="inlineStr">
        <is>
          <t>2024.07.05</t>
        </is>
      </c>
      <c r="F408" s="47" t="inlineStr">
        <is>
          <t>法人</t>
        </is>
      </c>
      <c r="G408" s="47" t="inlineStr">
        <is>
          <t>WEB</t>
        </is>
      </c>
      <c r="H408" s="47" t="n"/>
      <c r="I408" s="6" t="inlineStr">
        <is>
          <t>https://dym.asia/services/web-promotion/listing/</t>
        </is>
      </c>
      <c r="J408" s="6" t="inlineStr">
        <is>
          <t>https://dym.asia/services/web-promotion/listing/</t>
        </is>
      </c>
      <c r="K408" s="47" t="n"/>
      <c r="L408" s="47" t="n"/>
    </row>
    <row r="409" ht="15.75" customHeight="1" s="185">
      <c r="A409" s="52">
        <f>row()-1</f>
        <v/>
      </c>
      <c r="B409" s="46" t="inlineStr">
        <is>
          <t>YDAとは？Yahoo!ディスプレイ広告の配信方法・メリットを解説</t>
        </is>
      </c>
      <c r="C409" s="10" t="inlineStr">
        <is>
          <t>https://dym.asia/media/yda-yahoo-display-ads/</t>
        </is>
      </c>
      <c r="D409" s="12" t="inlineStr">
        <is>
          <t>2025.08.25</t>
        </is>
      </c>
      <c r="E409" s="12" t="inlineStr">
        <is>
          <t>2025.08.25</t>
        </is>
      </c>
      <c r="F409" s="47" t="inlineStr">
        <is>
          <t>法人</t>
        </is>
      </c>
      <c r="G409" s="47" t="inlineStr">
        <is>
          <t>WEB</t>
        </is>
      </c>
      <c r="H409" s="47" t="n"/>
      <c r="I409" s="6" t="inlineStr">
        <is>
          <t>https://dym.asia/services/web-promotion/</t>
        </is>
      </c>
      <c r="J409" s="6" t="inlineStr">
        <is>
          <t>https://dym.asia/services/web-promotion/</t>
        </is>
      </c>
      <c r="K409" s="47" t="n"/>
      <c r="L409" s="47" t="n"/>
    </row>
    <row r="410" ht="15.75" customHeight="1" s="185">
      <c r="A410" s="52">
        <f>row()-1</f>
        <v/>
      </c>
      <c r="B410" s="46" t="inlineStr">
        <is>
          <t>36協定とは？残業時間の上限や注意点をわかりやすく解説</t>
        </is>
      </c>
      <c r="C410" s="6" t="inlineStr">
        <is>
          <t>https://dym.asia/media/36-agreements/</t>
        </is>
      </c>
      <c r="D410" s="12" t="inlineStr">
        <is>
          <t>2024.11.22</t>
        </is>
      </c>
      <c r="E410" s="12" t="inlineStr">
        <is>
          <t>2024.12.09</t>
        </is>
      </c>
      <c r="F410" s="47" t="inlineStr">
        <is>
          <t>法人</t>
        </is>
      </c>
      <c r="G410" s="47" t="inlineStr">
        <is>
          <t>人材</t>
        </is>
      </c>
      <c r="H410" s="47" t="n"/>
      <c r="I410" s="6" t="inlineStr">
        <is>
          <t>https://dym.asia/services/new-graduates/</t>
        </is>
      </c>
      <c r="J410" s="6" t="inlineStr">
        <is>
          <t>https://dym.asia/services/new-graduates/</t>
        </is>
      </c>
      <c r="K410" s="47" t="n"/>
      <c r="L410" s="47" t="n"/>
    </row>
    <row r="411" ht="15.75" customHeight="1" s="185">
      <c r="A411" s="52">
        <f>row()-1</f>
        <v/>
      </c>
      <c r="B411" s="46" t="inlineStr">
        <is>
          <t>3C分析とは？やり方や業界別の活用例・成功させるポイント5つを紹介</t>
        </is>
      </c>
      <c r="C411" s="6" t="inlineStr">
        <is>
          <t>https://dym.asia/media/3c-analysis/</t>
        </is>
      </c>
      <c r="D411" s="12" t="inlineStr">
        <is>
          <t>2024.11.18</t>
        </is>
      </c>
      <c r="E411" s="12" t="inlineStr">
        <is>
          <t>2024.12.10</t>
        </is>
      </c>
      <c r="F411" s="47" t="inlineStr">
        <is>
          <t>法人</t>
        </is>
      </c>
      <c r="G411" s="47" t="inlineStr">
        <is>
          <t>WEB</t>
        </is>
      </c>
      <c r="H411" s="47" t="n"/>
      <c r="I411" s="6" t="inlineStr">
        <is>
          <t>https://dym.asia/services/</t>
        </is>
      </c>
      <c r="J411" s="6" t="inlineStr">
        <is>
          <t>https://dym.asia/services/web-promotion/</t>
        </is>
      </c>
      <c r="K411" s="47" t="n"/>
      <c r="L411" s="47" t="n"/>
    </row>
    <row r="412" ht="15.75" customHeight="1" s="185">
      <c r="A412" s="52">
        <f>row()-1</f>
        <v/>
      </c>
      <c r="B412" s="46" t="inlineStr">
        <is>
          <t>4P分析を分かりやすく解説！意味や3Cとの違い、分析の手順まで</t>
        </is>
      </c>
      <c r="C412" s="6" t="inlineStr">
        <is>
          <t>https://dym.asia/media/4p-analysis/</t>
        </is>
      </c>
      <c r="D412" s="12" t="inlineStr">
        <is>
          <t>2024.11.27</t>
        </is>
      </c>
      <c r="E412" s="12" t="inlineStr">
        <is>
          <t>2024.12.09</t>
        </is>
      </c>
      <c r="F412" s="47" t="inlineStr">
        <is>
          <t>法人</t>
        </is>
      </c>
      <c r="G412" s="47" t="inlineStr">
        <is>
          <t>WEB</t>
        </is>
      </c>
      <c r="H412" s="47" t="n"/>
      <c r="I412" s="6" t="inlineStr">
        <is>
          <t>https://dym.asia/services/</t>
        </is>
      </c>
      <c r="J412" s="6" t="inlineStr">
        <is>
          <t>https://dym.asia/services/web-promotion/</t>
        </is>
      </c>
      <c r="K412" s="47" t="n"/>
      <c r="L412" s="47" t="n"/>
    </row>
    <row r="413" ht="15.75" customHeight="1" s="185">
      <c r="A413" s="52">
        <f>row()-1</f>
        <v/>
      </c>
      <c r="B413" s="46" t="inlineStr">
        <is>
          <t>ABテストとは？やり方やメリット、特徴をわかりやすく解説</t>
        </is>
      </c>
      <c r="C413" s="6" t="inlineStr">
        <is>
          <t>https://dym.asia/media/ab-test/</t>
        </is>
      </c>
      <c r="D413" s="12" t="inlineStr">
        <is>
          <t>2024.11.27</t>
        </is>
      </c>
      <c r="E413" s="12" t="inlineStr">
        <is>
          <t>2025.01.27</t>
        </is>
      </c>
      <c r="F413" s="47" t="inlineStr">
        <is>
          <t>法人</t>
        </is>
      </c>
      <c r="G413" s="47" t="inlineStr">
        <is>
          <t>WEB</t>
        </is>
      </c>
      <c r="H413" s="47" t="n"/>
      <c r="I413" s="6" t="inlineStr">
        <is>
          <t>https://dym.asia/services/web-promotion/</t>
        </is>
      </c>
      <c r="J413" s="6" t="inlineStr">
        <is>
          <t>https://dym.asia/services/web-promotion/</t>
        </is>
      </c>
      <c r="K413" s="47" t="n"/>
      <c r="L413" s="47" t="n"/>
    </row>
    <row r="414" ht="15.75" customHeight="1" s="185">
      <c r="A414" s="52">
        <f>row()-1</f>
        <v/>
      </c>
      <c r="B414" s="46" t="inlineStr">
        <is>
          <t>ABM（アカウントベースドマーケティング）とは？基礎知識を解説</t>
        </is>
      </c>
      <c r="C414" s="6" t="inlineStr">
        <is>
          <t>https://dym.asia/media/abm/</t>
        </is>
      </c>
      <c r="D414" s="12" t="inlineStr">
        <is>
          <t>2024.11.27</t>
        </is>
      </c>
      <c r="E414" s="12" t="inlineStr">
        <is>
          <t>2024.12.09</t>
        </is>
      </c>
      <c r="F414" s="47" t="inlineStr">
        <is>
          <t>法人</t>
        </is>
      </c>
      <c r="G414" s="47" t="inlineStr">
        <is>
          <t>WEB</t>
        </is>
      </c>
      <c r="H414" s="47" t="n"/>
      <c r="I414" s="6" t="inlineStr">
        <is>
          <t>https://dym.asia/services/web-promotion/</t>
        </is>
      </c>
      <c r="J414" s="6" t="inlineStr">
        <is>
          <t>https://dym.asia/services/web-promotion/</t>
        </is>
      </c>
      <c r="K414" s="47" t="n"/>
      <c r="L414" s="47" t="n"/>
    </row>
    <row r="415" ht="15.75" customHeight="1" s="185">
      <c r="A415" s="52">
        <f>row()-1</f>
        <v/>
      </c>
      <c r="B415" s="46" t="inlineStr">
        <is>
          <t>Webアクセシビリティとは？意味や2024年の義務化についてわかりやすく解説</t>
        </is>
      </c>
      <c r="C415" s="6" t="inlineStr">
        <is>
          <t>https://dym.asia/media/accessibility/</t>
        </is>
      </c>
      <c r="D415" s="12" t="inlineStr">
        <is>
          <t>2024.11.26</t>
        </is>
      </c>
      <c r="E415" s="12" t="inlineStr">
        <is>
          <t>2024.12.09</t>
        </is>
      </c>
      <c r="F415" s="47" t="inlineStr">
        <is>
          <t>法人</t>
        </is>
      </c>
      <c r="G415" s="47" t="inlineStr">
        <is>
          <t>WEB</t>
        </is>
      </c>
      <c r="H415" s="47" t="n"/>
      <c r="I415" s="6" t="inlineStr">
        <is>
          <t>https://dym.asia/services/web-promotion/</t>
        </is>
      </c>
      <c r="J415" s="6" t="inlineStr">
        <is>
          <t>https://dym.asia/services/web-promotion/</t>
        </is>
      </c>
      <c r="K415" s="47" t="n"/>
      <c r="L415" s="47" t="n"/>
    </row>
    <row r="416" ht="15.75" customHeight="1" s="185">
      <c r="A416" s="52">
        <f>row()-1</f>
        <v/>
      </c>
      <c r="B416" s="46" t="inlineStr">
        <is>
          <t>経理代行とは？アウトソーシングするメリットやおすすめの代行会社の選び方</t>
        </is>
      </c>
      <c r="C416" s="6" t="inlineStr">
        <is>
          <t>https://dym.asia/media/accounting-services/</t>
        </is>
      </c>
      <c r="D416" s="12" t="inlineStr">
        <is>
          <t>2025.11.12</t>
        </is>
      </c>
      <c r="E416" s="12" t="inlineStr">
        <is>
          <t>2025.11.12</t>
        </is>
      </c>
      <c r="F416" s="47" t="inlineStr">
        <is>
          <t>法人</t>
        </is>
      </c>
      <c r="G416" s="47" t="inlineStr">
        <is>
          <t>HR Tech</t>
        </is>
      </c>
      <c r="H416" s="47" t="n"/>
      <c r="I416" s="6" t="inlineStr">
        <is>
          <t>https://dym.asia/media/accounting-services/</t>
        </is>
      </c>
      <c r="J416" s="6" t="inlineStr">
        <is>
          <t>https://dym.asia/services/hr-tech/</t>
        </is>
      </c>
      <c r="K416" s="47" t="n"/>
      <c r="L416" s="47" t="n"/>
    </row>
    <row r="417" ht="15.75" customHeight="1" s="185">
      <c r="A417" s="52">
        <f>row()-1</f>
        <v/>
      </c>
      <c r="B417" s="46" t="inlineStr">
        <is>
          <t>広告運用代行サービス（業務委託）の費用相場とは？</t>
        </is>
      </c>
      <c r="C417" s="6" t="inlineStr">
        <is>
          <t>https://dym.asia/media/ad-ope-outsourcing/</t>
        </is>
      </c>
      <c r="D417" s="12" t="inlineStr">
        <is>
          <t>2024.11.13</t>
        </is>
      </c>
      <c r="E417" s="12" t="inlineStr">
        <is>
          <t>2025.05.22</t>
        </is>
      </c>
      <c r="F417" s="47" t="inlineStr">
        <is>
          <t>法人</t>
        </is>
      </c>
      <c r="G417" s="47" t="inlineStr">
        <is>
          <t>人材</t>
        </is>
      </c>
      <c r="H417" s="47" t="n"/>
      <c r="I417" s="6" t="inlineStr">
        <is>
          <t>https://dym.asia/services/new-graduates/dym-tech/</t>
        </is>
      </c>
      <c r="J417" s="6" t="inlineStr">
        <is>
          <t>https://dym.asia/services/new-graduates/dym-tech/</t>
        </is>
      </c>
      <c r="K417" s="47" t="n"/>
      <c r="L417" s="47" t="n"/>
    </row>
    <row r="418" ht="15.75" customHeight="1" s="185">
      <c r="A418" s="52">
        <f>row()-1</f>
        <v/>
      </c>
      <c r="B418" s="46" t="inlineStr">
        <is>
          <t>事務代行とは？料金相場・メリット・選び方を徹底解説</t>
        </is>
      </c>
      <c r="C418" s="6" t="inlineStr">
        <is>
          <t>https://dym.asia/media/administrative-services/</t>
        </is>
      </c>
      <c r="D418" s="12" t="inlineStr">
        <is>
          <t>2025.09.04</t>
        </is>
      </c>
      <c r="E418" s="12" t="inlineStr">
        <is>
          <t>2025.09.04</t>
        </is>
      </c>
      <c r="F418" s="47" t="inlineStr">
        <is>
          <t>法人</t>
        </is>
      </c>
      <c r="G418" s="47" t="inlineStr">
        <is>
          <t>HR Tech</t>
        </is>
      </c>
      <c r="H418" s="47" t="n"/>
      <c r="I418" s="6" t="inlineStr">
        <is>
          <t>https://dym.asia/services/hr-tech/office-work-outsourcing/</t>
        </is>
      </c>
      <c r="J418" s="6" t="inlineStr">
        <is>
          <t>https://dym.asia/services/hr-tech/office-work-outsourcing/</t>
        </is>
      </c>
      <c r="K418" s="47" t="n"/>
      <c r="L418" s="47" t="n"/>
    </row>
    <row r="419" ht="15.75" customHeight="1" s="185">
      <c r="A419" s="52">
        <f>row()-1</f>
        <v/>
      </c>
      <c r="B419" s="46" t="inlineStr">
        <is>
          <t>広告の種類とは？ 特徴と効果的な活用方法</t>
        </is>
      </c>
      <c r="C419" s="10" t="inlineStr">
        <is>
          <t>https://dym.asia/media/ads-type/</t>
        </is>
      </c>
      <c r="D419" s="12" t="inlineStr">
        <is>
          <t>2024.11.19</t>
        </is>
      </c>
      <c r="E419" s="12" t="inlineStr">
        <is>
          <t>2024.12.09</t>
        </is>
      </c>
      <c r="F419" s="47" t="inlineStr">
        <is>
          <t>法人</t>
        </is>
      </c>
      <c r="G419" s="47" t="inlineStr">
        <is>
          <t>WEB</t>
        </is>
      </c>
      <c r="H419" s="47" t="n"/>
      <c r="I419" s="17" t="inlineStr">
        <is>
          <t>https://dym.asia/services/web-promotion/</t>
        </is>
      </c>
      <c r="J419" s="10" t="inlineStr">
        <is>
          <t>https://dym.asia/services/web-promotion/</t>
        </is>
      </c>
      <c r="K419" s="47" t="n"/>
      <c r="L419" s="47" t="n"/>
    </row>
    <row r="420" ht="15.75" customHeight="1" s="185">
      <c r="A420" s="52">
        <f>row()-1</f>
        <v/>
      </c>
      <c r="B420" s="46" t="inlineStr">
        <is>
          <t>広告代理店のM&amp;Aの動向｜メリット・デメリットや成功戦略</t>
        </is>
      </c>
      <c r="C420" s="6" t="inlineStr">
        <is>
          <t>https://dym.asia/media/advertising-agency-mna/</t>
        </is>
      </c>
      <c r="D420" s="12" t="inlineStr">
        <is>
          <t>2025.09.18</t>
        </is>
      </c>
      <c r="E420" s="12" t="inlineStr">
        <is>
          <t>2025.09.18</t>
        </is>
      </c>
      <c r="F420" s="47" t="inlineStr">
        <is>
          <t>法人</t>
        </is>
      </c>
      <c r="G420" s="47" t="inlineStr">
        <is>
          <t>M&amp;A</t>
        </is>
      </c>
      <c r="H420" s="47" t="n"/>
      <c r="I420" s="6" t="inlineStr">
        <is>
          <t>https://dym.asia/services/m&amp;a/consulting/</t>
        </is>
      </c>
      <c r="J420" s="6" t="inlineStr">
        <is>
          <t>https://dym.asia/services/m&amp;a/consulting/</t>
        </is>
      </c>
      <c r="K420" s="47" t="n"/>
      <c r="L420" s="47" t="n"/>
    </row>
    <row r="421" ht="15.75" customHeight="1" s="185">
      <c r="A421" s="52">
        <f>row()-1</f>
        <v/>
      </c>
      <c r="B421" s="46" t="inlineStr">
        <is>
          <t>アフィリエイト広告とは？種類や仕組み、報酬について解説</t>
        </is>
      </c>
      <c r="C421" s="6" t="inlineStr">
        <is>
          <t>https://dym.asia/media/affiliate-ads/</t>
        </is>
      </c>
      <c r="D421" s="12" t="inlineStr">
        <is>
          <t>2024.11.21</t>
        </is>
      </c>
      <c r="E421" s="12" t="inlineStr">
        <is>
          <t>2024.12.09</t>
        </is>
      </c>
      <c r="F421" s="47" t="inlineStr">
        <is>
          <t>法人</t>
        </is>
      </c>
      <c r="G421" s="47" t="inlineStr">
        <is>
          <t>WEB</t>
        </is>
      </c>
      <c r="H421" s="47" t="n"/>
      <c r="I421" s="6" t="inlineStr">
        <is>
          <t>https://dym.asia/services/web-promotion/affiliate/</t>
        </is>
      </c>
      <c r="J421" s="6" t="inlineStr">
        <is>
          <t>https://dym.asia/services/web-promotion/affiliate/</t>
        </is>
      </c>
      <c r="K421" s="47" t="n"/>
      <c r="L421" s="47" t="n"/>
    </row>
    <row r="422" ht="15.75" customHeight="1" s="185">
      <c r="A422" s="52">
        <f>row()-1</f>
        <v/>
      </c>
      <c r="B422" s="46" t="inlineStr">
        <is>
          <t>アグリゲーションサイトとは？意味や求人広告活用方法を解説</t>
        </is>
      </c>
      <c r="C422" s="6" t="inlineStr">
        <is>
          <t>https://dym.asia/media/aggregation-site/</t>
        </is>
      </c>
      <c r="D422" s="12" t="inlineStr">
        <is>
          <t>2025.06.26</t>
        </is>
      </c>
      <c r="E422" s="12" t="inlineStr">
        <is>
          <t>2025.06.26</t>
        </is>
      </c>
      <c r="F422" s="47" t="inlineStr">
        <is>
          <t>法人</t>
        </is>
      </c>
      <c r="G422" s="47" t="inlineStr">
        <is>
          <t>HR Tech</t>
        </is>
      </c>
      <c r="H422" s="47" t="n"/>
      <c r="I422" s="6" t="inlineStr">
        <is>
          <t>https://dym.asia/services/new-graduates/Former-graduate/</t>
        </is>
      </c>
      <c r="J422" s="6" t="inlineStr">
        <is>
          <t>https://dym.asia/services/hr-tech/</t>
        </is>
      </c>
      <c r="K422" s="47" t="n"/>
      <c r="L422" s="47" t="n"/>
    </row>
    <row r="423" ht="15.75" customHeight="1" s="185">
      <c r="A423" s="52">
        <f>row()-1</f>
        <v/>
      </c>
      <c r="B423" s="46" t="inlineStr">
        <is>
          <t>AISAS（アイサス）とは?意味や活用方法、AIDMAとの違いまでわかりやすく解説</t>
        </is>
      </c>
      <c r="C423" s="6" t="inlineStr">
        <is>
          <t>https://dym.asia/media/aisas/</t>
        </is>
      </c>
      <c r="D423" s="12" t="inlineStr">
        <is>
          <t>2024.11.27</t>
        </is>
      </c>
      <c r="E423" s="12" t="inlineStr">
        <is>
          <t>2024.12.09</t>
        </is>
      </c>
      <c r="F423" s="47" t="inlineStr">
        <is>
          <t>法人</t>
        </is>
      </c>
      <c r="G423" s="47" t="inlineStr">
        <is>
          <t>WEB</t>
        </is>
      </c>
      <c r="H423" s="47" t="n"/>
      <c r="I423" s="6" t="inlineStr">
        <is>
          <t>https://dym.asia/services/web-promotion/</t>
        </is>
      </c>
      <c r="J423" s="6" t="inlineStr">
        <is>
          <t>https://dym.asia/services/web-promotion/</t>
        </is>
      </c>
      <c r="K423" s="47" t="n"/>
      <c r="L423" s="47" t="n"/>
    </row>
    <row r="424" ht="15.75" customHeight="1" s="185">
      <c r="A424" s="52">
        <f>row()-1</f>
        <v/>
      </c>
      <c r="B424" s="46" t="inlineStr">
        <is>
          <t>アライアンスとは？特徴・種類、メリットやM&amp;Aとの違いを詳しく解説</t>
        </is>
      </c>
      <c r="C424" s="6" t="inlineStr">
        <is>
          <t>https://dym.asia/media/alliance/</t>
        </is>
      </c>
      <c r="D424" s="12" t="inlineStr">
        <is>
          <t>2024.11.14</t>
        </is>
      </c>
      <c r="E424" s="12" t="inlineStr">
        <is>
          <t>2024.12.09</t>
        </is>
      </c>
      <c r="F424" s="47" t="inlineStr">
        <is>
          <t>法人</t>
        </is>
      </c>
      <c r="G424" s="47" t="inlineStr">
        <is>
          <t>M&amp;A</t>
        </is>
      </c>
      <c r="H424" s="47" t="n"/>
      <c r="I424" s="6" t="inlineStr">
        <is>
          <t>https://dym.asia/services/m&amp;a/consulting/</t>
        </is>
      </c>
      <c r="J424" s="6" t="inlineStr">
        <is>
          <t>https://dym.asia/services/m&amp;a/consulting/</t>
        </is>
      </c>
      <c r="K424" s="47" t="n"/>
      <c r="L424" s="47" t="n"/>
    </row>
    <row r="425" ht="15.75" customHeight="1" s="185">
      <c r="A425" s="52">
        <f>row()-1</f>
        <v/>
      </c>
      <c r="B425" s="46" t="inlineStr">
        <is>
          <t>アルムナイ採用の意味とメリット：企業と元社員のWin-Winな関係構築</t>
        </is>
      </c>
      <c r="C425" s="10" t="inlineStr">
        <is>
          <t>https://dym.asia/media/alumni-recruitment/</t>
        </is>
      </c>
      <c r="D425" s="12" t="inlineStr">
        <is>
          <t>2024.11.26</t>
        </is>
      </c>
      <c r="E425" s="12" t="inlineStr">
        <is>
          <t>2024.12.10</t>
        </is>
      </c>
      <c r="F425" s="47" t="inlineStr">
        <is>
          <t>法人</t>
        </is>
      </c>
      <c r="G425" s="47" t="inlineStr">
        <is>
          <t>人材</t>
        </is>
      </c>
      <c r="H425" s="47" t="n"/>
      <c r="I425" s="6" t="inlineStr">
        <is>
          <t>https://dym.asia/media/alumni-recruitment/</t>
        </is>
      </c>
      <c r="J425" s="6" t="inlineStr">
        <is>
          <t>https://dym.asia/services/new-graduates/</t>
        </is>
      </c>
      <c r="K425" s="47" t="n"/>
      <c r="L425" s="47" t="n"/>
    </row>
    <row r="426" ht="15.75" customHeight="1" s="185">
      <c r="A426" s="52">
        <f>row()-1</f>
        <v/>
      </c>
      <c r="B426" s="46" t="inlineStr">
        <is>
          <t>アルムナイ採用とは？メリットやデメリット、導入方法まで徹底解説</t>
        </is>
      </c>
      <c r="C426" s="6" t="inlineStr">
        <is>
          <t>https://dym.asia/media/alumni/</t>
        </is>
      </c>
      <c r="D426" s="12" t="inlineStr">
        <is>
          <t>2024.11.25</t>
        </is>
      </c>
      <c r="E426" s="12" t="inlineStr">
        <is>
          <t>2024.12.10</t>
        </is>
      </c>
      <c r="F426" s="47" t="inlineStr">
        <is>
          <t>法人</t>
        </is>
      </c>
      <c r="G426" s="47" t="inlineStr">
        <is>
          <t>人材</t>
        </is>
      </c>
      <c r="H426" s="47" t="n"/>
      <c r="I426" s="6" t="inlineStr">
        <is>
          <t>https://dym.asia/services/new-graduates/</t>
        </is>
      </c>
      <c r="J426" s="6" t="inlineStr">
        <is>
          <t>https://dym.asia/services/new-graduates/</t>
        </is>
      </c>
      <c r="K426" s="47" t="n"/>
      <c r="L426" s="47" t="n"/>
    </row>
    <row r="427" ht="15.75" customHeight="1" s="185">
      <c r="A427" s="52">
        <f>row()-1</f>
        <v/>
      </c>
      <c r="B427" s="46" t="inlineStr">
        <is>
          <t>ATSとは？採用管理を効率化するシステムの機能やメリット・デメリットを解説</t>
        </is>
      </c>
      <c r="C427" s="6" t="inlineStr">
        <is>
          <t>https://dym.asia/media/ats/</t>
        </is>
      </c>
      <c r="D427" s="12" t="inlineStr">
        <is>
          <t>2025.11.12</t>
        </is>
      </c>
      <c r="E427" s="12" t="inlineStr">
        <is>
          <t>2025.11.12</t>
        </is>
      </c>
      <c r="F427" s="47" t="inlineStr">
        <is>
          <t>法人</t>
        </is>
      </c>
      <c r="G427" s="47" t="inlineStr">
        <is>
          <t>HR Tech</t>
        </is>
      </c>
      <c r="H427" s="47" t="n"/>
      <c r="I427" s="6" t="inlineStr">
        <is>
          <t>https://dym.asia/services/hr-tech/rakusai/</t>
        </is>
      </c>
      <c r="J427" s="6" t="inlineStr">
        <is>
          <t>https://dym.asia/services/hr-tech/rakusai/</t>
        </is>
      </c>
      <c r="K427" s="47" t="n"/>
      <c r="L427" s="47" t="n"/>
    </row>
    <row r="428" ht="15.75" customHeight="1" s="185">
      <c r="A428" s="52">
        <f>row()-1</f>
        <v/>
      </c>
      <c r="B428" s="46" t="inlineStr">
        <is>
          <t>監査役や社外取締役の紹介サービスとは？種類やおすすめの選び方について解説</t>
        </is>
      </c>
      <c r="C428" s="6" t="inlineStr">
        <is>
          <t>https://dym.asia/media/auditor_introduction/</t>
        </is>
      </c>
      <c r="D428" s="12" t="inlineStr">
        <is>
          <t>2024.06.14</t>
        </is>
      </c>
      <c r="E428" s="12" t="inlineStr">
        <is>
          <t>2024.06.14</t>
        </is>
      </c>
      <c r="F428" s="47" t="inlineStr">
        <is>
          <t>法人</t>
        </is>
      </c>
      <c r="G428" s="47" t="inlineStr">
        <is>
          <t>人材</t>
        </is>
      </c>
      <c r="H428" s="47" t="n"/>
      <c r="I428" s="6" t="inlineStr">
        <is>
          <t>https://dym.asia/services/new-graduates/exe-part/</t>
        </is>
      </c>
      <c r="J428" s="6" t="inlineStr">
        <is>
          <t>https://dym.asia/services/new-graduates/exe-part/</t>
        </is>
      </c>
      <c r="K428" s="47" t="n"/>
      <c r="L428" s="47" t="n"/>
    </row>
    <row r="429" ht="15.75" customHeight="1" s="185">
      <c r="A429" s="52">
        <f>row()-1</f>
        <v/>
      </c>
      <c r="B429" s="46" t="inlineStr">
        <is>
          <t>BtoBマーケティングとは？基礎知識、戦略・計画の立案、施策</t>
        </is>
      </c>
      <c r="C429" s="6" t="inlineStr">
        <is>
          <t>https://dym.asia/media/b-to-b-marketing/</t>
        </is>
      </c>
      <c r="D429" s="12" t="inlineStr">
        <is>
          <t>2024.11.27</t>
        </is>
      </c>
      <c r="E429" s="12" t="inlineStr">
        <is>
          <t>2024.12.09</t>
        </is>
      </c>
      <c r="F429" s="47" t="inlineStr">
        <is>
          <t>法人</t>
        </is>
      </c>
      <c r="G429" s="47" t="inlineStr">
        <is>
          <t>WEB</t>
        </is>
      </c>
      <c r="H429" s="47" t="n"/>
      <c r="I429" s="47" t="inlineStr">
        <is>
          <t>URLがありませんでした。</t>
        </is>
      </c>
      <c r="J429" s="10" t="inlineStr">
        <is>
          <t>https://dym.asia/services/</t>
        </is>
      </c>
      <c r="K429" s="47" t="n"/>
      <c r="L429" s="47" t="n"/>
    </row>
    <row r="430" ht="15.75" customHeight="1" s="185">
      <c r="A430" s="52">
        <f>row()-1</f>
        <v/>
      </c>
      <c r="B430" s="46" t="inlineStr">
        <is>
          <t>被リンクとは？チェックする方法とSEOに有効な獲得方法</t>
        </is>
      </c>
      <c r="C430" s="6" t="inlineStr">
        <is>
          <t>https://dym.asia/media/backlink/</t>
        </is>
      </c>
      <c r="D430" s="12" t="inlineStr">
        <is>
          <t>2024.11.18</t>
        </is>
      </c>
      <c r="E430" s="12" t="inlineStr">
        <is>
          <t>2024.12.10</t>
        </is>
      </c>
      <c r="F430" s="47" t="inlineStr">
        <is>
          <t>法人</t>
        </is>
      </c>
      <c r="G430" s="47" t="inlineStr">
        <is>
          <t>WEB</t>
        </is>
      </c>
      <c r="H430" s="47" t="n"/>
      <c r="I430" s="6" t="inlineStr">
        <is>
          <t>https://dym.asia/services/web-promotion/seo/</t>
        </is>
      </c>
      <c r="J430" s="6" t="inlineStr">
        <is>
          <t>https://dym.asia/services/web-promotion/seo/</t>
        </is>
      </c>
      <c r="K430" s="47" t="n"/>
      <c r="L430" s="47" t="n"/>
    </row>
    <row r="431" ht="15.75" customHeight="1" s="185">
      <c r="A431" s="52">
        <f>row()-1</f>
        <v/>
      </c>
      <c r="B431" s="46" t="inlineStr">
        <is>
          <t>目の下のたるみ改善ガイド：原因から対策、専門的治療まで徹底解説</t>
        </is>
      </c>
      <c r="C431" s="6" t="inlineStr">
        <is>
          <t>https://dym.asia/media/bags-under-the-eyes/</t>
        </is>
      </c>
      <c r="D431" s="12" t="inlineStr">
        <is>
          <t>2024.11.21</t>
        </is>
      </c>
      <c r="E431" s="12" t="inlineStr">
        <is>
          <t>2025.02.17</t>
        </is>
      </c>
      <c r="F431" s="47" t="inlineStr">
        <is>
          <t>法人</t>
        </is>
      </c>
      <c r="G431" s="47" t="inlineStr">
        <is>
          <t>クリニック</t>
        </is>
      </c>
      <c r="H431" s="47" t="n"/>
      <c r="I431" s="6" t="inlineStr">
        <is>
          <t>https://dym.asia/services/medicine/</t>
        </is>
      </c>
      <c r="J431" s="10" t="inlineStr">
        <is>
          <t>https://dym.asia/services/medicine/</t>
        </is>
      </c>
      <c r="K431" s="47" t="n"/>
      <c r="L431" s="47" t="n"/>
    </row>
    <row r="432" ht="15.75" customHeight="1" s="185">
      <c r="A432" s="52">
        <f>row()-1</f>
        <v/>
      </c>
      <c r="B432" s="46" t="inlineStr">
        <is>
          <t>バナー広告って何？メリット・デメリットや作成のポイントなどを一挙解説！</t>
        </is>
      </c>
      <c r="C432" s="6" t="inlineStr">
        <is>
          <t>https://dym.asia/media/banner-ad/</t>
        </is>
      </c>
      <c r="D432" s="12" t="inlineStr">
        <is>
          <t>2024.11.08</t>
        </is>
      </c>
      <c r="E432" s="12" t="inlineStr">
        <is>
          <t>2024.11.29</t>
        </is>
      </c>
      <c r="F432" s="47" t="inlineStr">
        <is>
          <t>法人</t>
        </is>
      </c>
      <c r="G432" s="47" t="inlineStr">
        <is>
          <t>WEB</t>
        </is>
      </c>
      <c r="H432" s="47" t="n"/>
      <c r="I432" s="6" t="inlineStr">
        <is>
          <t>https://dym.asia/services/web-promotion/dsp-native-ads/</t>
        </is>
      </c>
      <c r="J432" s="6" t="inlineStr">
        <is>
          <t>https://dym.asia/services/web-promotion/dsp-native-ads/</t>
        </is>
      </c>
      <c r="K432" s="47" t="n"/>
      <c r="L432" s="47" t="n"/>
    </row>
    <row r="433" ht="15.75" customHeight="1" s="185">
      <c r="A433" s="52">
        <f>row()-1</f>
        <v/>
      </c>
      <c r="B433" s="46" t="inlineStr">
        <is>
          <t>【バナー制作の基本】作り方やポイント、失敗しないコツや外注のメリットまで解説</t>
        </is>
      </c>
      <c r="C433" s="6" t="inlineStr">
        <is>
          <t>https://dym.asia/media/banner_production/</t>
        </is>
      </c>
      <c r="D433" s="12" t="inlineStr">
        <is>
          <t>2024.05.30</t>
        </is>
      </c>
      <c r="E433" s="12" t="inlineStr">
        <is>
          <t>2024.06.14</t>
        </is>
      </c>
      <c r="F433" s="47" t="inlineStr">
        <is>
          <t>法人</t>
        </is>
      </c>
      <c r="G433" s="47" t="inlineStr">
        <is>
          <t>WEB</t>
        </is>
      </c>
      <c r="H433" s="47" t="n"/>
      <c r="I433" s="6" t="inlineStr">
        <is>
          <t>https://dym.asia/services/web-promotion/production-operation/</t>
        </is>
      </c>
      <c r="J433" s="6" t="inlineStr">
        <is>
          <t>https://dym.asia/services/web-promotion/production-operation/</t>
        </is>
      </c>
      <c r="K433" s="47" t="n"/>
      <c r="L433" s="47" t="n"/>
    </row>
    <row r="434" ht="15.75" customHeight="1" s="185">
      <c r="A434" s="52">
        <f>row()-1</f>
        <v/>
      </c>
      <c r="B434" s="46" t="inlineStr">
        <is>
          <t>美肌になるには？ 肌を整える生活習慣と肌質別のスキンケア方法を解説</t>
        </is>
      </c>
      <c r="C434" s="6" t="inlineStr">
        <is>
          <t>https://dym.asia/media/beautiful-skin/</t>
        </is>
      </c>
      <c r="D434" s="12" t="inlineStr">
        <is>
          <t>2024.11.22</t>
        </is>
      </c>
      <c r="E434" s="12" t="inlineStr">
        <is>
          <t>2025.02.17</t>
        </is>
      </c>
      <c r="F434" s="47" t="inlineStr">
        <is>
          <t>法人</t>
        </is>
      </c>
      <c r="G434" s="47" t="inlineStr">
        <is>
          <t>クリニック</t>
        </is>
      </c>
      <c r="H434" s="47" t="n"/>
      <c r="I434" s="6" t="inlineStr">
        <is>
          <t>https://dym.asia/services/medicine/</t>
        </is>
      </c>
      <c r="J434" s="10" t="inlineStr">
        <is>
          <t>https://dym.asia/services/medicine/</t>
        </is>
      </c>
      <c r="K434" s="47" t="n"/>
      <c r="L434" s="47" t="n"/>
    </row>
    <row r="435" ht="15.75" customHeight="1" s="185">
      <c r="A435" s="52">
        <f>row()-1</f>
        <v/>
      </c>
      <c r="B435" s="46" t="inlineStr">
        <is>
          <t>美容クリニックM&amp;Aのメリットと成功のポイント｜譲渡の手続きも解説</t>
        </is>
      </c>
      <c r="C435" s="10" t="inlineStr">
        <is>
          <t>https://dym.asia/media/beauty-clinic-mna/</t>
        </is>
      </c>
      <c r="D435" s="12" t="inlineStr">
        <is>
          <t>2025.08.27</t>
        </is>
      </c>
      <c r="E435" s="12" t="inlineStr">
        <is>
          <t>2025.08.28</t>
        </is>
      </c>
      <c r="F435" s="47" t="inlineStr">
        <is>
          <t>法人</t>
        </is>
      </c>
      <c r="G435" s="47" t="inlineStr">
        <is>
          <t>M&amp;A</t>
        </is>
      </c>
      <c r="H435" s="47" t="n"/>
      <c r="I435" s="6" t="inlineStr">
        <is>
          <t>https://dym.asia/services/m&amp;a/consulting/</t>
        </is>
      </c>
      <c r="J435" s="6" t="inlineStr">
        <is>
          <t>https://dym.asia/services/m&amp;a/consulting/</t>
        </is>
      </c>
      <c r="K435" s="47" t="n"/>
      <c r="L435" s="47" t="n"/>
    </row>
    <row r="436" ht="15.75" customHeight="1" s="185">
      <c r="A436" s="52">
        <f>row()-1</f>
        <v/>
      </c>
      <c r="B436" s="46" t="e">
        <v>#N/A</v>
      </c>
      <c r="C436" s="10" t="inlineStr">
        <is>
          <t>https://dym.asia/media/beauty-clinic-transfer/</t>
        </is>
      </c>
      <c r="D436" s="14" t="n"/>
      <c r="E436" s="14" t="n"/>
      <c r="F436" s="47" t="n"/>
      <c r="G436" s="47" t="n"/>
      <c r="H436" s="47" t="n"/>
      <c r="I436" s="47" t="inlineStr">
        <is>
          <t>404ページ</t>
        </is>
      </c>
      <c r="J436" s="47" t="n"/>
      <c r="K436" s="47" t="n"/>
      <c r="L436" s="47" t="n">
        <v>404</v>
      </c>
    </row>
    <row r="437">
      <c r="A437" s="52">
        <f>row()-1</f>
        <v/>
      </c>
      <c r="B437" s="46" t="inlineStr">
        <is>
          <t>タイの医療保険制度の特徴は？医療費や日本人が利用できる保険も紹介</t>
        </is>
      </c>
      <c r="C437" s="10" t="inlineStr">
        <is>
          <t>https://dym.asia/media/thailand-health-insurance/</t>
        </is>
      </c>
      <c r="D437" s="12" t="inlineStr">
        <is>
          <t>2024.11.21</t>
        </is>
      </c>
      <c r="E437" s="12" t="inlineStr">
        <is>
          <t>2025.02.17</t>
        </is>
      </c>
      <c r="F437" s="47" t="inlineStr">
        <is>
          <t>法人</t>
        </is>
      </c>
      <c r="G437" s="47" t="inlineStr">
        <is>
          <t>クリニック</t>
        </is>
      </c>
      <c r="H437" s="47" t="n"/>
      <c r="I437" s="10" t="inlineStr">
        <is>
          <t>https://dym.asia/services/medicine/thailand-clinic/</t>
        </is>
      </c>
      <c r="J437" s="6" t="inlineStr">
        <is>
          <t>https://dym.asia/services/medicine/thailand-clinic/</t>
        </is>
      </c>
      <c r="K437" s="47" t="n"/>
      <c r="L437" s="47" t="n"/>
    </row>
    <row r="438">
      <c r="A438" s="52">
        <f>row()-1</f>
        <v/>
      </c>
      <c r="B438" s="46" t="inlineStr">
        <is>
          <t>ベトナムの私立病院を受診した場合の医療費はいくら？海外旅行保険の重要性を解説</t>
        </is>
      </c>
      <c r="C438" s="10" t="inlineStr">
        <is>
          <t>https://dym.asia/media/vietnam-hospital-cost/</t>
        </is>
      </c>
      <c r="D438" s="12" t="inlineStr">
        <is>
          <t>2024.11.19</t>
        </is>
      </c>
      <c r="E438" s="12" t="inlineStr">
        <is>
          <t>2025.02.17</t>
        </is>
      </c>
      <c r="F438" s="47" t="inlineStr">
        <is>
          <t>法人</t>
        </is>
      </c>
      <c r="G438" s="47" t="inlineStr">
        <is>
          <t>クリニック</t>
        </is>
      </c>
      <c r="H438" s="47" t="n"/>
      <c r="I438" s="6" t="inlineStr">
        <is>
          <t>https://dym.asia/services/medicine/vietnam-clinic/</t>
        </is>
      </c>
      <c r="J438" s="10" t="inlineStr">
        <is>
          <t>https://dym.asia/services/medicine/vietnam-clinic/</t>
        </is>
      </c>
      <c r="K438" s="47" t="n"/>
      <c r="L438" s="47" t="n"/>
    </row>
    <row r="439">
      <c r="A439" s="52">
        <f>row()-1</f>
        <v/>
      </c>
      <c r="B439" s="46" t="inlineStr">
        <is>
          <t>タイの医療事情について－制度や利用条件、医療費の実態</t>
        </is>
      </c>
      <c r="C439" s="6" t="inlineStr">
        <is>
          <t>https://dym.asia/media/thailand_healthcare/</t>
        </is>
      </c>
      <c r="D439" s="12" t="inlineStr">
        <is>
          <t>2024.05.30</t>
        </is>
      </c>
      <c r="E439" s="12" t="inlineStr">
        <is>
          <t>2024.06.14</t>
        </is>
      </c>
      <c r="F439" s="47" t="inlineStr">
        <is>
          <t>法人</t>
        </is>
      </c>
      <c r="G439" s="47" t="inlineStr">
        <is>
          <t>クリニック</t>
        </is>
      </c>
      <c r="H439" s="47" t="n"/>
      <c r="I439" s="6" t="inlineStr">
        <is>
          <t>https://dym.asia/services/medicine/thailand-clinic/</t>
        </is>
      </c>
      <c r="J439" s="6" t="inlineStr">
        <is>
          <t>https://dym.asia/services/medicine/thailand-clinic/</t>
        </is>
      </c>
      <c r="K439" s="47" t="n"/>
      <c r="L439" s="47" t="n"/>
    </row>
    <row r="440">
      <c r="A440" s="52">
        <f>row()-1</f>
        <v/>
      </c>
      <c r="B440" s="46" t="inlineStr">
        <is>
          <t>ハノイ（ベトナム）にある日本語対応の病院11選｜受診時に必要なものも紹介</t>
        </is>
      </c>
      <c r="C440" s="10" t="inlineStr">
        <is>
          <t>https://dym.asia/media/hanoi-hospital-japanese/</t>
        </is>
      </c>
      <c r="D440" s="12" t="inlineStr">
        <is>
          <t>2024.11.19</t>
        </is>
      </c>
      <c r="E440" s="12" t="inlineStr">
        <is>
          <t>2025.05.22</t>
        </is>
      </c>
      <c r="F440" s="47" t="inlineStr">
        <is>
          <t>法人</t>
        </is>
      </c>
      <c r="G440" s="47" t="inlineStr">
        <is>
          <t>クリニック</t>
        </is>
      </c>
      <c r="H440" s="47" t="n"/>
      <c r="I440" s="6" t="inlineStr">
        <is>
          <t>https://dym.asia/services/medicine/vietnam-clinic/</t>
        </is>
      </c>
      <c r="J440" s="6" t="inlineStr">
        <is>
          <t>https://dym.asia/services/medicine/vietnam-clinic/</t>
        </is>
      </c>
      <c r="K440" s="47" t="n"/>
      <c r="L440" s="47" t="n"/>
    </row>
    <row r="441">
      <c r="A441" s="52">
        <f>row()-1</f>
        <v/>
      </c>
      <c r="B441" s="46" t="inlineStr">
        <is>
          <t>ベトナムの健康保険事情とは</t>
        </is>
      </c>
      <c r="C441" s="10" t="inlineStr">
        <is>
          <t>https://dym.asia/media/vietnam-health-insurance/</t>
        </is>
      </c>
      <c r="D441" s="12" t="inlineStr">
        <is>
          <t>2024.11.19</t>
        </is>
      </c>
      <c r="E441" s="12" t="inlineStr">
        <is>
          <t>2025.02.17</t>
        </is>
      </c>
      <c r="F441" s="47" t="inlineStr">
        <is>
          <t>法人</t>
        </is>
      </c>
      <c r="G441" s="47" t="inlineStr">
        <is>
          <t>クリニック</t>
        </is>
      </c>
      <c r="H441" s="47" t="n"/>
      <c r="I441" s="6" t="inlineStr">
        <is>
          <t>https://dym.asia/services/medicine/vietnam-clinic/</t>
        </is>
      </c>
      <c r="J441" s="6" t="inlineStr">
        <is>
          <t>https://dym.asia/services/medicine/vietnam-clinic/</t>
        </is>
      </c>
      <c r="K441" s="47" t="n"/>
      <c r="L441" s="47" t="n"/>
    </row>
    <row r="442">
      <c r="A442" s="52">
        <f>row()-1</f>
        <v/>
      </c>
      <c r="B442" s="46" t="inlineStr">
        <is>
          <t>ベトナムの医療保険制度と医療事情の現状</t>
        </is>
      </c>
      <c r="C442" s="6" t="inlineStr">
        <is>
          <t>https://dym.asia/media/vietnam-insurance/</t>
        </is>
      </c>
      <c r="D442" s="12" t="inlineStr">
        <is>
          <t>2024.11.19</t>
        </is>
      </c>
      <c r="E442" s="12" t="inlineStr">
        <is>
          <t>2025.02.14</t>
        </is>
      </c>
      <c r="F442" s="47" t="inlineStr">
        <is>
          <t>法人</t>
        </is>
      </c>
      <c r="G442" s="47" t="inlineStr">
        <is>
          <t>クリニック</t>
        </is>
      </c>
      <c r="H442" s="47" t="n"/>
      <c r="I442" s="6" t="inlineStr">
        <is>
          <t>https://dym.asia/services/medicine/vietnam-clinic/</t>
        </is>
      </c>
      <c r="J442" s="6" t="inlineStr">
        <is>
          <t>https://dym.asia/services/medicine/vietnam-clinic/</t>
        </is>
      </c>
      <c r="K442" s="47" t="n"/>
      <c r="L442" s="47" t="n"/>
    </row>
    <row r="443">
      <c r="A443" s="52">
        <f>row()-1</f>
        <v/>
      </c>
      <c r="B443" s="46" t="e"/>
      <c r="C443" s="6" t="inlineStr">
        <is>
          <t>https://dym.asia/media/america-hospital-cost/</t>
        </is>
      </c>
      <c r="D443" s="12" t="inlineStr">
        <is>
          <t>2024.11.15</t>
        </is>
      </c>
      <c r="E443" s="12" t="inlineStr">
        <is>
          <t>2024.12.09</t>
        </is>
      </c>
      <c r="F443" s="47" t="inlineStr">
        <is>
          <t>法人</t>
        </is>
      </c>
      <c r="G443" s="47" t="inlineStr">
        <is>
          <t>クリニック</t>
        </is>
      </c>
      <c r="H443" s="47" t="n"/>
      <c r="I443" s="6" t="inlineStr">
        <is>
          <t>https://dym.asia/services/medicine/america-clinic/</t>
        </is>
      </c>
      <c r="J443" s="6" t="inlineStr">
        <is>
          <t>https://dym.asia/services/medicine/america-clinic/</t>
        </is>
      </c>
      <c r="K443" s="47" t="n"/>
      <c r="L443" s="47" t="n"/>
    </row>
    <row r="444">
      <c r="A444" s="52">
        <f>row()-1</f>
        <v/>
      </c>
      <c r="B444" s="46" t="inlineStr">
        <is>
          <t>医療費が高騰するアメリカ｜ニューヨークの病院事情</t>
        </is>
      </c>
      <c r="C444" s="10" t="inlineStr">
        <is>
          <t>https://dym.asia/media/new-york-hospital-cost/</t>
        </is>
      </c>
      <c r="D444" s="12" t="inlineStr">
        <is>
          <t>2024.11.15</t>
        </is>
      </c>
      <c r="E444" s="12" t="inlineStr">
        <is>
          <t>2024.12.09</t>
        </is>
      </c>
      <c r="F444" s="47" t="inlineStr">
        <is>
          <t>法人</t>
        </is>
      </c>
      <c r="G444" s="47" t="inlineStr">
        <is>
          <t>クリニック</t>
        </is>
      </c>
      <c r="H444" s="47" t="n"/>
      <c r="I444" s="6" t="inlineStr">
        <is>
          <t>https://dym.asia/services/medicine/america-clinic/</t>
        </is>
      </c>
      <c r="J444" s="6" t="inlineStr">
        <is>
          <t>https://dym.asia/services/medicine/america-clinic/</t>
        </is>
      </c>
      <c r="K444" s="47" t="n"/>
      <c r="L444" s="47" t="n"/>
    </row>
    <row r="445">
      <c r="A445" s="52">
        <f>row()-1</f>
        <v/>
      </c>
      <c r="B445" s="46" t="inlineStr">
        <is>
          <t>ベトナムの医療事情【医療費から病院選び、日本語対応可のおすすめクリニック】</t>
        </is>
      </c>
      <c r="C445" s="6" t="inlineStr">
        <is>
          <t>https://dym.asia/media/vietnam_healthcare/</t>
        </is>
      </c>
      <c r="D445" s="12" t="inlineStr">
        <is>
          <t>2024.05.30</t>
        </is>
      </c>
      <c r="E445" s="12" t="inlineStr">
        <is>
          <t>2025.03.03</t>
        </is>
      </c>
      <c r="F445" s="47" t="inlineStr">
        <is>
          <t>法人</t>
        </is>
      </c>
      <c r="G445" s="47" t="inlineStr">
        <is>
          <t>クリニック</t>
        </is>
      </c>
      <c r="H445" s="47" t="n"/>
      <c r="I445" s="6" t="inlineStr">
        <is>
          <t>https://dym.asia/services/medicine/vietnam-clinic/</t>
        </is>
      </c>
      <c r="J445" s="10" t="inlineStr">
        <is>
          <t>https://dym.asia/services/medicine/vietnam-clinic/</t>
        </is>
      </c>
      <c r="K445" s="47" t="n"/>
      <c r="L445" s="47" t="n"/>
    </row>
    <row r="446">
      <c r="A446" s="52">
        <f>row()-1</f>
        <v/>
      </c>
      <c r="B446" s="46" t="inlineStr">
        <is>
          <t>アメリカの医療保険とは｜医療保険制度の概要や医療事情を解説</t>
        </is>
      </c>
      <c r="C446" s="10" t="inlineStr">
        <is>
          <t>https://dym.asia/media/america-insurance/</t>
        </is>
      </c>
      <c r="D446" s="12" t="inlineStr">
        <is>
          <t>2024.11.15</t>
        </is>
      </c>
      <c r="E446" s="12" t="inlineStr">
        <is>
          <t>2024.12.09</t>
        </is>
      </c>
      <c r="F446" s="47" t="inlineStr">
        <is>
          <t>法人</t>
        </is>
      </c>
      <c r="G446" s="47" t="inlineStr">
        <is>
          <t>クリニック</t>
        </is>
      </c>
      <c r="H446" s="47" t="n"/>
      <c r="I446" s="6" t="inlineStr">
        <is>
          <t>https://dym.asia/services/medicine/america-clinic/</t>
        </is>
      </c>
      <c r="J446" s="6" t="inlineStr">
        <is>
          <t>https://dym.asia/services/medicine/america-clinic/</t>
        </is>
      </c>
      <c r="K446" s="47" t="n"/>
      <c r="L446" s="47" t="n"/>
    </row>
    <row r="447">
      <c r="A447" s="52">
        <f>row()-1</f>
        <v/>
      </c>
      <c r="B447" s="46" t="inlineStr">
        <is>
          <t>タイ渡航前に受けるべき予防接種（ワクチン）の種類と費用｜持参すべき薬も</t>
        </is>
      </c>
      <c r="C447" s="10" t="inlineStr">
        <is>
          <t>https://dym.asia/media/thailand-vaccine-before-traveling/</t>
        </is>
      </c>
      <c r="D447" s="12" t="inlineStr">
        <is>
          <t>2024.11.19</t>
        </is>
      </c>
      <c r="E447" s="12" t="inlineStr">
        <is>
          <t>2025.02.17</t>
        </is>
      </c>
      <c r="F447" s="47" t="inlineStr">
        <is>
          <t>法人</t>
        </is>
      </c>
      <c r="G447" s="47" t="inlineStr">
        <is>
          <t>クリニック</t>
        </is>
      </c>
      <c r="H447" s="47" t="n"/>
      <c r="I447" s="6" t="inlineStr">
        <is>
          <t>https://dym.asia/services/medicine/thailand-clinic/</t>
        </is>
      </c>
      <c r="J447" s="6" t="inlineStr">
        <is>
          <t>https://dym.asia/services/medicine/thailand-clinic/</t>
        </is>
      </c>
      <c r="K447" s="47" t="n"/>
      <c r="L447" s="47" t="n"/>
    </row>
    <row r="448">
      <c r="A448" s="52">
        <f>row()-1</f>
        <v/>
      </c>
      <c r="B448" s="46" t="inlineStr">
        <is>
          <t>香港の日本語が通じるおすすめの病院・クリニック</t>
        </is>
      </c>
      <c r="C448" s="6" t="inlineStr">
        <is>
          <t>https://dym.asia/media/hongkong-hospital-japanese/</t>
        </is>
      </c>
      <c r="D448" s="12" t="inlineStr">
        <is>
          <t>2024.11.15</t>
        </is>
      </c>
      <c r="E448" s="12" t="inlineStr">
        <is>
          <t>2024.12.09</t>
        </is>
      </c>
      <c r="F448" s="47" t="inlineStr">
        <is>
          <t>法人</t>
        </is>
      </c>
      <c r="G448" s="47" t="inlineStr">
        <is>
          <t>クリニック</t>
        </is>
      </c>
      <c r="H448" s="47" t="n"/>
      <c r="I448" s="6" t="inlineStr">
        <is>
          <t>https://dym.asia/services/medicine/hongkong/</t>
        </is>
      </c>
      <c r="J448" s="6" t="inlineStr">
        <is>
          <t>https://dym.asia/services/medicine/hongkong/</t>
        </is>
      </c>
      <c r="K448" s="47" t="n"/>
      <c r="L448" s="47" t="n"/>
    </row>
    <row r="449">
      <c r="A449" s="52">
        <f>row()-1</f>
        <v/>
      </c>
      <c r="B449" s="46" t="inlineStr">
        <is>
          <t>香港の医療費、日本語対応のおすすめクリニック</t>
        </is>
      </c>
      <c r="C449" s="10" t="inlineStr">
        <is>
          <t>https://dym.asia/media/hongkong-hospital-cost/</t>
        </is>
      </c>
      <c r="D449" s="12" t="inlineStr">
        <is>
          <t>2024.11.15</t>
        </is>
      </c>
      <c r="E449" s="12" t="inlineStr">
        <is>
          <t>2025.01.20</t>
        </is>
      </c>
      <c r="F449" s="47" t="inlineStr">
        <is>
          <t>法人</t>
        </is>
      </c>
      <c r="G449" s="47" t="inlineStr">
        <is>
          <t>クリニック</t>
        </is>
      </c>
      <c r="H449" s="47" t="n"/>
      <c r="I449" s="6" t="inlineStr">
        <is>
          <t>https://dym.asia/services/medicine/hongkong/</t>
        </is>
      </c>
      <c r="J449" s="6" t="inlineStr">
        <is>
          <t>https://dym.asia/services/medicine/hongkong/</t>
        </is>
      </c>
      <c r="K449" s="47" t="n"/>
      <c r="L449" s="47" t="n"/>
    </row>
    <row r="450">
      <c r="A450" s="52">
        <f>row()-1</f>
        <v/>
      </c>
      <c r="B450" s="46" t="inlineStr">
        <is>
          <t>アメリカの健康保険｜医療保険制度の仕組みと医療費について</t>
        </is>
      </c>
      <c r="C450" s="6" t="inlineStr">
        <is>
          <t>https://dym.asia/media/america-health-insurance/</t>
        </is>
      </c>
      <c r="D450" s="12" t="inlineStr">
        <is>
          <t>2024.11.15</t>
        </is>
      </c>
      <c r="E450" s="12" t="inlineStr">
        <is>
          <t>2024.12.09</t>
        </is>
      </c>
      <c r="F450" s="47" t="inlineStr">
        <is>
          <t>法人</t>
        </is>
      </c>
      <c r="G450" s="47" t="inlineStr">
        <is>
          <t>クリニック</t>
        </is>
      </c>
      <c r="H450" s="47" t="n"/>
      <c r="I450" s="6" t="inlineStr">
        <is>
          <t>https://dym.asia/services/medicine/america-clinic/</t>
        </is>
      </c>
      <c r="J450" s="10" t="inlineStr">
        <is>
          <t xml:space="preserve"> https://dym.asia/services/medicine/vietnam-clinic/</t>
        </is>
      </c>
      <c r="K450" s="47" t="n"/>
      <c r="L450" s="47" t="n"/>
    </row>
    <row r="451">
      <c r="A451" s="52">
        <f>row()-1</f>
        <v/>
      </c>
      <c r="B451" s="46" t="inlineStr">
        <is>
          <t>タイ（バンコク）の医療費の相場は？医療事情・制度や保険についても解説</t>
        </is>
      </c>
      <c r="C451" s="10" t="inlineStr">
        <is>
          <t>https://dym.asia/media/thailand-hospital-cost/</t>
        </is>
      </c>
      <c r="D451" s="12" t="inlineStr">
        <is>
          <t>2024.11.15</t>
        </is>
      </c>
      <c r="E451" s="12" t="inlineStr">
        <is>
          <t>2024.12.09</t>
        </is>
      </c>
      <c r="F451" s="47" t="inlineStr">
        <is>
          <t>法人</t>
        </is>
      </c>
      <c r="G451" s="47" t="inlineStr">
        <is>
          <t>クリニック</t>
        </is>
      </c>
      <c r="H451" s="47" t="n"/>
      <c r="I451" s="6" t="inlineStr">
        <is>
          <t>https://dym.asia/services/medicine/thailand-clinic/</t>
        </is>
      </c>
      <c r="J451" s="10" t="inlineStr">
        <is>
          <t>https://dym.asia/services/medicine/thailand-clinic/</t>
        </is>
      </c>
      <c r="K451" s="47" t="n"/>
      <c r="L451" s="47" t="n"/>
    </row>
    <row r="452">
      <c r="A452" s="52">
        <f>row()-1</f>
        <v/>
      </c>
      <c r="B452" s="46" t="inlineStr">
        <is>
          <t>タイ（バンコク・チョンブリー）の日本語対応の病院6選</t>
        </is>
      </c>
      <c r="C452" s="6" t="inlineStr">
        <is>
          <t>https://dym.asia/media/thailand-hospital-japanese/</t>
        </is>
      </c>
      <c r="D452" s="12" t="inlineStr">
        <is>
          <t>2024.11.15</t>
        </is>
      </c>
      <c r="E452" s="12" t="inlineStr">
        <is>
          <t>2024.12.09</t>
        </is>
      </c>
      <c r="F452" s="47" t="inlineStr">
        <is>
          <t>法人</t>
        </is>
      </c>
      <c r="G452" s="47" t="inlineStr">
        <is>
          <t>クリニック</t>
        </is>
      </c>
      <c r="H452" s="47" t="n"/>
      <c r="I452" s="6" t="inlineStr">
        <is>
          <t>https://dym.asia/services/medicine/thailand-clinic/</t>
        </is>
      </c>
      <c r="J452" s="6" t="inlineStr">
        <is>
          <t>https://dym.asia/services/medicine/thailand-clinic/</t>
        </is>
      </c>
      <c r="K452" s="47" t="n"/>
      <c r="L452" s="47" t="n"/>
    </row>
    <row r="453">
      <c r="A453" s="52">
        <f>row()-1</f>
        <v/>
      </c>
      <c r="B453" s="46" t="inlineStr">
        <is>
          <t>タイの医療保険制度と医療事情の現状</t>
        </is>
      </c>
      <c r="C453" s="10" t="inlineStr">
        <is>
          <t>https://dym.asia/media/thailand-insurance/</t>
        </is>
      </c>
      <c r="D453" s="12" t="inlineStr">
        <is>
          <t>2024.11.15</t>
        </is>
      </c>
      <c r="E453" s="12" t="inlineStr">
        <is>
          <t>2024.12.09</t>
        </is>
      </c>
      <c r="F453" s="47" t="inlineStr">
        <is>
          <t>法人</t>
        </is>
      </c>
      <c r="G453" s="47" t="inlineStr">
        <is>
          <t>クリニック</t>
        </is>
      </c>
      <c r="H453" s="47" t="n"/>
      <c r="I453" s="6" t="inlineStr">
        <is>
          <t>https://dym.asia/services/medicine/thailand-clinic/</t>
        </is>
      </c>
      <c r="J453" s="6" t="inlineStr">
        <is>
          <t>https://dym.asia/services/medicine/thailand-clinic/</t>
        </is>
      </c>
      <c r="K453" s="47" t="n"/>
      <c r="L453" s="47" t="n"/>
    </row>
    <row r="454">
      <c r="A454" s="52">
        <f>row()-1</f>
        <v/>
      </c>
      <c r="B454" s="46" t="inlineStr">
        <is>
          <t>香港の健康保険事情とは？日本との違いや加入すべき保険</t>
        </is>
      </c>
      <c r="C454" s="10" t="inlineStr">
        <is>
          <t>https://dym.asia/media/hongkong-health-insurance/</t>
        </is>
      </c>
      <c r="D454" s="12" t="inlineStr">
        <is>
          <t>2024.11.28</t>
        </is>
      </c>
      <c r="E454" s="12" t="inlineStr">
        <is>
          <t>2024.12.09</t>
        </is>
      </c>
      <c r="F454" s="47" t="inlineStr">
        <is>
          <t>法人</t>
        </is>
      </c>
      <c r="G454" s="47" t="inlineStr">
        <is>
          <t>クリニック</t>
        </is>
      </c>
      <c r="H454" s="47" t="n"/>
      <c r="I454" s="6" t="inlineStr">
        <is>
          <t>https://dym.asia/services/medicine/hongkong/</t>
        </is>
      </c>
      <c r="J454" s="6" t="inlineStr">
        <is>
          <t>https://dym.asia/services/medicine/hongkong/</t>
        </is>
      </c>
      <c r="K454" s="47" t="n"/>
      <c r="L454" s="47" t="n"/>
    </row>
    <row r="455">
      <c r="A455" s="52">
        <f>row()-1</f>
        <v/>
      </c>
      <c r="B455" s="46" t="inlineStr">
        <is>
          <t>香港の医療保険制度と医療事情の現状</t>
        </is>
      </c>
      <c r="C455" s="10" t="inlineStr">
        <is>
          <t>https://dym.asia/media/hongkong-insurance/</t>
        </is>
      </c>
      <c r="D455" s="12" t="inlineStr">
        <is>
          <t>2024.11.15</t>
        </is>
      </c>
      <c r="E455" s="12" t="inlineStr">
        <is>
          <t>2024.12.09</t>
        </is>
      </c>
      <c r="F455" s="47" t="inlineStr">
        <is>
          <t>法人</t>
        </is>
      </c>
      <c r="G455" s="47" t="inlineStr">
        <is>
          <t>クリニック</t>
        </is>
      </c>
      <c r="H455" s="47" t="n"/>
      <c r="I455" s="6" t="inlineStr">
        <is>
          <t>https://dym.asia/services/medicine/hongkong/</t>
        </is>
      </c>
      <c r="J455" s="6" t="inlineStr">
        <is>
          <t>https://dym.asia/services/medicine/hongkong/</t>
        </is>
      </c>
      <c r="K455" s="47" t="n"/>
      <c r="L455" s="47" t="n"/>
    </row>
    <row r="456">
      <c r="A456" s="52">
        <f>row()-1</f>
        <v/>
      </c>
      <c r="B456" s="46" t="inlineStr">
        <is>
          <t>インバウンドコールとは？アウトバウンドコールとの違いや成果を出すコツを解説</t>
        </is>
      </c>
      <c r="C456" s="10" t="inlineStr">
        <is>
          <t>https://dym.asia/media/inbound_call/</t>
        </is>
      </c>
      <c r="D456" s="12" t="inlineStr">
        <is>
          <t>2024.05.24</t>
        </is>
      </c>
      <c r="E456" s="12" t="inlineStr">
        <is>
          <t>2024.06.14</t>
        </is>
      </c>
      <c r="F456" s="47" t="inlineStr">
        <is>
          <t>法人</t>
        </is>
      </c>
      <c r="G456" s="47" t="inlineStr">
        <is>
          <t>コールセンター</t>
        </is>
      </c>
      <c r="H456" s="47" t="n"/>
      <c r="I456" s="6" t="inlineStr">
        <is>
          <t>https://dym.asia/services/hr-tech/call-center/</t>
        </is>
      </c>
      <c r="J456" s="6" t="inlineStr">
        <is>
          <t>https://dym.asia/services/hr-tech/call-center/</t>
        </is>
      </c>
      <c r="K456" s="47" t="n"/>
      <c r="L456" s="47" t="n"/>
    </row>
    <row r="457">
      <c r="A457" s="52">
        <f>row()-1</f>
        <v/>
      </c>
      <c r="B457" s="46" t="inlineStr">
        <is>
          <t>Indeed（インディード）広告の掲載方法とは？無料・有料掲載の違いや特徴も解説</t>
        </is>
      </c>
      <c r="C457" s="10" t="inlineStr">
        <is>
          <t>https://dym.asia/media/indeed_advertisement/</t>
        </is>
      </c>
      <c r="D457" s="12" t="inlineStr">
        <is>
          <t>2024.06.18</t>
        </is>
      </c>
      <c r="E457" s="12" t="inlineStr">
        <is>
          <t>2024.06.18</t>
        </is>
      </c>
      <c r="F457" s="47" t="inlineStr">
        <is>
          <t>法人</t>
        </is>
      </c>
      <c r="G457" s="47" t="inlineStr">
        <is>
          <t>HR Tech</t>
        </is>
      </c>
      <c r="H457" s="47" t="n"/>
      <c r="I457" s="6" t="inlineStr">
        <is>
          <t>https://dym.asia/services/hr-tech/indeed/</t>
        </is>
      </c>
      <c r="J457" s="6" t="inlineStr">
        <is>
          <t>https://dym.asia/services/hr-tech/indeed/</t>
        </is>
      </c>
      <c r="K457" s="47" t="n"/>
      <c r="L457" s="47" t="n"/>
    </row>
    <row r="458">
      <c r="A458" s="52">
        <f>row()-1</f>
        <v/>
      </c>
      <c r="B458" s="46" t="inlineStr">
        <is>
          <t>タイ・バンコクでの健康診断【必要な理由とおすすめクリニック・病院】</t>
        </is>
      </c>
      <c r="C458" s="10" t="inlineStr">
        <is>
          <t>https://dym.asia/media/thailand_bangkok_health_checkup/</t>
        </is>
      </c>
      <c r="D458" s="12" t="inlineStr">
        <is>
          <t>2024.05.30</t>
        </is>
      </c>
      <c r="E458" s="12" t="inlineStr">
        <is>
          <t>2024.06.14</t>
        </is>
      </c>
      <c r="F458" s="47" t="inlineStr">
        <is>
          <t>法人</t>
        </is>
      </c>
      <c r="G458" s="47" t="inlineStr">
        <is>
          <t>クリニック</t>
        </is>
      </c>
      <c r="H458" s="47" t="n"/>
      <c r="I458" s="6" t="inlineStr">
        <is>
          <t>https://dym.asia/services/medicine/thailand-clinic/</t>
        </is>
      </c>
      <c r="J458" s="6" t="inlineStr">
        <is>
          <t>https://dym.asia/services/medicine/thailand-clinic/</t>
        </is>
      </c>
      <c r="K458" s="47" t="n"/>
      <c r="L458" s="47" t="n"/>
    </row>
    <row r="459">
      <c r="A459" s="52">
        <f>row()-1</f>
        <v/>
      </c>
      <c r="B459" s="46" t="inlineStr">
        <is>
          <t>日本語対応可のベトナム（ホーチミン・ハノイ）の病院11選｜注意点も</t>
        </is>
      </c>
      <c r="C459" s="10" t="inlineStr">
        <is>
          <t>https://dym.asia/media/vietnam-hospital-japanese/</t>
        </is>
      </c>
      <c r="D459" s="12" t="inlineStr">
        <is>
          <t>2024.11.19</t>
        </is>
      </c>
      <c r="E459" s="12" t="inlineStr">
        <is>
          <t>2025.02.17</t>
        </is>
      </c>
      <c r="F459" s="47" t="inlineStr">
        <is>
          <t>法人</t>
        </is>
      </c>
      <c r="G459" s="47" t="inlineStr">
        <is>
          <t>クリニック</t>
        </is>
      </c>
      <c r="H459" s="47" t="n"/>
      <c r="I459" s="6" t="inlineStr">
        <is>
          <t>https://dym.asia/services/medicine/vietnam-clinic/</t>
        </is>
      </c>
      <c r="J459" s="10" t="inlineStr">
        <is>
          <t>https://dym.asia/services/medicine/vietnam-clinic/</t>
        </is>
      </c>
      <c r="K459" s="47" t="n"/>
      <c r="L459" s="47" t="n"/>
    </row>
    <row r="460">
      <c r="A460" s="52">
        <f>row()-1</f>
        <v/>
      </c>
      <c r="B460" s="46" t="inlineStr">
        <is>
          <t>バンコク(タイ)の医療事情と日本語対応クリニックの選び方</t>
        </is>
      </c>
      <c r="C460" s="10" t="inlineStr">
        <is>
          <t>https://dym.asia/media/bangkok_healthcare/</t>
        </is>
      </c>
      <c r="D460" s="12" t="inlineStr">
        <is>
          <t>2024.05.30</t>
        </is>
      </c>
      <c r="E460" s="12" t="inlineStr">
        <is>
          <t>2024.06.14</t>
        </is>
      </c>
      <c r="F460" s="47" t="inlineStr">
        <is>
          <t>法人</t>
        </is>
      </c>
      <c r="G460" s="47" t="inlineStr">
        <is>
          <t>クリニック</t>
        </is>
      </c>
      <c r="H460" s="47" t="n"/>
      <c r="I460" s="6" t="inlineStr">
        <is>
          <t>https://dym.asia/services/medicine/thailand-clinic/</t>
        </is>
      </c>
      <c r="J460" s="6" t="inlineStr">
        <is>
          <t>https://dym.asia/services/medicine/thailand-clinic/</t>
        </is>
      </c>
      <c r="K460" s="47" t="n"/>
      <c r="L460" s="47" t="n"/>
    </row>
    <row r="461">
      <c r="A461" s="52">
        <f>row()-1</f>
        <v/>
      </c>
      <c r="B461" s="46" t="inlineStr">
        <is>
          <t>香港の医療事情【制度や医療費、日本語対応のおすすめ病院・クリニックを紹介】</t>
        </is>
      </c>
      <c r="C461" s="10" t="inlineStr">
        <is>
          <t>https://dym.asia/media/hong_kong_healthcare/</t>
        </is>
      </c>
      <c r="D461" s="12" t="inlineStr">
        <is>
          <t>2024.05.30</t>
        </is>
      </c>
      <c r="E461" s="12" t="inlineStr">
        <is>
          <t>2024.06.14</t>
        </is>
      </c>
      <c r="F461" s="47" t="inlineStr">
        <is>
          <t>法人</t>
        </is>
      </c>
      <c r="G461" s="47" t="inlineStr">
        <is>
          <t>クリニック</t>
        </is>
      </c>
      <c r="H461" s="47" t="n"/>
      <c r="I461" s="6" t="inlineStr">
        <is>
          <t>https://dym.asia/services/medicine/hongkong/</t>
        </is>
      </c>
      <c r="J461" s="6" t="inlineStr">
        <is>
          <t>https://dym.asia/services/medicine/hongkong/</t>
        </is>
      </c>
      <c r="K461" s="47" t="n"/>
      <c r="L461" s="47" t="n"/>
    </row>
    <row r="462">
      <c r="A462" s="52">
        <f>row()-1</f>
        <v/>
      </c>
      <c r="B462" s="46" t="inlineStr">
        <is>
          <t>ニューヨークの医療保険事情</t>
        </is>
      </c>
      <c r="C462" s="6" t="inlineStr">
        <is>
          <t>https://dym.asia/media/new-york-insurance/</t>
        </is>
      </c>
      <c r="D462" s="12" t="inlineStr">
        <is>
          <t>2024.11.15</t>
        </is>
      </c>
      <c r="E462" s="12" t="inlineStr">
        <is>
          <t>2024.12.09</t>
        </is>
      </c>
      <c r="F462" s="47" t="inlineStr">
        <is>
          <t>法人</t>
        </is>
      </c>
      <c r="G462" s="47" t="inlineStr">
        <is>
          <t>クリニック</t>
        </is>
      </c>
      <c r="H462" s="47" t="n"/>
      <c r="I462" s="6" t="inlineStr">
        <is>
          <t>https://dym.asia/services/medicine/america-clinic/</t>
        </is>
      </c>
      <c r="J462" s="15" t="inlineStr">
        <is>
          <t>https://dym.asia/services/medicine/america-clinic/</t>
        </is>
      </c>
      <c r="K462" s="47" t="n"/>
      <c r="L462" s="47" t="n"/>
    </row>
    <row r="463">
      <c r="A463" s="52">
        <f>row()-1</f>
        <v/>
      </c>
      <c r="B463" s="46" t="inlineStr">
        <is>
          <t>日本語に対応しているホーチミン（ベトナム）の病院6選｜受診前のポイントも</t>
        </is>
      </c>
      <c r="C463" s="6" t="inlineStr">
        <is>
          <t>https://dym.asia/media/ho-chi-minh-hospital-japanese/</t>
        </is>
      </c>
      <c r="D463" s="12" t="inlineStr">
        <is>
          <t>2024.11.19</t>
        </is>
      </c>
      <c r="E463" s="12" t="inlineStr">
        <is>
          <t>2025.02.17</t>
        </is>
      </c>
      <c r="F463" s="47" t="inlineStr">
        <is>
          <t>法人</t>
        </is>
      </c>
      <c r="G463" s="47" t="inlineStr">
        <is>
          <t>クリニック</t>
        </is>
      </c>
      <c r="H463" s="47" t="n"/>
      <c r="I463" s="6" t="inlineStr">
        <is>
          <t>https://dym.asia/services/medicine/vietnam-clinic/</t>
        </is>
      </c>
      <c r="J463" s="10" t="inlineStr">
        <is>
          <t>https://dym.asia/services/medicine/vietnam-clinic/</t>
        </is>
      </c>
      <c r="K463" s="47" t="n"/>
      <c r="L463" s="47" t="n"/>
    </row>
    <row r="464">
      <c r="A464" s="52">
        <f>row()-1</f>
        <v/>
      </c>
      <c r="B464" s="46" t="inlineStr">
        <is>
          <t>健康診断で腫瘍マーカー検査を受けるべきか？正しい解釈とは</t>
        </is>
      </c>
      <c r="C464" s="10" t="inlineStr">
        <is>
          <t>https://dym.asia/media/health-check-tumor-marker/</t>
        </is>
      </c>
      <c r="D464" s="12" t="inlineStr">
        <is>
          <t>2024.11.21</t>
        </is>
      </c>
      <c r="E464" s="12" t="inlineStr">
        <is>
          <t>2025.02.17</t>
        </is>
      </c>
      <c r="F464" s="47" t="inlineStr">
        <is>
          <t>法人</t>
        </is>
      </c>
      <c r="G464" s="47" t="inlineStr">
        <is>
          <t>クリニック</t>
        </is>
      </c>
      <c r="H464" s="47" t="n"/>
      <c r="I464" s="6" t="inlineStr">
        <is>
          <t>https://dym.asia/services/medicine/</t>
        </is>
      </c>
      <c r="J464" s="10" t="inlineStr">
        <is>
          <t>https://dym.asia/services/medicine/</t>
        </is>
      </c>
      <c r="K464" s="47" t="n"/>
      <c r="L464" s="47" t="n"/>
    </row>
    <row r="465">
      <c r="A465" s="52">
        <f>row()-1</f>
        <v/>
      </c>
      <c r="B465" s="46" t="inlineStr">
        <is>
          <t>ベトナム（ホーチミン）旅行で海外旅行保険への加入は必要？注意点も</t>
        </is>
      </c>
      <c r="C465" s="10" t="inlineStr">
        <is>
          <t>https://dym.asia/media/ho-chi-minh-insurance/</t>
        </is>
      </c>
      <c r="D465" s="12" t="inlineStr">
        <is>
          <t>2024.11.15</t>
        </is>
      </c>
      <c r="E465" s="12" t="inlineStr">
        <is>
          <t>2024.12.09</t>
        </is>
      </c>
      <c r="F465" s="47" t="inlineStr">
        <is>
          <t>法人</t>
        </is>
      </c>
      <c r="G465" s="47" t="inlineStr">
        <is>
          <t>クリニック</t>
        </is>
      </c>
      <c r="H465" s="47" t="n"/>
      <c r="I465" s="6" t="inlineStr">
        <is>
          <t>https://dym.asia/services/medicine/vietnam-clinic/</t>
        </is>
      </c>
      <c r="J465" s="10" t="inlineStr">
        <is>
          <t>https://dym.asia/services/medicine/vietnam-clinic/</t>
        </is>
      </c>
      <c r="K465" s="47" t="n"/>
      <c r="L465" s="47" t="n"/>
    </row>
    <row r="466">
      <c r="A466" s="52">
        <f>row()-1</f>
        <v/>
      </c>
      <c r="B466" s="46" t="inlineStr">
        <is>
          <t>障害者雇用の業務を切り出し成功事例</t>
        </is>
      </c>
      <c r="C466" s="6" t="inlineStr">
        <is>
          <t>https://dym.asia/media/with-disabilities-recruitment-manager/</t>
        </is>
      </c>
      <c r="D466" s="12" t="inlineStr">
        <is>
          <t>2024.11.15</t>
        </is>
      </c>
      <c r="E466" s="12" t="inlineStr">
        <is>
          <t>2024.12.09</t>
        </is>
      </c>
      <c r="F466" s="47" t="inlineStr">
        <is>
          <t>法人</t>
        </is>
      </c>
      <c r="G466" s="47" t="inlineStr">
        <is>
          <t>人材</t>
        </is>
      </c>
      <c r="H466" s="47" t="n"/>
      <c r="I466" s="6" t="inlineStr">
        <is>
          <t>https://dym.asia/services/new-graduates/with-disabilities/</t>
        </is>
      </c>
      <c r="J466" s="10" t="inlineStr">
        <is>
          <t>https://dym.asia/services/new-graduates/with-disabilities/</t>
        </is>
      </c>
      <c r="K466" s="47" t="n"/>
      <c r="L466" s="47" t="n"/>
    </row>
    <row r="467">
      <c r="A467" s="52">
        <f>row()-1</f>
        <v/>
      </c>
      <c r="B467" s="46" t="inlineStr">
        <is>
          <t>韓国の美容治療ポテンツァとは？その効果と注意点</t>
        </is>
      </c>
      <c r="C467" s="6" t="inlineStr">
        <is>
          <t>https://dym.asia/media/potenza/</t>
        </is>
      </c>
      <c r="D467" s="12" t="inlineStr">
        <is>
          <t>2024.11.20</t>
        </is>
      </c>
      <c r="E467" s="12" t="inlineStr">
        <is>
          <t>2025.02.14</t>
        </is>
      </c>
      <c r="F467" s="47" t="inlineStr">
        <is>
          <t>法人</t>
        </is>
      </c>
      <c r="G467" s="47" t="inlineStr">
        <is>
          <t>クリニック</t>
        </is>
      </c>
      <c r="H467" s="47" t="n"/>
      <c r="I467" s="6" t="inlineStr">
        <is>
          <t>https://dym.asia/services/medicine/</t>
        </is>
      </c>
      <c r="J467" s="10" t="inlineStr">
        <is>
          <t>https://dym.asia/services/medicine/</t>
        </is>
      </c>
      <c r="K467" s="47" t="n"/>
      <c r="L467" s="47" t="n"/>
    </row>
    <row r="468">
      <c r="A468" s="52">
        <f>row()-1</f>
        <v/>
      </c>
      <c r="B468" s="46" t="inlineStr">
        <is>
          <t>新入社員の「雇い入れ時健康診断」とは？検査内容や定期健診との違いも解説</t>
        </is>
      </c>
      <c r="C468" s="6" t="inlineStr">
        <is>
          <t>https://dym.asia/media/health-checkup-upon-employment/</t>
        </is>
      </c>
      <c r="D468" s="12" t="inlineStr">
        <is>
          <t>2024.11.19</t>
        </is>
      </c>
      <c r="E468" s="12" t="inlineStr">
        <is>
          <t>2025.02.14</t>
        </is>
      </c>
      <c r="F468" s="47" t="inlineStr">
        <is>
          <t>法人</t>
        </is>
      </c>
      <c r="G468" s="47" t="inlineStr">
        <is>
          <t>クリニック</t>
        </is>
      </c>
      <c r="H468" s="47" t="n"/>
      <c r="I468" s="6" t="inlineStr">
        <is>
          <t>https://dym.asia/services/medicine/</t>
        </is>
      </c>
      <c r="J468" s="10" t="inlineStr">
        <is>
          <t>https://dym.asia/services/medicine/</t>
        </is>
      </c>
      <c r="K468" s="47" t="n"/>
      <c r="L468" s="47" t="n"/>
    </row>
    <row r="469">
      <c r="A469" s="52">
        <f>row()-1</f>
        <v/>
      </c>
      <c r="B469" s="46" t="inlineStr">
        <is>
          <t>パートと正社員の違いとは？責任・保険など7個の差やどちらが得かを徹底解説</t>
        </is>
      </c>
      <c r="C469" s="10" t="inlineStr">
        <is>
          <t>https://dym.asia/media/parttime-fulltime-employee-differences/</t>
        </is>
      </c>
      <c r="D469" s="12" t="inlineStr">
        <is>
          <t>2025.09.04</t>
        </is>
      </c>
      <c r="E469" s="12" t="inlineStr">
        <is>
          <t>2025.09.04</t>
        </is>
      </c>
      <c r="F469" s="47" t="inlineStr">
        <is>
          <t>法人</t>
        </is>
      </c>
      <c r="G469" s="47" t="n"/>
      <c r="H469" s="47" t="n"/>
      <c r="I469" s="6" t="inlineStr">
        <is>
          <t>https://dym.asia/services/hr-tech/resume-plus/</t>
        </is>
      </c>
      <c r="J469" s="15" t="inlineStr">
        <is>
          <t>https://dym.asia/services/new-graduates/</t>
        </is>
      </c>
      <c r="K469" s="47" t="n"/>
      <c r="L469" s="47" t="inlineStr">
        <is>
          <t>タグなし</t>
        </is>
      </c>
    </row>
    <row r="470">
      <c r="A470" s="52">
        <f>row()-1</f>
        <v/>
      </c>
      <c r="B470" s="46" t="inlineStr">
        <is>
          <t>50代におすすめの人間ドック：必要な検査と選び方ガイド</t>
        </is>
      </c>
      <c r="C470" s="10" t="inlineStr">
        <is>
          <t>https://dym.asia/media/thorough-physical-checkup-50s/</t>
        </is>
      </c>
      <c r="D470" s="12" t="inlineStr">
        <is>
          <t>2024.11.21</t>
        </is>
      </c>
      <c r="E470" s="12" t="inlineStr">
        <is>
          <t>2025.02.17</t>
        </is>
      </c>
      <c r="F470" s="47" t="inlineStr">
        <is>
          <t>法人</t>
        </is>
      </c>
      <c r="G470" s="47" t="inlineStr">
        <is>
          <t>クリニック</t>
        </is>
      </c>
      <c r="H470" s="47" t="n"/>
      <c r="I470" s="6" t="inlineStr">
        <is>
          <t>https://dym.asia/services/medicine/</t>
        </is>
      </c>
      <c r="J470" s="10" t="inlineStr">
        <is>
          <t>https://dym.asia/services/medicine/</t>
        </is>
      </c>
      <c r="K470" s="47" t="n"/>
      <c r="L470" s="47" t="n"/>
    </row>
    <row r="471">
      <c r="A471" s="52">
        <f>row()-1</f>
        <v/>
      </c>
      <c r="B471" s="46" t="inlineStr">
        <is>
          <t>ファスティングの効果とやり方とは？注意点や食事再開方法も徹底解説</t>
        </is>
      </c>
      <c r="C471" s="10" t="inlineStr">
        <is>
          <t>https://dym.asia/media/fasting/</t>
        </is>
      </c>
      <c r="D471" s="12" t="inlineStr">
        <is>
          <t>2024.11.21</t>
        </is>
      </c>
      <c r="E471" s="12" t="inlineStr">
        <is>
          <t>2025.02.17</t>
        </is>
      </c>
      <c r="F471" s="47" t="inlineStr">
        <is>
          <t>法人</t>
        </is>
      </c>
      <c r="G471" s="47" t="inlineStr">
        <is>
          <t>クリニック</t>
        </is>
      </c>
      <c r="H471" s="47" t="n"/>
      <c r="I471" s="6" t="inlineStr">
        <is>
          <t>https://dym.asia/services/medicine/</t>
        </is>
      </c>
      <c r="J471" s="10" t="inlineStr">
        <is>
          <t>https://dym.asia/services/medicine/</t>
        </is>
      </c>
      <c r="K471" s="47" t="n"/>
      <c r="L471" s="47" t="n"/>
    </row>
    <row r="472">
      <c r="A472" s="52">
        <f>row()-1</f>
        <v/>
      </c>
      <c r="B472" s="46" t="inlineStr">
        <is>
          <t>30代におすすめの人間ドック：健康管理と早期発見の重要性</t>
        </is>
      </c>
      <c r="C472" s="10" t="inlineStr">
        <is>
          <t>https://dym.asia/media/thorough-physical-checkup-30s/</t>
        </is>
      </c>
      <c r="D472" s="12" t="inlineStr">
        <is>
          <t>2024.11.21</t>
        </is>
      </c>
      <c r="E472" s="12" t="inlineStr">
        <is>
          <t>2025.02.17</t>
        </is>
      </c>
      <c r="F472" s="47" t="inlineStr">
        <is>
          <t>法人</t>
        </is>
      </c>
      <c r="G472" s="47" t="inlineStr">
        <is>
          <t>クリニック</t>
        </is>
      </c>
      <c r="H472" s="47" t="n"/>
      <c r="I472" s="6" t="inlineStr">
        <is>
          <t>https://dym.asia/services/medicine/</t>
        </is>
      </c>
      <c r="J472" s="10" t="inlineStr">
        <is>
          <t>https://dym.asia/services/medicine/</t>
        </is>
      </c>
      <c r="K472" s="47" t="n"/>
      <c r="L472" s="47" t="n"/>
    </row>
    <row r="473">
      <c r="A473" s="52">
        <f>row()-1</f>
        <v/>
      </c>
      <c r="B473" s="46" t="inlineStr">
        <is>
          <t>人間ドックが40代にとって重要な理由とは？必要な検査と選び方ガイド</t>
        </is>
      </c>
      <c r="C473" s="10" t="inlineStr">
        <is>
          <t>https://dym.asia/media/thorough-physical-checkup-40s/</t>
        </is>
      </c>
      <c r="D473" s="12" t="inlineStr">
        <is>
          <t>2024.11.21</t>
        </is>
      </c>
      <c r="E473" s="12" t="inlineStr">
        <is>
          <t>2025.02.17</t>
        </is>
      </c>
      <c r="F473" s="47" t="inlineStr">
        <is>
          <t>法人</t>
        </is>
      </c>
      <c r="G473" s="47" t="inlineStr">
        <is>
          <t>クリニック</t>
        </is>
      </c>
      <c r="H473" s="47" t="n"/>
      <c r="I473" s="6" t="inlineStr">
        <is>
          <t>https://dym.asia/services/medicine/</t>
        </is>
      </c>
      <c r="J473" s="10" t="inlineStr">
        <is>
          <t>https://dym.asia/services/medicine/</t>
        </is>
      </c>
      <c r="K473" s="47" t="n"/>
      <c r="L473" s="47" t="n"/>
    </row>
    <row r="474">
      <c r="A474" s="52">
        <f>row()-1</f>
        <v/>
      </c>
      <c r="B474" s="46" t="inlineStr">
        <is>
          <t>人間ドックとは？意味や目的などを解説</t>
        </is>
      </c>
      <c r="C474" s="6" t="inlineStr">
        <is>
          <t>https://dym.asia/media/thorough-physical-checkup/</t>
        </is>
      </c>
      <c r="D474" s="12" t="inlineStr">
        <is>
          <t>2024.11.21</t>
        </is>
      </c>
      <c r="E474" s="12" t="inlineStr">
        <is>
          <t>2025.02.17</t>
        </is>
      </c>
      <c r="F474" s="47" t="inlineStr">
        <is>
          <t>法人</t>
        </is>
      </c>
      <c r="G474" s="47" t="inlineStr">
        <is>
          <t>クリニック</t>
        </is>
      </c>
      <c r="H474" s="47" t="n"/>
      <c r="I474" s="6" t="inlineStr">
        <is>
          <t>https://dym.asia/services/medicine/</t>
        </is>
      </c>
      <c r="J474" s="10" t="inlineStr">
        <is>
          <t>https://dym.asia/services/medicine/</t>
        </is>
      </c>
      <c r="K474" s="47" t="n"/>
      <c r="L474" s="47" t="n"/>
    </row>
    <row r="475">
      <c r="A475" s="52">
        <f>row()-1</f>
        <v/>
      </c>
      <c r="B475" s="46" t="inlineStr">
        <is>
          <t>アメリカ渡航前に受けるべき予防接種の種類｜重要性や帰国後の確認ポイント</t>
        </is>
      </c>
      <c r="C475" s="10" t="inlineStr">
        <is>
          <t>https://dym.asia/media/america-vaccine-before-traveling/</t>
        </is>
      </c>
      <c r="D475" s="12" t="inlineStr">
        <is>
          <t>2024.11.21</t>
        </is>
      </c>
      <c r="E475" s="12" t="inlineStr">
        <is>
          <t>2025.02.17</t>
        </is>
      </c>
      <c r="F475" s="47" t="inlineStr">
        <is>
          <t>法人</t>
        </is>
      </c>
      <c r="G475" s="47" t="inlineStr">
        <is>
          <t>クリニック</t>
        </is>
      </c>
      <c r="H475" s="47" t="n"/>
      <c r="I475" s="6" t="inlineStr">
        <is>
          <t>https://dym.asia/services/medicine/america-clinic/</t>
        </is>
      </c>
      <c r="J475" s="15" t="inlineStr">
        <is>
          <t>https://dym.asia/services/medicine/america-clinic/</t>
        </is>
      </c>
      <c r="K475" s="47" t="n"/>
      <c r="L475" s="47" t="n"/>
    </row>
    <row r="476">
      <c r="A476" s="52">
        <f>row()-1</f>
        <v/>
      </c>
      <c r="B476" s="46" t="inlineStr">
        <is>
          <t>血液検査でわかる病気｜人間ドックの検査項目一覧と結果の見方</t>
        </is>
      </c>
      <c r="C476" s="10" t="inlineStr">
        <is>
          <t>https://dym.asia/media/complete-medical-blood-test/</t>
        </is>
      </c>
      <c r="D476" s="12" t="inlineStr">
        <is>
          <t>2024.11.20</t>
        </is>
      </c>
      <c r="E476" s="12" t="inlineStr">
        <is>
          <t>2025.02.14</t>
        </is>
      </c>
      <c r="F476" s="47" t="inlineStr">
        <is>
          <t>法人</t>
        </is>
      </c>
      <c r="G476" s="47" t="inlineStr">
        <is>
          <t>クリニック</t>
        </is>
      </c>
      <c r="H476" s="47" t="n"/>
      <c r="I476" s="6" t="inlineStr">
        <is>
          <t>https://dym.asia/services/medicine/</t>
        </is>
      </c>
      <c r="J476" s="10" t="inlineStr">
        <is>
          <t>https://dym.asia/services/medicine/</t>
        </is>
      </c>
      <c r="K476" s="47" t="n"/>
      <c r="L476" s="47" t="n"/>
    </row>
    <row r="477">
      <c r="A477" s="52">
        <f>row()-1</f>
        <v/>
      </c>
      <c r="B477" s="46" t="inlineStr">
        <is>
          <t>健康診断、人間ドックは何歳から受診すべき？リスクと検査したい項目を解説</t>
        </is>
      </c>
      <c r="C477" s="10" t="inlineStr">
        <is>
          <t>https://dym.asia/media/health-check-age/</t>
        </is>
      </c>
      <c r="D477" s="12" t="inlineStr">
        <is>
          <t>2024.11.21</t>
        </is>
      </c>
      <c r="E477" s="12" t="inlineStr">
        <is>
          <t>2025.02.17</t>
        </is>
      </c>
      <c r="F477" s="47" t="inlineStr">
        <is>
          <t>法人</t>
        </is>
      </c>
      <c r="G477" s="47" t="inlineStr">
        <is>
          <t>クリニック</t>
        </is>
      </c>
      <c r="H477" s="47" t="n"/>
      <c r="I477" s="6" t="inlineStr">
        <is>
          <t>https://dym.asia/services/medicine/</t>
        </is>
      </c>
      <c r="J477" s="10" t="inlineStr">
        <is>
          <t>https://dym.asia/services/medicine/</t>
        </is>
      </c>
      <c r="K477" s="47" t="n"/>
      <c r="L477" s="47" t="n"/>
    </row>
    <row r="478">
      <c r="A478" s="52">
        <f>row()-1</f>
        <v/>
      </c>
      <c r="B478" s="46" t="inlineStr">
        <is>
          <t>健康診断の基本とは</t>
        </is>
      </c>
      <c r="C478" s="10" t="inlineStr">
        <is>
          <t>https://dym.asia/media/health-check-whole-body/</t>
        </is>
      </c>
      <c r="D478" s="12" t="inlineStr">
        <is>
          <t>2024.11.21</t>
        </is>
      </c>
      <c r="E478" s="12" t="inlineStr">
        <is>
          <t>2025.02.17</t>
        </is>
      </c>
      <c r="F478" s="47" t="inlineStr">
        <is>
          <t>法人</t>
        </is>
      </c>
      <c r="G478" s="47" t="inlineStr">
        <is>
          <t>クリニック</t>
        </is>
      </c>
      <c r="H478" s="47" t="n"/>
      <c r="I478" s="6" t="inlineStr">
        <is>
          <t>https://dym.asia/media/health-check-whole-body/</t>
        </is>
      </c>
      <c r="J478" s="10" t="inlineStr">
        <is>
          <t>https://dym.asia/services/medicine/</t>
        </is>
      </c>
      <c r="K478" s="47" t="n"/>
      <c r="L478" s="47" t="n"/>
    </row>
    <row r="479">
      <c r="A479" s="52">
        <f>row()-1</f>
        <v/>
      </c>
      <c r="B479" s="46" t="inlineStr">
        <is>
          <t>20代のための健康診断と人間ドックとの違い</t>
        </is>
      </c>
      <c r="C479" s="10" t="inlineStr">
        <is>
          <t>https://dym.asia/media/health-check-20s/</t>
        </is>
      </c>
      <c r="D479" s="12" t="inlineStr">
        <is>
          <t>2024.11.21</t>
        </is>
      </c>
      <c r="E479" s="12" t="inlineStr">
        <is>
          <t>2025.02.17</t>
        </is>
      </c>
      <c r="F479" s="47" t="inlineStr">
        <is>
          <t>法人</t>
        </is>
      </c>
      <c r="G479" s="47" t="inlineStr">
        <is>
          <t>クリニック</t>
        </is>
      </c>
      <c r="H479" s="47" t="n"/>
      <c r="I479" s="6" t="inlineStr">
        <is>
          <t>https://dym.asia/services/medicine/</t>
        </is>
      </c>
      <c r="J479" s="10" t="inlineStr">
        <is>
          <t>https://dym.asia/services/medicine/</t>
        </is>
      </c>
      <c r="K479" s="47" t="n"/>
      <c r="L479" s="47" t="n"/>
    </row>
    <row r="480">
      <c r="A480" s="52">
        <f>row()-1</f>
        <v/>
      </c>
      <c r="B480" s="46" t="inlineStr">
        <is>
          <t>30代は人間ドックを受けるべき？疾患リスクを考える</t>
        </is>
      </c>
      <c r="C480" s="6" t="inlineStr">
        <is>
          <t>https://dym.asia/media/health-check-30s/</t>
        </is>
      </c>
      <c r="D480" s="12" t="inlineStr">
        <is>
          <t>2024.11.21</t>
        </is>
      </c>
      <c r="E480" s="12" t="inlineStr">
        <is>
          <t>2025.02.17</t>
        </is>
      </c>
      <c r="F480" s="47" t="inlineStr">
        <is>
          <t>法人</t>
        </is>
      </c>
      <c r="G480" s="47" t="inlineStr">
        <is>
          <t>クリニック</t>
        </is>
      </c>
      <c r="H480" s="47" t="n"/>
      <c r="I480" s="6" t="inlineStr">
        <is>
          <t>https://dym.asia/services/medicine/</t>
        </is>
      </c>
      <c r="J480" s="10" t="inlineStr">
        <is>
          <t>https://dym.asia/services/medicine/</t>
        </is>
      </c>
      <c r="K480" s="47" t="n"/>
      <c r="L480" s="47" t="n"/>
    </row>
    <row r="481">
      <c r="A481" s="52">
        <f>row()-1</f>
        <v/>
      </c>
      <c r="B481" s="46" t="inlineStr">
        <is>
          <t>人間ドックで心臓の健康を守る！心臓ドックの重要性と選び方</t>
        </is>
      </c>
      <c r="C481" s="10" t="inlineStr">
        <is>
          <t>https://dym.asia/media/thorough-physical-checkup-heart/</t>
        </is>
      </c>
      <c r="D481" s="12" t="inlineStr">
        <is>
          <t>2024.11.21</t>
        </is>
      </c>
      <c r="E481" s="12" t="inlineStr">
        <is>
          <t>2025.02.17</t>
        </is>
      </c>
      <c r="F481" s="47" t="inlineStr">
        <is>
          <t>法人</t>
        </is>
      </c>
      <c r="G481" s="47" t="inlineStr">
        <is>
          <t>クリニック</t>
        </is>
      </c>
      <c r="H481" s="47" t="n"/>
      <c r="I481" s="6" t="inlineStr">
        <is>
          <t>https://dym.asia/services/medicine/</t>
        </is>
      </c>
      <c r="J481" s="10" t="inlineStr">
        <is>
          <t>https://dym.asia/services/medicine/</t>
        </is>
      </c>
      <c r="K481" s="47" t="n"/>
      <c r="L481" s="47" t="n"/>
    </row>
    <row r="482">
      <c r="A482" s="52">
        <f>row()-1</f>
        <v/>
      </c>
      <c r="B482" s="46" t="inlineStr">
        <is>
          <t>20代の人間ドック：若いうちからの健康管理の重要性と選び方</t>
        </is>
      </c>
      <c r="C482" s="10" t="inlineStr">
        <is>
          <t>https://dym.asia/media/thorough-physical-checkup-20s/</t>
        </is>
      </c>
      <c r="D482" s="12" t="inlineStr">
        <is>
          <t>2024.11.21</t>
        </is>
      </c>
      <c r="E482" s="12" t="inlineStr">
        <is>
          <t>2025.02.17</t>
        </is>
      </c>
      <c r="F482" s="47" t="inlineStr">
        <is>
          <t>法人</t>
        </is>
      </c>
      <c r="G482" s="47" t="inlineStr">
        <is>
          <t>クリニック</t>
        </is>
      </c>
      <c r="H482" s="47" t="n"/>
      <c r="I482" s="6" t="inlineStr">
        <is>
          <t>https://dym.asia/services/medicine/</t>
        </is>
      </c>
      <c r="J482" s="10" t="inlineStr">
        <is>
          <t>https://dym.asia/services/medicine/</t>
        </is>
      </c>
      <c r="K482" s="47" t="n"/>
      <c r="L482" s="47" t="n"/>
    </row>
    <row r="483">
      <c r="A483" s="52">
        <f>row()-1</f>
        <v/>
      </c>
      <c r="B483" s="46" t="inlineStr">
        <is>
          <t>人間ドックとがん検診の違いを徹底比較！効果的な健康管理法とは</t>
        </is>
      </c>
      <c r="C483" s="10" t="inlineStr">
        <is>
          <t>https://dym.asia/media/thorough-physical-checkup-cancer-screening/</t>
        </is>
      </c>
      <c r="D483" s="12" t="inlineStr">
        <is>
          <t>2024.11.21</t>
        </is>
      </c>
      <c r="E483" s="12" t="inlineStr">
        <is>
          <t>2025.02.17</t>
        </is>
      </c>
      <c r="F483" s="47" t="inlineStr">
        <is>
          <t>法人</t>
        </is>
      </c>
      <c r="G483" s="47" t="inlineStr">
        <is>
          <t>クリニック</t>
        </is>
      </c>
      <c r="H483" s="47" t="n"/>
      <c r="I483" s="6" t="inlineStr">
        <is>
          <t>https://dym.asia/services/medicine/</t>
        </is>
      </c>
      <c r="J483" s="10" t="inlineStr">
        <is>
          <t>https://dym.asia/services/medicine/</t>
        </is>
      </c>
      <c r="K483" s="47" t="n"/>
      <c r="L483" s="47" t="n"/>
    </row>
    <row r="484">
      <c r="A484" s="52">
        <f>row()-1</f>
        <v/>
      </c>
      <c r="B484" s="46" t="inlineStr">
        <is>
          <t>人間ドックは何歳から受診すべき？リスクと検査項目のポイント解説</t>
        </is>
      </c>
      <c r="C484" s="10" t="inlineStr">
        <is>
          <t>https://dym.asia/media/thorough-physical-checkup-how-old/</t>
        </is>
      </c>
      <c r="D484" s="12" t="inlineStr">
        <is>
          <t>2024.11.19</t>
        </is>
      </c>
      <c r="E484" s="12" t="inlineStr">
        <is>
          <t>2025.02.14</t>
        </is>
      </c>
      <c r="F484" s="47" t="inlineStr">
        <is>
          <t>法人</t>
        </is>
      </c>
      <c r="G484" s="47" t="inlineStr">
        <is>
          <t>クリニック</t>
        </is>
      </c>
      <c r="H484" s="47" t="n"/>
      <c r="I484" s="6" t="inlineStr">
        <is>
          <t>https://dym.asia/services/medicine/</t>
        </is>
      </c>
      <c r="J484" s="10" t="inlineStr">
        <is>
          <t>https://dym.asia/services/medicine/</t>
        </is>
      </c>
      <c r="K484" s="47" t="n"/>
      <c r="L484" s="47" t="n"/>
    </row>
    <row r="485">
      <c r="A485" s="52">
        <f>row()-1</f>
        <v/>
      </c>
      <c r="B485" s="46" t="inlineStr">
        <is>
          <t>人間ドックでわかることは？検査項目と注意すべき病気を解説</t>
        </is>
      </c>
      <c r="C485" s="10" t="inlineStr">
        <is>
          <t>https://dym.asia/media/thorough-physical-checkup-items/</t>
        </is>
      </c>
      <c r="D485" s="12" t="inlineStr">
        <is>
          <t>2024.11.21</t>
        </is>
      </c>
      <c r="E485" s="12" t="inlineStr">
        <is>
          <t>2025.02.17</t>
        </is>
      </c>
      <c r="F485" s="47" t="inlineStr">
        <is>
          <t>法人</t>
        </is>
      </c>
      <c r="G485" s="47" t="inlineStr">
        <is>
          <t>クリニック</t>
        </is>
      </c>
      <c r="H485" s="47" t="n"/>
      <c r="I485" s="6" t="inlineStr">
        <is>
          <t>https://dym.asia/services/medicine/</t>
        </is>
      </c>
      <c r="J485" s="10" t="inlineStr">
        <is>
          <t>https://dym.asia/services/medicine/</t>
        </is>
      </c>
      <c r="K485" s="47" t="n"/>
      <c r="L485" s="47" t="n"/>
    </row>
    <row r="486">
      <c r="A486" s="52">
        <f>row()-1</f>
        <v/>
      </c>
      <c r="B486" s="46" t="inlineStr">
        <is>
          <t>人間ドックは受けたほうがいい？検査項目と重要性をご紹介</t>
        </is>
      </c>
      <c r="C486" s="10" t="inlineStr">
        <is>
          <t>https://dym.asia/media/thorough-physical-checkup-should/</t>
        </is>
      </c>
      <c r="D486" s="12" t="inlineStr">
        <is>
          <t>2024.11.20</t>
        </is>
      </c>
      <c r="E486" s="12" t="inlineStr">
        <is>
          <t>2025.02.14</t>
        </is>
      </c>
      <c r="F486" s="47" t="inlineStr">
        <is>
          <t>法人</t>
        </is>
      </c>
      <c r="G486" s="47" t="inlineStr">
        <is>
          <t>クリニック</t>
        </is>
      </c>
      <c r="H486" s="47" t="n"/>
      <c r="I486" s="6" t="inlineStr">
        <is>
          <t>https://dym.asia/services/medicine/</t>
        </is>
      </c>
      <c r="J486" s="10" t="inlineStr">
        <is>
          <t>https://dym.asia/services/medicine/</t>
        </is>
      </c>
      <c r="K486" s="47" t="n"/>
      <c r="L486" s="47" t="n"/>
    </row>
    <row r="487">
      <c r="A487" s="52">
        <f>row()-1</f>
        <v/>
      </c>
      <c r="B487" s="46" t="inlineStr">
        <is>
          <t>ベトナムでの病院の選び方とおすすめクリニック【日本語対応可、予約優先、保険会社と提携】</t>
        </is>
      </c>
      <c r="C487" s="10" t="inlineStr">
        <is>
          <t>https://dym.asia/media/vietnam_hospital/</t>
        </is>
      </c>
      <c r="D487" s="12" t="inlineStr">
        <is>
          <t>2024.05.30</t>
        </is>
      </c>
      <c r="E487" s="12" t="inlineStr">
        <is>
          <t>2025.03.03</t>
        </is>
      </c>
      <c r="F487" s="47" t="inlineStr">
        <is>
          <t>法人</t>
        </is>
      </c>
      <c r="G487" s="47" t="inlineStr">
        <is>
          <t>クリニック</t>
        </is>
      </c>
      <c r="H487" s="47" t="n"/>
      <c r="I487" s="6" t="inlineStr">
        <is>
          <t>https://dym.asia/services/medicine/vietnam-clinic/</t>
        </is>
      </c>
      <c r="J487" s="10" t="inlineStr">
        <is>
          <t>https://dym.asia/services/medicine/vietnam-clinic/</t>
        </is>
      </c>
      <c r="K487" s="47" t="n"/>
      <c r="L487" s="47" t="n"/>
    </row>
    <row r="488" ht="15.75" customHeight="1" s="185">
      <c r="A488" s="52">
        <f>row()-1</f>
        <v/>
      </c>
      <c r="B488" s="46" t="inlineStr">
        <is>
          <t>基本給とは？手取りや月給との違い、平均額まで詳しく解説</t>
        </is>
      </c>
      <c r="C488" s="10" t="inlineStr">
        <is>
          <t>https://dym.asia/media/recruiting/basic-salary/</t>
        </is>
      </c>
      <c r="D488" s="12" t="inlineStr">
        <is>
          <t>2025.03.28</t>
        </is>
      </c>
      <c r="E488" s="12" t="inlineStr">
        <is>
          <t>2025.10.27</t>
        </is>
      </c>
      <c r="F488" s="47" t="inlineStr">
        <is>
          <t>求職者</t>
        </is>
      </c>
      <c r="G488" s="47" t="n"/>
      <c r="H488" s="47" t="inlineStr">
        <is>
          <t>新卒</t>
        </is>
      </c>
      <c r="I488" s="6" t="inlineStr">
        <is>
          <t>https://www.meetscompany.jp/</t>
        </is>
      </c>
      <c r="J488" s="15" t="inlineStr">
        <is>
          <t>https://dym.asia/services/new-graduates/new-graduate-recruitment/</t>
        </is>
      </c>
      <c r="K488" s="47" t="n"/>
      <c r="L488" s="47" t="n"/>
    </row>
    <row r="489">
      <c r="A489" s="52">
        <f>row()-1</f>
        <v/>
      </c>
      <c r="B489" s="46" t="inlineStr">
        <is>
          <t>INTP（論理学者）の性格・特徴は？相性や向いている仕事も解説！</t>
        </is>
      </c>
      <c r="C489" s="6" t="inlineStr">
        <is>
          <t>https://dym.asia/media/recruiting/intp/</t>
        </is>
      </c>
      <c r="D489" s="12" t="inlineStr">
        <is>
          <t>2025.04.15</t>
        </is>
      </c>
      <c r="E489" s="12" t="inlineStr">
        <is>
          <t>2025.10.27</t>
        </is>
      </c>
      <c r="F489" s="47" t="inlineStr">
        <is>
          <t>求職者</t>
        </is>
      </c>
      <c r="G489" s="47" t="n"/>
      <c r="H489" s="47" t="inlineStr">
        <is>
          <t>中途・第二新卒</t>
        </is>
      </c>
      <c r="I489" s="6" t="inlineStr">
        <is>
          <t>https://www.dshu.jp/</t>
        </is>
      </c>
      <c r="J489" s="10" t="inlineStr">
        <is>
          <t>https://dym.asia/services/new-graduates/Former-graduate/</t>
        </is>
      </c>
      <c r="K489" s="47" t="n"/>
      <c r="L489" s="47" t="n"/>
    </row>
    <row r="490">
      <c r="A490" s="52">
        <f>row()-1</f>
        <v/>
      </c>
      <c r="B490" s="46" t="inlineStr">
        <is>
          <t>INFP（仲介者）の性格診断｜特徴や恋愛も解説</t>
        </is>
      </c>
      <c r="C490" s="6" t="inlineStr">
        <is>
          <t>https://dym.asia/media/recruiting/infp/</t>
        </is>
      </c>
      <c r="D490" s="12" t="inlineStr">
        <is>
          <t>2025.04.22</t>
        </is>
      </c>
      <c r="E490" s="12" t="inlineStr">
        <is>
          <t>2025.10.27</t>
        </is>
      </c>
      <c r="F490" s="47" t="inlineStr">
        <is>
          <t>求職者</t>
        </is>
      </c>
      <c r="G490" s="47" t="n"/>
      <c r="H490" s="47" t="inlineStr">
        <is>
          <t>中途・第二新卒</t>
        </is>
      </c>
      <c r="I490" s="6" t="inlineStr">
        <is>
          <t>https://www.dshu.jp/</t>
        </is>
      </c>
      <c r="J490" s="10" t="inlineStr">
        <is>
          <t>https://dym.asia/services/new-graduates/Former-graduate/</t>
        </is>
      </c>
      <c r="K490" s="47" t="n"/>
      <c r="L490" s="47" t="n"/>
    </row>
    <row r="491">
      <c r="A491" s="52">
        <f>row()-1</f>
        <v/>
      </c>
      <c r="B491" s="46" t="inlineStr">
        <is>
          <t>ESFJ（領事官）の性格診断、相性、仕事を紹介</t>
        </is>
      </c>
      <c r="C491" s="6" t="inlineStr">
        <is>
          <t>https://dym.asia/media/recruiting/esfj/</t>
        </is>
      </c>
      <c r="D491" s="12" t="inlineStr">
        <is>
          <t>2025.04.16</t>
        </is>
      </c>
      <c r="E491" s="12" t="inlineStr">
        <is>
          <t>2025.10.27</t>
        </is>
      </c>
      <c r="F491" s="47" t="inlineStr">
        <is>
          <t>求職者</t>
        </is>
      </c>
      <c r="G491" s="47" t="n"/>
      <c r="H491" s="47" t="inlineStr">
        <is>
          <t>中途・第二新卒</t>
        </is>
      </c>
      <c r="I491" s="6" t="inlineStr">
        <is>
          <t>https://www.dshu.jp/</t>
        </is>
      </c>
      <c r="J491" s="10" t="inlineStr">
        <is>
          <t>https://dym.asia/services/new-graduates/Former-graduate/</t>
        </is>
      </c>
      <c r="K491" s="47" t="n"/>
      <c r="L491" s="47" t="n"/>
    </row>
    <row r="492">
      <c r="A492" s="52">
        <f>row()-1</f>
        <v/>
      </c>
      <c r="B492" s="46" t="inlineStr">
        <is>
          <t>ENFP（広報運動家）の性格・相性・恋愛傾向を徹底解説！</t>
        </is>
      </c>
      <c r="C492" s="6" t="inlineStr">
        <is>
          <t>https://dym.asia/media/recruiting/enfp/</t>
        </is>
      </c>
      <c r="D492" s="12" t="inlineStr">
        <is>
          <t>2025.04.15</t>
        </is>
      </c>
      <c r="E492" s="12" t="inlineStr">
        <is>
          <t>2025.10.27</t>
        </is>
      </c>
      <c r="F492" s="47" t="inlineStr">
        <is>
          <t>求職者</t>
        </is>
      </c>
      <c r="G492" s="47" t="n"/>
      <c r="H492" s="47" t="inlineStr">
        <is>
          <t>中途・第二新卒</t>
        </is>
      </c>
      <c r="I492" s="6" t="inlineStr">
        <is>
          <t>https://www.dshu.jp/</t>
        </is>
      </c>
      <c r="J492" s="10" t="inlineStr">
        <is>
          <t>https://dym.asia/services/new-graduates/Former-graduate/</t>
        </is>
      </c>
      <c r="K492" s="47" t="n"/>
      <c r="L492" s="47" t="n"/>
    </row>
    <row r="493">
      <c r="A493" s="52">
        <f>row()-1</f>
        <v/>
      </c>
      <c r="B493" s="46" t="inlineStr">
        <is>
          <t>ESTP（起業家）の性格と特徴｜16Personalities診断でわかる相性</t>
        </is>
      </c>
      <c r="C493" s="6" t="inlineStr">
        <is>
          <t>https://dym.asia/media/recruiting/estp/</t>
        </is>
      </c>
      <c r="D493" s="12" t="inlineStr">
        <is>
          <t>2025.04.15</t>
        </is>
      </c>
      <c r="E493" s="12" t="inlineStr">
        <is>
          <t>2025.10.27</t>
        </is>
      </c>
      <c r="F493" s="47" t="inlineStr">
        <is>
          <t>求職者</t>
        </is>
      </c>
      <c r="G493" s="47" t="n"/>
      <c r="H493" s="47" t="inlineStr">
        <is>
          <t>中途・第二新卒</t>
        </is>
      </c>
      <c r="I493" s="6" t="inlineStr">
        <is>
          <t>https://www.dshu.jp/</t>
        </is>
      </c>
      <c r="J493" s="10" t="inlineStr">
        <is>
          <t>https://dym.asia/services/new-graduates/Former-graduate/</t>
        </is>
      </c>
      <c r="K493" s="47" t="n"/>
      <c r="L493" s="47" t="n"/>
    </row>
    <row r="494">
      <c r="A494" s="52">
        <f>row()-1</f>
        <v/>
      </c>
      <c r="B494" s="46" t="inlineStr">
        <is>
          <t>ISTP（巨匠）の性格と相性｜16Personalities診断でわかる特徴</t>
        </is>
      </c>
      <c r="C494" s="6" t="inlineStr">
        <is>
          <t>https://dym.asia/media/recruiting/istp/</t>
        </is>
      </c>
      <c r="D494" s="18" t="inlineStr">
        <is>
          <t xml:space="preserve">2025.04.15 　</t>
        </is>
      </c>
      <c r="E494" s="12" t="inlineStr">
        <is>
          <t>2025.10.27</t>
        </is>
      </c>
      <c r="F494" s="47" t="inlineStr">
        <is>
          <t>求職者</t>
        </is>
      </c>
      <c r="G494" s="47" t="n"/>
      <c r="H494" s="47" t="inlineStr">
        <is>
          <t>中途・第二新卒</t>
        </is>
      </c>
      <c r="I494" s="6" t="inlineStr">
        <is>
          <t>https://www.dshu.jp/</t>
        </is>
      </c>
      <c r="J494" s="10" t="inlineStr">
        <is>
          <t>https://dym.asia/services/new-graduates/Former-graduate/</t>
        </is>
      </c>
      <c r="K494" s="47" t="n"/>
      <c r="L494" s="47" t="n"/>
    </row>
    <row r="495">
      <c r="A495" s="52">
        <f>row()-1</f>
        <v/>
      </c>
      <c r="B495" s="46" t="inlineStr">
        <is>
          <t>ENTP（討論者）の性格特徴！相性・恋愛・仕事は？</t>
        </is>
      </c>
      <c r="C495" s="6" t="inlineStr">
        <is>
          <t>https://dym.asia/media/recruiting/entp/</t>
        </is>
      </c>
      <c r="D495" s="12" t="inlineStr">
        <is>
          <t>2025.04.18</t>
        </is>
      </c>
      <c r="E495" s="12" t="inlineStr">
        <is>
          <t>2025.10.27</t>
        </is>
      </c>
      <c r="F495" s="47" t="inlineStr">
        <is>
          <t>求職者</t>
        </is>
      </c>
      <c r="G495" s="47" t="n"/>
      <c r="H495" s="47" t="inlineStr">
        <is>
          <t>中途・第二新卒</t>
        </is>
      </c>
      <c r="I495" s="6" t="inlineStr">
        <is>
          <t>https://www.dshu.jp/</t>
        </is>
      </c>
      <c r="J495" s="10" t="inlineStr">
        <is>
          <t>https://dym.asia/services/new-graduates/Former-graduate/</t>
        </is>
      </c>
      <c r="K495" s="47" t="n"/>
      <c r="L495" s="47" t="n"/>
    </row>
    <row r="496">
      <c r="A496" s="52">
        <f>row()-1</f>
        <v/>
      </c>
      <c r="B496" s="46" t="inlineStr">
        <is>
          <t>INFJ（提唱者）の基本性格と相性！男女別の特徴やあるあるも解説</t>
        </is>
      </c>
      <c r="C496" s="6" t="inlineStr">
        <is>
          <t>https://dym.asia/media/recruiting/infj/</t>
        </is>
      </c>
      <c r="D496" s="12" t="inlineStr">
        <is>
          <t>2025.04.15</t>
        </is>
      </c>
      <c r="E496" s="12" t="inlineStr">
        <is>
          <t>2025.10.27</t>
        </is>
      </c>
      <c r="F496" s="47" t="inlineStr">
        <is>
          <t>求職者</t>
        </is>
      </c>
      <c r="G496" s="47" t="n"/>
      <c r="H496" s="47" t="inlineStr">
        <is>
          <t>中途・第二新卒</t>
        </is>
      </c>
      <c r="I496" s="6" t="inlineStr">
        <is>
          <t>https://www.dshu.jp/</t>
        </is>
      </c>
      <c r="J496" s="10" t="inlineStr">
        <is>
          <t>https://dym.asia/services/new-graduates/Former-graduate/</t>
        </is>
      </c>
      <c r="K496" s="47" t="n"/>
      <c r="L496" s="47" t="n"/>
    </row>
    <row r="497">
      <c r="A497" s="52">
        <f>row()-1</f>
        <v/>
      </c>
      <c r="B497" s="46" t="inlineStr">
        <is>
          <t>メンタルを強くする方法5選｜心を鍛える習慣も紹介</t>
        </is>
      </c>
      <c r="C497" s="6" t="inlineStr">
        <is>
          <t>https://dym.asia/media/recruiting/how-to-strengthen-mentality/</t>
        </is>
      </c>
      <c r="D497" s="12" t="inlineStr">
        <is>
          <t>2025.03.28</t>
        </is>
      </c>
      <c r="E497" s="12" t="inlineStr">
        <is>
          <t>2025.10.27</t>
        </is>
      </c>
      <c r="F497" s="47" t="inlineStr">
        <is>
          <t>求職者</t>
        </is>
      </c>
      <c r="G497" s="47" t="n"/>
      <c r="H497" s="47" t="inlineStr">
        <is>
          <t>新卒</t>
        </is>
      </c>
      <c r="I497" s="6" t="inlineStr">
        <is>
          <t>https://www.meetscompany.jp/</t>
        </is>
      </c>
      <c r="J497" s="15" t="inlineStr">
        <is>
          <t>https://dym.asia/services/new-graduates/new-graduate-recruitment/</t>
        </is>
      </c>
      <c r="K497" s="47" t="n"/>
      <c r="L497" s="47" t="n"/>
    </row>
    <row r="498">
      <c r="A498" s="52">
        <f>row()-1</f>
        <v/>
      </c>
      <c r="B498" s="46" t="inlineStr">
        <is>
          <t>ISTJ（管理者）の性格と恋愛傾向は？仕事や相性も解説！</t>
        </is>
      </c>
      <c r="C498" s="6" t="inlineStr">
        <is>
          <t>https://dym.asia/media/recruiting/istj/</t>
        </is>
      </c>
      <c r="D498" s="12" t="inlineStr">
        <is>
          <t>2025.04.14</t>
        </is>
      </c>
      <c r="E498" s="12" t="inlineStr">
        <is>
          <t>2025.10.27</t>
        </is>
      </c>
      <c r="F498" s="47" t="inlineStr">
        <is>
          <t>求職者</t>
        </is>
      </c>
      <c r="G498" s="47" t="n"/>
      <c r="H498" s="47" t="inlineStr">
        <is>
          <t>中途・第二新卒</t>
        </is>
      </c>
      <c r="I498" s="6" t="inlineStr">
        <is>
          <t>https://www.dshu.jp/</t>
        </is>
      </c>
      <c r="J498" s="10" t="inlineStr">
        <is>
          <t>https://dym.asia/services/new-graduates/Former-graduate/</t>
        </is>
      </c>
      <c r="K498" s="47" t="n"/>
      <c r="L498" s="47" t="n"/>
    </row>
    <row r="499">
      <c r="A499" s="52">
        <f>row()-1</f>
        <v/>
      </c>
      <c r="B499" s="46" t="inlineStr">
        <is>
          <t>文系におすすめの職業一覧！専門職や高収入を狙える業界も紹介</t>
        </is>
      </c>
      <c r="C499" s="6" t="inlineStr">
        <is>
          <t>https://dym.asia/media/recruiting/humanities/</t>
        </is>
      </c>
      <c r="D499" s="12" t="inlineStr">
        <is>
          <t>2025.06.19</t>
        </is>
      </c>
      <c r="E499" s="12" t="inlineStr">
        <is>
          <t>2025.10.27</t>
        </is>
      </c>
      <c r="F499" s="47" t="inlineStr">
        <is>
          <t>求職者</t>
        </is>
      </c>
      <c r="G499" s="47" t="n"/>
      <c r="H499" s="47" t="inlineStr">
        <is>
          <t>新卒</t>
        </is>
      </c>
      <c r="I499" s="6" t="inlineStr">
        <is>
          <t>https://dym.asia/services/new-graduates/dym-tech/</t>
        </is>
      </c>
      <c r="J499" s="15" t="inlineStr">
        <is>
          <t>https://dym.asia/services/new-graduates/new-graduate-recruitment/</t>
        </is>
      </c>
      <c r="K499" s="47" t="n"/>
      <c r="L499" s="47" t="n"/>
    </row>
    <row r="500">
      <c r="A500" s="52">
        <f>row()-1</f>
        <v/>
      </c>
      <c r="B500" s="46" t="inlineStr">
        <is>
          <t>働きたくない人に向いてる仕事15選！自分に合った適職の見つけ方</t>
        </is>
      </c>
      <c r="C500" s="6" t="inlineStr">
        <is>
          <t>https://dym.asia/media/recruiting/15-jobs-for-not-working/</t>
        </is>
      </c>
      <c r="D500" s="12" t="inlineStr">
        <is>
          <t>2025.04.09</t>
        </is>
      </c>
      <c r="E500" s="12" t="inlineStr">
        <is>
          <t>2025.10.27</t>
        </is>
      </c>
      <c r="F500" s="47" t="inlineStr">
        <is>
          <t>求職者</t>
        </is>
      </c>
      <c r="G500" s="47" t="n"/>
      <c r="H500" s="47" t="inlineStr">
        <is>
          <t>中途・第二新卒</t>
        </is>
      </c>
      <c r="I500" s="6" t="inlineStr">
        <is>
          <t>https://www.dshu.jp/</t>
        </is>
      </c>
      <c r="J500" s="10" t="inlineStr">
        <is>
          <t>https://dym.asia/services/new-graduates/Former-graduate/</t>
        </is>
      </c>
      <c r="K500" s="47" t="n"/>
      <c r="L500" s="47" t="n"/>
    </row>
    <row r="501">
      <c r="A501" s="52">
        <f>row()-1</f>
        <v/>
      </c>
      <c r="B501" s="46" t="inlineStr">
        <is>
          <t>ENTJ（指揮官）の性格と恋愛傾向｜16Personalities診断でわかる相性</t>
        </is>
      </c>
      <c r="C501" s="6" t="inlineStr">
        <is>
          <t>https://dym.asia/media/recruiting/entj/</t>
        </is>
      </c>
      <c r="D501" s="12" t="inlineStr">
        <is>
          <t>2025.04.16</t>
        </is>
      </c>
      <c r="E501" s="12" t="inlineStr">
        <is>
          <t>2025.10.27</t>
        </is>
      </c>
      <c r="F501" s="47" t="inlineStr">
        <is>
          <t>求職者</t>
        </is>
      </c>
      <c r="G501" s="47" t="n"/>
      <c r="H501" s="47" t="inlineStr">
        <is>
          <t>中途・第二新卒</t>
        </is>
      </c>
      <c r="I501" s="6" t="inlineStr">
        <is>
          <t>https://www.dshu.jp/</t>
        </is>
      </c>
      <c r="J501" s="10" t="inlineStr">
        <is>
          <t>https://dym.asia/services/new-graduates/Former-graduate/</t>
        </is>
      </c>
      <c r="K501" s="47" t="n"/>
      <c r="L501" s="47" t="n"/>
    </row>
    <row r="502">
      <c r="A502" s="52">
        <f>row()-1</f>
        <v/>
      </c>
      <c r="B502" s="46" t="inlineStr">
        <is>
          <t>ISFJ（擁護者）の性格と相性：特徴や恋愛、仕事も解説</t>
        </is>
      </c>
      <c r="C502" s="6" t="inlineStr">
        <is>
          <t>https://dym.asia/media/recruiting/isfj/</t>
        </is>
      </c>
      <c r="D502" s="12" t="inlineStr">
        <is>
          <t>2025.04.15</t>
        </is>
      </c>
      <c r="E502" s="12" t="inlineStr">
        <is>
          <t>2025.10.27</t>
        </is>
      </c>
      <c r="F502" s="47" t="inlineStr">
        <is>
          <t>求職者</t>
        </is>
      </c>
      <c r="G502" s="47" t="n"/>
      <c r="H502" s="47" t="inlineStr">
        <is>
          <t>中途・第二新卒</t>
        </is>
      </c>
      <c r="I502" s="6" t="inlineStr">
        <is>
          <t>https://www.dshu.jp/</t>
        </is>
      </c>
      <c r="J502" s="10" t="inlineStr">
        <is>
          <t>https://dym.asia/services/new-graduates/Former-graduate/</t>
        </is>
      </c>
      <c r="K502" s="47" t="n"/>
      <c r="L502" s="47" t="n"/>
    </row>
    <row r="503">
      <c r="A503" s="52">
        <f>row()-1</f>
        <v/>
      </c>
      <c r="B503" s="46" t="inlineStr">
        <is>
          <t>ESTJ（幹部）の性格診断｜相性、特徴、恋愛傾向を解説</t>
        </is>
      </c>
      <c r="C503" s="6" t="inlineStr">
        <is>
          <t>https://dym.asia/media/recruiting/estj/</t>
        </is>
      </c>
      <c r="D503" s="12" t="inlineStr">
        <is>
          <t>2025.04.15</t>
        </is>
      </c>
      <c r="E503" s="12" t="inlineStr">
        <is>
          <t>2025.10.27</t>
        </is>
      </c>
      <c r="F503" s="47" t="inlineStr">
        <is>
          <t>求職者</t>
        </is>
      </c>
      <c r="G503" s="47" t="n"/>
      <c r="H503" s="47" t="inlineStr">
        <is>
          <t>中途・第二新卒</t>
        </is>
      </c>
      <c r="I503" s="6" t="inlineStr">
        <is>
          <t>https://www.dshu.jp/</t>
        </is>
      </c>
      <c r="J503" s="10" t="inlineStr">
        <is>
          <t>https://dym.asia/services/new-graduates/Former-graduate/</t>
        </is>
      </c>
      <c r="K503" s="47" t="n"/>
      <c r="L503" s="47" t="n"/>
    </row>
    <row r="504">
      <c r="A504" s="52">
        <f>row()-1</f>
        <v/>
      </c>
      <c r="B504" s="46" t="inlineStr">
        <is>
          <t>ENFJ（主人公）と相性の良い性格まとめ！恋愛・仕事の相性も解説</t>
        </is>
      </c>
      <c r="C504" s="6" t="inlineStr">
        <is>
          <t>https://dym.asia/media/recruiting/enfj/</t>
        </is>
      </c>
      <c r="D504" s="12" t="inlineStr">
        <is>
          <t>2025.04.16</t>
        </is>
      </c>
      <c r="E504" s="12" t="inlineStr">
        <is>
          <t>2025.10.27</t>
        </is>
      </c>
      <c r="F504" s="47" t="inlineStr">
        <is>
          <t>求職者</t>
        </is>
      </c>
      <c r="G504" s="47" t="n"/>
      <c r="H504" s="47" t="inlineStr">
        <is>
          <t>中途・第二新卒</t>
        </is>
      </c>
      <c r="I504" s="6" t="inlineStr">
        <is>
          <t>https://www.dshu.jp/</t>
        </is>
      </c>
      <c r="J504" s="10" t="inlineStr">
        <is>
          <t>https://dym.asia/services/new-graduates/Former-graduate/</t>
        </is>
      </c>
      <c r="K504" s="47" t="n"/>
      <c r="L504" s="47" t="n"/>
    </row>
    <row r="505">
      <c r="A505" s="52">
        <f>row()-1</f>
        <v/>
      </c>
      <c r="B505" s="46" t="inlineStr">
        <is>
          <t>INTJ型性格診断｜建築家タイプの特徴</t>
        </is>
      </c>
      <c r="C505" s="6" t="inlineStr">
        <is>
          <t>https://dym.asia/media/recruiting/intj/</t>
        </is>
      </c>
      <c r="D505" s="12" t="inlineStr">
        <is>
          <t>2025.04.15</t>
        </is>
      </c>
      <c r="E505" s="12" t="inlineStr">
        <is>
          <t>2025.10.27</t>
        </is>
      </c>
      <c r="F505" s="47" t="inlineStr">
        <is>
          <t>求職者</t>
        </is>
      </c>
      <c r="G505" s="47" t="n"/>
      <c r="H505" s="47" t="inlineStr">
        <is>
          <t>中途・第二新卒</t>
        </is>
      </c>
      <c r="I505" s="6" t="inlineStr">
        <is>
          <t>https://www.dshu.jp/</t>
        </is>
      </c>
      <c r="J505" s="10" t="inlineStr">
        <is>
          <t>https://dym.asia/services/new-graduates/Former-graduate/</t>
        </is>
      </c>
      <c r="K505" s="47" t="n"/>
      <c r="L505" s="47" t="n"/>
    </row>
    <row r="506">
      <c r="A506" s="52">
        <f>row()-1</f>
        <v/>
      </c>
      <c r="B506" s="46" t="inlineStr">
        <is>
          <t>【2025年版】稼げる仕事｜女性で高収入も夢じゃない！</t>
        </is>
      </c>
      <c r="C506" s="6" t="inlineStr">
        <is>
          <t>https://dym.asia/media/recruiting/high-income-women-jobs-2025/</t>
        </is>
      </c>
      <c r="D506" s="12" t="inlineStr">
        <is>
          <t>2025.04.08</t>
        </is>
      </c>
      <c r="E506" s="12" t="inlineStr">
        <is>
          <t>2025.10.27</t>
        </is>
      </c>
      <c r="F506" s="47" t="inlineStr">
        <is>
          <t>求職者</t>
        </is>
      </c>
      <c r="G506" s="47" t="n"/>
      <c r="H506" s="47" t="inlineStr">
        <is>
          <t>中途・第二新卒</t>
        </is>
      </c>
      <c r="I506" s="6" t="inlineStr">
        <is>
          <t>https://www.dshu.jp/</t>
        </is>
      </c>
      <c r="J506" s="10" t="inlineStr">
        <is>
          <t>https://dym.asia/services/new-graduates/Former-graduate/</t>
        </is>
      </c>
      <c r="K506" s="47" t="n"/>
      <c r="L506" s="47" t="n"/>
    </row>
    <row r="507">
      <c r="A507" s="52">
        <f>row()-1</f>
        <v/>
      </c>
      <c r="B507" s="46" t="inlineStr">
        <is>
          <t>メガベンチャーと大手の違いを解説！メリットとデメリットとは</t>
        </is>
      </c>
      <c r="C507" s="6" t="inlineStr">
        <is>
          <t>https://dym.asia/media/recruiting/mega-venture-major-company/</t>
        </is>
      </c>
      <c r="D507" s="12" t="inlineStr">
        <is>
          <t>2025.03.26</t>
        </is>
      </c>
      <c r="E507" s="12" t="inlineStr">
        <is>
          <t>2025.05.13</t>
        </is>
      </c>
      <c r="F507" s="47" t="inlineStr">
        <is>
          <t>求職者</t>
        </is>
      </c>
      <c r="G507" s="47" t="n"/>
      <c r="H507" s="47" t="inlineStr">
        <is>
          <t>新卒</t>
        </is>
      </c>
      <c r="I507" s="6" t="inlineStr">
        <is>
          <t>https://www.meetscompany.jp/</t>
        </is>
      </c>
      <c r="J507" s="15" t="inlineStr">
        <is>
          <t>https://dym.asia/services/new-graduates/new-graduate-recruitment/</t>
        </is>
      </c>
      <c r="K507" s="47" t="n"/>
      <c r="L507" s="47" t="n"/>
    </row>
    <row r="508">
      <c r="A508" s="52">
        <f>row()-1</f>
        <v/>
      </c>
      <c r="B508" s="46" t="inlineStr">
        <is>
          <t>企業説明会の服装は？服装自由・私服指定やオンライン合同説明会でのポイント</t>
        </is>
      </c>
      <c r="C508" s="6" t="inlineStr">
        <is>
          <t>https://dym.asia/media/recruiting/session-wearing/</t>
        </is>
      </c>
      <c r="D508" s="12" t="inlineStr">
        <is>
          <t>2025.03.28</t>
        </is>
      </c>
      <c r="E508" s="12" t="inlineStr">
        <is>
          <t>2025.10.27</t>
        </is>
      </c>
      <c r="F508" s="47" t="inlineStr">
        <is>
          <t>求職者</t>
        </is>
      </c>
      <c r="G508" s="47" t="n"/>
      <c r="H508" s="47" t="inlineStr">
        <is>
          <t>新卒</t>
        </is>
      </c>
      <c r="I508" s="6" t="inlineStr">
        <is>
          <t>https://www.meetscompany.jp/</t>
        </is>
      </c>
      <c r="J508" s="15" t="inlineStr">
        <is>
          <t>https://dym.asia/services/new-graduates/new-graduate-recruitment/</t>
        </is>
      </c>
      <c r="K508" s="47" t="n"/>
      <c r="L508" s="47" t="n"/>
    </row>
    <row r="509">
      <c r="A509" s="52">
        <f>row()-1</f>
        <v/>
      </c>
      <c r="B509" s="46" t="inlineStr">
        <is>
          <t>企業選びの軸を聞かれたら？例文と決め方を紹介</t>
        </is>
      </c>
      <c r="C509" s="6" t="inlineStr">
        <is>
          <t>https://dym.asia/media/recruiting/jobselect-important/</t>
        </is>
      </c>
      <c r="D509" s="12" t="inlineStr">
        <is>
          <t>2025.03.26</t>
        </is>
      </c>
      <c r="E509" s="12" t="inlineStr">
        <is>
          <t>2025.10.27</t>
        </is>
      </c>
      <c r="F509" s="47" t="inlineStr">
        <is>
          <t>求職者</t>
        </is>
      </c>
      <c r="G509" s="47" t="n"/>
      <c r="H509" s="47" t="inlineStr">
        <is>
          <t>新卒</t>
        </is>
      </c>
      <c r="I509" s="6" t="inlineStr">
        <is>
          <t>https://www.meetscompany.jp/</t>
        </is>
      </c>
      <c r="J509" s="15" t="inlineStr">
        <is>
          <t>https://dym.asia/services/new-graduates/new-graduate-recruitment/</t>
        </is>
      </c>
      <c r="K509" s="47" t="n"/>
      <c r="L509" s="47" t="n"/>
    </row>
    <row r="510">
      <c r="A510" s="52">
        <f>row()-1</f>
        <v/>
      </c>
      <c r="B510" s="46" t="inlineStr">
        <is>
          <t>ISFP（冒険家）の性格診断｜相性・恋愛・仕事は？</t>
        </is>
      </c>
      <c r="C510" s="6" t="inlineStr">
        <is>
          <t>https://dym.asia/media/recruiting/isfp/</t>
        </is>
      </c>
      <c r="D510" s="12" t="inlineStr">
        <is>
          <t>2025.04.15</t>
        </is>
      </c>
      <c r="E510" s="12" t="inlineStr">
        <is>
          <t>2025.10.27</t>
        </is>
      </c>
      <c r="F510" s="47" t="inlineStr">
        <is>
          <t>求職者</t>
        </is>
      </c>
      <c r="G510" s="47" t="n"/>
      <c r="H510" s="47" t="inlineStr">
        <is>
          <t>中途・第二新卒</t>
        </is>
      </c>
      <c r="I510" s="6" t="inlineStr">
        <is>
          <t>https://www.dshu.jp/</t>
        </is>
      </c>
      <c r="J510" s="10" t="inlineStr">
        <is>
          <t>https://dym.asia/services/new-graduates/Former-graduate/</t>
        </is>
      </c>
      <c r="K510" s="47" t="n"/>
      <c r="L510" s="47" t="n"/>
    </row>
    <row r="511">
      <c r="A511" s="52">
        <f>row()-1</f>
        <v/>
      </c>
      <c r="B511" s="46" t="inlineStr">
        <is>
          <t>16Personalities診断とは？16種類の性格一覧や日本人に多いタイプを徹底解説！</t>
        </is>
      </c>
      <c r="C511" s="6" t="inlineStr">
        <is>
          <t>https://dym.asia/media/recruiting/mbti/</t>
        </is>
      </c>
      <c r="D511" s="12" t="inlineStr">
        <is>
          <t>2025.04.22</t>
        </is>
      </c>
      <c r="E511" s="12" t="inlineStr">
        <is>
          <t>2025.12.03</t>
        </is>
      </c>
      <c r="F511" s="47" t="inlineStr">
        <is>
          <t>求職者</t>
        </is>
      </c>
      <c r="G511" s="47" t="n"/>
      <c r="H511" s="47" t="inlineStr">
        <is>
          <t>中途・第二新卒</t>
        </is>
      </c>
      <c r="I511" s="6" t="inlineStr">
        <is>
          <t>https://www.dshu.jp/</t>
        </is>
      </c>
      <c r="J511" s="10" t="inlineStr">
        <is>
          <t>https://dym.asia/services/new-graduates/Former-graduate/</t>
        </is>
      </c>
      <c r="K511" s="47" t="n"/>
      <c r="L511" s="47" t="n"/>
    </row>
    <row r="512">
      <c r="A512" s="52">
        <f>row()-1</f>
        <v/>
      </c>
      <c r="B512" s="46" t="inlineStr">
        <is>
          <t>やりたい仕事がない？見つけられない原因と見つけ方を解説！</t>
        </is>
      </c>
      <c r="C512" s="6" t="inlineStr">
        <is>
          <t>https://dym.asia/media/recruiting/find-dream-job/</t>
        </is>
      </c>
      <c r="D512" s="12" t="inlineStr">
        <is>
          <t>2025.04.09</t>
        </is>
      </c>
      <c r="E512" s="12" t="inlineStr">
        <is>
          <t>2025.10.27</t>
        </is>
      </c>
      <c r="F512" s="47" t="inlineStr">
        <is>
          <t>求職者</t>
        </is>
      </c>
      <c r="G512" s="47" t="n"/>
      <c r="H512" s="47" t="inlineStr">
        <is>
          <t>新卒</t>
        </is>
      </c>
      <c r="I512" s="6" t="inlineStr">
        <is>
          <t>https://www.dshu.jp/</t>
        </is>
      </c>
      <c r="J512" s="15" t="inlineStr">
        <is>
          <t>https://dym.asia/services/new-graduates/</t>
        </is>
      </c>
      <c r="K512" s="47" t="n"/>
      <c r="L512" s="47" t="n"/>
    </row>
    <row r="513">
      <c r="A513" s="52">
        <f>row()-1</f>
        <v/>
      </c>
      <c r="B513" s="46" t="inlineStr">
        <is>
          <t>ISFP（冒険家）の性格診断｜相性・恋愛・仕事は？</t>
        </is>
      </c>
      <c r="C513" s="6" t="inlineStr">
        <is>
          <t>https://dym.asia/media/recruiting/decline-an-offer-after-consent/</t>
        </is>
      </c>
      <c r="D513" s="12" t="inlineStr">
        <is>
          <t>2025.03.28</t>
        </is>
      </c>
      <c r="E513" s="12" t="inlineStr">
        <is>
          <t>2025.10.27</t>
        </is>
      </c>
      <c r="F513" s="47" t="inlineStr">
        <is>
          <t>求職者</t>
        </is>
      </c>
      <c r="G513" s="47" t="n"/>
      <c r="H513" s="47" t="inlineStr">
        <is>
          <t>新卒</t>
        </is>
      </c>
      <c r="I513" s="6" t="inlineStr">
        <is>
          <t>https://www.meetscompany.jp/</t>
        </is>
      </c>
      <c r="J513" s="15" t="inlineStr">
        <is>
          <t>https://dym.asia/services/new-graduates/new-graduate-recruitment/</t>
        </is>
      </c>
      <c r="K513" s="47" t="n"/>
      <c r="L513" s="47" t="n"/>
    </row>
    <row r="514">
      <c r="A514" s="52">
        <f>row()-1</f>
        <v/>
      </c>
      <c r="B514" s="46" t="inlineStr">
        <is>
          <t>面接で落ちた人に共通する理由は？落とされるサインや不採用が続く際の対策</t>
        </is>
      </c>
      <c r="C514" s="6" t="inlineStr">
        <is>
          <t>https://dym.asia/media/recruiting/fail-the-interview/</t>
        </is>
      </c>
      <c r="D514" s="12" t="inlineStr">
        <is>
          <t>2025.06.19</t>
        </is>
      </c>
      <c r="E514" s="12" t="inlineStr">
        <is>
          <t>2025.10.27</t>
        </is>
      </c>
      <c r="F514" s="47" t="inlineStr">
        <is>
          <t>求職者</t>
        </is>
      </c>
      <c r="G514" s="47" t="n"/>
      <c r="H514" s="47" t="inlineStr">
        <is>
          <t>新卒</t>
        </is>
      </c>
      <c r="I514" s="6" t="inlineStr">
        <is>
          <t>https://dym.asia/services/new-graduates/dym-tech/</t>
        </is>
      </c>
      <c r="J514" s="15" t="inlineStr">
        <is>
          <t>https://dym.asia/services/new-graduates/new-graduate-recruitment/</t>
        </is>
      </c>
      <c r="K514" s="47" t="n"/>
      <c r="L514" s="47" t="n"/>
    </row>
    <row r="515">
      <c r="A515" s="52">
        <f>row()-1</f>
        <v/>
      </c>
      <c r="B515" s="46" t="inlineStr">
        <is>
          <t>新卒の最終面接でよく聞かれる質問と回答のコツ｜事前準備の方法も解説</t>
        </is>
      </c>
      <c r="C515" s="6" t="inlineStr">
        <is>
          <t>https://dym.asia/media/recruiting/new-graduate-final-interview/</t>
        </is>
      </c>
      <c r="D515" s="12" t="inlineStr">
        <is>
          <t>2025.03.28</t>
        </is>
      </c>
      <c r="E515" s="12" t="inlineStr">
        <is>
          <t>2025.10.27</t>
        </is>
      </c>
      <c r="F515" s="47" t="inlineStr">
        <is>
          <t>求職者</t>
        </is>
      </c>
      <c r="G515" s="47" t="n"/>
      <c r="H515" s="47" t="inlineStr">
        <is>
          <t>新卒</t>
        </is>
      </c>
      <c r="I515" s="6" t="inlineStr">
        <is>
          <t>https://www.meetscompany.jp/</t>
        </is>
      </c>
      <c r="J515" s="15" t="inlineStr">
        <is>
          <t>https://dym.asia/services/new-graduates/new-graduate-recruitment/</t>
        </is>
      </c>
      <c r="K515" s="47" t="n"/>
      <c r="L515" s="47" t="n"/>
    </row>
    <row r="516">
      <c r="A516" s="52">
        <f>row()-1</f>
        <v/>
      </c>
      <c r="B516" s="46" t="inlineStr">
        <is>
          <t>基本給とは？手取りや月給との違い、平均額まで詳しく解説</t>
        </is>
      </c>
      <c r="C516" s="6" t="inlineStr">
        <is>
          <t>https://dym.asia/media/recruiting/basic-salary/</t>
        </is>
      </c>
      <c r="D516" s="12" t="inlineStr">
        <is>
          <t>2025.03.28</t>
        </is>
      </c>
      <c r="E516" s="12" t="inlineStr">
        <is>
          <t>2025.10.27</t>
        </is>
      </c>
      <c r="F516" s="47" t="inlineStr">
        <is>
          <t>求職者</t>
        </is>
      </c>
      <c r="G516" s="47" t="n"/>
      <c r="H516" s="47" t="inlineStr">
        <is>
          <t>新卒</t>
        </is>
      </c>
      <c r="I516" s="6" t="inlineStr">
        <is>
          <t>https://www.meetscompany.jp/</t>
        </is>
      </c>
      <c r="J516" s="15" t="inlineStr">
        <is>
          <t>https://dym.asia/services/new-graduates/</t>
        </is>
      </c>
      <c r="K516" s="47" t="n"/>
      <c r="L516" s="47" t="n"/>
    </row>
    <row r="517">
      <c r="A517" s="52">
        <f>row()-1</f>
        <v/>
      </c>
      <c r="B517" s="46" t="inlineStr">
        <is>
          <t>就職浪人は新卒扱い？就活は不利？就職留年との違いやメリット・デメリットを解説</t>
        </is>
      </c>
      <c r="C517" s="6" t="inlineStr">
        <is>
          <t>https://dym.asia/media/recruiting/new-graduate-taking-job-hunting-year/</t>
        </is>
      </c>
      <c r="D517" s="12" t="inlineStr">
        <is>
          <t>2025.03.28</t>
        </is>
      </c>
      <c r="E517" s="12" t="inlineStr">
        <is>
          <t>2025.10.27</t>
        </is>
      </c>
      <c r="F517" s="47" t="inlineStr">
        <is>
          <t>求職者</t>
        </is>
      </c>
      <c r="G517" s="47" t="n"/>
      <c r="H517" s="47" t="inlineStr">
        <is>
          <t>新卒</t>
        </is>
      </c>
      <c r="I517" s="6" t="inlineStr">
        <is>
          <t>https://www.meetscompany.jp/</t>
        </is>
      </c>
      <c r="J517" s="15" t="inlineStr">
        <is>
          <t>https://dym.asia/services/new-graduates/new-graduate-recruitment/</t>
        </is>
      </c>
      <c r="K517" s="47" t="n"/>
      <c r="L517" s="47" t="n"/>
    </row>
    <row r="518">
      <c r="A518" s="52">
        <f>row()-1</f>
        <v/>
      </c>
      <c r="B518" s="46" t="inlineStr">
        <is>
          <t>就活早期化が進む理由とは？意味や背景、対策まで徹底解説</t>
        </is>
      </c>
      <c r="C518" s="6" t="inlineStr">
        <is>
          <t>https://dym.asia/media/recruiting/early-job-hunting/</t>
        </is>
      </c>
      <c r="D518" s="12" t="inlineStr">
        <is>
          <t>2025.03.28</t>
        </is>
      </c>
      <c r="E518" s="12" t="inlineStr">
        <is>
          <t>2025.10.27</t>
        </is>
      </c>
      <c r="F518" s="47" t="inlineStr">
        <is>
          <t>求職者</t>
        </is>
      </c>
      <c r="G518" s="47" t="n"/>
      <c r="H518" s="47" t="inlineStr">
        <is>
          <t>新卒</t>
        </is>
      </c>
      <c r="I518" s="6" t="inlineStr">
        <is>
          <t>https://www.meetscompany.jp/</t>
        </is>
      </c>
      <c r="J518" s="15" t="inlineStr">
        <is>
          <t>https://dym.asia/services/new-graduates/new-graduate-recruitment/</t>
        </is>
      </c>
      <c r="K518" s="47" t="n"/>
      <c r="L518" s="47" t="n"/>
    </row>
    <row r="519">
      <c r="A519" s="52">
        <f>row()-1</f>
        <v/>
      </c>
      <c r="B519" s="46" t="inlineStr">
        <is>
          <t>有効求人倍率とは何か？計算方法や最新動向も紹介</t>
        </is>
      </c>
      <c r="C519" s="6" t="inlineStr">
        <is>
          <t>https://dym.asia/media/recruiting/ratio-of-job-openings-to-job-applicants/</t>
        </is>
      </c>
      <c r="D519" s="12" t="inlineStr">
        <is>
          <t>2025.03.28</t>
        </is>
      </c>
      <c r="E519" s="12" t="inlineStr">
        <is>
          <t>2025.05.13</t>
        </is>
      </c>
      <c r="F519" s="47" t="inlineStr">
        <is>
          <t>求職者</t>
        </is>
      </c>
      <c r="G519" s="47" t="n"/>
      <c r="H519" s="47" t="inlineStr">
        <is>
          <t>新卒</t>
        </is>
      </c>
      <c r="I519" s="6" t="inlineStr">
        <is>
          <t>https://www.meetscompany.jp/</t>
        </is>
      </c>
      <c r="J519" s="15" t="inlineStr">
        <is>
          <t>https://dym.asia/services/new-graduates/new-graduate-recruitment/</t>
        </is>
      </c>
      <c r="K519" s="47" t="n"/>
      <c r="L519" s="47" t="n"/>
    </row>
    <row r="520">
      <c r="A520" s="52">
        <f>row()-1</f>
        <v/>
      </c>
      <c r="B520" s="46" t="inlineStr">
        <is>
          <t>ESFP（エンターテイナー）の相性診断｜特徴・性格・恋愛まで徹底解説</t>
        </is>
      </c>
      <c r="C520" s="6" t="inlineStr">
        <is>
          <t>https://dym.asia/media/recruiting/esfp/</t>
        </is>
      </c>
      <c r="D520" s="12" t="inlineStr">
        <is>
          <t>2025.04.15</t>
        </is>
      </c>
      <c r="E520" s="12" t="inlineStr">
        <is>
          <t>2025.10.27</t>
        </is>
      </c>
      <c r="F520" s="47" t="inlineStr">
        <is>
          <t>求職者</t>
        </is>
      </c>
      <c r="G520" s="47" t="n"/>
      <c r="H520" s="47" t="inlineStr">
        <is>
          <t>中途・第二新卒</t>
        </is>
      </c>
      <c r="I520" s="6" t="inlineStr">
        <is>
          <t>https://www.dshu.jp/</t>
        </is>
      </c>
      <c r="J520" s="10" t="inlineStr">
        <is>
          <t>https://dym.asia/services/new-graduates/Former-graduate/</t>
        </is>
      </c>
      <c r="K520" s="47" t="n"/>
      <c r="L520" s="47" t="n"/>
    </row>
    <row r="521">
      <c r="A521" s="52">
        <f>row()-1</f>
        <v/>
      </c>
      <c r="B521" s="46" t="inlineStr">
        <is>
          <t>第二新卒とは？年齢は何歳まで？定義や転職のコツ</t>
        </is>
      </c>
      <c r="C521" s="6" t="inlineStr">
        <is>
          <t>https://dym.asia/media/recruiting/former-recruitment-age/</t>
        </is>
      </c>
      <c r="D521" s="12" t="inlineStr">
        <is>
          <t>2025.03.28</t>
        </is>
      </c>
      <c r="E521" s="12" t="inlineStr">
        <is>
          <t>2025.10.27</t>
        </is>
      </c>
      <c r="F521" s="47" t="inlineStr">
        <is>
          <t>求職者</t>
        </is>
      </c>
      <c r="G521" s="47" t="n"/>
      <c r="H521" s="47" t="inlineStr">
        <is>
          <t>中途・第二新卒</t>
        </is>
      </c>
      <c r="I521" s="6" t="inlineStr">
        <is>
          <t>https://www.dshu.jp/</t>
        </is>
      </c>
      <c r="J521" s="10" t="inlineStr">
        <is>
          <t>https://dym.asia/services/new-graduates/Former-graduate/</t>
        </is>
      </c>
      <c r="K521" s="47" t="n"/>
      <c r="L521" s="47" t="n"/>
    </row>
    <row r="522">
      <c r="A522" s="52">
        <f>row()-1</f>
        <v/>
      </c>
      <c r="B522" s="46" t="inlineStr">
        <is>
          <t>自己都合退職で失業保険はもらえる？いつから、いくらもらえるかを解説</t>
        </is>
      </c>
      <c r="C522" s="6" t="inlineStr">
        <is>
          <t>https://dym.asia/media/recruiting/voluntary-unemployment-insurance/</t>
        </is>
      </c>
      <c r="D522" s="12" t="inlineStr">
        <is>
          <t>2025.03.28</t>
        </is>
      </c>
      <c r="E522" s="12" t="inlineStr">
        <is>
          <t>2025.10.27</t>
        </is>
      </c>
      <c r="F522" s="47" t="inlineStr">
        <is>
          <t>求職者</t>
        </is>
      </c>
      <c r="G522" s="47" t="n"/>
      <c r="H522" s="47" t="inlineStr">
        <is>
          <t>新卒</t>
        </is>
      </c>
      <c r="I522" s="6" t="inlineStr">
        <is>
          <t>https://www.meetscompany.jp/</t>
        </is>
      </c>
      <c r="J522" s="15" t="inlineStr">
        <is>
          <t>https://dym.asia/services/new-graduates/Former-graduate/</t>
        </is>
      </c>
      <c r="K522" s="47" t="n"/>
      <c r="L522" s="47" t="n"/>
    </row>
    <row r="523">
      <c r="A523" s="52">
        <f>row()-1</f>
        <v/>
      </c>
      <c r="B523" s="46" t="inlineStr">
        <is>
          <t>ブラック企業とは？定義・特徴から見抜くポイント</t>
        </is>
      </c>
      <c r="C523" s="6" t="inlineStr">
        <is>
          <t>https://dym.asia/media/recruiting/black-company/</t>
        </is>
      </c>
      <c r="D523" s="12" t="inlineStr">
        <is>
          <t>2025.03.28</t>
        </is>
      </c>
      <c r="E523" s="12" t="inlineStr">
        <is>
          <t>2025.10.27</t>
        </is>
      </c>
      <c r="F523" s="47" t="inlineStr">
        <is>
          <t>求職者</t>
        </is>
      </c>
      <c r="G523" s="47" t="n"/>
      <c r="H523" s="47" t="inlineStr">
        <is>
          <t>新卒</t>
        </is>
      </c>
      <c r="I523" s="6" t="inlineStr">
        <is>
          <t>https://www.meetscompany.jp/</t>
        </is>
      </c>
      <c r="J523" s="15" t="inlineStr">
        <is>
          <t>https://dym.asia/services/new-graduates/new-graduate-recruitment/</t>
        </is>
      </c>
      <c r="K523" s="47" t="n"/>
      <c r="L523" s="47" t="n"/>
    </row>
    <row r="524">
      <c r="A524" s="52">
        <f>row()-1</f>
        <v/>
      </c>
      <c r="B524" s="46" t="inlineStr">
        <is>
          <t>非正規雇用女性の課題｜正規雇用の増加の可能性は？</t>
        </is>
      </c>
      <c r="C524" s="6" t="inlineStr">
        <is>
          <t>https://dym.asia/media/recruiting/non-regular-employment-female/</t>
        </is>
      </c>
      <c r="D524" s="12" t="inlineStr">
        <is>
          <t>2025.03.28</t>
        </is>
      </c>
      <c r="E524" s="12" t="inlineStr">
        <is>
          <t>2025.10.27</t>
        </is>
      </c>
      <c r="F524" s="47" t="inlineStr">
        <is>
          <t>求職者</t>
        </is>
      </c>
      <c r="G524" s="47" t="n"/>
      <c r="H524" s="47" t="inlineStr">
        <is>
          <t>派遣</t>
        </is>
      </c>
      <c r="I524" s="6" t="inlineStr">
        <is>
          <t>https://dymcareer.jp/?_gl=1*uhetlw*_ga*MTI1MjE5NTY3My4xNzU2NDMyNTY0*_ga_ZXCZZJJ72V*czE3Njg5NTc1NTAkbzI3JGcxJHQxNzY4OTY2OTYwJGo2MCRsMCRoMA..</t>
        </is>
      </c>
      <c r="J524" s="15" t="inlineStr">
        <is>
          <t>https://dym.asia/services/new-graduates/ready-career/</t>
        </is>
      </c>
      <c r="K524" s="47" t="n"/>
      <c r="L524" s="47" t="n"/>
    </row>
    <row r="525">
      <c r="A525" s="52">
        <f>row()-1</f>
        <v/>
      </c>
      <c r="B525" s="46" t="inlineStr">
        <is>
          <t>第二新卒とはいつまで？新卒・既卒との違いや転職するメリット・デメリット</t>
        </is>
      </c>
      <c r="C525" s="6" t="inlineStr">
        <is>
          <t>https://dym.asia/media/recruiting/about-former-graduate/</t>
        </is>
      </c>
      <c r="D525" s="12" t="inlineStr">
        <is>
          <t>2025.03.26</t>
        </is>
      </c>
      <c r="E525" s="12" t="inlineStr">
        <is>
          <t>2025.03.26</t>
        </is>
      </c>
      <c r="F525" s="47" t="inlineStr">
        <is>
          <t>求職者</t>
        </is>
      </c>
      <c r="G525" s="47" t="n"/>
      <c r="H525" s="47" t="inlineStr">
        <is>
          <t>中途・第二新卒</t>
        </is>
      </c>
      <c r="I525" s="6" t="inlineStr">
        <is>
          <t>https://www.dshu.jp/</t>
        </is>
      </c>
      <c r="J525" s="10" t="inlineStr">
        <is>
          <t>https://dym.asia/services/new-graduates/Former-graduate/</t>
        </is>
      </c>
      <c r="K525" s="47" t="n"/>
      <c r="L525" s="47" t="n"/>
    </row>
    <row r="526">
      <c r="A526" s="52">
        <f>row()-1</f>
        <v/>
      </c>
      <c r="B526" s="46" t="inlineStr">
        <is>
          <t>企業説明会に最適なカバン選び｜おすすめのポイントと注意点</t>
        </is>
      </c>
      <c r="C526" s="10" t="inlineStr">
        <is>
          <t>https://dym.asia/media/recruiting/session-bag/</t>
        </is>
      </c>
      <c r="D526" s="12" t="inlineStr">
        <is>
          <t>2025.03.28</t>
        </is>
      </c>
      <c r="E526" s="12" t="inlineStr">
        <is>
          <t>2025.10.27</t>
        </is>
      </c>
      <c r="F526" s="47" t="inlineStr">
        <is>
          <t>求職者</t>
        </is>
      </c>
      <c r="G526" s="47" t="n"/>
      <c r="H526" s="47" t="inlineStr">
        <is>
          <t>新卒</t>
        </is>
      </c>
      <c r="I526" s="6" t="inlineStr">
        <is>
          <t>https://www.meetscompany.jp/</t>
        </is>
      </c>
      <c r="J526" s="15" t="inlineStr">
        <is>
          <t>https://dym.asia/services/new-graduates/new-graduate-recruitment/</t>
        </is>
      </c>
      <c r="K526" s="47" t="n"/>
      <c r="L526" s="47" t="n"/>
    </row>
    <row r="527">
      <c r="A527" s="52">
        <f>row()-1</f>
        <v/>
      </c>
      <c r="B527" s="46" t="inlineStr">
        <is>
          <t>会社説明会の服装、服装自由・私服指定の注意点</t>
        </is>
      </c>
      <c r="C527" s="6" t="inlineStr">
        <is>
          <t>https://dym.asia/media/recruiting/online-session-wearing/</t>
        </is>
      </c>
      <c r="D527" s="12" t="inlineStr">
        <is>
          <t>2025.03.28</t>
        </is>
      </c>
      <c r="E527" s="12" t="inlineStr">
        <is>
          <t>2025.10.27</t>
        </is>
      </c>
      <c r="F527" s="47" t="inlineStr">
        <is>
          <t>求職者</t>
        </is>
      </c>
      <c r="G527" s="47" t="n"/>
      <c r="H527" s="47" t="inlineStr">
        <is>
          <t>新卒</t>
        </is>
      </c>
      <c r="I527" s="6" t="inlineStr">
        <is>
          <t>https://www.meetscompany.jp/</t>
        </is>
      </c>
      <c r="J527" s="15" t="inlineStr">
        <is>
          <t>https://dym.asia/services/new-graduates/new-graduate-recruitment/</t>
        </is>
      </c>
      <c r="K527" s="47" t="n"/>
      <c r="L527" s="47" t="n"/>
    </row>
    <row r="528">
      <c r="A528" s="52">
        <f>row()-1</f>
        <v/>
      </c>
      <c r="B528" s="46" t="inlineStr">
        <is>
          <t>就活で合同説明会に行くべきか？メリットと参加のポイントを解説</t>
        </is>
      </c>
      <c r="C528" s="6" t="inlineStr">
        <is>
          <t>https://dym.asia/media/recruiting/career-fair-should/</t>
        </is>
      </c>
      <c r="D528" s="12" t="inlineStr">
        <is>
          <t>2025.03.26</t>
        </is>
      </c>
      <c r="E528" s="12" t="inlineStr">
        <is>
          <t>2025.10.27</t>
        </is>
      </c>
      <c r="F528" s="47" t="inlineStr">
        <is>
          <t>求職者</t>
        </is>
      </c>
      <c r="G528" s="47" t="n"/>
      <c r="H528" s="47" t="inlineStr">
        <is>
          <t>新卒</t>
        </is>
      </c>
      <c r="I528" s="6" t="inlineStr">
        <is>
          <t>https://www.meetscompany.jp/</t>
        </is>
      </c>
      <c r="J528" s="15" t="inlineStr">
        <is>
          <t>https://dym.asia/services/new-graduates/new-graduate-recruitment/</t>
        </is>
      </c>
      <c r="K528" s="47" t="n"/>
      <c r="L528" s="47" t="n"/>
    </row>
    <row r="529">
      <c r="A529" s="52">
        <f>row()-1</f>
        <v/>
      </c>
      <c r="B529" s="46" t="inlineStr">
        <is>
          <t>新卒向け履歴書の自己PR例文と強みを紹介</t>
        </is>
      </c>
      <c r="C529" s="10" t="inlineStr">
        <is>
          <t>https://dym.asia/media/recruiting/new-graduate-resume-self-promotion/</t>
        </is>
      </c>
      <c r="D529" s="12" t="inlineStr">
        <is>
          <t>2025.03.28</t>
        </is>
      </c>
      <c r="E529" s="12" t="inlineStr">
        <is>
          <t>2025.05.13</t>
        </is>
      </c>
      <c r="F529" s="47" t="inlineStr">
        <is>
          <t>求職者</t>
        </is>
      </c>
      <c r="G529" s="47" t="n"/>
      <c r="H529" s="47" t="inlineStr">
        <is>
          <t>新卒</t>
        </is>
      </c>
      <c r="I529" s="6" t="inlineStr">
        <is>
          <t>https://www.meetscompany.jp/</t>
        </is>
      </c>
      <c r="J529" s="15" t="inlineStr">
        <is>
          <t>https://dym.asia/services/new-graduates/new-graduate-recruitment/</t>
        </is>
      </c>
      <c r="K529" s="47" t="n"/>
      <c r="L529" s="47" t="n"/>
    </row>
    <row r="530">
      <c r="A530" s="52">
        <f>row()-1</f>
        <v/>
      </c>
      <c r="B530" s="46" t="inlineStr">
        <is>
          <t>服装に関して記載なしのWEB説明会、就活生におすすめの対応方法とは？</t>
        </is>
      </c>
      <c r="C530" s="6" t="inlineStr">
        <is>
          <t>https://dym.asia/media/recruiting/online-session-wearing-no-note/</t>
        </is>
      </c>
      <c r="D530" s="12" t="inlineStr">
        <is>
          <t>2025.03.28</t>
        </is>
      </c>
      <c r="E530" s="12" t="inlineStr">
        <is>
          <t>2025.10.27</t>
        </is>
      </c>
      <c r="F530" s="47" t="inlineStr">
        <is>
          <t>求職者</t>
        </is>
      </c>
      <c r="G530" s="47" t="n"/>
      <c r="H530" s="47" t="inlineStr">
        <is>
          <t>新卒</t>
        </is>
      </c>
      <c r="I530" s="6" t="inlineStr">
        <is>
          <t>https://www.meetscompany.jp/</t>
        </is>
      </c>
      <c r="J530" s="15" t="inlineStr">
        <is>
          <t>https://dym.asia/services/new-graduates/new-graduate-recruitment/</t>
        </is>
      </c>
      <c r="K530" s="47" t="n"/>
      <c r="L530" s="47" t="n"/>
    </row>
    <row r="531">
      <c r="A531" s="52">
        <f>row()-1</f>
        <v/>
      </c>
      <c r="B531" s="46" t="inlineStr">
        <is>
          <t>適性検査「SPI」とは？どんなテスト？内容・対策・受験方法を解説</t>
        </is>
      </c>
      <c r="C531" s="6" t="inlineStr">
        <is>
          <t>https://dym.asia/media/recruiting/spi/</t>
        </is>
      </c>
      <c r="D531" s="12" t="inlineStr">
        <is>
          <t>2025.05.20</t>
        </is>
      </c>
      <c r="E531" s="12" t="inlineStr">
        <is>
          <t>2025.09.05</t>
        </is>
      </c>
      <c r="F531" s="47" t="inlineStr">
        <is>
          <t>求職者</t>
        </is>
      </c>
      <c r="G531" s="47" t="n"/>
      <c r="H531" s="47" t="inlineStr">
        <is>
          <t>新卒</t>
        </is>
      </c>
      <c r="I531" s="6" t="inlineStr">
        <is>
          <t>https://www.meetscompany.jp/</t>
        </is>
      </c>
      <c r="J531" s="15" t="inlineStr">
        <is>
          <t>https://dym.asia/services/new-graduates/</t>
        </is>
      </c>
      <c r="K531" s="47" t="n"/>
      <c r="L531" s="47" t="n"/>
    </row>
    <row r="532">
      <c r="A532" s="52">
        <f>row()-1</f>
        <v/>
      </c>
      <c r="B532" s="46" t="inlineStr">
        <is>
          <t>高卒女性の就職、資格なしでもできる仕事</t>
        </is>
      </c>
      <c r="C532" s="6" t="inlineStr">
        <is>
          <t>https://dym.asia/media/recruiting/woman-highschool-graduation/</t>
        </is>
      </c>
      <c r="D532" s="12" t="inlineStr">
        <is>
          <t>2025.04.11</t>
        </is>
      </c>
      <c r="E532" s="12" t="inlineStr">
        <is>
          <t>2025.10.27</t>
        </is>
      </c>
      <c r="F532" s="47" t="inlineStr">
        <is>
          <t>求職者</t>
        </is>
      </c>
      <c r="G532" s="47" t="n"/>
      <c r="H532" s="47" t="inlineStr">
        <is>
          <t>中途・第二新卒</t>
        </is>
      </c>
      <c r="I532" s="6" t="inlineStr">
        <is>
          <t>https://www.dshu.jp/</t>
        </is>
      </c>
      <c r="J532" s="10" t="inlineStr">
        <is>
          <t>https://dym.asia/services/new-graduates/Former-graduate/</t>
        </is>
      </c>
      <c r="K532" s="47" t="n"/>
      <c r="L532" s="47" t="n"/>
    </row>
    <row r="533">
      <c r="A533" s="52">
        <f>row()-1</f>
        <v/>
      </c>
      <c r="B533" s="46" t="inlineStr">
        <is>
          <t>向いている仕事がわからない？適職診断で解決！</t>
        </is>
      </c>
      <c r="C533" s="6" t="inlineStr">
        <is>
          <t>https://dym.asia/media/recruiting/suitable-job/</t>
        </is>
      </c>
      <c r="D533" s="12" t="inlineStr">
        <is>
          <t>2025.04.14</t>
        </is>
      </c>
      <c r="E533" s="12" t="inlineStr">
        <is>
          <t>2025.07.04</t>
        </is>
      </c>
      <c r="F533" s="47" t="inlineStr">
        <is>
          <t>求職者</t>
        </is>
      </c>
      <c r="G533" s="47" t="n"/>
      <c r="H533" s="47" t="inlineStr">
        <is>
          <t>中途・第二新卒</t>
        </is>
      </c>
      <c r="I533" s="6" t="inlineStr">
        <is>
          <t>https://www.dshu.jp/</t>
        </is>
      </c>
      <c r="J533" s="10" t="inlineStr">
        <is>
          <t>https://dym.asia/services/new-graduates/Former-graduate/</t>
        </is>
      </c>
      <c r="K533" s="47" t="n"/>
      <c r="L533" s="47" t="n"/>
    </row>
    <row r="534">
      <c r="A534" s="52">
        <f>row()-1</f>
        <v/>
      </c>
      <c r="B534" s="46" t="inlineStr">
        <is>
          <t>早期選考とは？業種別の特徴や成功に導く対策を解説</t>
        </is>
      </c>
      <c r="C534" s="6" t="inlineStr">
        <is>
          <t>https://dym.asia/media/recruiting/early-selection/</t>
        </is>
      </c>
      <c r="D534" s="12" t="inlineStr">
        <is>
          <t>2025.03.28</t>
        </is>
      </c>
      <c r="E534" s="12" t="inlineStr">
        <is>
          <t>2025.10.27</t>
        </is>
      </c>
      <c r="F534" s="47" t="inlineStr">
        <is>
          <t>求職者</t>
        </is>
      </c>
      <c r="G534" s="47" t="n"/>
      <c r="H534" s="47" t="inlineStr">
        <is>
          <t>新卒</t>
        </is>
      </c>
      <c r="I534" s="6" t="inlineStr">
        <is>
          <t>https://www.meetscompany.jp/</t>
        </is>
      </c>
      <c r="J534" s="15" t="inlineStr">
        <is>
          <t>https://dym.asia/services/new-graduates/new-graduate-recruitment/</t>
        </is>
      </c>
      <c r="K534" s="47" t="n"/>
      <c r="L534" s="47" t="n"/>
    </row>
    <row r="535">
      <c r="A535" s="52">
        <f>row()-1</f>
        <v/>
      </c>
      <c r="B535" s="46" t="inlineStr">
        <is>
          <t>新卒の履歴書書き方完全版！例文付き</t>
        </is>
      </c>
      <c r="C535" s="6" t="inlineStr">
        <is>
          <t>https://dym.asia/media/recruiting/shinsotsu-rirekisho-guide/</t>
        </is>
      </c>
      <c r="D535" s="12" t="inlineStr">
        <is>
          <t>2025.04.11</t>
        </is>
      </c>
      <c r="E535" s="12" t="inlineStr">
        <is>
          <t>2025.07.03</t>
        </is>
      </c>
      <c r="F535" s="47" t="inlineStr">
        <is>
          <t>求職者</t>
        </is>
      </c>
      <c r="G535" s="47" t="n"/>
      <c r="H535" s="47" t="inlineStr">
        <is>
          <t>新卒</t>
        </is>
      </c>
      <c r="I535" s="6" t="inlineStr">
        <is>
          <t>https://www.meetscompany.jp/</t>
        </is>
      </c>
      <c r="J535" s="15" t="inlineStr">
        <is>
          <t>https://dym.asia/services/new-graduates/new-graduate-recruitment/</t>
        </is>
      </c>
      <c r="K535" s="47" t="n"/>
      <c r="L535" s="47" t="n"/>
    </row>
    <row r="536">
      <c r="A536" s="52">
        <f>row()-1</f>
        <v/>
      </c>
      <c r="B536" s="46" t="inlineStr">
        <is>
          <t>最終面接の逆質問で好印象を与えるには？質問例とNG例を紹介</t>
        </is>
      </c>
      <c r="C536" s="6" t="inlineStr">
        <is>
          <t>https://dym.asia/media/recruiting/counter-question/</t>
        </is>
      </c>
      <c r="D536" s="12" t="inlineStr">
        <is>
          <t>2025.06.11</t>
        </is>
      </c>
      <c r="E536" s="12" t="inlineStr">
        <is>
          <t>2025.06.12</t>
        </is>
      </c>
      <c r="F536" s="47" t="inlineStr">
        <is>
          <t>求職者</t>
        </is>
      </c>
      <c r="G536" s="47" t="n"/>
      <c r="H536" s="47" t="inlineStr">
        <is>
          <t>新卒</t>
        </is>
      </c>
      <c r="I536" s="6" t="inlineStr">
        <is>
          <t>https://www.meetscompany.jp/</t>
        </is>
      </c>
      <c r="J536" s="15" t="inlineStr">
        <is>
          <t>https://dym.asia/services/new-graduates/new-graduate-recruitment/</t>
        </is>
      </c>
      <c r="K536" s="47" t="n"/>
      <c r="L536" s="47" t="n"/>
    </row>
    <row r="537">
      <c r="A537" s="52">
        <f>row()-1</f>
        <v/>
      </c>
      <c r="B537" s="46" t="inlineStr">
        <is>
          <t>就活の選考辞退はメール？電話？理由の伝え方と例文を紹介</t>
        </is>
      </c>
      <c r="C537" s="6" t="inlineStr">
        <is>
          <t>https://dym.asia/media/recruiting/declining-selection/</t>
        </is>
      </c>
      <c r="D537" s="12" t="inlineStr">
        <is>
          <t>2025.03.28</t>
        </is>
      </c>
      <c r="E537" s="12" t="inlineStr">
        <is>
          <t>2025.05.13</t>
        </is>
      </c>
      <c r="F537" s="47" t="inlineStr">
        <is>
          <t>求職者</t>
        </is>
      </c>
      <c r="G537" s="47" t="n"/>
      <c r="H537" s="47" t="inlineStr">
        <is>
          <t>新卒</t>
        </is>
      </c>
      <c r="I537" s="47" t="inlineStr">
        <is>
          <t>https://dym.asia/media/recruiting/declining-selection/</t>
        </is>
      </c>
      <c r="J537" s="15" t="inlineStr">
        <is>
          <t>https://dym.asia/services/new-graduates/new-graduate-recruitment/</t>
        </is>
      </c>
      <c r="K537" s="47" t="n"/>
      <c r="L537" s="47" t="n"/>
    </row>
    <row r="538">
      <c r="A538" s="52">
        <f>row()-1</f>
        <v/>
      </c>
      <c r="B538" s="46" t="inlineStr">
        <is>
          <t>総合職と一般職の違いとは？仕事内容や向いている人の特徴を紹介</t>
        </is>
      </c>
      <c r="C538" s="6" t="inlineStr">
        <is>
          <t>https://dym.asia/media/recruiting/general-position/</t>
        </is>
      </c>
      <c r="D538" s="12" t="inlineStr">
        <is>
          <t>2025.06.19</t>
        </is>
      </c>
      <c r="E538" s="12" t="inlineStr">
        <is>
          <t>2025.10.27</t>
        </is>
      </c>
      <c r="F538" s="47" t="inlineStr">
        <is>
          <t>求職者</t>
        </is>
      </c>
      <c r="G538" s="47" t="n"/>
      <c r="H538" s="47" t="inlineStr">
        <is>
          <t>新卒</t>
        </is>
      </c>
      <c r="I538" s="6" t="inlineStr">
        <is>
          <t>https://www.meetscompany.jp/</t>
        </is>
      </c>
      <c r="J538" s="15" t="inlineStr">
        <is>
          <t>https://dym.asia/services/new-graduates/new-graduate-recruitment/</t>
        </is>
      </c>
      <c r="K538" s="47" t="n"/>
      <c r="L538" s="47" t="n"/>
    </row>
    <row r="539">
      <c r="A539" s="52">
        <f>row()-1</f>
        <v/>
      </c>
      <c r="B539" s="46" t="inlineStr">
        <is>
          <t>新卒の年収ランキングまとめ！高収入を狙うためのポイントや注意点も解説</t>
        </is>
      </c>
      <c r="C539" s="6" t="inlineStr">
        <is>
          <t>https://dym.asia/media/recruiting/new-graduate-salary-ranking/</t>
        </is>
      </c>
      <c r="D539" s="12" t="inlineStr">
        <is>
          <t>2025.03.26</t>
        </is>
      </c>
      <c r="E539" s="12" t="inlineStr">
        <is>
          <t>2025.10.27</t>
        </is>
      </c>
      <c r="F539" s="47" t="inlineStr">
        <is>
          <t>求職者</t>
        </is>
      </c>
      <c r="G539" s="47" t="n"/>
      <c r="H539" s="47" t="inlineStr">
        <is>
          <t>新卒</t>
        </is>
      </c>
      <c r="I539" s="6" t="inlineStr">
        <is>
          <t>https://www.meetscompany.jp/</t>
        </is>
      </c>
      <c r="J539" s="15" t="inlineStr">
        <is>
          <t>https://dym.asia/services/new-graduates/new-graduate-recruitment/</t>
        </is>
      </c>
      <c r="K539" s="47" t="n"/>
      <c r="L539" s="47" t="n"/>
    </row>
    <row r="540">
      <c r="A540" s="52">
        <f>row()-1</f>
        <v/>
      </c>
      <c r="B540" s="46" t="inlineStr">
        <is>
          <t>「自分の強み」の見つけ方｜強みが分からない人の分析方法や自己PR例文を紹介</t>
        </is>
      </c>
      <c r="C540" s="10" t="inlineStr">
        <is>
          <t>https://dym.asia/media/recruiting/strengths/</t>
        </is>
      </c>
      <c r="D540" s="12" t="inlineStr">
        <is>
          <t>2025.06.19</t>
        </is>
      </c>
      <c r="E540" s="12" t="inlineStr">
        <is>
          <t>2025.10.27</t>
        </is>
      </c>
      <c r="F540" s="47" t="inlineStr">
        <is>
          <t>求職者</t>
        </is>
      </c>
      <c r="G540" s="47" t="n"/>
      <c r="H540" s="47" t="inlineStr">
        <is>
          <t>中途・第二新卒</t>
        </is>
      </c>
      <c r="I540" s="6" t="inlineStr">
        <is>
          <t>https://www.meetscompany.jp/</t>
        </is>
      </c>
      <c r="J540" s="10" t="inlineStr">
        <is>
          <t>https://dym.asia/services/new-graduates/Former-graduate/</t>
        </is>
      </c>
      <c r="K540" s="47" t="n"/>
      <c r="L540" s="47" t="n"/>
    </row>
    <row r="541">
      <c r="A541" s="52">
        <f>row()-1</f>
        <v/>
      </c>
      <c r="B541" s="46" t="inlineStr">
        <is>
          <t>学歴フィルターの実態｜就活で学歴フィルターがある企業の特徴・乗り越え方</t>
        </is>
      </c>
      <c r="C541" s="6" t="inlineStr">
        <is>
          <t>https://dym.asia/media/recruiting/university-filter/</t>
        </is>
      </c>
      <c r="D541" s="12" t="inlineStr">
        <is>
          <t>2025.06.19</t>
        </is>
      </c>
      <c r="E541" s="12" t="inlineStr">
        <is>
          <t>2025.10.27</t>
        </is>
      </c>
      <c r="F541" s="47" t="inlineStr">
        <is>
          <t>求職者</t>
        </is>
      </c>
      <c r="G541" s="47" t="n"/>
      <c r="H541" s="47" t="inlineStr">
        <is>
          <t>新卒</t>
        </is>
      </c>
      <c r="I541" s="6" t="inlineStr">
        <is>
          <t>https://www.meetscompany.jp/</t>
        </is>
      </c>
      <c r="J541" s="15" t="inlineStr">
        <is>
          <t>https://dym.asia/services/new-graduates/new-graduate-recruitment/</t>
        </is>
      </c>
      <c r="K541" s="47" t="n"/>
      <c r="L541" s="47" t="n"/>
    </row>
    <row r="542">
      <c r="A542" s="52">
        <f>row()-1</f>
        <v/>
      </c>
      <c r="B542" s="46" t="inlineStr">
        <is>
          <t>40代女性の転職は厳しい？資格なし・未経験可の正社員職場と成功のヒント</t>
        </is>
      </c>
      <c r="C542" s="6" t="inlineStr">
        <is>
          <t>https://dym.asia/media/recruiting/40s-job-change-woman/</t>
        </is>
      </c>
      <c r="D542" s="12" t="inlineStr">
        <is>
          <t>2025.03.27</t>
        </is>
      </c>
      <c r="E542" s="12" t="inlineStr">
        <is>
          <t>2025.10.27</t>
        </is>
      </c>
      <c r="F542" s="47" t="inlineStr">
        <is>
          <t>求職者</t>
        </is>
      </c>
      <c r="G542" s="47" t="n"/>
      <c r="H542" s="47" t="inlineStr">
        <is>
          <t>中途・第二新卒</t>
        </is>
      </c>
      <c r="I542" s="6" t="inlineStr">
        <is>
          <t>https://www.dshu.jp/</t>
        </is>
      </c>
      <c r="J542" s="10" t="inlineStr">
        <is>
          <t>https://dym.asia/services/new-graduates/Former-graduate/</t>
        </is>
      </c>
      <c r="K542" s="47" t="n"/>
      <c r="L542" s="47" t="n"/>
    </row>
    <row r="543">
      <c r="A543" s="52">
        <f>row()-1</f>
        <v/>
      </c>
      <c r="B543" s="46" t="inlineStr">
        <is>
          <t>第二新卒の転職理由・退職理由｜具体的な例文を紹介</t>
        </is>
      </c>
      <c r="C543" s="6" t="inlineStr">
        <is>
          <t>https://dym.asia/media/recruiting/former-recruitment-reason/</t>
        </is>
      </c>
      <c r="D543" s="12" t="inlineStr">
        <is>
          <t>2025.03.28</t>
        </is>
      </c>
      <c r="E543" s="12" t="inlineStr">
        <is>
          <t>2025.03.28</t>
        </is>
      </c>
      <c r="F543" s="47" t="inlineStr">
        <is>
          <t>求職者</t>
        </is>
      </c>
      <c r="G543" s="47" t="n"/>
      <c r="H543" s="47" t="inlineStr">
        <is>
          <t>中途・第二新卒</t>
        </is>
      </c>
      <c r="I543" s="6" t="inlineStr">
        <is>
          <t>https://www.dshu.jp/</t>
        </is>
      </c>
      <c r="J543" s="10" t="inlineStr">
        <is>
          <t>https://dym.asia/services/new-graduates/Former-graduate/</t>
        </is>
      </c>
      <c r="K543" s="47" t="n"/>
      <c r="L543" s="47" t="n"/>
    </row>
    <row r="544">
      <c r="A544" s="52">
        <f>row()-1</f>
        <v/>
      </c>
      <c r="B544" s="46" t="inlineStr">
        <is>
          <t>大学生のインターンシップとは？アルバイトとの違いや探し方を解説</t>
        </is>
      </c>
      <c r="C544" s="6" t="inlineStr">
        <is>
          <t>https://dym.asia/media/recruiting/internship-student/</t>
        </is>
      </c>
      <c r="D544" s="12" t="inlineStr">
        <is>
          <t>2025.03.28</t>
        </is>
      </c>
      <c r="E544" s="12" t="inlineStr">
        <is>
          <t>2025.03.28</t>
        </is>
      </c>
      <c r="F544" s="47" t="inlineStr">
        <is>
          <t>求職者</t>
        </is>
      </c>
      <c r="G544" s="47" t="n"/>
      <c r="H544" s="47" t="inlineStr">
        <is>
          <t>新卒</t>
        </is>
      </c>
      <c r="I544" s="6" t="inlineStr">
        <is>
          <t>https://www.meetscompany.jp/</t>
        </is>
      </c>
      <c r="J544" s="15" t="inlineStr">
        <is>
          <t>https://dym.asia/services/new-graduates/new-graduate-recruitment/</t>
        </is>
      </c>
      <c r="K544" s="47" t="n"/>
      <c r="L544" s="47" t="n"/>
    </row>
    <row r="545">
      <c r="A545" s="52">
        <f>row()-1</f>
        <v/>
      </c>
      <c r="B545" s="46" t="inlineStr">
        <is>
          <t>新卒とはいつまで？卒業後3年以内ならOK？第二新卒や既卒との違い解説</t>
        </is>
      </c>
      <c r="C545" s="10" t="inlineStr">
        <is>
          <t>https://dym.asia/media/recruiting/new-graduate-treated-when/</t>
        </is>
      </c>
      <c r="D545" s="12" t="inlineStr">
        <is>
          <t>2025.03.28</t>
        </is>
      </c>
      <c r="E545" s="12" t="inlineStr">
        <is>
          <t>2025.10.27</t>
        </is>
      </c>
      <c r="F545" s="47" t="inlineStr">
        <is>
          <t>求職者</t>
        </is>
      </c>
      <c r="G545" s="47" t="n"/>
      <c r="H545" s="47" t="inlineStr">
        <is>
          <t>新卒</t>
        </is>
      </c>
      <c r="I545" s="6" t="inlineStr">
        <is>
          <t>https://www.meetscompany.jp/</t>
        </is>
      </c>
      <c r="J545" s="15" t="inlineStr">
        <is>
          <t>https://dym.asia/services/new-graduates/new-graduate-recruitment/</t>
        </is>
      </c>
      <c r="K545" s="47" t="n"/>
      <c r="L545" s="47" t="n"/>
    </row>
    <row r="546">
      <c r="A546" s="52">
        <f>row()-1</f>
        <v/>
      </c>
      <c r="B546" s="46" t="inlineStr">
        <is>
          <t>40代からの転職はやめた方がいい？厳しい理由と成功への道</t>
        </is>
      </c>
      <c r="C546" s="6" t="inlineStr">
        <is>
          <t>https://dym.asia/media/recruiting/40s-job-change/</t>
        </is>
      </c>
      <c r="D546" s="12" t="inlineStr">
        <is>
          <t>2025.03.27</t>
        </is>
      </c>
      <c r="E546" s="12" t="inlineStr">
        <is>
          <t>2025.10.27</t>
        </is>
      </c>
      <c r="F546" s="47" t="inlineStr">
        <is>
          <t>求職者</t>
        </is>
      </c>
      <c r="G546" s="47" t="n"/>
      <c r="H546" s="47" t="inlineStr">
        <is>
          <t>中途・第二新卒</t>
        </is>
      </c>
      <c r="I546" s="6" t="inlineStr">
        <is>
          <t>https://www.dshu.jp/</t>
        </is>
      </c>
      <c r="J546" s="15" t="inlineStr">
        <is>
          <t>https://dym.asia/services/new-graduates/high-class/</t>
        </is>
      </c>
      <c r="K546" s="47" t="n"/>
      <c r="L546" s="47" t="n"/>
    </row>
    <row r="547">
      <c r="A547" s="52">
        <f>row()-1</f>
        <v/>
      </c>
      <c r="B547" s="46" t="inlineStr">
        <is>
          <t>アスリート採用｜企業のメリットと注意点を解説</t>
        </is>
      </c>
      <c r="C547" s="6" t="inlineStr">
        <is>
          <t>https://dym.asia/media/recruiting/athlete-recruitment/</t>
        </is>
      </c>
      <c r="D547" s="12" t="inlineStr">
        <is>
          <t>2025.03.24</t>
        </is>
      </c>
      <c r="E547" s="12" t="inlineStr">
        <is>
          <t>2025.10.27</t>
        </is>
      </c>
      <c r="F547" s="47" t="inlineStr">
        <is>
          <t>求職者</t>
        </is>
      </c>
      <c r="G547" s="47" t="n"/>
      <c r="H547" s="47" t="inlineStr">
        <is>
          <t>新卒</t>
        </is>
      </c>
      <c r="I547" s="6" t="inlineStr">
        <is>
          <t>https://dym.asia/services/new-graduates/new-graduate-recruitment/</t>
        </is>
      </c>
      <c r="J547" s="15" t="inlineStr">
        <is>
          <t>https://dym.asia/services/new-graduates/new-graduate-recruitment/</t>
        </is>
      </c>
      <c r="K547" s="47" t="n"/>
      <c r="L547" s="47" t="n"/>
    </row>
    <row r="548">
      <c r="A548" s="52">
        <f>row()-1</f>
        <v/>
      </c>
      <c r="B548" s="46" t="inlineStr">
        <is>
          <t>インターンシップの交通費は？ 全額支給される？</t>
        </is>
      </c>
      <c r="C548" s="6" t="inlineStr">
        <is>
          <t>https://dym.asia/media/recruiting/internship-transportation-expenses/</t>
        </is>
      </c>
      <c r="D548" s="12" t="inlineStr">
        <is>
          <t>2025.03.28</t>
        </is>
      </c>
      <c r="E548" s="12" t="inlineStr">
        <is>
          <t>2025.10.27</t>
        </is>
      </c>
      <c r="F548" s="47" t="inlineStr">
        <is>
          <t>求職者</t>
        </is>
      </c>
      <c r="G548" s="47" t="n"/>
      <c r="H548" s="47" t="inlineStr">
        <is>
          <t>新卒</t>
        </is>
      </c>
      <c r="I548" s="6" t="inlineStr">
        <is>
          <t>https://www.meetscompany.jp/</t>
        </is>
      </c>
      <c r="J548" s="15" t="inlineStr">
        <is>
          <t>https://dym.asia/services/new-graduates/new-graduate-recruitment/</t>
        </is>
      </c>
      <c r="K548" s="47" t="n"/>
      <c r="L548" s="47" t="n"/>
    </row>
    <row r="549">
      <c r="A549" s="52">
        <f>row()-1</f>
        <v/>
      </c>
      <c r="B549" s="46" t="inlineStr">
        <is>
          <t>長期インターンとは？メリット・デメリットと探し方を紹介</t>
        </is>
      </c>
      <c r="C549" s="6" t="inlineStr">
        <is>
          <t>https://dym.asia/media/recruiting/long-term-internship/</t>
        </is>
      </c>
      <c r="D549" s="12" t="inlineStr">
        <is>
          <t>2025.03.28</t>
        </is>
      </c>
      <c r="E549" s="12" t="inlineStr">
        <is>
          <t>2025.05.13</t>
        </is>
      </c>
      <c r="F549" s="47" t="inlineStr">
        <is>
          <t>求職者</t>
        </is>
      </c>
      <c r="G549" s="47" t="n"/>
      <c r="H549" s="47" t="inlineStr">
        <is>
          <t>新卒</t>
        </is>
      </c>
      <c r="I549" s="6" t="inlineStr">
        <is>
          <t>https://www.meetscompany.jp/</t>
        </is>
      </c>
      <c r="J549" s="15" t="inlineStr">
        <is>
          <t>https://dym.asia/services/new-graduates/new-graduate-recruitment/</t>
        </is>
      </c>
      <c r="K549" s="47" t="n"/>
      <c r="L549" s="47" t="n"/>
    </row>
    <row r="550">
      <c r="A550" s="52">
        <f>row()-1</f>
        <v/>
      </c>
      <c r="B550" s="46" t="inlineStr">
        <is>
          <t>【完全版】自己分析のやり方10選！就活で役立つ分析方法</t>
        </is>
      </c>
      <c r="C550" s="6" t="inlineStr">
        <is>
          <t>https://dym.asia/media/recruiting/jikobunseki-10-tips/</t>
        </is>
      </c>
      <c r="D550" s="12" t="inlineStr">
        <is>
          <t>2025.04.08</t>
        </is>
      </c>
      <c r="E550" s="12" t="inlineStr">
        <is>
          <t>2025.07.03</t>
        </is>
      </c>
      <c r="F550" s="47" t="inlineStr">
        <is>
          <t>求職者</t>
        </is>
      </c>
      <c r="G550" s="47" t="n"/>
      <c r="H550" s="47" t="inlineStr">
        <is>
          <t>新卒</t>
        </is>
      </c>
      <c r="I550" s="6" t="inlineStr">
        <is>
          <t>https://www.meetscompany.jp/</t>
        </is>
      </c>
      <c r="J550" s="15" t="inlineStr">
        <is>
          <t>https://dym.asia/services/new-graduates/new-graduate-recruitment/</t>
        </is>
      </c>
      <c r="K550" s="47" t="n"/>
      <c r="L550" s="47" t="n"/>
    </row>
    <row r="551">
      <c r="A551" s="52">
        <f>row()-1</f>
        <v/>
      </c>
      <c r="B551" s="46" t="inlineStr">
        <is>
          <t>非常勤顧問とは？顧問との違いや報酬、社会保険について解説</t>
        </is>
      </c>
      <c r="C551" s="10" t="inlineStr">
        <is>
          <t>https://dym.asia/media/recruiting/part-time-advisor/</t>
        </is>
      </c>
      <c r="D551" s="12" t="inlineStr">
        <is>
          <t>2025.03.28</t>
        </is>
      </c>
      <c r="E551" s="12" t="inlineStr">
        <is>
          <t>2025.10.27</t>
        </is>
      </c>
      <c r="F551" s="47" t="inlineStr">
        <is>
          <t>求職者</t>
        </is>
      </c>
      <c r="G551" s="47" t="n"/>
      <c r="H551" s="47" t="inlineStr">
        <is>
          <t>顧問登録</t>
        </is>
      </c>
      <c r="I551" s="47" t="inlineStr">
        <is>
          <t>URLがありませんでした。</t>
        </is>
      </c>
      <c r="J551" s="15" t="inlineStr">
        <is>
          <t>https://dym.asia/services/new-graduates/exe-part/</t>
        </is>
      </c>
      <c r="K551" s="47" t="n"/>
      <c r="L551" s="47" t="n"/>
    </row>
    <row r="552">
      <c r="A552" s="52">
        <f>row()-1</f>
        <v/>
      </c>
      <c r="B552" s="46" t="inlineStr">
        <is>
          <t>第二新卒の履歴書の書き方！自己PRや志望動機作成時のポイント</t>
        </is>
      </c>
      <c r="C552" s="6" t="inlineStr">
        <is>
          <t>https://dym.asia/media/recruiting/former-resume3/</t>
        </is>
      </c>
      <c r="D552" s="12" t="inlineStr">
        <is>
          <t>2025.03.28</t>
        </is>
      </c>
      <c r="E552" s="12" t="inlineStr">
        <is>
          <t>2025.03.28</t>
        </is>
      </c>
      <c r="F552" s="47" t="inlineStr">
        <is>
          <t>求職者</t>
        </is>
      </c>
      <c r="G552" s="47" t="n"/>
      <c r="H552" s="47" t="inlineStr">
        <is>
          <t>中途・第二新卒</t>
        </is>
      </c>
      <c r="I552" s="6" t="inlineStr">
        <is>
          <t>https://www.dshu.jp/</t>
        </is>
      </c>
      <c r="J552" s="10" t="inlineStr">
        <is>
          <t>https://dym.asia/services/new-graduates/Former-graduate/</t>
        </is>
      </c>
      <c r="K552" s="47" t="n"/>
      <c r="L552" s="47" t="n"/>
    </row>
    <row r="553">
      <c r="A553" s="52">
        <f>row()-1</f>
        <v/>
      </c>
      <c r="B553" s="46" t="inlineStr">
        <is>
          <t>高卒の就職先おすすめ人気業界・職種一覧！探し方も解説</t>
        </is>
      </c>
      <c r="C553" s="6" t="inlineStr">
        <is>
          <t>https://dym.asia/media/recruiting/highscool-employment/</t>
        </is>
      </c>
      <c r="D553" s="12" t="inlineStr">
        <is>
          <t>2025.03.26</t>
        </is>
      </c>
      <c r="E553" s="12" t="inlineStr">
        <is>
          <t>2025.10.27</t>
        </is>
      </c>
      <c r="F553" s="47" t="inlineStr">
        <is>
          <t>求職者</t>
        </is>
      </c>
      <c r="G553" s="47" t="n"/>
      <c r="H553" s="47" t="inlineStr">
        <is>
          <t>中途・第二新卒</t>
        </is>
      </c>
      <c r="I553" s="6" t="inlineStr">
        <is>
          <t>https://www.dshu.jp/</t>
        </is>
      </c>
      <c r="J553" s="10" t="inlineStr">
        <is>
          <t>https://dym.asia/services/new-graduates/Former-graduate/</t>
        </is>
      </c>
      <c r="K553" s="47" t="n"/>
      <c r="L553" s="47" t="n"/>
    </row>
    <row r="554">
      <c r="A554" s="52">
        <f>row()-1</f>
        <v/>
      </c>
      <c r="B554" s="46" t="inlineStr">
        <is>
          <t>HSPとは？人一倍敏感で繊細な人が生きるヒント</t>
        </is>
      </c>
      <c r="C554" s="6" t="inlineStr">
        <is>
          <t>https://dym.asia/media/recruiting/hsp/</t>
        </is>
      </c>
      <c r="D554" s="12" t="inlineStr">
        <is>
          <t>2025.03.28</t>
        </is>
      </c>
      <c r="E554" s="12" t="inlineStr">
        <is>
          <t>2025.10.27</t>
        </is>
      </c>
      <c r="F554" s="47" t="inlineStr">
        <is>
          <t>求職者</t>
        </is>
      </c>
      <c r="G554" s="47" t="n"/>
      <c r="H554" s="47" t="inlineStr">
        <is>
          <t>新卒</t>
        </is>
      </c>
      <c r="I554" s="6" t="inlineStr">
        <is>
          <t>https://www.meetscompany.jp/</t>
        </is>
      </c>
      <c r="J554" s="15" t="inlineStr">
        <is>
          <t>https://dym.asia/services/new-graduates/new-graduate-recruitment/</t>
        </is>
      </c>
      <c r="K554" s="47" t="n"/>
      <c r="L554" s="47" t="n"/>
    </row>
    <row r="555">
      <c r="A555" s="52">
        <f>row()-1</f>
        <v/>
      </c>
      <c r="B555" s="46" t="inlineStr">
        <is>
          <t>30代の未経験からの転職は厳しい？理由やおすすめの職種</t>
        </is>
      </c>
      <c r="C555" s="6" t="inlineStr">
        <is>
          <t>https://dym.asia/media/recruiting/inexperienced/</t>
        </is>
      </c>
      <c r="D555" s="12" t="inlineStr">
        <is>
          <t>2025.03.26</t>
        </is>
      </c>
      <c r="E555" s="12" t="inlineStr">
        <is>
          <t>2025.10.27</t>
        </is>
      </c>
      <c r="F555" s="47" t="inlineStr">
        <is>
          <t>求職者</t>
        </is>
      </c>
      <c r="G555" s="47" t="n"/>
      <c r="H555" s="47" t="inlineStr">
        <is>
          <t>中途・第二新卒</t>
        </is>
      </c>
      <c r="I555" s="6" t="inlineStr">
        <is>
          <t>https://www.dshu.jp/</t>
        </is>
      </c>
      <c r="J555" s="10" t="inlineStr">
        <is>
          <t>https://dym.asia/services/new-graduates/Former-graduate/</t>
        </is>
      </c>
      <c r="K555" s="47" t="n"/>
      <c r="L555" s="47" t="n"/>
    </row>
    <row r="556">
      <c r="A556" s="52">
        <f>row()-1</f>
        <v/>
      </c>
      <c r="B556" s="46" t="inlineStr">
        <is>
          <t>インターン面接で聞かれること！質問と回答例文</t>
        </is>
      </c>
      <c r="C556" s="6" t="inlineStr">
        <is>
          <t>https://dym.asia/media/recruiting/internship-interview/</t>
        </is>
      </c>
      <c r="D556" s="12" t="inlineStr">
        <is>
          <t>2025.09.10</t>
        </is>
      </c>
      <c r="E556" s="12" t="inlineStr">
        <is>
          <t>2025.09.10</t>
        </is>
      </c>
      <c r="F556" s="47" t="inlineStr">
        <is>
          <t>求職者</t>
        </is>
      </c>
      <c r="G556" s="47" t="n"/>
      <c r="H556" s="47" t="inlineStr">
        <is>
          <t>新卒</t>
        </is>
      </c>
      <c r="I556" s="6" t="inlineStr">
        <is>
          <t>https://www.meetscompany.jp/</t>
        </is>
      </c>
      <c r="J556" s="15" t="inlineStr">
        <is>
          <t>https://dym.asia/services/new-graduates/new-graduate-recruitment/</t>
        </is>
      </c>
      <c r="K556" s="47" t="n"/>
      <c r="L556" s="47" t="n"/>
    </row>
    <row r="557">
      <c r="A557" s="52">
        <f>row()-1</f>
        <v/>
      </c>
      <c r="B557" s="46" t="inlineStr">
        <is>
          <t>会社説明会、受付時間の何分前に来るべき？マナーとして正しい時間は？</t>
        </is>
      </c>
      <c r="C557" s="10" t="inlineStr">
        <is>
          <t>https://dym.asia/media/recruiting/session-when-arrive/</t>
        </is>
      </c>
      <c r="D557" s="12" t="inlineStr">
        <is>
          <t>2025.03.28</t>
        </is>
      </c>
      <c r="E557" s="12" t="inlineStr">
        <is>
          <t>2025.10.27</t>
        </is>
      </c>
      <c r="F557" s="47" t="inlineStr">
        <is>
          <t>求職者</t>
        </is>
      </c>
      <c r="G557" s="47" t="n"/>
      <c r="H557" s="47" t="inlineStr">
        <is>
          <t>新卒</t>
        </is>
      </c>
      <c r="I557" s="6" t="inlineStr">
        <is>
          <t>https://www.meetscompany.jp/</t>
        </is>
      </c>
      <c r="J557" s="15" t="inlineStr">
        <is>
          <t>https://dym.asia/services/new-graduates/new-graduate-recruitment/</t>
        </is>
      </c>
      <c r="K557" s="47" t="n"/>
      <c r="L557" s="47" t="n"/>
    </row>
    <row r="558">
      <c r="A558" s="52">
        <f>row()-1</f>
        <v/>
      </c>
      <c r="B558" s="46" t="inlineStr">
        <is>
          <t>35歳からの転職は遅い？未経験転職の現状と転職を成功させるポイントを解説</t>
        </is>
      </c>
      <c r="C558" s="6" t="inlineStr">
        <is>
          <t>https://dym.asia/media/recruiting/35-job-change/</t>
        </is>
      </c>
      <c r="D558" s="12" t="inlineStr">
        <is>
          <t>2025.03.27</t>
        </is>
      </c>
      <c r="E558" s="12" t="inlineStr">
        <is>
          <t>2025.03.27</t>
        </is>
      </c>
      <c r="F558" s="47" t="inlineStr">
        <is>
          <t>求職者</t>
        </is>
      </c>
      <c r="G558" s="47" t="n"/>
      <c r="H558" s="47" t="inlineStr">
        <is>
          <t>中途・第二新卒</t>
        </is>
      </c>
      <c r="I558" s="6" t="inlineStr">
        <is>
          <t>https://www.dshu.jp/</t>
        </is>
      </c>
      <c r="J558" s="15" t="inlineStr">
        <is>
          <t>https://dym.asia/services/new-graduates/high-class/</t>
        </is>
      </c>
      <c r="K558" s="47" t="n"/>
      <c r="L558" s="47" t="n"/>
    </row>
    <row r="559">
      <c r="A559" s="52">
        <f>row()-1</f>
        <v/>
      </c>
      <c r="B559" s="46" t="inlineStr">
        <is>
          <t>面接練習の効果的なやり方｜就活・転職に役立つ対策や一人でできる練習方法</t>
        </is>
      </c>
      <c r="C559" s="6" t="inlineStr">
        <is>
          <t>https://dym.asia/media/recruiting/interview-practice/</t>
        </is>
      </c>
      <c r="D559" s="12" t="inlineStr">
        <is>
          <t>2025.06.19</t>
        </is>
      </c>
      <c r="E559" s="12" t="inlineStr">
        <is>
          <t>2025.09.08</t>
        </is>
      </c>
      <c r="F559" s="47" t="inlineStr">
        <is>
          <t>求職者</t>
        </is>
      </c>
      <c r="G559" s="47" t="n"/>
      <c r="H559" s="47" t="inlineStr">
        <is>
          <t>新卒</t>
        </is>
      </c>
      <c r="I559" s="6" t="inlineStr">
        <is>
          <t>https://www.meetscompany.jp/</t>
        </is>
      </c>
      <c r="J559" s="10" t="inlineStr">
        <is>
          <t>https://dym.asia/services/new-graduates/new-graduate-recruitment/</t>
        </is>
      </c>
      <c r="K559" s="47" t="n"/>
      <c r="L559" s="47" t="n"/>
    </row>
    <row r="560">
      <c r="A560" s="52">
        <f>row()-1</f>
        <v/>
      </c>
      <c r="B560" s="46" t="inlineStr">
        <is>
          <t>マネジメント経験とは？その定義、必要性、そしてキャリアアップへの影響</t>
        </is>
      </c>
      <c r="C560" s="6" t="inlineStr">
        <is>
          <t>https://dym.asia/media/recruiting/management-experience/</t>
        </is>
      </c>
      <c r="D560" s="12" t="inlineStr">
        <is>
          <t>2025.03.28</t>
        </is>
      </c>
      <c r="E560" s="12" t="inlineStr">
        <is>
          <t>2025.03.28</t>
        </is>
      </c>
      <c r="F560" s="47" t="inlineStr">
        <is>
          <t>求職者</t>
        </is>
      </c>
      <c r="G560" s="47" t="n"/>
      <c r="H560" s="47" t="inlineStr">
        <is>
          <t>顧問登録</t>
        </is>
      </c>
      <c r="I560" s="6" t="inlineStr">
        <is>
          <t>https://www.dshu.jp/</t>
        </is>
      </c>
      <c r="J560" s="10" t="inlineStr">
        <is>
          <t>https://dym.asia/services/new-graduates/Former-graduate/</t>
        </is>
      </c>
      <c r="K560" s="47" t="n"/>
      <c r="L560" s="47" t="n"/>
    </row>
    <row r="561">
      <c r="A561" s="52">
        <f>row()-1</f>
        <v/>
      </c>
      <c r="B561" s="46" t="inlineStr">
        <is>
          <t>未経験でWebマーケターになるには？マーケティング資格や派遣の活用法を紹介</t>
        </is>
      </c>
      <c r="C561" s="6" t="inlineStr">
        <is>
          <t>https://dym.asia/media/recruiting/marketing-temporary-inexperienced/</t>
        </is>
      </c>
      <c r="D561" s="12" t="inlineStr">
        <is>
          <t>2025.03.27</t>
        </is>
      </c>
      <c r="E561" s="12" t="inlineStr">
        <is>
          <t>2025.03.27</t>
        </is>
      </c>
      <c r="F561" s="47" t="inlineStr">
        <is>
          <t>求職者</t>
        </is>
      </c>
      <c r="G561" s="47" t="n"/>
      <c r="H561" s="47" t="inlineStr">
        <is>
          <t>フリーランス</t>
        </is>
      </c>
      <c r="I561" s="6" t="inlineStr">
        <is>
          <t>https://dym-tech.jp/</t>
        </is>
      </c>
      <c r="J561" s="15" t="inlineStr">
        <is>
          <t>https://dym.asia/services/new-graduates/dym-tech/</t>
        </is>
      </c>
      <c r="K561" s="47" t="n"/>
      <c r="L561" s="47" t="n"/>
    </row>
    <row r="562">
      <c r="A562" s="52">
        <f>row()-1</f>
        <v/>
      </c>
      <c r="B562" s="46" t="inlineStr">
        <is>
          <t>新卒採用イベント開催！自社の魅力を伝える方法</t>
        </is>
      </c>
      <c r="C562" s="6" t="inlineStr">
        <is>
          <t>https://dym.asia/media/recruiting/new-graduate-event/</t>
        </is>
      </c>
      <c r="D562" s="12" t="inlineStr">
        <is>
          <t>2025.03.26</t>
        </is>
      </c>
      <c r="E562" s="12" t="inlineStr">
        <is>
          <t>2025.03.26</t>
        </is>
      </c>
      <c r="F562" s="47" t="inlineStr">
        <is>
          <t>求職者</t>
        </is>
      </c>
      <c r="G562" s="47" t="n"/>
      <c r="H562" s="47" t="inlineStr">
        <is>
          <t>新卒</t>
        </is>
      </c>
      <c r="I562" s="6" t="inlineStr">
        <is>
          <t>https://www.meetscompany.jp/</t>
        </is>
      </c>
      <c r="J562" s="15" t="inlineStr">
        <is>
          <t>https://dym.asia/services/new-graduates/new-graduate-recruitment/</t>
        </is>
      </c>
      <c r="K562" s="47" t="n"/>
      <c r="L562" s="47" t="n"/>
    </row>
    <row r="563">
      <c r="A563" s="52">
        <f>row()-1</f>
        <v/>
      </c>
      <c r="B563" s="46" t="inlineStr">
        <is>
          <t>サマーインターンとは？時期や内容、参加するメリットを紹介</t>
        </is>
      </c>
      <c r="C563" s="6" t="inlineStr">
        <is>
          <t>https://dym.asia/media/recruiting/summer-internship/</t>
        </is>
      </c>
      <c r="D563" s="12" t="inlineStr">
        <is>
          <t>2025.03.28</t>
        </is>
      </c>
      <c r="E563" s="12" t="inlineStr">
        <is>
          <t>2025.05.13</t>
        </is>
      </c>
      <c r="F563" s="47" t="inlineStr">
        <is>
          <t>求職者</t>
        </is>
      </c>
      <c r="G563" s="47" t="n"/>
      <c r="H563" s="47" t="inlineStr">
        <is>
          <t>新卒</t>
        </is>
      </c>
      <c r="I563" s="6" t="inlineStr">
        <is>
          <t>https://www.meetscompany.jp/</t>
        </is>
      </c>
      <c r="J563" s="15" t="inlineStr">
        <is>
          <t>https://dym.asia/services/new-graduates/new-graduate-recruitment/</t>
        </is>
      </c>
      <c r="K563" s="47" t="n"/>
      <c r="L563" s="47" t="n"/>
    </row>
    <row r="564">
      <c r="A564" s="52">
        <f>row()-1</f>
        <v/>
      </c>
      <c r="B564" s="46" t="inlineStr">
        <is>
          <t>就活の会社説明会とは？開催の種類や参加方法を解説</t>
        </is>
      </c>
      <c r="C564" s="6" t="inlineStr">
        <is>
          <t>https://dym.asia/media/recruiting/about-company-session/</t>
        </is>
      </c>
      <c r="D564" s="12" t="inlineStr">
        <is>
          <t>2025.03.28</t>
        </is>
      </c>
      <c r="E564" s="12" t="inlineStr">
        <is>
          <t>2025.03.28</t>
        </is>
      </c>
      <c r="F564" s="47" t="inlineStr">
        <is>
          <t>求職者</t>
        </is>
      </c>
      <c r="G564" s="47" t="n"/>
      <c r="H564" s="47" t="inlineStr">
        <is>
          <t>新卒</t>
        </is>
      </c>
      <c r="I564" s="6" t="inlineStr">
        <is>
          <t>https://www.meetscompany.jp/</t>
        </is>
      </c>
      <c r="J564" s="15" t="inlineStr">
        <is>
          <t>https://dym.asia/services/new-graduates/new-graduate-recruitment/</t>
        </is>
      </c>
      <c r="K564" s="47" t="n"/>
      <c r="L564" s="47" t="n"/>
    </row>
    <row r="565">
      <c r="A565" s="52">
        <f>row()-1</f>
        <v/>
      </c>
      <c r="B565" s="46" t="inlineStr">
        <is>
          <t>求職者支援制度とは？給付金や職業訓練の内容、対象者・条件、手続きを解説</t>
        </is>
      </c>
      <c r="C565" s="6" t="inlineStr">
        <is>
          <t>https://dym.asia/media/recruiting/job-seeker-support/</t>
        </is>
      </c>
      <c r="D565" s="12" t="inlineStr">
        <is>
          <t>2025.04.08</t>
        </is>
      </c>
      <c r="E565" s="12" t="inlineStr">
        <is>
          <t>2025.07.02</t>
        </is>
      </c>
      <c r="F565" s="47" t="inlineStr">
        <is>
          <t>求職者</t>
        </is>
      </c>
      <c r="G565" s="47" t="n"/>
      <c r="H565" s="47" t="inlineStr">
        <is>
          <t>その他</t>
        </is>
      </c>
      <c r="I565" s="6" t="inlineStr">
        <is>
          <t>https://www.meetscompany.jp/</t>
        </is>
      </c>
      <c r="J565" s="15" t="inlineStr">
        <is>
          <t>https://dym.asia/services/new-graduates/new-graduate-recruitment/</t>
        </is>
      </c>
      <c r="K565" s="47" t="n"/>
      <c r="L565" s="47" t="n"/>
    </row>
    <row r="566">
      <c r="A566" s="52">
        <f>row()-1</f>
        <v/>
      </c>
      <c r="B566" s="46" t="inlineStr">
        <is>
          <t>会社説明会に参加した後、お礼メールのポイント</t>
        </is>
      </c>
      <c r="C566" s="10" t="inlineStr">
        <is>
          <t>https://dym.asia/media/recruiting/session-mail/</t>
        </is>
      </c>
      <c r="D566" s="12" t="inlineStr">
        <is>
          <t>2025.03.28</t>
        </is>
      </c>
      <c r="E566" s="12" t="inlineStr">
        <is>
          <t>2025.10.27</t>
        </is>
      </c>
      <c r="F566" s="47" t="inlineStr">
        <is>
          <t>求職者</t>
        </is>
      </c>
      <c r="G566" s="47" t="n"/>
      <c r="H566" s="47" t="inlineStr">
        <is>
          <t>新卒</t>
        </is>
      </c>
      <c r="I566" s="6" t="inlineStr">
        <is>
          <t>https://www.meetscompany.jp/</t>
        </is>
      </c>
      <c r="J566" s="15" t="inlineStr">
        <is>
          <t>https://dym.asia/services/new-graduates/new-graduate-recruitment/</t>
        </is>
      </c>
      <c r="K566" s="47" t="n"/>
      <c r="L566" s="47" t="n"/>
    </row>
    <row r="567">
      <c r="A567" s="52">
        <f>row()-1</f>
        <v/>
      </c>
      <c r="B567" s="46" t="inlineStr">
        <is>
          <t>内定承諾書とは？添え状、封筒の書き方、メール送った後も辞退は可能？</t>
        </is>
      </c>
      <c r="C567" s="6" t="inlineStr">
        <is>
          <t>https://dym.asia/media/recruiting/informal-acceptance-letter/</t>
        </is>
      </c>
      <c r="D567" s="12" t="inlineStr">
        <is>
          <t>2025.03.28</t>
        </is>
      </c>
      <c r="E567" s="12" t="inlineStr">
        <is>
          <t>2025.10.27</t>
        </is>
      </c>
      <c r="F567" s="47" t="inlineStr">
        <is>
          <t>求職者</t>
        </is>
      </c>
      <c r="G567" s="47" t="n"/>
      <c r="H567" s="47" t="inlineStr">
        <is>
          <t>新卒</t>
        </is>
      </c>
      <c r="I567" s="6" t="inlineStr">
        <is>
          <t>https://www.meetscompany.jp/</t>
        </is>
      </c>
      <c r="J567" s="15" t="inlineStr">
        <is>
          <t>https://dym.asia/services/new-graduates/new-graduate-recruitment/</t>
        </is>
      </c>
      <c r="K567" s="47" t="n"/>
      <c r="L567" s="47" t="n"/>
    </row>
    <row r="568">
      <c r="A568" s="52">
        <f>row()-1</f>
        <v/>
      </c>
      <c r="B568" s="46" t="inlineStr">
        <is>
          <t>自己分析のやり方6選！自分に合う方法で強みを見つけよう</t>
        </is>
      </c>
      <c r="C568" s="6" t="inlineStr">
        <is>
          <t>https://dym.asia/media/recruiting/self-analysis/</t>
        </is>
      </c>
      <c r="D568" s="12" t="inlineStr">
        <is>
          <t>2025.06.11</t>
        </is>
      </c>
      <c r="E568" s="12" t="inlineStr">
        <is>
          <t>2025.09.08</t>
        </is>
      </c>
      <c r="F568" s="47" t="inlineStr">
        <is>
          <t>求職者</t>
        </is>
      </c>
      <c r="G568" s="47" t="n"/>
      <c r="H568" s="47" t="inlineStr">
        <is>
          <t>新卒</t>
        </is>
      </c>
      <c r="I568" s="6" t="inlineStr">
        <is>
          <t>https://www.meetscompany.jp/</t>
        </is>
      </c>
      <c r="J568" s="15" t="inlineStr">
        <is>
          <t>https://dym.asia/services/new-graduates/new-graduate-recruitment/</t>
        </is>
      </c>
      <c r="K568" s="47" t="n"/>
      <c r="L568" s="47" t="n"/>
    </row>
    <row r="569">
      <c r="A569" s="52">
        <f>row()-1</f>
        <v/>
      </c>
      <c r="B569" s="46" t="inlineStr">
        <is>
          <t>就活・面接で好印象な髪型は？男女別・髪色・髪の長さも合わせて解説</t>
        </is>
      </c>
      <c r="C569" s="10" t="inlineStr">
        <is>
          <t>https://dym.asia/media/recruiting/session-hairstyle/</t>
        </is>
      </c>
      <c r="D569" s="12" t="inlineStr">
        <is>
          <t>2025.03.28</t>
        </is>
      </c>
      <c r="E569" s="12" t="inlineStr">
        <is>
          <t>2025.03.28</t>
        </is>
      </c>
      <c r="F569" s="47" t="inlineStr">
        <is>
          <t>求職者</t>
        </is>
      </c>
      <c r="G569" s="47" t="n"/>
      <c r="H569" s="47" t="inlineStr">
        <is>
          <t>新卒</t>
        </is>
      </c>
      <c r="I569" s="6" t="inlineStr">
        <is>
          <t>https://www.meetscompany.jp/</t>
        </is>
      </c>
      <c r="J569" s="15" t="inlineStr">
        <is>
          <t>https://dym.asia/services/new-graduates/new-graduate-recruitment/</t>
        </is>
      </c>
      <c r="K569" s="47" t="n"/>
      <c r="L569" s="47" t="n"/>
    </row>
    <row r="570">
      <c r="A570" s="52">
        <f>row()-1</f>
        <v/>
      </c>
      <c r="B570" s="46" t="inlineStr">
        <is>
          <t>インターンの早期選考とは？企業から呼ばれるための就活方法</t>
        </is>
      </c>
      <c r="C570" s="6" t="inlineStr">
        <is>
          <t>https://dym.asia/media/recruiting/internship-early-selection/</t>
        </is>
      </c>
      <c r="D570" s="12" t="inlineStr">
        <is>
          <t>2025.03.28</t>
        </is>
      </c>
      <c r="E570" s="12" t="inlineStr">
        <is>
          <t>2025.10.27</t>
        </is>
      </c>
      <c r="F570" s="47" t="inlineStr">
        <is>
          <t>求職者</t>
        </is>
      </c>
      <c r="G570" s="47" t="n"/>
      <c r="H570" s="47" t="inlineStr">
        <is>
          <t>新卒</t>
        </is>
      </c>
      <c r="I570" s="6" t="inlineStr">
        <is>
          <t>https://www.meetscompany.jp/</t>
        </is>
      </c>
      <c r="J570" s="15" t="inlineStr">
        <is>
          <t>https://dym.asia/services/new-graduates/new-graduate-recruitment/</t>
        </is>
      </c>
      <c r="K570" s="47" t="n"/>
      <c r="L570" s="47" t="n"/>
    </row>
    <row r="571">
      <c r="A571" s="52">
        <f>row()-1</f>
        <v/>
      </c>
      <c r="B571" s="46" t="inlineStr">
        <is>
          <t>新卒のためのスタートアップ選びのポイント | ベンチャー企業での就活成功法</t>
        </is>
      </c>
      <c r="C571" s="6" t="inlineStr">
        <is>
          <t>https://dym.asia/media/recruiting/new-graduate-startup/</t>
        </is>
      </c>
      <c r="D571" s="12" t="inlineStr">
        <is>
          <t>2025.03.26</t>
        </is>
      </c>
      <c r="E571" s="12" t="inlineStr">
        <is>
          <t>2025.03.26</t>
        </is>
      </c>
      <c r="F571" s="47" t="inlineStr">
        <is>
          <t>求職者</t>
        </is>
      </c>
      <c r="G571" s="47" t="n"/>
      <c r="H571" s="47" t="inlineStr">
        <is>
          <t>新卒</t>
        </is>
      </c>
      <c r="I571" s="6" t="inlineStr">
        <is>
          <t>https://www.meetscompany.jp/</t>
        </is>
      </c>
      <c r="J571" s="15" t="inlineStr">
        <is>
          <t>https://dym.asia/services/new-graduates/new-graduate-recruitment/</t>
        </is>
      </c>
      <c r="K571" s="47" t="n"/>
      <c r="L571" s="47" t="n"/>
    </row>
    <row r="572">
      <c r="A572" s="52">
        <f>row()-1</f>
        <v/>
      </c>
      <c r="B572" s="46" t="inlineStr">
        <is>
          <t>自己肯定感とは？高い人と低い人の特徴や高める方法を解説！</t>
        </is>
      </c>
      <c r="C572" s="6" t="inlineStr">
        <is>
          <t>https://dym.asia/media/recruiting/self-affirmation/</t>
        </is>
      </c>
      <c r="D572" s="12" t="inlineStr">
        <is>
          <t>2025.03.28</t>
        </is>
      </c>
      <c r="E572" s="12" t="inlineStr">
        <is>
          <t>2025.03.28</t>
        </is>
      </c>
      <c r="F572" s="47" t="inlineStr">
        <is>
          <t>求職者</t>
        </is>
      </c>
      <c r="G572" s="47" t="n"/>
      <c r="H572" s="47" t="inlineStr">
        <is>
          <t>新卒</t>
        </is>
      </c>
      <c r="I572" s="6" t="inlineStr">
        <is>
          <t>https://www.meetscompany.jp/</t>
        </is>
      </c>
      <c r="J572" s="15" t="inlineStr">
        <is>
          <t>https://dym.asia/services/new-graduates/new-graduate-recruitment/</t>
        </is>
      </c>
      <c r="K572" s="47" t="n"/>
      <c r="L572" s="47" t="n"/>
    </row>
    <row r="573">
      <c r="A573" s="52">
        <f>row()-1</f>
        <v/>
      </c>
      <c r="B573" s="46" t="inlineStr">
        <is>
          <t>会社説明会の必須持ち物はこれ！就活に必要なアイテムリスト</t>
        </is>
      </c>
      <c r="C573" s="6" t="inlineStr">
        <is>
          <t>https://dym.asia/media/recruiting/session-bringing/</t>
        </is>
      </c>
      <c r="D573" s="12" t="inlineStr">
        <is>
          <t>2025.03.28</t>
        </is>
      </c>
      <c r="E573" s="12" t="inlineStr">
        <is>
          <t>2025.10.27</t>
        </is>
      </c>
      <c r="F573" s="47" t="inlineStr">
        <is>
          <t>求職者</t>
        </is>
      </c>
      <c r="G573" s="47" t="n"/>
      <c r="H573" s="47" t="inlineStr">
        <is>
          <t>新卒</t>
        </is>
      </c>
      <c r="I573" s="6" t="inlineStr">
        <is>
          <t>https://www.meetscompany.jp/</t>
        </is>
      </c>
      <c r="J573" s="15" t="inlineStr">
        <is>
          <t>https://dym.asia/services/new-graduates/new-graduate-recruitment/</t>
        </is>
      </c>
      <c r="K573" s="47" t="n"/>
      <c r="L573" s="47" t="n"/>
    </row>
    <row r="574">
      <c r="A574" s="52">
        <f>row()-1</f>
        <v/>
      </c>
      <c r="B574" s="46" t="inlineStr">
        <is>
          <t>キャリアとは？仕事や人生における意味を解説</t>
        </is>
      </c>
      <c r="C574" s="6" t="inlineStr">
        <is>
          <t>https://dym.asia/media/recruiting/career/</t>
        </is>
      </c>
      <c r="D574" s="12" t="inlineStr">
        <is>
          <t>2025.03.28</t>
        </is>
      </c>
      <c r="E574" s="12" t="inlineStr">
        <is>
          <t>2025.03.28</t>
        </is>
      </c>
      <c r="F574" s="47" t="inlineStr">
        <is>
          <t>求職者</t>
        </is>
      </c>
      <c r="G574" s="47" t="n"/>
      <c r="H574" s="47" t="inlineStr">
        <is>
          <t>新卒</t>
        </is>
      </c>
      <c r="I574" s="6" t="inlineStr">
        <is>
          <t>https://www.meetscompany.jp/</t>
        </is>
      </c>
      <c r="J574" s="15" t="inlineStr">
        <is>
          <t>https://dym.asia/services/new-graduates/new-graduate-recruitment/</t>
        </is>
      </c>
      <c r="K574" s="47" t="n"/>
      <c r="L574" s="47" t="n"/>
    </row>
    <row r="575">
      <c r="A575" s="52">
        <f>row()-1</f>
        <v/>
      </c>
      <c r="B575" s="46" t="inlineStr">
        <is>
          <t>最終面接に落ちる理由と対策！転職活動でよくある不合格の理由や確率</t>
        </is>
      </c>
      <c r="C575" s="6" t="inlineStr">
        <is>
          <t>https://dym.asia/media/recruiting/final-interview-rejection/</t>
        </is>
      </c>
      <c r="D575" s="12" t="inlineStr">
        <is>
          <t>2025.09.08</t>
        </is>
      </c>
      <c r="E575" s="12" t="inlineStr">
        <is>
          <t>2025.09.08</t>
        </is>
      </c>
      <c r="F575" s="47" t="inlineStr">
        <is>
          <t>求職者</t>
        </is>
      </c>
      <c r="G575" s="47" t="n"/>
      <c r="H575" s="47" t="inlineStr">
        <is>
          <t>新卒</t>
        </is>
      </c>
      <c r="I575" s="6" t="inlineStr">
        <is>
          <t>https://www.meetscompany.jp/</t>
        </is>
      </c>
      <c r="J575" s="15" t="inlineStr">
        <is>
          <t>https://dym.asia/services/new-graduates/new-graduate-recruitment/</t>
        </is>
      </c>
      <c r="K575" s="47" t="n"/>
      <c r="L575" s="47" t="n"/>
    </row>
    <row r="576">
      <c r="A576" s="52">
        <f>row()-1</f>
        <v/>
      </c>
      <c r="B576" s="46" t="inlineStr">
        <is>
          <t>30代からの転職は厳しい？失敗と成功のカギ</t>
        </is>
      </c>
      <c r="C576" s="6" t="inlineStr">
        <is>
          <t>https://dym.asia/media/recruiting/30s-job-change/</t>
        </is>
      </c>
      <c r="D576" s="12" t="inlineStr">
        <is>
          <t>2025.03.28</t>
        </is>
      </c>
      <c r="E576" s="12" t="inlineStr">
        <is>
          <t>2025.10.27</t>
        </is>
      </c>
      <c r="F576" s="47" t="inlineStr">
        <is>
          <t>求職者</t>
        </is>
      </c>
      <c r="G576" s="47" t="n"/>
      <c r="H576" s="47" t="inlineStr">
        <is>
          <t>新卒</t>
        </is>
      </c>
      <c r="I576" s="17" t="inlineStr">
        <is>
          <t xml:space="preserve">　　　　　　　URLが無効でした。</t>
        </is>
      </c>
      <c r="J576" s="10" t="inlineStr">
        <is>
          <t>https://dym.asia/services/new-graduates/Former-graduate/</t>
        </is>
      </c>
      <c r="K576" s="47" t="n"/>
      <c r="L576" s="47" t="n"/>
    </row>
    <row r="577">
      <c r="A577" s="52">
        <f>row()-1</f>
        <v/>
      </c>
      <c r="B577" s="46" t="inlineStr">
        <is>
          <t>カジュアル面談とは？面接との違いや準備のポイント・流れを解説</t>
        </is>
      </c>
      <c r="C577" s="6" t="inlineStr">
        <is>
          <t>https://dym.asia/media/recruiting/casual-interview/</t>
        </is>
      </c>
      <c r="D577" s="12" t="inlineStr">
        <is>
          <t>2025.06.19</t>
        </is>
      </c>
      <c r="E577" s="12" t="inlineStr">
        <is>
          <t>2025.09.08</t>
        </is>
      </c>
      <c r="F577" s="47" t="inlineStr">
        <is>
          <t>求職者</t>
        </is>
      </c>
      <c r="G577" s="47" t="n"/>
      <c r="H577" s="47" t="inlineStr">
        <is>
          <t>新卒</t>
        </is>
      </c>
      <c r="I577" s="6" t="inlineStr">
        <is>
          <t>https://www.meetscompany.jp/</t>
        </is>
      </c>
      <c r="J577" s="15" t="inlineStr">
        <is>
          <t>https://dym.asia/services/new-graduates/new-graduate-recruitment/</t>
        </is>
      </c>
      <c r="K577" s="47" t="n"/>
      <c r="L577" s="47" t="n"/>
    </row>
    <row r="578">
      <c r="A578" s="52">
        <f>row()-1</f>
        <v/>
      </c>
      <c r="B578" s="46" t="inlineStr">
        <is>
          <t>第二新卒と中途採用の違いって？どっちが転職に有利なのか解説</t>
        </is>
      </c>
      <c r="C578" s="6" t="inlineStr">
        <is>
          <t>https://dym.asia/media/recruiting/differance-former2/</t>
        </is>
      </c>
      <c r="D578" s="12" t="inlineStr">
        <is>
          <t>2025.03.28</t>
        </is>
      </c>
      <c r="E578" s="12" t="inlineStr">
        <is>
          <t>2025.03.28</t>
        </is>
      </c>
      <c r="F578" s="47" t="inlineStr">
        <is>
          <t>求職者</t>
        </is>
      </c>
      <c r="G578" s="47" t="n"/>
      <c r="H578" s="47" t="inlineStr">
        <is>
          <t>中途・第二新卒</t>
        </is>
      </c>
      <c r="I578" s="6" t="inlineStr">
        <is>
          <t>https://www.dshu.jp/</t>
        </is>
      </c>
      <c r="J578" s="10" t="inlineStr">
        <is>
          <t>https://dym.asia/services/new-graduates/Former-graduate/</t>
        </is>
      </c>
      <c r="K578" s="47" t="n"/>
      <c r="L578" s="47" t="n"/>
    </row>
    <row r="579">
      <c r="A579" s="52">
        <f>row()-1</f>
        <v/>
      </c>
      <c r="B579" s="46" t="inlineStr">
        <is>
          <t>適性検査「性格診断」で落ちる原因と対策方法</t>
        </is>
      </c>
      <c r="C579" s="6" t="inlineStr">
        <is>
          <t>https://dym.asia/media/recruiting/tekisei-test-countermeasures/</t>
        </is>
      </c>
      <c r="D579" s="12" t="inlineStr">
        <is>
          <t>2025.04.11</t>
        </is>
      </c>
      <c r="E579" s="12" t="inlineStr">
        <is>
          <t>2025.04.22</t>
        </is>
      </c>
      <c r="F579" s="47" t="inlineStr">
        <is>
          <t>求職者</t>
        </is>
      </c>
      <c r="G579" s="47" t="n"/>
      <c r="H579" s="47" t="inlineStr">
        <is>
          <t>新卒</t>
        </is>
      </c>
      <c r="I579" s="6" t="inlineStr">
        <is>
          <t>https://www.meetscompany.jp/</t>
        </is>
      </c>
      <c r="J579" s="15" t="inlineStr">
        <is>
          <t>https://dym.asia/services/new-graduates/new-graduate-recruitment/</t>
        </is>
      </c>
      <c r="K579" s="47" t="n"/>
      <c r="L579" s="47" t="n"/>
    </row>
    <row r="580">
      <c r="A580" s="52">
        <f>row()-1</f>
        <v/>
      </c>
      <c r="B580" s="46" t="inlineStr">
        <is>
          <t>メラビアンの法則とは？第一印象が「見た目」の9割？</t>
        </is>
      </c>
      <c r="C580" s="6" t="inlineStr">
        <is>
          <t>https://dym.asia/media/recruiting/the-rule-of-mehrabian/</t>
        </is>
      </c>
      <c r="D580" s="12" t="inlineStr">
        <is>
          <t>2025.03.28</t>
        </is>
      </c>
      <c r="E580" s="12" t="inlineStr">
        <is>
          <t>2025.03.28</t>
        </is>
      </c>
      <c r="F580" s="47" t="inlineStr">
        <is>
          <t>求職者</t>
        </is>
      </c>
      <c r="G580" s="47" t="n"/>
      <c r="H580" s="47" t="inlineStr">
        <is>
          <t>新卒</t>
        </is>
      </c>
      <c r="I580" s="6" t="inlineStr">
        <is>
          <t>https://www.meetscompany.jp/</t>
        </is>
      </c>
      <c r="J580" s="15" t="inlineStr">
        <is>
          <t>https://dym.asia/services/new-graduates/new-graduate-recruitment/</t>
        </is>
      </c>
      <c r="K580" s="47" t="n"/>
      <c r="L580" s="47" t="n"/>
    </row>
    <row r="581">
      <c r="A581" s="52">
        <f>row()-1</f>
        <v/>
      </c>
      <c r="B581" s="46" t="inlineStr">
        <is>
          <t>体育会学生の就活は有利？強みをアピールするポイント</t>
        </is>
      </c>
      <c r="C581" s="6" t="inlineStr">
        <is>
          <t>https://dym.asia/media/recruiting/athlete-job-hunting/</t>
        </is>
      </c>
      <c r="D581" s="12" t="inlineStr">
        <is>
          <t>2025.03.26</t>
        </is>
      </c>
      <c r="E581" s="12" t="inlineStr">
        <is>
          <t>2025.03.26</t>
        </is>
      </c>
      <c r="F581" s="47" t="inlineStr">
        <is>
          <t>求職者</t>
        </is>
      </c>
      <c r="G581" s="47" t="n"/>
      <c r="H581" s="47" t="inlineStr">
        <is>
          <t>新卒</t>
        </is>
      </c>
      <c r="I581" s="6" t="inlineStr">
        <is>
          <t>https://www.meetscompany.jp/</t>
        </is>
      </c>
      <c r="J581" s="15" t="inlineStr">
        <is>
          <t>https://dym.asia/services/new-graduates/new-graduate-recruitment/</t>
        </is>
      </c>
      <c r="K581" s="47" t="n"/>
      <c r="L581" s="47" t="n"/>
    </row>
    <row r="582">
      <c r="A582" s="52">
        <f>row()-1</f>
        <v/>
      </c>
      <c r="B582" s="46" t="inlineStr">
        <is>
          <t>会社説明会攻略！就活時の質問の仕方やマナー、浮かばない時の対処法を解説</t>
        </is>
      </c>
      <c r="C582" s="6" t="inlineStr">
        <is>
          <t>https://dym.asia/media/recruiting/career-fair-question/</t>
        </is>
      </c>
      <c r="D582" s="12" t="inlineStr">
        <is>
          <t>2025.03.28</t>
        </is>
      </c>
      <c r="E582" s="12" t="inlineStr">
        <is>
          <t>2025.03.28</t>
        </is>
      </c>
      <c r="F582" s="47" t="inlineStr">
        <is>
          <t>求職者</t>
        </is>
      </c>
      <c r="G582" s="47" t="n"/>
      <c r="H582" s="47" t="inlineStr">
        <is>
          <t>新卒</t>
        </is>
      </c>
      <c r="I582" s="6" t="inlineStr">
        <is>
          <t>https://www.meetscompany.jp/</t>
        </is>
      </c>
      <c r="J582" s="15" t="inlineStr">
        <is>
          <t>https://dym.asia/services/new-graduates/new-graduate-recruitment/</t>
        </is>
      </c>
      <c r="K582" s="47" t="n"/>
      <c r="L582" s="47" t="n"/>
    </row>
    <row r="583">
      <c r="A583" s="52">
        <f>row()-1</f>
        <v/>
      </c>
      <c r="B583" s="46" t="inlineStr">
        <is>
          <t>ESFJ（領事官）の性格診断、相性、仕事を紹介</t>
        </is>
      </c>
      <c r="C583" s="10" t="inlineStr">
        <is>
          <t>https://dym.asia/media/recruiting/esfj/#index-ESFJESFJtoc</t>
        </is>
      </c>
      <c r="D583" s="12" t="inlineStr">
        <is>
          <t>2025.04.16</t>
        </is>
      </c>
      <c r="E583" s="12" t="inlineStr">
        <is>
          <t>2025.10.27</t>
        </is>
      </c>
      <c r="F583" s="47" t="inlineStr">
        <is>
          <t>求職者</t>
        </is>
      </c>
      <c r="G583" s="47" t="n"/>
      <c r="H583" s="47" t="inlineStr">
        <is>
          <t>中途・第二新卒</t>
        </is>
      </c>
      <c r="I583" s="6" t="inlineStr">
        <is>
          <t>https://www.dshu.jp/</t>
        </is>
      </c>
      <c r="J583" s="10" t="inlineStr">
        <is>
          <t>https://dym.asia/services/new-graduates/Former-graduate/</t>
        </is>
      </c>
      <c r="K583" s="47" t="n"/>
      <c r="L583" s="47" t="n"/>
    </row>
    <row r="584">
      <c r="A584" s="52">
        <f>row()-1</f>
        <v/>
      </c>
      <c r="B584" s="46" t="inlineStr">
        <is>
          <t>面接対策｜面接で聞かれることや質問への回答例・マナーを解説</t>
        </is>
      </c>
      <c r="C584" s="6" t="inlineStr">
        <is>
          <t>https://dym.asia/media/recruiting/job-interview/</t>
        </is>
      </c>
      <c r="D584" s="12" t="inlineStr">
        <is>
          <t>2025.06.19</t>
        </is>
      </c>
      <c r="E584" s="12" t="inlineStr">
        <is>
          <t>2025.09.08</t>
        </is>
      </c>
      <c r="F584" s="47" t="inlineStr">
        <is>
          <t>求職者</t>
        </is>
      </c>
      <c r="G584" s="47" t="n"/>
      <c r="H584" s="47" t="inlineStr">
        <is>
          <t>中途・第二新卒</t>
        </is>
      </c>
      <c r="I584" s="6" t="inlineStr">
        <is>
          <t>https://www.dshu.jp/</t>
        </is>
      </c>
      <c r="J584" s="10" t="inlineStr">
        <is>
          <t>https://dym.asia/services/new-graduates/Former-graduate/</t>
        </is>
      </c>
      <c r="K584" s="47" t="n"/>
      <c r="L584" s="47" t="n"/>
    </row>
    <row r="585">
      <c r="A585" s="52">
        <f>row()-1</f>
        <v/>
      </c>
      <c r="B585" s="46" t="inlineStr">
        <is>
          <t>就活エージェントとは？仕組みやメリット・デメリット・活用方法を解説</t>
        </is>
      </c>
      <c r="C585" s="6" t="inlineStr">
        <is>
          <t>https://dym.asia/media/recruiting/career-agent/</t>
        </is>
      </c>
      <c r="D585" s="12" t="inlineStr">
        <is>
          <t>2025.06.19</t>
        </is>
      </c>
      <c r="E585" s="12" t="inlineStr">
        <is>
          <t>2025.09.08</t>
        </is>
      </c>
      <c r="F585" s="47" t="inlineStr">
        <is>
          <t>求職者</t>
        </is>
      </c>
      <c r="G585" s="47" t="n"/>
      <c r="H585" s="47" t="inlineStr">
        <is>
          <t>新卒</t>
        </is>
      </c>
      <c r="I585" s="6" t="inlineStr">
        <is>
          <t>https://www.meetscompany.jp/</t>
        </is>
      </c>
      <c r="J585" s="15" t="inlineStr">
        <is>
          <t>https://dym.asia/services/new-graduates/new-graduate-recruitment/</t>
        </is>
      </c>
      <c r="K585" s="47" t="n"/>
      <c r="L585" s="47" t="n"/>
    </row>
    <row r="586">
      <c r="A586" s="52">
        <f>row()-1</f>
        <v/>
      </c>
      <c r="B586" s="46" t="inlineStr">
        <is>
          <t>転職したいけどスキルがない……、そんなときの判断基準</t>
        </is>
      </c>
      <c r="C586" s="6" t="inlineStr">
        <is>
          <t>https://dym.asia/media/recruiting/career-change-no-skills/</t>
        </is>
      </c>
      <c r="D586" s="12" t="inlineStr">
        <is>
          <t>2025.04.09</t>
        </is>
      </c>
      <c r="E586" s="12" t="inlineStr">
        <is>
          <t>2025.10.27</t>
        </is>
      </c>
      <c r="F586" s="47" t="inlineStr">
        <is>
          <t>求職者</t>
        </is>
      </c>
      <c r="G586" s="47" t="n"/>
      <c r="H586" s="47" t="inlineStr">
        <is>
          <t>中途・第二新卒</t>
        </is>
      </c>
      <c r="I586" s="6" t="inlineStr">
        <is>
          <t>https://www.dshu.jp/</t>
        </is>
      </c>
      <c r="J586" s="10" t="inlineStr">
        <is>
          <t>https://dym.asia/services/new-graduates/Former-graduate/</t>
        </is>
      </c>
      <c r="K586" s="47" t="n"/>
      <c r="L586" s="47" t="n"/>
    </row>
    <row r="587">
      <c r="A587" s="52">
        <f>row()-1</f>
        <v/>
      </c>
      <c r="B587" s="46" t="inlineStr">
        <is>
          <t>完全週休二日制とは？週休2日との違いや導入企業の割合・確認方法を解説</t>
        </is>
      </c>
      <c r="C587" s="6" t="inlineStr">
        <is>
          <t>https://dym.asia/media/recruiting/complete-five-day-weekend-system/</t>
        </is>
      </c>
      <c r="D587" s="12" t="inlineStr">
        <is>
          <t>2025.06.18</t>
        </is>
      </c>
      <c r="E587" s="12" t="inlineStr">
        <is>
          <t>2025.09.08</t>
        </is>
      </c>
      <c r="F587" s="47" t="inlineStr">
        <is>
          <t>求職者</t>
        </is>
      </c>
      <c r="G587" s="47" t="n"/>
      <c r="H587" s="47" t="inlineStr">
        <is>
          <t>中途・第二新卒</t>
        </is>
      </c>
      <c r="I587" s="6" t="inlineStr">
        <is>
          <t>https://www.dshu.jp/</t>
        </is>
      </c>
      <c r="J587" s="10" t="inlineStr">
        <is>
          <t>https://dym.asia/services/new-graduates/Former-graduate/</t>
        </is>
      </c>
      <c r="K587" s="47" t="n"/>
      <c r="L587" s="47" t="n"/>
    </row>
    <row r="588">
      <c r="A588" s="52">
        <f>row()-1</f>
        <v/>
      </c>
      <c r="B588" s="46" t="inlineStr">
        <is>
          <t>管理職の転職は難しい？転職できないとされる理由と成功の秘訣</t>
        </is>
      </c>
      <c r="C588" s="6" t="inlineStr">
        <is>
          <t>https://dym.asia/media/recruiting/manager-job-change/</t>
        </is>
      </c>
      <c r="D588" s="12" t="inlineStr">
        <is>
          <t>2025.03.27</t>
        </is>
      </c>
      <c r="E588" s="12" t="inlineStr">
        <is>
          <t>2025.03.27</t>
        </is>
      </c>
      <c r="F588" s="47" t="inlineStr">
        <is>
          <t>求職者</t>
        </is>
      </c>
      <c r="G588" s="47" t="n"/>
      <c r="H588" s="47" t="inlineStr">
        <is>
          <t>中途・第二新卒</t>
        </is>
      </c>
      <c r="I588" s="6" t="inlineStr">
        <is>
          <t>https://www.dshu.jp/</t>
        </is>
      </c>
      <c r="J588" s="10" t="inlineStr">
        <is>
          <t>https://dym.asia/services/new-graduates/Former-graduate/</t>
        </is>
      </c>
      <c r="K588" s="47" t="n"/>
      <c r="L588" s="47" t="n"/>
    </row>
    <row r="589">
      <c r="A589" s="52">
        <f>row()-1</f>
        <v/>
      </c>
      <c r="B589" s="46" t="inlineStr">
        <is>
          <t>事務員とは？仕事内容、向いている人やスキル、転職のメリットを解説</t>
        </is>
      </c>
      <c r="C589" s="6" t="inlineStr">
        <is>
          <t>https://dym.asia/media/recruiting/office-workers/</t>
        </is>
      </c>
      <c r="D589" s="12" t="inlineStr">
        <is>
          <t>2025.03.28</t>
        </is>
      </c>
      <c r="E589" s="12" t="inlineStr">
        <is>
          <t>2025.03.28</t>
        </is>
      </c>
      <c r="F589" s="47" t="inlineStr">
        <is>
          <t>求職者</t>
        </is>
      </c>
      <c r="G589" s="47" t="n"/>
      <c r="H589" s="47" t="inlineStr">
        <is>
          <t>派遣</t>
        </is>
      </c>
      <c r="I589" s="6" t="inlineStr">
        <is>
          <t>https://dymcareer.jp/?_gl=1*18cw4rt*_ga*MTI1MjE5NTY3My4xNzU2NDMyNTY0*_ga_ZXCZZJJ72V*czE3Njg5NTc1NTAkbzI3JGcxJHQxNzY4OTcwMTg2JGo2MCRsMCRoMA..</t>
        </is>
      </c>
      <c r="J589" s="10" t="inlineStr">
        <is>
          <t>https://dym.asia/services/new-graduates/Former-graduate/</t>
        </is>
      </c>
      <c r="K589" s="47" t="n"/>
      <c r="L589" s="47" t="n"/>
    </row>
    <row r="590">
      <c r="A590" s="52">
        <f>row()-1</f>
        <v/>
      </c>
      <c r="B590" s="46" t="inlineStr">
        <is>
          <t>転職で必須！履歴書の書き方完全ガイド</t>
        </is>
      </c>
      <c r="C590" s="6" t="inlineStr">
        <is>
          <t>https://dym.asia/media/recruiting/resume-guide/</t>
        </is>
      </c>
      <c r="D590" s="12" t="inlineStr">
        <is>
          <t>2025.09.05</t>
        </is>
      </c>
      <c r="E590" s="12" t="inlineStr">
        <is>
          <t>2025.09.05</t>
        </is>
      </c>
      <c r="F590" s="47" t="inlineStr">
        <is>
          <t>求職者</t>
        </is>
      </c>
      <c r="G590" s="47" t="n"/>
      <c r="H590" s="47" t="inlineStr">
        <is>
          <t>新卒</t>
        </is>
      </c>
      <c r="I590" s="6" t="inlineStr">
        <is>
          <t>https://www.dshu.jp/</t>
        </is>
      </c>
      <c r="J590" s="15" t="inlineStr">
        <is>
          <t>https://dym.asia/services/new-graduates/new-graduate-recruitment/</t>
        </is>
      </c>
      <c r="K590" s="47" t="n"/>
      <c r="L590" s="47" t="n"/>
    </row>
    <row r="591">
      <c r="A591" s="52">
        <f>row()-1</f>
        <v/>
      </c>
      <c r="B591" s="46" t="inlineStr">
        <is>
          <t>理系の職業一覧｜おすすめの仕事・選び方や理系就活の特徴まで徹底解説</t>
        </is>
      </c>
      <c r="C591" s="6" t="inlineStr">
        <is>
          <t>https://dym.asia/media/recruiting/science-field-employment/</t>
        </is>
      </c>
      <c r="D591" s="12" t="inlineStr">
        <is>
          <t>2025.09.05</t>
        </is>
      </c>
      <c r="E591" s="12" t="inlineStr">
        <is>
          <t>2025.09.05</t>
        </is>
      </c>
      <c r="F591" s="47" t="inlineStr">
        <is>
          <t>求職者</t>
        </is>
      </c>
      <c r="G591" s="47" t="n"/>
      <c r="H591" s="47" t="inlineStr">
        <is>
          <t>新卒</t>
        </is>
      </c>
      <c r="I591" s="6" t="inlineStr">
        <is>
          <t>https://dymscout.jp/</t>
        </is>
      </c>
      <c r="J591" s="15" t="inlineStr">
        <is>
          <t>https://dym.asia/services/new-graduates/new-graduate-recruitment/</t>
        </is>
      </c>
      <c r="K591" s="47" t="n"/>
      <c r="L591" s="47" t="n"/>
    </row>
    <row r="592">
      <c r="A592" s="52">
        <f>row()-1</f>
        <v/>
      </c>
      <c r="B592" s="46" t="inlineStr">
        <is>
          <t>システムエンジニア（SE）の平均年収は？企業規模や年齢による違いも解説</t>
        </is>
      </c>
      <c r="C592" s="6" t="inlineStr">
        <is>
          <t>https://dym.asia/media/recruiting/system-engineer/</t>
        </is>
      </c>
      <c r="D592" s="12" t="inlineStr">
        <is>
          <t>2025.06.19</t>
        </is>
      </c>
      <c r="E592" s="12" t="inlineStr">
        <is>
          <t>2025.09.25</t>
        </is>
      </c>
      <c r="F592" s="47" t="inlineStr">
        <is>
          <t>求職者</t>
        </is>
      </c>
      <c r="G592" s="47" t="n"/>
      <c r="H592" s="47" t="inlineStr">
        <is>
          <t>中途・第二新卒</t>
        </is>
      </c>
      <c r="I592" s="6" t="inlineStr">
        <is>
          <t>https://www.dshu.jp/</t>
        </is>
      </c>
      <c r="J592" s="15" t="inlineStr">
        <is>
          <t>https://dym.asia/services/new-graduates/dym-tech/</t>
        </is>
      </c>
      <c r="K592" s="47" t="n"/>
      <c r="L592" s="47" t="n"/>
    </row>
    <row r="593">
      <c r="A593" s="52">
        <f>row()-1</f>
        <v/>
      </c>
      <c r="B593" s="46" t="inlineStr">
        <is>
          <t>ベンチャー企業とは？スタートアップとの違いや、ベンチャーで働くメリット・デメリットを解説</t>
        </is>
      </c>
      <c r="C593" s="6" t="inlineStr">
        <is>
          <t>https://dym.asia/media/recruiting/venture-company/</t>
        </is>
      </c>
      <c r="D593" s="12" t="inlineStr">
        <is>
          <t>2025.06.11</t>
        </is>
      </c>
      <c r="E593" s="12" t="inlineStr">
        <is>
          <t>2025.06.12</t>
        </is>
      </c>
      <c r="F593" s="47" t="inlineStr">
        <is>
          <t>求職者</t>
        </is>
      </c>
      <c r="G593" s="47" t="n"/>
      <c r="H593" s="47" t="inlineStr">
        <is>
          <t>新卒</t>
        </is>
      </c>
      <c r="I593" s="6" t="inlineStr">
        <is>
          <t>https://www.meetscompany.jp/</t>
        </is>
      </c>
      <c r="J593" s="15" t="inlineStr">
        <is>
          <t>https://dym.asia/services/new-graduates/new-graduate-recruitment/</t>
        </is>
      </c>
      <c r="K593" s="47" t="n"/>
      <c r="L593" s="47" t="n"/>
    </row>
    <row r="594">
      <c r="A594" s="52">
        <f>row()-1</f>
        <v/>
      </c>
      <c r="B594" s="46" t="inlineStr">
        <is>
          <t>最終面接対策で内定を勝ち取る！よく聞かれる質問と回答15選も</t>
        </is>
      </c>
      <c r="C594" s="6" t="inlineStr">
        <is>
          <t>https://dym.asia/media/recruiting/final-interview/</t>
        </is>
      </c>
      <c r="D594" s="12" t="inlineStr">
        <is>
          <t>2025.06.11</t>
        </is>
      </c>
      <c r="E594" s="12" t="inlineStr">
        <is>
          <t>2025.09.08</t>
        </is>
      </c>
      <c r="F594" s="47" t="inlineStr">
        <is>
          <t>求職者</t>
        </is>
      </c>
      <c r="G594" s="47" t="n"/>
      <c r="H594" s="47" t="inlineStr">
        <is>
          <t>中途・第二新卒</t>
        </is>
      </c>
      <c r="I594" s="6" t="inlineStr">
        <is>
          <t>https://www.dshu.jp/</t>
        </is>
      </c>
      <c r="J594" s="10" t="inlineStr">
        <is>
          <t>https://dym.asia/services/new-graduates/Former-graduate/</t>
        </is>
      </c>
      <c r="K594" s="47" t="n"/>
      <c r="L594" s="47" t="n"/>
    </row>
    <row r="595">
      <c r="A595" s="52">
        <f>row()-1</f>
        <v/>
      </c>
      <c r="B595" s="46" t="inlineStr">
        <is>
          <t>ITコンサルタントに転職SEが激務！向いている人のポイントと未経験者の注意点</t>
        </is>
      </c>
      <c r="C595" s="6" t="inlineStr">
        <is>
          <t>https://dym.asia/media/recruiting/it-consulting-job-change/</t>
        </is>
      </c>
      <c r="D595" s="12" t="inlineStr">
        <is>
          <t>2025.03.27</t>
        </is>
      </c>
      <c r="E595" s="12" t="inlineStr">
        <is>
          <t>2025.03.27</t>
        </is>
      </c>
      <c r="F595" s="47" t="inlineStr">
        <is>
          <t>求職者</t>
        </is>
      </c>
      <c r="G595" s="47" t="n"/>
      <c r="H595" s="47" t="inlineStr">
        <is>
          <t>中途・第二新卒</t>
        </is>
      </c>
      <c r="I595" s="6" t="inlineStr">
        <is>
          <t>https://www.dshu.jp/</t>
        </is>
      </c>
      <c r="J595" s="15" t="inlineStr">
        <is>
          <t>https://dym.asia/services/new-graduates/high-class/</t>
        </is>
      </c>
      <c r="K595" s="47" t="n"/>
      <c r="L595" s="47" t="n"/>
    </row>
    <row r="596">
      <c r="A596" s="52">
        <f>row()-1</f>
        <v/>
      </c>
      <c r="B596" s="46" t="inlineStr">
        <is>
          <t>会社説明会の質問例｜質問の仕方とマナー、好印象を与える方法も解説</t>
        </is>
      </c>
      <c r="C596" s="6" t="inlineStr">
        <is>
          <t>https://dym.asia/media/recruiting/session-question/</t>
        </is>
      </c>
      <c r="D596" s="12" t="inlineStr">
        <is>
          <t>2025.03.28</t>
        </is>
      </c>
      <c r="E596" s="12" t="inlineStr">
        <is>
          <t>2025.03.28</t>
        </is>
      </c>
      <c r="F596" s="47" t="inlineStr">
        <is>
          <t>求職者</t>
        </is>
      </c>
      <c r="G596" s="47" t="n"/>
      <c r="H596" s="47" t="inlineStr">
        <is>
          <t>新卒</t>
        </is>
      </c>
      <c r="I596" s="6" t="inlineStr">
        <is>
          <t>https://www.meetscompany.jp/</t>
        </is>
      </c>
      <c r="J596" s="15" t="inlineStr">
        <is>
          <t>https://dym.asia/services/new-graduates/new-graduate-recruitment/</t>
        </is>
      </c>
      <c r="K596" s="47" t="n"/>
      <c r="L596" s="47" t="n"/>
    </row>
    <row r="597">
      <c r="A597" s="52">
        <f>row()-1</f>
        <v/>
      </c>
      <c r="B597" s="46" t="inlineStr">
        <is>
          <t>26卒就活はやばい？今から始めるべきこと</t>
        </is>
      </c>
      <c r="C597" s="6" t="inlineStr">
        <is>
          <t>https://dym.asia/media/recruiting/shukatsu-2026-prepare-now/</t>
        </is>
      </c>
      <c r="D597" s="12" t="inlineStr">
        <is>
          <t>2025.04.09</t>
        </is>
      </c>
      <c r="E597" s="12" t="inlineStr">
        <is>
          <t>2025.11.07</t>
        </is>
      </c>
      <c r="F597" s="47" t="inlineStr">
        <is>
          <t>求職者</t>
        </is>
      </c>
      <c r="G597" s="47" t="n"/>
      <c r="H597" s="47" t="inlineStr">
        <is>
          <t>新卒</t>
        </is>
      </c>
      <c r="I597" s="6" t="inlineStr">
        <is>
          <t>https://www.meetscompany.jp/</t>
        </is>
      </c>
      <c r="J597" s="15" t="inlineStr">
        <is>
          <t>https://dym.asia/services/new-graduates/new-graduate-recruitment/</t>
        </is>
      </c>
      <c r="K597" s="47" t="n"/>
      <c r="L597" s="47" t="n"/>
    </row>
    <row r="598">
      <c r="A598" s="52">
        <f>row()-1</f>
        <v/>
      </c>
      <c r="B598" s="46" t="inlineStr">
        <is>
          <t>コンフォートゾーンとは？抜け出す方法やメリットを詳しく解説</t>
        </is>
      </c>
      <c r="C598" s="6" t="inlineStr">
        <is>
          <t>https://dym.asia/media/recruiting/confort-zone/</t>
        </is>
      </c>
      <c r="D598" s="12" t="inlineStr">
        <is>
          <t>2025.03.28</t>
        </is>
      </c>
      <c r="E598" s="12" t="inlineStr">
        <is>
          <t>2025.03.28</t>
        </is>
      </c>
      <c r="F598" s="47" t="inlineStr">
        <is>
          <t>求職者</t>
        </is>
      </c>
      <c r="G598" s="47" t="n"/>
      <c r="H598" s="47" t="inlineStr">
        <is>
          <t>新卒</t>
        </is>
      </c>
      <c r="I598" s="6" t="inlineStr">
        <is>
          <t>https://www.meetscompany.jp/</t>
        </is>
      </c>
      <c r="J598" s="15" t="inlineStr">
        <is>
          <t>https://dym.asia/services/new-graduates/new-graduate-recruitment/</t>
        </is>
      </c>
      <c r="K598" s="47" t="n"/>
      <c r="L598" s="47" t="n"/>
    </row>
    <row r="599">
      <c r="A599" s="52">
        <f>row()-1</f>
        <v/>
      </c>
      <c r="B599" s="46" t="inlineStr">
        <is>
          <t>ITエンジニアの平均年収は？給料アップを目指す方法も徹底解説</t>
        </is>
      </c>
      <c r="C599" s="6" t="inlineStr">
        <is>
          <t>https://dym.asia/media/recruiting/it-engineer/</t>
        </is>
      </c>
      <c r="D599" s="12" t="inlineStr">
        <is>
          <t>2025.06.19</t>
        </is>
      </c>
      <c r="E599" s="12" t="inlineStr">
        <is>
          <t>2025.09.12</t>
        </is>
      </c>
      <c r="F599" s="47" t="inlineStr">
        <is>
          <t>求職者</t>
        </is>
      </c>
      <c r="G599" s="47" t="n"/>
      <c r="H599" s="47" t="inlineStr">
        <is>
          <t>中途・第二新卒</t>
        </is>
      </c>
      <c r="I599" s="6" t="inlineStr">
        <is>
          <t>https://www.dshu.jp/</t>
        </is>
      </c>
      <c r="J599" s="15" t="inlineStr">
        <is>
          <t>https://dym.asia/services/new-graduates/dym-tech/</t>
        </is>
      </c>
      <c r="K599" s="47" t="n"/>
      <c r="L599" s="47" t="n"/>
    </row>
    <row r="600">
      <c r="A600" s="52">
        <f>row()-1</f>
        <v/>
      </c>
      <c r="B600" s="46" t="inlineStr">
        <is>
          <t>ストレングスファインダー®とは？就職活動における活用方法も解説</t>
        </is>
      </c>
      <c r="C600" s="10" t="inlineStr">
        <is>
          <t>https://dym.asia/media/recruiting/strength-finder/</t>
        </is>
      </c>
      <c r="D600" s="12" t="inlineStr">
        <is>
          <t>2025.03.28</t>
        </is>
      </c>
      <c r="E600" s="12" t="inlineStr">
        <is>
          <t>2025.03.28</t>
        </is>
      </c>
      <c r="F600" s="47" t="inlineStr">
        <is>
          <t>求職者</t>
        </is>
      </c>
      <c r="G600" s="47" t="n"/>
      <c r="H600" s="47" t="inlineStr">
        <is>
          <t>新卒</t>
        </is>
      </c>
      <c r="I600" s="6" t="inlineStr">
        <is>
          <t>https://www.meetscompany.jp/</t>
        </is>
      </c>
      <c r="J600" s="15" t="inlineStr">
        <is>
          <t>https://dym.asia/services/new-graduates/new-graduate-recruitment/</t>
        </is>
      </c>
      <c r="K600" s="47" t="n"/>
      <c r="L600" s="47" t="n"/>
    </row>
    <row r="601">
      <c r="A601" s="52">
        <f>row()-1</f>
        <v/>
      </c>
      <c r="B601" s="46" t="inlineStr">
        <is>
          <t>30代女性の転職は厳しいの？未経験でも成功する方法</t>
        </is>
      </c>
      <c r="C601" s="6" t="inlineStr">
        <is>
          <t>https://dym.asia/media/recruiting/30s-job-change-woman/</t>
        </is>
      </c>
      <c r="D601" s="12" t="inlineStr">
        <is>
          <t>2025.03.27</t>
        </is>
      </c>
      <c r="E601" s="12" t="inlineStr">
        <is>
          <t>2025.03.27</t>
        </is>
      </c>
      <c r="F601" s="47" t="inlineStr">
        <is>
          <t>求職者</t>
        </is>
      </c>
      <c r="G601" s="47" t="n"/>
      <c r="H601" s="47" t="inlineStr">
        <is>
          <t>中途・第二新卒</t>
        </is>
      </c>
      <c r="I601" s="6" t="inlineStr">
        <is>
          <t>https://www.dshu.jp/</t>
        </is>
      </c>
      <c r="J601" s="10" t="inlineStr">
        <is>
          <t>https://dym.asia/services/new-graduates/Former-graduate/</t>
        </is>
      </c>
      <c r="K601" s="47" t="n"/>
      <c r="L601" s="47" t="n"/>
    </row>
    <row r="602">
      <c r="A602" s="52">
        <f>row()-1</f>
        <v/>
      </c>
      <c r="B602" s="46" t="inlineStr">
        <is>
          <t>35歳から未経験で転職は厳しい？男性・女性別の成功するポイント</t>
        </is>
      </c>
      <c r="C602" s="6" t="inlineStr">
        <is>
          <t>https://dym.asia/media/recruiting/35-job-change-inexperienced/</t>
        </is>
      </c>
      <c r="D602" s="12" t="inlineStr">
        <is>
          <t>2025.03.27</t>
        </is>
      </c>
      <c r="E602" s="12" t="inlineStr">
        <is>
          <t>2025.03.27</t>
        </is>
      </c>
      <c r="F602" s="47" t="inlineStr">
        <is>
          <t>求職者</t>
        </is>
      </c>
      <c r="G602" s="47" t="n"/>
      <c r="H602" s="47" t="inlineStr">
        <is>
          <t>中途・第二新卒</t>
        </is>
      </c>
      <c r="I602" s="6" t="inlineStr">
        <is>
          <t>https://www.dshu.jp/</t>
        </is>
      </c>
      <c r="J602" s="10" t="inlineStr">
        <is>
          <t>https://dym.asia/services/new-graduates/Former-graduate/</t>
        </is>
      </c>
      <c r="K602" s="47" t="n"/>
      <c r="L602" s="47" t="n"/>
    </row>
    <row r="603">
      <c r="A603" s="52">
        <f>row()-1</f>
        <v/>
      </c>
      <c r="B603" s="46" t="inlineStr">
        <is>
          <t>40代未経験の仕事で正社員に採用される方法</t>
        </is>
      </c>
      <c r="C603" s="6" t="inlineStr">
        <is>
          <t>https://dym.asia/media/recruiting/40s-job-change-inexperienced/</t>
        </is>
      </c>
      <c r="D603" s="12" t="inlineStr">
        <is>
          <t>2025.03.27</t>
        </is>
      </c>
      <c r="E603" s="12" t="inlineStr">
        <is>
          <t>2025.03.27</t>
        </is>
      </c>
      <c r="F603" s="47" t="inlineStr">
        <is>
          <t>求職者</t>
        </is>
      </c>
      <c r="G603" s="47" t="n"/>
      <c r="H603" s="47" t="inlineStr">
        <is>
          <t>中途・第二新卒</t>
        </is>
      </c>
      <c r="I603" s="6" t="inlineStr">
        <is>
          <t>https://www.dshu.jp/</t>
        </is>
      </c>
      <c r="J603" s="15" t="inlineStr">
        <is>
          <t>https://dym.asia/services/new-graduates/high-class/</t>
        </is>
      </c>
      <c r="K603" s="47" t="n"/>
      <c r="L603" s="47" t="n"/>
    </row>
    <row r="604">
      <c r="A604" s="52">
        <f>row()-1</f>
        <v/>
      </c>
      <c r="B604" s="46" t="inlineStr">
        <is>
          <t>Web広告運用のフリーランス、案件の取り方と年収相場</t>
        </is>
      </c>
      <c r="C604" s="6" t="inlineStr">
        <is>
          <t>https://dym.asia/media/recruiting/ad-ope-freelance/</t>
        </is>
      </c>
      <c r="D604" s="12" t="inlineStr">
        <is>
          <t>2025.03.27</t>
        </is>
      </c>
      <c r="E604" s="12" t="inlineStr">
        <is>
          <t>2025.03.27</t>
        </is>
      </c>
      <c r="F604" s="47" t="inlineStr">
        <is>
          <t>求職者</t>
        </is>
      </c>
      <c r="G604" s="47" t="n"/>
      <c r="H604" s="47" t="inlineStr">
        <is>
          <t>フリーランス</t>
        </is>
      </c>
      <c r="I604" s="6" t="inlineStr">
        <is>
          <t>https://dym-tech.jp/</t>
        </is>
      </c>
      <c r="J604" s="15" t="inlineStr">
        <is>
          <t>https://dym.asia/services/new-graduates/dym-tech/</t>
        </is>
      </c>
      <c r="K604" s="47" t="n"/>
      <c r="L604" s="47" t="n"/>
    </row>
    <row r="605">
      <c r="A605" s="52">
        <f>row()-1</f>
        <v/>
      </c>
      <c r="B605" s="46" t="inlineStr">
        <is>
          <t>転職の相談は誰に？悩みを解決する窓口を紹介</t>
        </is>
      </c>
      <c r="C605" s="6" t="inlineStr">
        <is>
          <t>https://dym.asia/media/recruiting/career-advice-contact/</t>
        </is>
      </c>
      <c r="D605" s="12" t="inlineStr">
        <is>
          <t>2025.04.09</t>
        </is>
      </c>
      <c r="E605" s="12" t="inlineStr">
        <is>
          <t>2025.07.02</t>
        </is>
      </c>
      <c r="F605" s="47" t="inlineStr">
        <is>
          <t>求職者</t>
        </is>
      </c>
      <c r="G605" s="47" t="n"/>
      <c r="H605" s="47" t="inlineStr">
        <is>
          <t>中途・第二新卒</t>
        </is>
      </c>
      <c r="I605" s="6" t="inlineStr">
        <is>
          <t>https://www.dshu.jp/</t>
        </is>
      </c>
      <c r="J605" s="10" t="inlineStr">
        <is>
          <t>https://dym.asia/services/new-graduates/Former-graduate/</t>
        </is>
      </c>
      <c r="K605" s="47" t="n"/>
      <c r="L605" s="47" t="n"/>
    </row>
    <row r="606">
      <c r="A606" s="52">
        <f>row()-1</f>
        <v/>
      </c>
      <c r="B606" s="46" t="inlineStr">
        <is>
          <t>合同企業説明会の持ち物準備とポイントを解説</t>
        </is>
      </c>
      <c r="C606" s="6" t="inlineStr">
        <is>
          <t>https://dym.asia/media/recruiting/career-fair-bringing/</t>
        </is>
      </c>
      <c r="D606" s="12" t="inlineStr">
        <is>
          <t>2025.03.28</t>
        </is>
      </c>
      <c r="E606" s="12" t="inlineStr">
        <is>
          <t>2025.03.28</t>
        </is>
      </c>
      <c r="F606" s="47" t="inlineStr">
        <is>
          <t>求職者</t>
        </is>
      </c>
      <c r="G606" s="47" t="n"/>
      <c r="H606" s="47" t="inlineStr">
        <is>
          <t>新卒</t>
        </is>
      </c>
      <c r="I606" s="6" t="inlineStr">
        <is>
          <t>https://www.meetscompany.jp/</t>
        </is>
      </c>
      <c r="J606" s="15" t="inlineStr">
        <is>
          <t>https://dym.asia/services/new-graduates/new-graduate-recruitment/</t>
        </is>
      </c>
      <c r="K606" s="47" t="n"/>
      <c r="L606" s="47" t="n"/>
    </row>
    <row r="607">
      <c r="A607" s="52">
        <f>row()-1</f>
        <v/>
      </c>
      <c r="B607" s="46" t="inlineStr">
        <is>
          <t>第二新卒と既卒の違いとは？どちらが有利？意味や就職成功のポイントを解説</t>
        </is>
      </c>
      <c r="C607" s="6" t="inlineStr">
        <is>
          <t>https://dym.asia/media/recruiting/differance-former/</t>
        </is>
      </c>
      <c r="D607" s="12" t="inlineStr">
        <is>
          <t>2025.03.28</t>
        </is>
      </c>
      <c r="E607" s="12" t="inlineStr">
        <is>
          <t>2025.03.28</t>
        </is>
      </c>
      <c r="F607" s="47" t="inlineStr">
        <is>
          <t>求職者</t>
        </is>
      </c>
      <c r="G607" s="47" t="n"/>
      <c r="H607" s="47" t="inlineStr">
        <is>
          <t>中途・第二新卒</t>
        </is>
      </c>
      <c r="I607" s="6" t="inlineStr">
        <is>
          <t>https://www.dshu.jp/</t>
        </is>
      </c>
      <c r="J607" s="10" t="inlineStr">
        <is>
          <t>https://dym.asia/services/new-graduates/Former-graduate/</t>
        </is>
      </c>
      <c r="K607" s="47" t="n"/>
      <c r="L607" s="47" t="n"/>
    </row>
    <row r="608">
      <c r="A608" s="52">
        <f>row()-1</f>
        <v/>
      </c>
      <c r="B608" s="46" t="inlineStr">
        <is>
          <t>既卒とは？新卒・中途との違いや就活のポイントを解説</t>
        </is>
      </c>
      <c r="C608" s="6" t="inlineStr">
        <is>
          <t>https://dym.asia/media/recruiting/former-graduate/</t>
        </is>
      </c>
      <c r="D608" s="12" t="inlineStr">
        <is>
          <t>2025.03.26</t>
        </is>
      </c>
      <c r="E608" s="12" t="inlineStr">
        <is>
          <t>2025.03.26</t>
        </is>
      </c>
      <c r="F608" s="47" t="inlineStr">
        <is>
          <t>求職者</t>
        </is>
      </c>
      <c r="G608" s="47" t="n"/>
      <c r="H608" s="47" t="inlineStr">
        <is>
          <t>中途・第二新卒</t>
        </is>
      </c>
      <c r="I608" s="6" t="inlineStr">
        <is>
          <t>https://www.dshu.jp/</t>
        </is>
      </c>
      <c r="J608" s="10" t="inlineStr">
        <is>
          <t>https://dym.asia/services/new-graduates/Former-graduate/</t>
        </is>
      </c>
      <c r="K608" s="47" t="n"/>
      <c r="L608" s="47" t="n"/>
    </row>
    <row r="609">
      <c r="A609" s="52">
        <f>row()-1</f>
        <v/>
      </c>
      <c r="B609" s="46" t="inlineStr">
        <is>
          <t>第二新卒の職務経歴書の書き方、実績と職務要約の見本</t>
        </is>
      </c>
      <c r="C609" s="6" t="inlineStr">
        <is>
          <t>https://dym.asia/media/recruiting/former-resume2/</t>
        </is>
      </c>
      <c r="D609" s="12" t="inlineStr">
        <is>
          <t>2025.03.28</t>
        </is>
      </c>
      <c r="E609" s="12" t="inlineStr">
        <is>
          <t>2025.03.28</t>
        </is>
      </c>
      <c r="F609" s="47" t="inlineStr">
        <is>
          <t>求職者</t>
        </is>
      </c>
      <c r="G609" s="47" t="n"/>
      <c r="H609" s="47" t="inlineStr">
        <is>
          <t>中途・第二新卒</t>
        </is>
      </c>
      <c r="I609" s="6" t="inlineStr">
        <is>
          <t>https://www.dshu.jp/</t>
        </is>
      </c>
      <c r="J609" s="10" t="inlineStr">
        <is>
          <t>https://dym.asia/services/new-graduates/Former-graduate/</t>
        </is>
      </c>
      <c r="K609" s="47" t="n"/>
      <c r="L609" s="47" t="n"/>
    </row>
    <row r="610">
      <c r="A610" s="52">
        <f>row()-1</f>
        <v/>
      </c>
      <c r="B610" s="46" t="inlineStr">
        <is>
          <t>インターン採用完全ガイド｜採用直結型の意味や、メリット・デメリットを解説</t>
        </is>
      </c>
      <c r="C610" s="6" t="inlineStr">
        <is>
          <t>https://dym.asia/media/recruiting/internship-recruitment/</t>
        </is>
      </c>
      <c r="D610" s="12" t="inlineStr">
        <is>
          <t>2025.03.28</t>
        </is>
      </c>
      <c r="E610" s="12" t="inlineStr">
        <is>
          <t>2025.03.28</t>
        </is>
      </c>
      <c r="F610" s="47" t="inlineStr">
        <is>
          <t>求職者</t>
        </is>
      </c>
      <c r="G610" s="47" t="n"/>
      <c r="H610" s="47" t="inlineStr">
        <is>
          <t>新卒</t>
        </is>
      </c>
      <c r="I610" s="6" t="inlineStr">
        <is>
          <t>https://www.meetscompany.jp/</t>
        </is>
      </c>
      <c r="J610" s="15" t="inlineStr">
        <is>
          <t>https://dym.asia/services/new-graduates/new-graduate-recruitment/</t>
        </is>
      </c>
      <c r="K610" s="47" t="n"/>
      <c r="L610" s="47" t="n"/>
    </row>
    <row r="611">
      <c r="A611" s="52">
        <f>row()-1</f>
        <v/>
      </c>
      <c r="B611" s="46" t="inlineStr">
        <is>
          <t>インターンとは？種類、選び方、メリット・デメリットについて徹底解説</t>
        </is>
      </c>
      <c r="C611" s="6" t="inlineStr">
        <is>
          <t>https://dym.asia/media/recruiting/internship/</t>
        </is>
      </c>
      <c r="D611" s="12" t="inlineStr">
        <is>
          <t>2025.03.28</t>
        </is>
      </c>
      <c r="E611" s="12" t="inlineStr">
        <is>
          <t>2025.03.28</t>
        </is>
      </c>
      <c r="F611" s="47" t="inlineStr">
        <is>
          <t>求職者</t>
        </is>
      </c>
      <c r="G611" s="47" t="n"/>
      <c r="H611" s="47" t="inlineStr">
        <is>
          <t>新卒</t>
        </is>
      </c>
      <c r="I611" s="6" t="inlineStr">
        <is>
          <t>https://www.meetscompany.jp/</t>
        </is>
      </c>
      <c r="J611" s="15" t="inlineStr">
        <is>
          <t>https://dym.asia/services/new-graduates/new-graduate-recruitment/</t>
        </is>
      </c>
      <c r="K611" s="47" t="n"/>
      <c r="L611" s="47" t="n"/>
    </row>
    <row r="612">
      <c r="A612" s="52">
        <f>row()-1</f>
        <v/>
      </c>
      <c r="B612" s="46" t="inlineStr">
        <is>
          <t>自己PRの書き方例文集｜履歴書・面接で効果的にアピール</t>
        </is>
      </c>
      <c r="C612" s="6" t="inlineStr">
        <is>
          <t>https://dym.asia/media/recruiting/self-pr/</t>
        </is>
      </c>
      <c r="D612" s="12" t="inlineStr">
        <is>
          <t>2025.04.14</t>
        </is>
      </c>
      <c r="E612" s="12" t="inlineStr">
        <is>
          <t>2025.09.03</t>
        </is>
      </c>
      <c r="F612" s="47" t="inlineStr">
        <is>
          <t>求職者</t>
        </is>
      </c>
      <c r="G612" s="47" t="n"/>
      <c r="H612" s="47" t="inlineStr">
        <is>
          <t>中途・第二新卒</t>
        </is>
      </c>
      <c r="I612" s="6" t="inlineStr">
        <is>
          <t>https://www.dshu.jp/</t>
        </is>
      </c>
      <c r="J612" s="10" t="inlineStr">
        <is>
          <t>https://dym.asia/services/new-graduates/Former-graduate/</t>
        </is>
      </c>
      <c r="K612" s="47" t="n"/>
      <c r="L612" s="47" t="n"/>
    </row>
    <row r="613">
      <c r="A613" s="52">
        <f>row()-1</f>
        <v/>
      </c>
      <c r="B613" s="46" t="inlineStr">
        <is>
          <t>派遣社員の年収はどれくらい？年収が高い職種や年収の上げ方を解説</t>
        </is>
      </c>
      <c r="C613" s="6" t="inlineStr">
        <is>
          <t>https://dym.asia/media/recruiting/dispatch-salary/</t>
        </is>
      </c>
      <c r="D613" s="12" t="inlineStr">
        <is>
          <t>2025.03.28</t>
        </is>
      </c>
      <c r="E613" s="12" t="inlineStr">
        <is>
          <t>2025.03.28</t>
        </is>
      </c>
      <c r="F613" s="47" t="inlineStr">
        <is>
          <t>求職者</t>
        </is>
      </c>
      <c r="G613" s="47" t="n"/>
      <c r="H613" s="47" t="inlineStr">
        <is>
          <t>派遣</t>
        </is>
      </c>
      <c r="I613" s="15" t="inlineStr">
        <is>
          <t>https://dymcareer.jp/?_gl=1*1h28dvt*_ga*MTY1NDA3OTI2OC4xNzYwNTgxMjEy*_ga_ZXCZZJJ72V*czE3NjkwNjkzMjYkbzIxJGcxJHQxNzY5MDcxMjcwJGoyNyRsMCRoMA..</t>
        </is>
      </c>
      <c r="J613" s="10" t="inlineStr">
        <is>
          <t>https://dym.asia/services/new-graduates/ready-career/</t>
        </is>
      </c>
      <c r="K613" s="47" t="n"/>
      <c r="L613" s="47" t="n"/>
    </row>
    <row r="614">
      <c r="A614" s="52">
        <f>row()-1</f>
        <v/>
      </c>
      <c r="B614" s="46" t="inlineStr">
        <is>
          <t>長期インターンシップの探し方！成功するためのポイントは？</t>
        </is>
      </c>
      <c r="C614" s="10" t="inlineStr">
        <is>
          <t>https://dym.asia/media/recruiting/how-to-search-long-term-internship/</t>
        </is>
      </c>
      <c r="D614" s="12" t="inlineStr">
        <is>
          <t>2025.03.28</t>
        </is>
      </c>
      <c r="E614" s="12" t="inlineStr">
        <is>
          <t>2025.03.28</t>
        </is>
      </c>
      <c r="F614" s="47" t="inlineStr">
        <is>
          <t>求職者</t>
        </is>
      </c>
      <c r="G614" s="47" t="n"/>
      <c r="H614" s="47" t="inlineStr">
        <is>
          <t>新卒</t>
        </is>
      </c>
      <c r="I614" s="6" t="inlineStr">
        <is>
          <t>https://www.meetscompany.jp/</t>
        </is>
      </c>
      <c r="J614" s="15" t="inlineStr">
        <is>
          <t>https://dym.asia/services/new-graduates/new-graduate-recruitment/</t>
        </is>
      </c>
      <c r="K614" s="47" t="n"/>
      <c r="L614" s="47" t="n"/>
    </row>
    <row r="615">
      <c r="A615" s="52">
        <f>row()-1</f>
        <v/>
      </c>
      <c r="B615" s="46" t="inlineStr">
        <is>
          <t>INTP（論理学者）の性格・特徴は？相性や向いている仕事も解説！</t>
        </is>
      </c>
      <c r="C615" s="6" t="inlineStr">
        <is>
          <t>https://dym.asia/media/recruiting/intp/#index-16PersonalitiesINTP16PersonalitiesINTPtoc</t>
        </is>
      </c>
      <c r="D615" s="12" t="inlineStr">
        <is>
          <t>2025.04.15</t>
        </is>
      </c>
      <c r="E615" s="12" t="inlineStr">
        <is>
          <t>2025.10.27</t>
        </is>
      </c>
      <c r="F615" s="47" t="inlineStr">
        <is>
          <t>求職者</t>
        </is>
      </c>
      <c r="G615" s="47" t="n"/>
      <c r="H615" s="47" t="inlineStr">
        <is>
          <t>中途・第二新卒</t>
        </is>
      </c>
      <c r="I615" s="6" t="inlineStr">
        <is>
          <t>https://www.dshu.jp/</t>
        </is>
      </c>
      <c r="J615" s="10" t="inlineStr">
        <is>
          <t>https://dym.asia/services/new-graduates/Former-graduate/</t>
        </is>
      </c>
      <c r="K615" s="47" t="n"/>
      <c r="L615" s="47" t="n"/>
    </row>
    <row r="616">
      <c r="A616" s="52">
        <f>row()-1</f>
        <v/>
      </c>
      <c r="B616" s="46" t="inlineStr">
        <is>
          <t>新卒の面接の流れを知ろう！受付・入室・退室時のマナー</t>
        </is>
      </c>
      <c r="C616" s="6" t="inlineStr">
        <is>
          <t>https://dym.asia/media/recruiting/new-graduate-interview-flow/</t>
        </is>
      </c>
      <c r="D616" s="12" t="inlineStr">
        <is>
          <t>2025.03.28</t>
        </is>
      </c>
      <c r="E616" s="12" t="inlineStr">
        <is>
          <t>2025.03.28</t>
        </is>
      </c>
      <c r="F616" s="47" t="inlineStr">
        <is>
          <t>求職者</t>
        </is>
      </c>
      <c r="G616" s="47" t="n"/>
      <c r="H616" s="47" t="inlineStr">
        <is>
          <t>新卒</t>
        </is>
      </c>
      <c r="I616" s="6" t="inlineStr">
        <is>
          <t>https://www.meetscompany.jp/</t>
        </is>
      </c>
      <c r="J616" s="15" t="inlineStr">
        <is>
          <t>https://dym.asia/services/new-graduates/new-graduate-recruitment/</t>
        </is>
      </c>
      <c r="K616" s="47" t="n"/>
      <c r="L616" s="47" t="n"/>
    </row>
    <row r="617">
      <c r="A617" s="52">
        <f>row()-1</f>
        <v/>
      </c>
      <c r="B617" s="46" t="inlineStr">
        <is>
          <t>スカウトサービスとは？おすすめのスカウト型転職サイトや仕組み・特徴を詳しく解説</t>
        </is>
      </c>
      <c r="C617" s="6" t="inlineStr">
        <is>
          <t>https://dym.asia/media/recruiting/scouting_service/</t>
        </is>
      </c>
      <c r="D617" s="12" t="inlineStr">
        <is>
          <t>2025.03.28</t>
        </is>
      </c>
      <c r="E617" s="12" t="inlineStr">
        <is>
          <t>2025.03.28</t>
        </is>
      </c>
      <c r="F617" s="47" t="inlineStr">
        <is>
          <t>求職者</t>
        </is>
      </c>
      <c r="G617" s="47" t="n"/>
      <c r="H617" s="47" t="inlineStr">
        <is>
          <t>新卒</t>
        </is>
      </c>
      <c r="I617" s="15" t="inlineStr">
        <is>
          <t>https://dymscout.jp/</t>
        </is>
      </c>
      <c r="J617" s="15" t="inlineStr">
        <is>
          <t>https://dym.asia/services/new-graduates/new-graduate-recruitment/</t>
        </is>
      </c>
      <c r="K617" s="47" t="n"/>
      <c r="L617" s="47" t="n"/>
    </row>
    <row r="618">
      <c r="A618" s="52">
        <f>row()-1</f>
        <v/>
      </c>
      <c r="B618" s="46" t="inlineStr">
        <is>
          <t>SPI対策｜能力検査・性格検査の対策方法を解説</t>
        </is>
      </c>
      <c r="C618" s="6" t="inlineStr">
        <is>
          <t>https://dym.asia/media/recruiting/spi-2/</t>
        </is>
      </c>
      <c r="D618" s="12" t="inlineStr">
        <is>
          <t>2025.06.11</t>
        </is>
      </c>
      <c r="E618" s="12" t="inlineStr">
        <is>
          <t>2025.06.12</t>
        </is>
      </c>
      <c r="F618" s="47" t="inlineStr">
        <is>
          <t>求職者</t>
        </is>
      </c>
      <c r="G618" s="47" t="n"/>
      <c r="H618" s="47" t="inlineStr">
        <is>
          <t>新卒</t>
        </is>
      </c>
      <c r="I618" s="6" t="inlineStr">
        <is>
          <t>https://www.meetscompany.jp/</t>
        </is>
      </c>
      <c r="J618" s="15" t="inlineStr">
        <is>
          <t>https://dym.asia/services/new-graduates/new-graduate-recruitment/</t>
        </is>
      </c>
      <c r="K618" s="47" t="n"/>
      <c r="L618" s="47" t="n"/>
    </row>
    <row r="619">
      <c r="A619" s="52">
        <f>row()-1</f>
        <v/>
      </c>
      <c r="B619" s="46" t="inlineStr">
        <is>
          <t>30代で未経験での転職は厳しい？おすすめの業界・職種と成功に近付くポイント</t>
        </is>
      </c>
      <c r="C619" s="6" t="inlineStr">
        <is>
          <t>https://dym.asia/media/recruiting/30s-job-change-inexperienced/</t>
        </is>
      </c>
      <c r="D619" s="12" t="inlineStr">
        <is>
          <t>2025.03.27</t>
        </is>
      </c>
      <c r="E619" s="12" t="inlineStr">
        <is>
          <t>2025.03.27</t>
        </is>
      </c>
      <c r="F619" s="47" t="inlineStr">
        <is>
          <t>求職者</t>
        </is>
      </c>
      <c r="G619" s="47" t="n"/>
      <c r="H619" s="47" t="inlineStr">
        <is>
          <t>中途・第二新卒</t>
        </is>
      </c>
      <c r="I619" s="6" t="inlineStr">
        <is>
          <t>https://www.dshu.jp/</t>
        </is>
      </c>
      <c r="J619" s="10" t="inlineStr">
        <is>
          <t>https://dym.asia/services/new-graduates/Former-graduate/</t>
        </is>
      </c>
      <c r="K619" s="47" t="n"/>
      <c r="L619" s="47" t="n"/>
    </row>
    <row r="620">
      <c r="A620" s="52">
        <f>row()-1</f>
        <v/>
      </c>
      <c r="B620" s="46" t="inlineStr">
        <is>
          <t>適性検査「SPI」とは？就職活動で役立つ内容を解説</t>
        </is>
      </c>
      <c r="C620" s="6" t="inlineStr">
        <is>
          <t>https://dym.asia/media/recruiting/about-aptitude-test/</t>
        </is>
      </c>
      <c r="D620" s="12" t="inlineStr">
        <is>
          <t>2025.04.14</t>
        </is>
      </c>
      <c r="E620" s="12" t="inlineStr">
        <is>
          <t>2025.04.22</t>
        </is>
      </c>
      <c r="F620" s="47" t="inlineStr">
        <is>
          <t>求職者</t>
        </is>
      </c>
      <c r="G620" s="47" t="n"/>
      <c r="H620" s="47" t="inlineStr">
        <is>
          <t>新卒</t>
        </is>
      </c>
      <c r="I620" s="6" t="inlineStr">
        <is>
          <t>https://www.meetscompany.jp/</t>
        </is>
      </c>
      <c r="J620" s="15" t="inlineStr">
        <is>
          <t>https://dym.asia/services/new-graduates/new-graduate-recruitment/</t>
        </is>
      </c>
      <c r="K620" s="47" t="n"/>
      <c r="L620" s="47" t="n"/>
    </row>
    <row r="621">
      <c r="A621" s="52">
        <f>row()-1</f>
        <v/>
      </c>
      <c r="B621" s="46" t="inlineStr">
        <is>
          <t>BtoCとは？ビジネスモデルの特徴やBtoBとの違いをわかりやすく解説</t>
        </is>
      </c>
      <c r="C621" s="6" t="inlineStr">
        <is>
          <t>https://dym.asia/media/recruiting/b-to-c/</t>
        </is>
      </c>
      <c r="D621" s="12" t="inlineStr">
        <is>
          <t>2025.03.28</t>
        </is>
      </c>
      <c r="E621" s="12" t="inlineStr">
        <is>
          <t>2025.03.28</t>
        </is>
      </c>
      <c r="F621" s="47" t="inlineStr">
        <is>
          <t>求職者</t>
        </is>
      </c>
      <c r="G621" s="47" t="n"/>
      <c r="H621" s="47" t="inlineStr">
        <is>
          <t>その他</t>
        </is>
      </c>
      <c r="I621" s="47" t="inlineStr">
        <is>
          <t>URLがありませんでした。</t>
        </is>
      </c>
      <c r="J621" s="15" t="inlineStr">
        <is>
          <t>https://dym.asia/services/new-graduates/new-graduate-recruitment/</t>
        </is>
      </c>
      <c r="K621" s="47" t="n"/>
      <c r="L621" s="47" t="n"/>
    </row>
    <row r="622">
      <c r="A622" s="52">
        <f>row()-1</f>
        <v/>
      </c>
      <c r="B622" s="46" t="inlineStr">
        <is>
          <t>合同説明会の服装は何がいい？服装自由、私服指定の注意点</t>
        </is>
      </c>
      <c r="C622" s="6" t="inlineStr">
        <is>
          <t>https://dym.asia/media/recruiting/career-fair-wearing/</t>
        </is>
      </c>
      <c r="D622" s="12" t="inlineStr">
        <is>
          <t>2025.03.28</t>
        </is>
      </c>
      <c r="E622" s="12" t="inlineStr">
        <is>
          <t>2025.03.28</t>
        </is>
      </c>
      <c r="F622" s="47" t="inlineStr">
        <is>
          <t>求職者</t>
        </is>
      </c>
      <c r="G622" s="47" t="n"/>
      <c r="H622" s="47" t="inlineStr">
        <is>
          <t>新卒</t>
        </is>
      </c>
      <c r="I622" s="6" t="inlineStr">
        <is>
          <t>https://www.meetscompany.jp/</t>
        </is>
      </c>
      <c r="J622" s="15" t="inlineStr">
        <is>
          <t>https://dym.asia/services/new-graduates/new-graduate-recruitment/</t>
        </is>
      </c>
      <c r="K622" s="47" t="n"/>
      <c r="L622" s="47" t="n"/>
    </row>
    <row r="623">
      <c r="A623" s="52">
        <f>row()-1</f>
        <v/>
      </c>
      <c r="B623" s="46" t="inlineStr">
        <is>
          <t>交通費は非課税？通勤手当の非課税限度額も解説</t>
        </is>
      </c>
      <c r="C623" s="6" t="inlineStr">
        <is>
          <t>https://dym.asia/media/recruiting/commuting-allowance/</t>
        </is>
      </c>
      <c r="D623" s="12" t="inlineStr">
        <is>
          <t>2025.06.12</t>
        </is>
      </c>
      <c r="E623" s="12" t="inlineStr">
        <is>
          <t>2025.09.12</t>
        </is>
      </c>
      <c r="F623" s="47" t="inlineStr">
        <is>
          <t>求職者</t>
        </is>
      </c>
      <c r="G623" s="47" t="n"/>
      <c r="H623" s="47" t="inlineStr">
        <is>
          <t>中途・第二新卒</t>
        </is>
      </c>
      <c r="I623" s="6" t="inlineStr">
        <is>
          <t>https://www.dshu.jp/</t>
        </is>
      </c>
      <c r="J623" s="15" t="inlineStr">
        <is>
          <t>https://dym.asia/services/new-graduates/</t>
        </is>
      </c>
      <c r="K623" s="47" t="n"/>
      <c r="L623" s="47" t="n"/>
    </row>
    <row r="624">
      <c r="A624" s="52">
        <f>row()-1</f>
        <v/>
      </c>
      <c r="B624" s="46" t="inlineStr">
        <is>
          <t>会社説明会とは？内容や流れ、質問のポイントを解説</t>
        </is>
      </c>
      <c r="C624" s="6" t="inlineStr">
        <is>
          <t>https://dym.asia/media/recruiting/company-briefing-flow-questions/</t>
        </is>
      </c>
      <c r="D624" s="18" t="inlineStr">
        <is>
          <t>2025.04.08</t>
        </is>
      </c>
      <c r="E624" s="18" t="inlineStr">
        <is>
          <t>2025.07.02</t>
        </is>
      </c>
      <c r="F624" s="47" t="inlineStr">
        <is>
          <t>求職者</t>
        </is>
      </c>
      <c r="G624" s="47" t="n"/>
      <c r="H624" s="47" t="inlineStr">
        <is>
          <t>新卒</t>
        </is>
      </c>
      <c r="I624" s="6" t="inlineStr">
        <is>
          <t>https://www.meetscompany.jp/</t>
        </is>
      </c>
      <c r="J624" s="15" t="inlineStr">
        <is>
          <t>https://dym.asia/services/new-graduates/new-graduate-recruitment/</t>
        </is>
      </c>
      <c r="K624" s="47" t="n"/>
      <c r="L624" s="47" t="n"/>
    </row>
    <row r="625">
      <c r="A625" s="52">
        <f>row()-1</f>
        <v/>
      </c>
      <c r="B625" s="46" t="inlineStr">
        <is>
          <t>新卒・第二新卒・既卒の違いとは？メリットや就活成功のポイントを解説</t>
        </is>
      </c>
      <c r="C625" s="6" t="inlineStr">
        <is>
          <t>https://dym.asia/media/recruiting/differance-former-newgraduate/</t>
        </is>
      </c>
      <c r="D625" s="12" t="inlineStr">
        <is>
          <t>2025.03.28</t>
        </is>
      </c>
      <c r="E625" s="12" t="inlineStr">
        <is>
          <t>2025.03.28</t>
        </is>
      </c>
      <c r="F625" s="47" t="inlineStr">
        <is>
          <t>求職者</t>
        </is>
      </c>
      <c r="G625" s="47" t="n"/>
      <c r="H625" s="47" t="inlineStr">
        <is>
          <t>中途・第二新卒</t>
        </is>
      </c>
      <c r="I625" s="10" t="inlineStr">
        <is>
          <t>https://www.dshu.jp/</t>
        </is>
      </c>
      <c r="J625" s="10" t="inlineStr">
        <is>
          <t>https://dym.asia/services/new-graduates/Former-graduate/</t>
        </is>
      </c>
      <c r="K625" s="47" t="n"/>
      <c r="L625" s="47" t="n"/>
    </row>
    <row r="626">
      <c r="A626" s="52">
        <f>row()-1</f>
        <v/>
      </c>
      <c r="B626" s="46" t="inlineStr">
        <is>
          <t>派遣SEの仕事内容を解説！SESとの違いやメリットも</t>
        </is>
      </c>
      <c r="C626" s="6" t="inlineStr">
        <is>
          <t>https://dym.asia/media/recruiting/dispatch-se/</t>
        </is>
      </c>
      <c r="D626" s="12" t="inlineStr">
        <is>
          <t>2025.03.27</t>
        </is>
      </c>
      <c r="E626" s="12" t="inlineStr">
        <is>
          <t>2025.03.27</t>
        </is>
      </c>
      <c r="F626" s="47" t="inlineStr">
        <is>
          <t>求職者</t>
        </is>
      </c>
      <c r="G626" s="47" t="n"/>
      <c r="H626" s="47" t="inlineStr">
        <is>
          <t>フリーランス</t>
        </is>
      </c>
      <c r="I626" s="15" t="inlineStr">
        <is>
          <t>https://dym-tech.jp/</t>
        </is>
      </c>
      <c r="J626" s="15" t="inlineStr">
        <is>
          <t>https://dym.asia/services/new-graduates/dym-tech/</t>
        </is>
      </c>
      <c r="K626" s="47" t="n"/>
      <c r="L626" s="47" t="n"/>
    </row>
    <row r="627">
      <c r="A627" s="52">
        <f>row()-1</f>
        <v/>
      </c>
      <c r="B627" s="46" t="inlineStr">
        <is>
          <t>ESTJ（幹部）の性格診断｜相性、特徴、恋愛傾向を解説</t>
        </is>
      </c>
      <c r="C627" s="6" t="inlineStr">
        <is>
          <t>https://dym.asia/media/recruiting/estj/#index-16PersonalitiesESTJ16PersonalitiesESTJtoc</t>
        </is>
      </c>
      <c r="D627" s="12" t="inlineStr">
        <is>
          <t>2025.04.15</t>
        </is>
      </c>
      <c r="E627" s="12" t="inlineStr">
        <is>
          <t>2025.10.27</t>
        </is>
      </c>
      <c r="F627" s="47" t="inlineStr">
        <is>
          <t>求職者</t>
        </is>
      </c>
      <c r="G627" s="47" t="n"/>
      <c r="H627" s="47" t="inlineStr">
        <is>
          <t>中途・第二新卒</t>
        </is>
      </c>
      <c r="I627" s="6" t="inlineStr">
        <is>
          <t>https://www.dshu.jp/</t>
        </is>
      </c>
      <c r="J627" s="10" t="inlineStr">
        <is>
          <t>https://dym.asia/services/new-graduates/Former-graduate/</t>
        </is>
      </c>
      <c r="K627" s="47" t="n"/>
      <c r="L627" s="47" t="n"/>
    </row>
    <row r="628">
      <c r="A628" s="52">
        <f>row()-1</f>
        <v/>
      </c>
      <c r="B628" s="46" t="inlineStr">
        <is>
          <t>ESTP（起業家）の性格と特徴｜16Personalities診断でわかる相性</t>
        </is>
      </c>
      <c r="C628" s="6" t="inlineStr">
        <is>
          <t>https://dym.asia/media/recruiting/estp/#index-16PersonalitiesESTP16PersonalitiesESTPtoc</t>
        </is>
      </c>
      <c r="D628" s="12" t="inlineStr">
        <is>
          <t>2025.04.15</t>
        </is>
      </c>
      <c r="E628" s="12" t="inlineStr">
        <is>
          <t>2025.10.27</t>
        </is>
      </c>
      <c r="F628" s="47" t="inlineStr">
        <is>
          <t>求職者</t>
        </is>
      </c>
      <c r="G628" s="47" t="n"/>
      <c r="H628" s="47" t="inlineStr">
        <is>
          <t>中途・第二新卒</t>
        </is>
      </c>
      <c r="I628" s="6" t="inlineStr">
        <is>
          <t>https://www.dshu.jp/</t>
        </is>
      </c>
      <c r="J628" s="10" t="inlineStr">
        <is>
          <t>https://dym.asia/services/new-graduates/Former-graduate/</t>
        </is>
      </c>
      <c r="K628" s="47" t="n"/>
      <c r="L628" s="47" t="n"/>
    </row>
    <row r="629">
      <c r="A629" s="52">
        <f>row()-1</f>
        <v/>
      </c>
      <c r="B629" s="46" t="inlineStr">
        <is>
          <t>ESTP（起業家）の性格と特徴｜16Personalities診断でわかる相性</t>
        </is>
      </c>
      <c r="C629" s="6" t="inlineStr">
        <is>
          <t>https://dym.asia/media/recruiting/estp/#index-ESTP-2ESTP-2toc</t>
        </is>
      </c>
      <c r="D629" s="12" t="inlineStr">
        <is>
          <t>2025.04.15</t>
        </is>
      </c>
      <c r="E629" s="12" t="inlineStr">
        <is>
          <t>2025.10.27</t>
        </is>
      </c>
      <c r="F629" s="47" t="inlineStr">
        <is>
          <t>求職者</t>
        </is>
      </c>
      <c r="G629" s="47" t="n"/>
      <c r="H629" s="47" t="inlineStr">
        <is>
          <t>中途・第二新卒</t>
        </is>
      </c>
      <c r="I629" s="6" t="inlineStr">
        <is>
          <t>https://www.dshu.jp/</t>
        </is>
      </c>
      <c r="J629" s="10" t="inlineStr">
        <is>
          <t>https://dym.asia/services/new-graduates/Former-graduate/</t>
        </is>
      </c>
      <c r="K629" s="47" t="n"/>
      <c r="L629" s="47" t="n"/>
    </row>
    <row r="630">
      <c r="A630" s="52">
        <f>row()-1</f>
        <v/>
      </c>
      <c r="B630" s="46" t="inlineStr">
        <is>
          <t>ハイクラス転職とは？難しい？年収と条件のポイント</t>
        </is>
      </c>
      <c r="C630" s="6" t="inlineStr">
        <is>
          <t>https://dym.asia/media/recruiting/high-class-job-change/</t>
        </is>
      </c>
      <c r="D630" s="12" t="inlineStr">
        <is>
          <t>2025.03.28</t>
        </is>
      </c>
      <c r="E630" s="12" t="inlineStr">
        <is>
          <t>2025.03.28</t>
        </is>
      </c>
      <c r="F630" s="47" t="inlineStr">
        <is>
          <t>求職者</t>
        </is>
      </c>
      <c r="G630" s="47" t="n"/>
      <c r="H630" s="47" t="inlineStr">
        <is>
          <t>中途・第二新卒</t>
        </is>
      </c>
      <c r="I630" s="6" t="inlineStr">
        <is>
          <t>https://www.dshu.jp/</t>
        </is>
      </c>
      <c r="J630" s="10" t="inlineStr">
        <is>
          <t>https://dym.asia/services/new-graduates/high-class/</t>
        </is>
      </c>
      <c r="K630" s="47" t="n"/>
      <c r="L630" s="47" t="n"/>
    </row>
    <row r="631">
      <c r="A631" s="52">
        <f>row()-1</f>
        <v/>
      </c>
      <c r="B631" s="46" t="inlineStr">
        <is>
          <t>高卒の転職は厳しい？おすすめの仕事は？内定のコツや求人の探し方も紹介</t>
        </is>
      </c>
      <c r="C631" s="6" t="inlineStr">
        <is>
          <t>https://dym.asia/media/recruiting/highschool-job-change/</t>
        </is>
      </c>
      <c r="D631" s="12" t="inlineStr">
        <is>
          <t>2025.03.28</t>
        </is>
      </c>
      <c r="E631" s="12" t="inlineStr">
        <is>
          <t>2025.03.28</t>
        </is>
      </c>
      <c r="F631" s="47" t="inlineStr">
        <is>
          <t>求職者</t>
        </is>
      </c>
      <c r="G631" s="47" t="n"/>
      <c r="H631" s="47" t="inlineStr">
        <is>
          <t>中途・第二新卒</t>
        </is>
      </c>
      <c r="I631" s="6" t="inlineStr">
        <is>
          <t>https://www.dshu.jp/</t>
        </is>
      </c>
      <c r="J631" s="10" t="inlineStr">
        <is>
          <t>https://dym.asia/services/new-graduates/Former-graduate/</t>
        </is>
      </c>
      <c r="K631" s="47" t="n"/>
      <c r="L631" s="47" t="n"/>
    </row>
    <row r="632">
      <c r="A632" s="52">
        <f>row()-1</f>
        <v/>
      </c>
      <c r="B632" s="46" t="inlineStr">
        <is>
          <t>メンタルを強くする方法5選｜心を鍛える習慣も紹介</t>
        </is>
      </c>
      <c r="C632" s="6" t="inlineStr">
        <is>
          <t>https://dym.asia/media/recruiting/how-to-strengthen-mentality/#index</t>
        </is>
      </c>
      <c r="D632" s="12" t="inlineStr">
        <is>
          <t>2025.03.28</t>
        </is>
      </c>
      <c r="E632" s="12" t="inlineStr">
        <is>
          <t>2025.10.27</t>
        </is>
      </c>
      <c r="F632" s="47" t="inlineStr">
        <is>
          <t>求職者</t>
        </is>
      </c>
      <c r="G632" s="47" t="n"/>
      <c r="H632" s="47" t="inlineStr">
        <is>
          <t>新卒</t>
        </is>
      </c>
      <c r="I632" s="6" t="inlineStr">
        <is>
          <t>https://www.meetscompany.jp/</t>
        </is>
      </c>
      <c r="J632" s="15" t="inlineStr">
        <is>
          <t>https://dym.asia/services/new-graduates/new-graduate-recruitment/</t>
        </is>
      </c>
      <c r="K632" s="47" t="n"/>
      <c r="L632" s="47" t="n"/>
    </row>
    <row r="633">
      <c r="A633" s="52">
        <f>row()-1</f>
        <v/>
      </c>
      <c r="B633" s="46" t="inlineStr">
        <is>
          <t>メンタルを強くする方法5選｜心を鍛える習慣も紹介</t>
        </is>
      </c>
      <c r="C633" s="6" t="inlineStr">
        <is>
          <t>https://dym.asia/media/recruiting/how-to-strengthen-mentality/#index-3-23-2toc</t>
        </is>
      </c>
      <c r="D633" s="12" t="inlineStr">
        <is>
          <t>2025.03.28</t>
        </is>
      </c>
      <c r="E633" s="12" t="inlineStr">
        <is>
          <t>2025.10.27</t>
        </is>
      </c>
      <c r="F633" s="47" t="inlineStr">
        <is>
          <t>求職者</t>
        </is>
      </c>
      <c r="G633" s="47" t="n"/>
      <c r="H633" s="47" t="inlineStr">
        <is>
          <t>新卒</t>
        </is>
      </c>
      <c r="I633" s="6" t="inlineStr">
        <is>
          <t>https://www.meetscompany.jp/</t>
        </is>
      </c>
      <c r="J633" s="15" t="inlineStr">
        <is>
          <t>https://dym.asia/services/new-graduates/new-graduate-recruitment/</t>
        </is>
      </c>
      <c r="K633" s="47" t="n"/>
      <c r="L633" s="47" t="n"/>
    </row>
    <row r="634">
      <c r="A634" s="52">
        <f>row()-1</f>
        <v/>
      </c>
      <c r="B634" s="46" t="inlineStr">
        <is>
          <t>履歴書の証明写真｜服装マナーと好印象を与えるコツ</t>
        </is>
      </c>
      <c r="C634" s="6" t="inlineStr">
        <is>
          <t>https://dym.asia/media/recruiting/rirekisho-photo-manner/</t>
        </is>
      </c>
      <c r="D634" s="12" t="inlineStr">
        <is>
          <t>2025.04.14</t>
        </is>
      </c>
      <c r="E634" s="12" t="inlineStr">
        <is>
          <t>2025.09.01</t>
        </is>
      </c>
      <c r="F634" s="47" t="inlineStr">
        <is>
          <t>求職者</t>
        </is>
      </c>
      <c r="G634" s="47" t="n"/>
      <c r="H634" s="47" t="inlineStr">
        <is>
          <t>新卒</t>
        </is>
      </c>
      <c r="I634" s="6" t="inlineStr">
        <is>
          <t>https://www.meetscompany.jp/</t>
        </is>
      </c>
      <c r="J634" s="15" t="inlineStr">
        <is>
          <t>https://dym.asia/services/new-graduates/new-graduate-recruitment/</t>
        </is>
      </c>
      <c r="K634" s="47" t="n"/>
      <c r="L634" s="47" t="n"/>
    </row>
    <row r="635">
      <c r="A635" s="52">
        <f>row()-1</f>
        <v/>
      </c>
      <c r="B635" s="46" t="inlineStr">
        <is>
          <t>就活生必見！企業説明会でのマナー</t>
        </is>
      </c>
      <c r="C635" s="6" t="inlineStr">
        <is>
          <t>https://dym.asia/media/recruiting/session-manners/</t>
        </is>
      </c>
      <c r="D635" s="12" t="inlineStr">
        <is>
          <t>2025.03.28</t>
        </is>
      </c>
      <c r="E635" s="12" t="inlineStr">
        <is>
          <t>2025.03.28</t>
        </is>
      </c>
      <c r="F635" s="47" t="inlineStr">
        <is>
          <t>求職者</t>
        </is>
      </c>
      <c r="G635" s="47" t="n"/>
      <c r="H635" s="47" t="inlineStr">
        <is>
          <t>新卒</t>
        </is>
      </c>
      <c r="I635" s="6" t="inlineStr">
        <is>
          <t>https://www.meetscompany.jp/</t>
        </is>
      </c>
      <c r="J635" s="15" t="inlineStr">
        <is>
          <t>https://dym.asia/services/new-graduates/new-graduate-recruitment/</t>
        </is>
      </c>
      <c r="K635" s="47" t="n"/>
      <c r="L635" s="47" t="n"/>
    </row>
    <row r="636">
      <c r="A636" s="52">
        <f>row()-1</f>
        <v/>
      </c>
      <c r="B636" s="46" t="inlineStr">
        <is>
          <t>厚生年金とは？仕組みから受給額まで徹底解説</t>
        </is>
      </c>
      <c r="C636" s="6" t="inlineStr">
        <is>
          <t>https://dym.asia/media/recruiting/welfare-pension/</t>
        </is>
      </c>
      <c r="D636" s="12" t="inlineStr">
        <is>
          <t>2025.03.28</t>
        </is>
      </c>
      <c r="E636" s="12" t="inlineStr">
        <is>
          <t>2025.03.28</t>
        </is>
      </c>
      <c r="F636" s="47" t="inlineStr">
        <is>
          <t>求職者</t>
        </is>
      </c>
      <c r="G636" s="47" t="n"/>
      <c r="H636" s="47" t="inlineStr">
        <is>
          <t>新卒</t>
        </is>
      </c>
      <c r="I636" s="6" t="inlineStr">
        <is>
          <t>https://www.meetscompany.jp/</t>
        </is>
      </c>
      <c r="J636" s="15" t="inlineStr">
        <is>
          <t>https://dym.asia/services/new-graduates/new-graduate-recruitment/</t>
        </is>
      </c>
      <c r="K636" s="47" t="n"/>
      <c r="L636" s="47" t="n"/>
    </row>
    <row r="637">
      <c r="A637" s="52">
        <f>row()-1</f>
        <v/>
      </c>
      <c r="B637" s="46" t="inlineStr">
        <is>
          <t>冬季インターンシップの魅力とは？時期はいつから？夏インターンの違いも解説</t>
        </is>
      </c>
      <c r="C637" s="6" t="inlineStr">
        <is>
          <t>https://dym.asia/media/recruiting/winter-internship/</t>
        </is>
      </c>
      <c r="D637" s="12" t="inlineStr">
        <is>
          <t>2025.03.28</t>
        </is>
      </c>
      <c r="E637" s="12" t="inlineStr">
        <is>
          <t>2025.03.28</t>
        </is>
      </c>
      <c r="F637" s="47" t="inlineStr">
        <is>
          <t>求職者</t>
        </is>
      </c>
      <c r="G637" s="47" t="n"/>
      <c r="H637" s="47" t="inlineStr">
        <is>
          <t>新卒</t>
        </is>
      </c>
      <c r="I637" s="6" t="inlineStr">
        <is>
          <t>https://www.meetscompany.jp/</t>
        </is>
      </c>
      <c r="J637" s="15" t="inlineStr">
        <is>
          <t>https://dym.asia/services/new-graduates/new-graduate-recruitment/</t>
        </is>
      </c>
      <c r="K637" s="47" t="n"/>
      <c r="L637" s="47" t="n"/>
    </row>
    <row r="638">
      <c r="A638" s="52">
        <f>row()-1</f>
        <v/>
      </c>
      <c r="B638" s="46" t="inlineStr">
        <is>
          <t>合同企業説明会に参加する意味と目的、成功の秘訣</t>
        </is>
      </c>
      <c r="C638" s="6" t="inlineStr">
        <is>
          <t>https://dym.asia/media/recruiting/career-fair/</t>
        </is>
      </c>
      <c r="D638" s="12" t="inlineStr">
        <is>
          <t>2025.03.26</t>
        </is>
      </c>
      <c r="E638" s="12" t="inlineStr">
        <is>
          <t>2025.03.26</t>
        </is>
      </c>
      <c r="F638" s="47" t="inlineStr">
        <is>
          <t>求職者</t>
        </is>
      </c>
      <c r="G638" s="47" t="n"/>
      <c r="H638" s="47" t="inlineStr">
        <is>
          <t>新卒</t>
        </is>
      </c>
      <c r="I638" s="6" t="inlineStr">
        <is>
          <t>https://www.meetscompany.jp/</t>
        </is>
      </c>
      <c r="J638" s="15" t="inlineStr">
        <is>
          <t>https://dym.asia/services/new-graduates/new-graduate-recruitment/</t>
        </is>
      </c>
      <c r="K638" s="47" t="n"/>
      <c r="L638" s="47" t="n"/>
    </row>
    <row r="639">
      <c r="A639" s="52">
        <f>row()-1</f>
        <v/>
      </c>
      <c r="B639" s="46" t="inlineStr">
        <is>
          <t>大学生向け就職相談サービス5選｜支援内容や就活への生かし方を徹底解説</t>
        </is>
      </c>
      <c r="C639" s="6" t="inlineStr">
        <is>
          <t>https://dym.asia/media/recruiting/employment-consultation-university-student/</t>
        </is>
      </c>
      <c r="D639" s="12" t="inlineStr">
        <is>
          <t>2025.03.28</t>
        </is>
      </c>
      <c r="E639" s="12" t="inlineStr">
        <is>
          <t>2025.03.28</t>
        </is>
      </c>
      <c r="F639" s="47" t="inlineStr">
        <is>
          <t>求職者</t>
        </is>
      </c>
      <c r="G639" s="47" t="n"/>
      <c r="H639" s="47" t="inlineStr">
        <is>
          <t>新卒</t>
        </is>
      </c>
      <c r="I639" s="6" t="inlineStr">
        <is>
          <t>https://www.meetscompany.jp/</t>
        </is>
      </c>
      <c r="J639" s="15" t="inlineStr">
        <is>
          <t>https://dym.asia/services/new-graduates/new-graduate-recruitment/</t>
        </is>
      </c>
      <c r="K639" s="47" t="n"/>
      <c r="L639" s="47" t="n"/>
    </row>
    <row r="640">
      <c r="A640" s="52">
        <f>row()-1</f>
        <v/>
      </c>
      <c r="B640" s="46" t="inlineStr">
        <is>
          <t>ESFJ（領事官）の性格診断、相性、仕事を紹介</t>
        </is>
      </c>
      <c r="C640" s="6" t="inlineStr">
        <is>
          <t>https://dym.asia/media/recruiting/esfj/#index-ESFJ-5ESFJ-5toc</t>
        </is>
      </c>
      <c r="D640" s="12" t="inlineStr">
        <is>
          <t>2025.04.16</t>
        </is>
      </c>
      <c r="E640" s="12" t="inlineStr">
        <is>
          <t>2025.10.27</t>
        </is>
      </c>
      <c r="F640" s="47" t="inlineStr">
        <is>
          <t>求職者</t>
        </is>
      </c>
      <c r="G640" s="47" t="n"/>
      <c r="H640" s="47" t="inlineStr">
        <is>
          <t>中途・第二新卒</t>
        </is>
      </c>
      <c r="I640" s="10" t="inlineStr">
        <is>
          <t>https://www.dshu.jp/</t>
        </is>
      </c>
      <c r="J640" s="10" t="inlineStr">
        <is>
          <t>https://dym.asia/services/new-graduates/Former-graduate/</t>
        </is>
      </c>
      <c r="K640" s="47" t="n"/>
      <c r="L640" s="47" t="n"/>
    </row>
    <row r="641">
      <c r="A641" s="52">
        <f>row()-1</f>
        <v/>
      </c>
      <c r="B641" s="46" t="inlineStr">
        <is>
          <t>面接で落ちた人に共通する理由は？落とされるサインや不採用が続く際の対策</t>
        </is>
      </c>
      <c r="C641" s="6" t="inlineStr">
        <is>
          <t>https://dym.asia/media/recruiting/fail-the-interview/#index</t>
        </is>
      </c>
      <c r="D641" s="12" t="inlineStr">
        <is>
          <t>2025.06.19</t>
        </is>
      </c>
      <c r="E641" s="12" t="inlineStr">
        <is>
          <t>2025.10.27</t>
        </is>
      </c>
      <c r="F641" s="47" t="inlineStr">
        <is>
          <t>求職者</t>
        </is>
      </c>
      <c r="G641" s="47" t="n"/>
      <c r="H641" s="47" t="inlineStr">
        <is>
          <t>新卒</t>
        </is>
      </c>
      <c r="I641" s="6" t="inlineStr">
        <is>
          <t>https://www.meetscompany.jp/</t>
        </is>
      </c>
      <c r="J641" s="15" t="inlineStr">
        <is>
          <t>https://dym.asia/services/new-graduates/new-graduate-recruitment/</t>
        </is>
      </c>
      <c r="K641" s="47" t="n"/>
      <c r="L641" s="47" t="n"/>
    </row>
    <row r="642">
      <c r="A642" s="52">
        <f>row()-1</f>
        <v/>
      </c>
      <c r="B642" s="46" t="inlineStr">
        <is>
          <t>女性におすすめの派遣の仕事とは？人気の職種や企業が活用するメリットも解説</t>
        </is>
      </c>
      <c r="C642" s="6" t="inlineStr">
        <is>
          <t>https://dym.asia/media/recruiting/female_dispatch/</t>
        </is>
      </c>
      <c r="D642" s="12" t="inlineStr">
        <is>
          <t>2025.03.28</t>
        </is>
      </c>
      <c r="E642" s="12" t="inlineStr">
        <is>
          <t>2025.03.28</t>
        </is>
      </c>
      <c r="F642" s="47" t="inlineStr">
        <is>
          <t>求職者</t>
        </is>
      </c>
      <c r="G642" s="47" t="n"/>
      <c r="H642" s="47" t="inlineStr">
        <is>
          <t>派遣</t>
        </is>
      </c>
      <c r="I642" s="10" t="inlineStr">
        <is>
          <t>https://dymcareer.jp/?_gl=1*1qj0azx*_ga*MTY1NDA3OTI2OC4xNzYwNTgxMjEy*_ga_ZXCZZJJ72V*czE3NjkwNjkzMjYkbzIxJGcxJHQxNzY5MDcwMzkzJGozMCRsMCRoMA..</t>
        </is>
      </c>
      <c r="J642" s="10" t="inlineStr">
        <is>
          <t>https://dym.asia/services/new-graduates/ready-career/</t>
        </is>
      </c>
      <c r="K642" s="47" t="n"/>
      <c r="L642" s="47" t="n"/>
    </row>
    <row r="643">
      <c r="A643" s="52">
        <f>row()-1</f>
        <v/>
      </c>
      <c r="B643" s="46" t="inlineStr">
        <is>
          <t>第二新卒女性、転職成功の秘訣とは？</t>
        </is>
      </c>
      <c r="C643" s="6" t="inlineStr">
        <is>
          <t>https://dym.asia/media/recruiting/former-graduate-woman/</t>
        </is>
      </c>
      <c r="D643" s="12" t="inlineStr">
        <is>
          <t>2025.03.26</t>
        </is>
      </c>
      <c r="E643" s="12" t="inlineStr">
        <is>
          <t>2025.03.26</t>
        </is>
      </c>
      <c r="F643" s="47" t="inlineStr">
        <is>
          <t>求職者</t>
        </is>
      </c>
      <c r="G643" s="47" t="n"/>
      <c r="H643" s="47" t="inlineStr">
        <is>
          <t>中途・第二新卒</t>
        </is>
      </c>
      <c r="I643" s="10" t="inlineStr">
        <is>
          <t>https://www.dshu.jp/</t>
        </is>
      </c>
      <c r="J643" s="10" t="inlineStr">
        <is>
          <t>https://dym.asia/services/new-graduates/Former-graduate/</t>
        </is>
      </c>
      <c r="K643" s="47" t="n"/>
      <c r="L643" s="47" t="n"/>
    </row>
    <row r="644">
      <c r="A644" s="52">
        <f>row()-1</f>
        <v/>
      </c>
      <c r="B644" s="46" t="inlineStr">
        <is>
          <t>ガクチカとは｜自己PRとの違いや書き方・例文</t>
        </is>
      </c>
      <c r="C644" s="6" t="inlineStr">
        <is>
          <t>https://dym.asia/media/recruiting/gakuchika/</t>
        </is>
      </c>
      <c r="D644" s="12" t="inlineStr">
        <is>
          <t>2025.03.28</t>
        </is>
      </c>
      <c r="E644" s="12" t="inlineStr">
        <is>
          <t>2025.03.28</t>
        </is>
      </c>
      <c r="F644" s="47" t="inlineStr">
        <is>
          <t>求職者</t>
        </is>
      </c>
      <c r="G644" s="47" t="n"/>
      <c r="H644" s="47" t="inlineStr">
        <is>
          <t>新卒</t>
        </is>
      </c>
      <c r="I644" s="6" t="inlineStr">
        <is>
          <t>https://www.meetscompany.jp/</t>
        </is>
      </c>
      <c r="J644" s="15" t="inlineStr">
        <is>
          <t>https://dym.asia/services/new-graduates/new-graduate-recruitment/</t>
        </is>
      </c>
      <c r="K644" s="47" t="n"/>
      <c r="L644" s="47" t="n"/>
    </row>
    <row r="645">
      <c r="A645" s="52">
        <f>row()-1</f>
        <v/>
      </c>
      <c r="B645" s="46" t="inlineStr">
        <is>
          <t>メンタルを強くする方法5選｜心を鍛える習慣も紹介</t>
        </is>
      </c>
      <c r="C645" s="6" t="inlineStr">
        <is>
          <t>https://dym.asia/media/recruiting/how-to-strengthen-mentality/#index-33toc</t>
        </is>
      </c>
      <c r="D645" s="12" t="inlineStr">
        <is>
          <t>2025.03.28</t>
        </is>
      </c>
      <c r="E645" s="12" t="inlineStr">
        <is>
          <t>2025.10.27</t>
        </is>
      </c>
      <c r="F645" s="47" t="inlineStr">
        <is>
          <t>求職者</t>
        </is>
      </c>
      <c r="G645" s="47" t="n"/>
      <c r="H645" s="47" t="inlineStr">
        <is>
          <t>新卒</t>
        </is>
      </c>
      <c r="I645" s="6" t="inlineStr">
        <is>
          <t>https://www.meetscompany.jp/</t>
        </is>
      </c>
      <c r="J645" s="15" t="inlineStr">
        <is>
          <t>https://dym.asia/services/new-graduates/new-graduate-recruitment/</t>
        </is>
      </c>
      <c r="K645" s="47" t="n"/>
      <c r="L645" s="47" t="n"/>
    </row>
    <row r="646">
      <c r="A646" s="52">
        <f>row()-1</f>
        <v/>
      </c>
      <c r="B646" s="46" t="inlineStr">
        <is>
          <t>INFP（仲介者）の性格診断｜特徴や恋愛も解説</t>
        </is>
      </c>
      <c r="C646" s="6" t="inlineStr">
        <is>
          <t>https://dym.asia/media/recruiting/infp/#index-INFP-2INFP-2toc</t>
        </is>
      </c>
      <c r="D646" s="12" t="inlineStr">
        <is>
          <t>2025.04.22</t>
        </is>
      </c>
      <c r="E646" s="12" t="inlineStr">
        <is>
          <t>2025.10.27</t>
        </is>
      </c>
      <c r="F646" s="47" t="inlineStr">
        <is>
          <t>求職者</t>
        </is>
      </c>
      <c r="G646" s="47" t="n"/>
      <c r="H646" s="47" t="inlineStr">
        <is>
          <t>新卒</t>
        </is>
      </c>
      <c r="I646" s="10" t="inlineStr">
        <is>
          <t>https://www.dshu.jp/</t>
        </is>
      </c>
      <c r="J646" s="15" t="inlineStr">
        <is>
          <t>https://dym.asia/services/new-graduates/new-graduate-recruitment/</t>
        </is>
      </c>
      <c r="K646" s="47" t="n"/>
      <c r="L646" s="47" t="n"/>
    </row>
    <row r="647">
      <c r="A647" s="52">
        <f>row()-1</f>
        <v/>
      </c>
      <c r="B647" s="46" t="inlineStr">
        <is>
          <t>INFP（仲介者）の性格診断｜特徴や恋愛も解説</t>
        </is>
      </c>
      <c r="C647" s="6" t="inlineStr">
        <is>
          <t>https://dym.asia/media/recruiting/infp/#index-INFP-7INFP-7toc</t>
        </is>
      </c>
      <c r="D647" s="12" t="inlineStr">
        <is>
          <t>2025.04.22</t>
        </is>
      </c>
      <c r="E647" s="12" t="inlineStr">
        <is>
          <t>2025.10.27</t>
        </is>
      </c>
      <c r="F647" s="47" t="inlineStr">
        <is>
          <t>求職者</t>
        </is>
      </c>
      <c r="G647" s="47" t="n"/>
      <c r="H647" s="47" t="inlineStr">
        <is>
          <t>中途・第二新卒</t>
        </is>
      </c>
      <c r="I647" s="10" t="inlineStr">
        <is>
          <t>https://www.dshu.jp/</t>
        </is>
      </c>
      <c r="J647" s="10" t="inlineStr">
        <is>
          <t>https://dym.asia/services/new-graduates/Former-graduate/</t>
        </is>
      </c>
      <c r="K647" s="47" t="n"/>
      <c r="L647" s="47" t="n"/>
    </row>
    <row r="648">
      <c r="A648" s="52">
        <f>row()-1</f>
        <v/>
      </c>
      <c r="B648" s="46" t="inlineStr">
        <is>
          <t>INFP（仲介者）の性格診断｜特徴や恋愛も解説</t>
        </is>
      </c>
      <c r="C648" s="6" t="inlineStr">
        <is>
          <t>https://dym.asia/media/recruiting/infp/#index-INFP16PersonalitiesINFP16Personalitiestoc</t>
        </is>
      </c>
      <c r="D648" s="12" t="inlineStr">
        <is>
          <t>2025.04.22</t>
        </is>
      </c>
      <c r="E648" s="12" t="inlineStr">
        <is>
          <t>2025.10.27</t>
        </is>
      </c>
      <c r="F648" s="47" t="inlineStr">
        <is>
          <t>求職者</t>
        </is>
      </c>
      <c r="G648" s="47" t="n"/>
      <c r="H648" s="47" t="inlineStr">
        <is>
          <t>中途・第二新卒</t>
        </is>
      </c>
      <c r="I648" s="10" t="inlineStr">
        <is>
          <t>https://www.dshu.jp/</t>
        </is>
      </c>
      <c r="J648" s="10" t="inlineStr">
        <is>
          <t>https://dym.asia/services/new-graduates/Former-graduate/</t>
        </is>
      </c>
      <c r="K648" s="47" t="n"/>
      <c r="L648" s="47" t="n"/>
    </row>
    <row r="649">
      <c r="A649" s="52">
        <f>row()-1</f>
        <v/>
      </c>
      <c r="B649" s="46" t="inlineStr">
        <is>
          <t>ISTJ（管理者）の性格と恋愛傾向は？仕事や相性も解説！</t>
        </is>
      </c>
      <c r="C649" s="6" t="inlineStr">
        <is>
          <t>https://dym.asia/media/recruiting/istj/#index-ISTJISTJtoc</t>
        </is>
      </c>
      <c r="D649" s="12" t="inlineStr">
        <is>
          <t>2025.04.14</t>
        </is>
      </c>
      <c r="E649" s="12" t="inlineStr">
        <is>
          <t>2025.10.27</t>
        </is>
      </c>
      <c r="F649" s="47" t="inlineStr">
        <is>
          <t>求職者</t>
        </is>
      </c>
      <c r="G649" s="47" t="n"/>
      <c r="H649" s="47" t="inlineStr">
        <is>
          <t>中途・第二新卒</t>
        </is>
      </c>
      <c r="I649" s="10" t="inlineStr">
        <is>
          <t>https://www.dshu.jp/</t>
        </is>
      </c>
      <c r="J649" s="10" t="inlineStr">
        <is>
          <t>https://dym.asia/services/new-graduates/Former-graduate/</t>
        </is>
      </c>
      <c r="K649" s="47" t="n"/>
      <c r="L649" s="47" t="n"/>
    </row>
    <row r="650">
      <c r="A650" s="52">
        <f>row()-1</f>
        <v/>
      </c>
      <c r="B650" s="46" t="inlineStr">
        <is>
          <t>ヘッドハンティングとは？引き抜きとの違いやメリット、対応方法を解説</t>
        </is>
      </c>
      <c r="C650" s="6" t="inlineStr">
        <is>
          <t>https://dym.asia/media/recruiting/job-change-head-hunting/</t>
        </is>
      </c>
      <c r="D650" s="12" t="inlineStr">
        <is>
          <t>2025.03.28</t>
        </is>
      </c>
      <c r="E650" s="12" t="inlineStr">
        <is>
          <t>2025.03.28</t>
        </is>
      </c>
      <c r="F650" s="47" t="inlineStr">
        <is>
          <t>求職者</t>
        </is>
      </c>
      <c r="G650" s="47" t="n"/>
      <c r="H650" s="47" t="inlineStr">
        <is>
          <t>中途・第二新卒</t>
        </is>
      </c>
      <c r="I650" s="10" t="inlineStr">
        <is>
          <t>https://www.dshu.jp/</t>
        </is>
      </c>
      <c r="J650" s="10" t="inlineStr">
        <is>
          <t>https://dym.asia/services/new-graduates/Former-graduate/</t>
        </is>
      </c>
      <c r="K650" s="47" t="n"/>
      <c r="L650" s="47" t="n"/>
    </row>
    <row r="651">
      <c r="A651" s="52">
        <f>row()-1</f>
        <v/>
      </c>
      <c r="B651" s="46" t="inlineStr">
        <is>
          <t>就活の軸とは？必要な理由・具体例や答え方例文集</t>
        </is>
      </c>
      <c r="C651" s="6" t="inlineStr">
        <is>
          <t>https://dym.asia/media/recruiting/job-hunting-criteria/</t>
        </is>
      </c>
      <c r="D651" s="12" t="inlineStr">
        <is>
          <t>2025.09.09</t>
        </is>
      </c>
      <c r="E651" s="12" t="inlineStr">
        <is>
          <t>2025.09.09</t>
        </is>
      </c>
      <c r="F651" s="47" t="inlineStr">
        <is>
          <t>求職者</t>
        </is>
      </c>
      <c r="G651" s="47" t="n"/>
      <c r="H651" s="47" t="inlineStr">
        <is>
          <t>新卒</t>
        </is>
      </c>
      <c r="I651" s="6" t="inlineStr">
        <is>
          <t>https://www.meetscompany.jp/</t>
        </is>
      </c>
      <c r="J651" s="15" t="inlineStr">
        <is>
          <t>https://dym.asia/services/new-graduates/new-graduate-recruitment/</t>
        </is>
      </c>
      <c r="K651" s="47" t="n"/>
      <c r="L651" s="47" t="n"/>
    </row>
    <row r="652">
      <c r="A652" s="52">
        <f>row()-1</f>
        <v/>
      </c>
      <c r="B652" s="46" t="inlineStr">
        <is>
          <t>就活スケジュールまとめ｜いつから始めるか・流れや適切な進め方</t>
        </is>
      </c>
      <c r="C652" s="6" t="inlineStr">
        <is>
          <t>https://dym.asia/media/recruiting/job-hunting-schedule/</t>
        </is>
      </c>
      <c r="D652" s="12" t="inlineStr">
        <is>
          <t>2025.09.09</t>
        </is>
      </c>
      <c r="E652" s="12" t="inlineStr">
        <is>
          <t>2025.09.09</t>
        </is>
      </c>
      <c r="F652" s="47" t="inlineStr">
        <is>
          <t>求職者</t>
        </is>
      </c>
      <c r="G652" s="47" t="n"/>
      <c r="H652" s="47" t="inlineStr">
        <is>
          <t>新卒</t>
        </is>
      </c>
      <c r="I652" s="6" t="inlineStr">
        <is>
          <t>https://www.meetscompany.jp/</t>
        </is>
      </c>
      <c r="J652" s="15" t="inlineStr">
        <is>
          <t>https://dym.asia/services/new-graduates/new-graduate-recruitment/</t>
        </is>
      </c>
      <c r="K652" s="47" t="n"/>
      <c r="L652" s="47" t="n"/>
    </row>
    <row r="653">
      <c r="A653" s="52">
        <f>row()-1</f>
        <v/>
      </c>
      <c r="B653" s="46" t="inlineStr">
        <is>
          <t>転職活動にかかる期間はどれくらい？目安やスケジュールの立て方を解説</t>
        </is>
      </c>
      <c r="C653" s="6" t="inlineStr">
        <is>
          <t>https://dym.asia/media/recruiting/job-search-period/</t>
        </is>
      </c>
      <c r="D653" s="12" t="inlineStr">
        <is>
          <t>2025.09.09</t>
        </is>
      </c>
      <c r="E653" s="12" t="inlineStr">
        <is>
          <t>2025.09.09</t>
        </is>
      </c>
      <c r="F653" s="47" t="inlineStr">
        <is>
          <t>求職者</t>
        </is>
      </c>
      <c r="G653" s="47" t="n"/>
      <c r="H653" s="47" t="inlineStr">
        <is>
          <t>中途・第二新卒</t>
        </is>
      </c>
      <c r="I653" s="10" t="inlineStr">
        <is>
          <t>https://www.dshu.jp/</t>
        </is>
      </c>
      <c r="J653" s="10" t="inlineStr">
        <is>
          <t>https://dym.asia/services/new-graduates/Former-graduate/</t>
        </is>
      </c>
      <c r="K653" s="47" t="n"/>
      <c r="L653" s="47" t="n"/>
    </row>
    <row r="654">
      <c r="A654" s="52">
        <f>row()-1</f>
        <v/>
      </c>
      <c r="B654" s="46" t="inlineStr">
        <is>
          <t>ニート向け求人の探し方とは？ポイントやおすすめの就職支援サービスを紹介</t>
        </is>
      </c>
      <c r="C654" s="6" t="inlineStr">
        <is>
          <t>https://dym.asia/media/recruiting/neet_job/</t>
        </is>
      </c>
      <c r="D654" s="12" t="inlineStr">
        <is>
          <t>2025.03.28</t>
        </is>
      </c>
      <c r="E654" s="12" t="inlineStr">
        <is>
          <t>2025.03.28</t>
        </is>
      </c>
      <c r="F654" s="47" t="inlineStr">
        <is>
          <t>求職者</t>
        </is>
      </c>
      <c r="G654" s="47" t="n"/>
      <c r="H654" s="47" t="inlineStr">
        <is>
          <t>中途・第二新卒</t>
        </is>
      </c>
      <c r="I654" s="10" t="inlineStr">
        <is>
          <t>https://www.dshu.jp/</t>
        </is>
      </c>
      <c r="J654" s="10" t="inlineStr">
        <is>
          <t>https://dym.asia/services/new-graduates/Former-graduate/</t>
        </is>
      </c>
      <c r="K654" s="47" t="n"/>
      <c r="L654" s="47" t="n"/>
    </row>
    <row r="655">
      <c r="A655" s="52">
        <f>row()-1</f>
        <v/>
      </c>
      <c r="B655" s="46" t="inlineStr">
        <is>
          <t>例文で学ぶ！新卒の履歴書志望動機書き方マスター</t>
        </is>
      </c>
      <c r="C655" s="6" t="inlineStr">
        <is>
          <t>https://dym.asia/media/recruiting/new-graduate-how-to-write-motivation/</t>
        </is>
      </c>
      <c r="D655" s="12" t="inlineStr">
        <is>
          <t>2025.03.28</t>
        </is>
      </c>
      <c r="E655" s="12" t="inlineStr">
        <is>
          <t>2025.03.28</t>
        </is>
      </c>
      <c r="F655" s="47" t="inlineStr">
        <is>
          <t>求職者</t>
        </is>
      </c>
      <c r="G655" s="47" t="n"/>
      <c r="H655" s="47" t="inlineStr">
        <is>
          <t>新卒</t>
        </is>
      </c>
      <c r="I655" s="6" t="inlineStr">
        <is>
          <t>https://www.meetscompany.jp/</t>
        </is>
      </c>
      <c r="J655" s="15" t="inlineStr">
        <is>
          <t>https://dym.asia/services/new-graduates/new-graduate-recruitment/</t>
        </is>
      </c>
      <c r="K655" s="47" t="n"/>
      <c r="L655" s="47" t="n"/>
    </row>
    <row r="656">
      <c r="A656" s="52">
        <f>row()-1</f>
        <v/>
      </c>
      <c r="B656" s="46" t="inlineStr">
        <is>
          <t>新卒で留学するメリットとデメリットとは？キャリア形成に役立つ留学の活用法を徹底解説</t>
        </is>
      </c>
      <c r="C656" s="6" t="inlineStr">
        <is>
          <t>https://dym.asia/media/recruiting/new-graduation-study-abroard/</t>
        </is>
      </c>
      <c r="D656" s="12" t="inlineStr">
        <is>
          <t>2025.03.28</t>
        </is>
      </c>
      <c r="E656" s="12" t="inlineStr">
        <is>
          <t>2025.03.28</t>
        </is>
      </c>
      <c r="F656" s="47" t="inlineStr">
        <is>
          <t>求職者</t>
        </is>
      </c>
      <c r="G656" s="47" t="n"/>
      <c r="H656" s="47" t="inlineStr">
        <is>
          <t>新卒</t>
        </is>
      </c>
      <c r="I656" s="6" t="inlineStr">
        <is>
          <t>https://www.meetscompany.jp/</t>
        </is>
      </c>
      <c r="J656" s="15" t="inlineStr">
        <is>
          <t>https://dym.asia/services/new-graduates/new-graduate-recruitment/</t>
        </is>
      </c>
      <c r="K656" s="47" t="n"/>
      <c r="L656" s="47" t="n"/>
    </row>
    <row r="657">
      <c r="A657" s="52">
        <f>row()-1</f>
        <v/>
      </c>
      <c r="B657" s="46" t="inlineStr">
        <is>
          <t>事務職とはどのような仕事? 仕事内容や向いている人、求められるスキルを解説</t>
        </is>
      </c>
      <c r="C657" s="6" t="inlineStr">
        <is>
          <t>https://dym.asia/media/recruiting/office-work/</t>
        </is>
      </c>
      <c r="D657" s="12" t="inlineStr">
        <is>
          <t>2025.03.28</t>
        </is>
      </c>
      <c r="E657" s="12" t="inlineStr">
        <is>
          <t>2025.03.28</t>
        </is>
      </c>
      <c r="F657" s="47" t="inlineStr">
        <is>
          <t>求職者</t>
        </is>
      </c>
      <c r="G657" s="47" t="n"/>
      <c r="H657" s="47" t="inlineStr">
        <is>
          <t>派遣</t>
        </is>
      </c>
      <c r="I657" s="10" t="inlineStr">
        <is>
          <t>https://dymcareer.jp/?_gl=1*wy70q0*_ga*MTY1NDA3OTI2OC4xNzYwNTgxMjEy*_ga_ZXCZZJJ72V*czE3NjkwNjkzMjYkbzIxJGcxJHQxNzY5MDcwNDE3JGo2JGwwJGgw</t>
        </is>
      </c>
      <c r="J657" s="15" t="inlineStr">
        <is>
          <t>https://dym.asia/services/new-graduates/ready-career/</t>
        </is>
      </c>
      <c r="K657" s="47" t="n"/>
      <c r="L657" s="47" t="n"/>
    </row>
    <row r="658">
      <c r="A658" s="52">
        <f>row()-1</f>
        <v/>
      </c>
      <c r="B658" s="46" t="inlineStr">
        <is>
          <t>リスケとは？正しい意味と使い方、リスケする際のポイント</t>
        </is>
      </c>
      <c r="C658" s="6" t="inlineStr">
        <is>
          <t>https://dym.asia/media/recruiting/re-schedule/</t>
        </is>
      </c>
      <c r="D658" s="12" t="inlineStr">
        <is>
          <t>2025.03.28</t>
        </is>
      </c>
      <c r="E658" s="12" t="inlineStr">
        <is>
          <t>2025.03.28</t>
        </is>
      </c>
      <c r="F658" s="47" t="inlineStr">
        <is>
          <t>求職者</t>
        </is>
      </c>
      <c r="G658" s="47" t="n"/>
      <c r="H658" s="47" t="inlineStr">
        <is>
          <t>新卒</t>
        </is>
      </c>
      <c r="I658" s="6" t="inlineStr">
        <is>
          <t>https://www.meetscompany.jp/</t>
        </is>
      </c>
      <c r="J658" s="10" t="inlineStr">
        <is>
          <t>https://dym.asia/services/new-graduates/new-graduate-recruitment/</t>
        </is>
      </c>
      <c r="K658" s="47" t="n"/>
      <c r="L658" s="47" t="n"/>
    </row>
    <row r="659">
      <c r="A659" s="52">
        <f>row()-1</f>
        <v/>
      </c>
      <c r="B659" s="46" t="inlineStr">
        <is>
          <t>転職成功率UP！転職エージェントを最大限に活用する秘訣</t>
        </is>
      </c>
      <c r="C659" s="6" t="inlineStr">
        <is>
          <t>https://dym.asia/media/recruiting/recruitment-consultant/</t>
        </is>
      </c>
      <c r="D659" s="12" t="inlineStr">
        <is>
          <t>2025.06.11</t>
        </is>
      </c>
      <c r="E659" s="12" t="inlineStr">
        <is>
          <t>2025.09.08</t>
        </is>
      </c>
      <c r="F659" s="47" t="inlineStr">
        <is>
          <t>求職者</t>
        </is>
      </c>
      <c r="G659" s="47" t="n"/>
      <c r="H659" s="47" t="inlineStr">
        <is>
          <t>中途・第二新卒</t>
        </is>
      </c>
      <c r="I659" s="10" t="inlineStr">
        <is>
          <t>https://www.dshu.jp/</t>
        </is>
      </c>
      <c r="J659" s="10" t="inlineStr">
        <is>
          <t>https://dym.asia/services/new-graduates/Former-graduate/</t>
        </is>
      </c>
      <c r="K659" s="47" t="n"/>
      <c r="L659" s="47" t="n"/>
    </row>
    <row r="660">
      <c r="A660" s="52">
        <f>row()-1</f>
        <v/>
      </c>
      <c r="B660" s="46" t="inlineStr">
        <is>
          <t>26年卒の就活はいつから？スケジュールとトレンド解説</t>
        </is>
      </c>
      <c r="C660" s="6" t="inlineStr">
        <is>
          <t>https://dym.asia/media/recruiting/shinsotsu-2026-trend-guide/</t>
        </is>
      </c>
      <c r="D660" s="12" t="inlineStr">
        <is>
          <t>2025.04.09</t>
        </is>
      </c>
      <c r="E660" s="12" t="inlineStr">
        <is>
          <t>2025.07.07</t>
        </is>
      </c>
      <c r="F660" s="47" t="inlineStr">
        <is>
          <t>求職者</t>
        </is>
      </c>
      <c r="G660" s="47" t="n"/>
      <c r="H660" s="47" t="inlineStr">
        <is>
          <t>新卒</t>
        </is>
      </c>
      <c r="I660" s="6" t="inlineStr">
        <is>
          <t>https://www.meetscompany.jp/</t>
        </is>
      </c>
      <c r="J660" s="15" t="inlineStr">
        <is>
          <t>https://dym.asia/services/new-graduates/new-graduate-recruitment/</t>
        </is>
      </c>
      <c r="K660" s="47" t="n"/>
      <c r="L660" s="47" t="n"/>
    </row>
    <row r="661">
      <c r="A661" s="52">
        <f>row()-1</f>
        <v/>
      </c>
      <c r="B661" s="46" t="inlineStr">
        <is>
          <t>就活とは？いつから始める？スケジュール・流れを解説</t>
        </is>
      </c>
      <c r="C661" s="6" t="inlineStr">
        <is>
          <t>https://dym.asia/media/recruiting/shukatsu-start-schedule/</t>
        </is>
      </c>
      <c r="D661" s="12" t="inlineStr">
        <is>
          <t>2025.04.14</t>
        </is>
      </c>
      <c r="E661" s="12" t="inlineStr">
        <is>
          <t>2025.08.25</t>
        </is>
      </c>
      <c r="F661" s="47" t="inlineStr">
        <is>
          <t>求職者</t>
        </is>
      </c>
      <c r="G661" s="47" t="n"/>
      <c r="H661" s="47" t="inlineStr">
        <is>
          <t>新卒</t>
        </is>
      </c>
      <c r="I661" s="6" t="inlineStr">
        <is>
          <t>https://www.meetscompany.jp/</t>
        </is>
      </c>
      <c r="J661" s="15" t="inlineStr">
        <is>
          <t>https://dym.asia/services/new-graduates/new-graduate-recruitment/</t>
        </is>
      </c>
      <c r="K661" s="47" t="n"/>
      <c r="L661" s="47" t="n"/>
    </row>
    <row r="662">
      <c r="A662" s="52">
        <f>row()-1</f>
        <v/>
      </c>
      <c r="B662" s="46" t="inlineStr">
        <is>
          <t>夏インターン（サマーインターン）とは？募集時期・探し方や参加までの流れ</t>
        </is>
      </c>
      <c r="C662" s="6" t="inlineStr">
        <is>
          <t>https://dym.asia/media/recruiting/summer-internship-2/</t>
        </is>
      </c>
      <c r="D662" s="12" t="inlineStr">
        <is>
          <t>2025.09.09</t>
        </is>
      </c>
      <c r="E662" s="12" t="inlineStr">
        <is>
          <t>2025.09.09</t>
        </is>
      </c>
      <c r="F662" s="47" t="inlineStr">
        <is>
          <t>求職者</t>
        </is>
      </c>
      <c r="G662" s="47" t="n"/>
      <c r="H662" s="47" t="inlineStr">
        <is>
          <t>新卒</t>
        </is>
      </c>
      <c r="I662" s="6" t="inlineStr">
        <is>
          <t>https://www.meetscompany.jp/</t>
        </is>
      </c>
      <c r="J662" s="15" t="inlineStr">
        <is>
          <t>https://dym.asia/services/new-graduates/new-graduate-recruitment/</t>
        </is>
      </c>
      <c r="K662" s="47" t="n"/>
      <c r="L662" s="47" t="n"/>
    </row>
    <row r="663">
      <c r="A663" s="52">
        <f>row()-1</f>
        <v/>
      </c>
      <c r="B663" s="46" t="inlineStr">
        <is>
          <t>働きたくない人に向いてる仕事15選！自分に合った適職の見つけ方</t>
        </is>
      </c>
      <c r="C663" s="6" t="inlineStr">
        <is>
          <t>https://dym.asia/media/recruiting/15-jobs-for-not-working/#index</t>
        </is>
      </c>
      <c r="D663" s="12" t="inlineStr">
        <is>
          <t>2025.04.09</t>
        </is>
      </c>
      <c r="E663" s="12" t="inlineStr">
        <is>
          <t>2025.10.27</t>
        </is>
      </c>
      <c r="F663" s="47" t="inlineStr">
        <is>
          <t>求職者</t>
        </is>
      </c>
      <c r="G663" s="47" t="n"/>
      <c r="H663" s="47" t="inlineStr">
        <is>
          <t>中途・第二新卒</t>
        </is>
      </c>
      <c r="I663" s="10" t="inlineStr">
        <is>
          <t>https://www.dshu.jp/</t>
        </is>
      </c>
      <c r="J663" s="10" t="inlineStr">
        <is>
          <t>https://dym.asia/services/new-graduates/Former-graduate/</t>
        </is>
      </c>
      <c r="K663" s="47" t="n"/>
      <c r="L663" s="47" t="n"/>
    </row>
    <row r="664">
      <c r="A664" s="52">
        <f>row()-1</f>
        <v/>
      </c>
      <c r="B664" s="46" t="inlineStr">
        <is>
          <t>働きたくない人に向いてる仕事15選！自分に合った適職の見つけ方</t>
        </is>
      </c>
      <c r="C664" s="6" t="inlineStr">
        <is>
          <t>https://dym.asia/media/recruiting/15-jobs-for-not-working/#index-2</t>
        </is>
      </c>
      <c r="D664" s="12" t="inlineStr">
        <is>
          <t>2025.04.09</t>
        </is>
      </c>
      <c r="E664" s="12" t="inlineStr">
        <is>
          <t>2025.10.27</t>
        </is>
      </c>
      <c r="F664" s="47" t="inlineStr">
        <is>
          <t>求職者</t>
        </is>
      </c>
      <c r="G664" s="47" t="n"/>
      <c r="H664" s="47" t="inlineStr">
        <is>
          <t>中途・第二新卒</t>
        </is>
      </c>
      <c r="I664" s="10" t="inlineStr">
        <is>
          <t>https://www.dshu.jp/</t>
        </is>
      </c>
      <c r="J664" s="10" t="inlineStr">
        <is>
          <t>https://dym.asia/services/new-graduates/Former-graduate/</t>
        </is>
      </c>
      <c r="K664" s="47" t="n"/>
      <c r="L664" s="47" t="n"/>
    </row>
    <row r="665">
      <c r="A665" s="52">
        <f>row()-1</f>
        <v/>
      </c>
      <c r="B665" s="46" t="inlineStr">
        <is>
          <t>働きたくない人に向いてる仕事15選！自分に合った適職の見つけ方</t>
        </is>
      </c>
      <c r="C665" s="6" t="inlineStr">
        <is>
          <t>https://dym.asia/media/recruiting/15-jobs-for-not-working/#index-22toc</t>
        </is>
      </c>
      <c r="D665" s="12" t="inlineStr">
        <is>
          <t>2025.04.09</t>
        </is>
      </c>
      <c r="E665" s="12" t="inlineStr">
        <is>
          <t>2025.10.27</t>
        </is>
      </c>
      <c r="F665" s="47" t="inlineStr">
        <is>
          <t>求職者</t>
        </is>
      </c>
      <c r="G665" s="47" t="n"/>
      <c r="H665" s="47" t="inlineStr">
        <is>
          <t>中途・第二新卒</t>
        </is>
      </c>
      <c r="I665" s="10" t="inlineStr">
        <is>
          <t>https://www.dshu.jp/</t>
        </is>
      </c>
      <c r="J665" s="10" t="inlineStr">
        <is>
          <t>https://dym.asia/services/new-graduates/Former-graduate/</t>
        </is>
      </c>
      <c r="K665" s="47" t="n"/>
      <c r="L665" s="47" t="n"/>
    </row>
    <row r="666">
      <c r="A666" s="52">
        <f>row()-1</f>
        <v/>
      </c>
      <c r="B666" s="46" t="inlineStr">
        <is>
          <t>30代女性の転職は厳しいの？未経験でも成功する方法</t>
        </is>
      </c>
      <c r="C666" s="6" t="inlineStr">
        <is>
          <t>https://dym.asia/media/recruiting/30s-job-change-woman/#index-30-730-7toc</t>
        </is>
      </c>
      <c r="D666" s="12" t="inlineStr">
        <is>
          <t>2025.03.27</t>
        </is>
      </c>
      <c r="E666" s="12" t="inlineStr">
        <is>
          <t>2025.03.27</t>
        </is>
      </c>
      <c r="F666" s="47" t="inlineStr">
        <is>
          <t>求職者</t>
        </is>
      </c>
      <c r="G666" s="47" t="n"/>
      <c r="H666" s="47" t="inlineStr">
        <is>
          <t>中途・第二新卒</t>
        </is>
      </c>
      <c r="I666" s="10" t="inlineStr">
        <is>
          <t>https://www.dshu.jp/</t>
        </is>
      </c>
      <c r="J666" s="15" t="inlineStr">
        <is>
          <t>https://dym.asia/services/new-graduates/high-class/</t>
        </is>
      </c>
      <c r="K666" s="47" t="n"/>
      <c r="L666" s="47" t="n"/>
    </row>
    <row r="667">
      <c r="A667" s="52">
        <f>row()-1</f>
        <v/>
      </c>
      <c r="B667" s="46" t="inlineStr">
        <is>
          <t>35歳からの転職は遅い？未経験転職の現状と転職を成功させるポイントを解説</t>
        </is>
      </c>
      <c r="C667" s="10" t="inlineStr">
        <is>
          <t>https://dym.asia/media/recruiting/35-job-change-women/</t>
        </is>
      </c>
      <c r="D667" s="12" t="inlineStr">
        <is>
          <t>2025.03.26</t>
        </is>
      </c>
      <c r="E667" s="12" t="inlineStr">
        <is>
          <t>2025.03.27</t>
        </is>
      </c>
      <c r="F667" s="47" t="inlineStr">
        <is>
          <t>求職者</t>
        </is>
      </c>
      <c r="G667" s="47" t="n"/>
      <c r="H667" s="47" t="inlineStr">
        <is>
          <t>中途・第二新卒</t>
        </is>
      </c>
      <c r="I667" s="10" t="inlineStr">
        <is>
          <t>https://www.dshu.jp/</t>
        </is>
      </c>
      <c r="J667" s="15" t="inlineStr">
        <is>
          <t>https://dym.asia/services/new-graduates/high-class/</t>
        </is>
      </c>
      <c r="K667" s="47" t="n"/>
      <c r="L667" s="47" t="n"/>
    </row>
    <row r="668">
      <c r="A668" s="52">
        <f>row()-1</f>
        <v/>
      </c>
      <c r="B668" s="46" t="inlineStr">
        <is>
          <t>35歳からの転職は遅い？未経験転職の現状と転職を成功させるポイントを解説</t>
        </is>
      </c>
      <c r="C668" s="6" t="inlineStr">
        <is>
          <t>https://dym.asia/media/recruiting/35-job-change/#index-3535toc</t>
        </is>
      </c>
      <c r="D668" s="12" t="inlineStr">
        <is>
          <t>2025.03.27</t>
        </is>
      </c>
      <c r="E668" s="12" t="inlineStr">
        <is>
          <t>2025.03.27</t>
        </is>
      </c>
      <c r="F668" s="47" t="inlineStr">
        <is>
          <t>求職者</t>
        </is>
      </c>
      <c r="G668" s="47" t="n"/>
      <c r="H668" s="47" t="inlineStr">
        <is>
          <t>中途・第二新卒</t>
        </is>
      </c>
      <c r="I668" s="10" t="inlineStr">
        <is>
          <t>https://www.dshu.jp/</t>
        </is>
      </c>
      <c r="J668" s="15" t="inlineStr">
        <is>
          <t>https://dym.asia/services/new-graduates/high-class/</t>
        </is>
      </c>
      <c r="K668" s="47" t="n"/>
      <c r="L668" s="47" t="n"/>
    </row>
    <row r="669">
      <c r="A669" s="52">
        <f>row()-1</f>
        <v/>
      </c>
      <c r="B669" s="46" t="inlineStr">
        <is>
          <t>40代女性の転職は厳しい？資格なし・未経験可の正社員職場と成功のヒント</t>
        </is>
      </c>
      <c r="C669" s="6" t="inlineStr">
        <is>
          <t>https://dym.asia/media/recruiting/40s-job-change-woman/#index-407407toc</t>
        </is>
      </c>
      <c r="D669" s="12" t="inlineStr">
        <is>
          <t>2025.03.27</t>
        </is>
      </c>
      <c r="E669" s="12" t="inlineStr">
        <is>
          <t>2025.03.27</t>
        </is>
      </c>
      <c r="F669" s="47" t="inlineStr">
        <is>
          <t>求職者</t>
        </is>
      </c>
      <c r="G669" s="47" t="n"/>
      <c r="H669" s="47" t="inlineStr">
        <is>
          <t>中途・第二新卒</t>
        </is>
      </c>
      <c r="I669" s="10" t="inlineStr">
        <is>
          <t>https://www.dshu.jp/</t>
        </is>
      </c>
      <c r="J669" s="15" t="inlineStr">
        <is>
          <t>https://dym.asia/services/new-graduates/high-class/</t>
        </is>
      </c>
      <c r="K669" s="47" t="n"/>
      <c r="L669" s="47" t="n"/>
    </row>
    <row r="670">
      <c r="A670" s="52">
        <f>row()-1</f>
        <v/>
      </c>
      <c r="B670" s="46" t="inlineStr">
        <is>
          <t>40代からの転職はやめた方がいい？厳しい理由と成功への道</t>
        </is>
      </c>
      <c r="C670" s="6" t="inlineStr">
        <is>
          <t>https://dym.asia/media/recruiting/40s-job-change/#index-40-240-2toc</t>
        </is>
      </c>
      <c r="D670" s="12" t="inlineStr">
        <is>
          <t>2025.03.27</t>
        </is>
      </c>
      <c r="E670" s="12" t="inlineStr">
        <is>
          <t>2025.10.27</t>
        </is>
      </c>
      <c r="F670" s="47" t="inlineStr">
        <is>
          <t>求職者</t>
        </is>
      </c>
      <c r="G670" s="47" t="n"/>
      <c r="H670" s="47" t="inlineStr">
        <is>
          <t>中途・第二新卒</t>
        </is>
      </c>
      <c r="I670" s="10" t="inlineStr">
        <is>
          <t>https://www.dshu.jp/</t>
        </is>
      </c>
      <c r="J670" s="10" t="inlineStr">
        <is>
          <t>https://dym.asia/services/new-graduates/high-class/</t>
        </is>
      </c>
      <c r="K670" s="47" t="n"/>
      <c r="L670" s="47" t="n"/>
    </row>
    <row r="671">
      <c r="A671" s="52">
        <f>row()-1</f>
        <v/>
      </c>
      <c r="B671" s="46" t="inlineStr">
        <is>
          <t>40代からの転職はやめた方がいい？厳しい理由と成功への道</t>
        </is>
      </c>
      <c r="C671" s="6" t="inlineStr">
        <is>
          <t>https://dym.asia/media/recruiting/40s-job-change/#index-4040toc</t>
        </is>
      </c>
      <c r="D671" s="12" t="inlineStr">
        <is>
          <t>2025.03.27</t>
        </is>
      </c>
      <c r="E671" s="12" t="inlineStr">
        <is>
          <t>2025.10.27</t>
        </is>
      </c>
      <c r="F671" s="47" t="inlineStr">
        <is>
          <t>求職者</t>
        </is>
      </c>
      <c r="G671" s="47" t="n"/>
      <c r="H671" s="47" t="inlineStr">
        <is>
          <t>中途・第二新卒</t>
        </is>
      </c>
      <c r="I671" s="10" t="inlineStr">
        <is>
          <t>https://www.dshu.jp/</t>
        </is>
      </c>
      <c r="J671" s="10" t="inlineStr">
        <is>
          <t>https://dym.asia/services/new-graduates/high-class/</t>
        </is>
      </c>
      <c r="K671" s="47" t="n"/>
      <c r="L671" s="47" t="n"/>
    </row>
    <row r="672">
      <c r="A672" s="52">
        <f>row()-1</f>
        <v/>
      </c>
      <c r="B672" s="46" t="inlineStr">
        <is>
          <t>OB・OG訪問とは？やり方・時期やメリットを徹底解説</t>
        </is>
      </c>
      <c r="C672" s="6" t="inlineStr">
        <is>
          <t>https://dym.asia/media/recruiting/alumni-vsit/</t>
        </is>
      </c>
      <c r="D672" s="12" t="inlineStr">
        <is>
          <t>2025.09.08</t>
        </is>
      </c>
      <c r="E672" s="12" t="inlineStr">
        <is>
          <t>2025.09.08</t>
        </is>
      </c>
      <c r="F672" s="47" t="inlineStr">
        <is>
          <t>求職者</t>
        </is>
      </c>
      <c r="G672" s="47" t="n"/>
      <c r="H672" s="47" t="inlineStr">
        <is>
          <t>新卒</t>
        </is>
      </c>
      <c r="I672" s="6" t="inlineStr">
        <is>
          <t>https://www.meetscompany.jp/</t>
        </is>
      </c>
      <c r="J672" s="15" t="inlineStr">
        <is>
          <t>https://dym.asia/services/new-graduates/new-graduate-recruitment/</t>
        </is>
      </c>
      <c r="K672" s="47" t="n"/>
      <c r="L672" s="47" t="n"/>
    </row>
    <row r="673">
      <c r="A673" s="52">
        <f>row()-1</f>
        <v/>
      </c>
      <c r="B673" s="46" t="inlineStr">
        <is>
          <t>アンガーマネジメントとは？やり方や6秒ルール、診断方法を解説</t>
        </is>
      </c>
      <c r="C673" s="6" t="inlineStr">
        <is>
          <t>https://dym.asia/media/recruiting/anger-management/</t>
        </is>
      </c>
      <c r="D673" s="12" t="inlineStr">
        <is>
          <t>2025.03.28</t>
        </is>
      </c>
      <c r="E673" s="12" t="inlineStr">
        <is>
          <t>2025.03.28</t>
        </is>
      </c>
      <c r="F673" s="47" t="inlineStr">
        <is>
          <t>求職者</t>
        </is>
      </c>
      <c r="G673" s="47" t="n"/>
      <c r="H673" s="47" t="inlineStr">
        <is>
          <t>その他</t>
        </is>
      </c>
      <c r="I673" s="47" t="inlineStr">
        <is>
          <t>URLがありませんでした。</t>
        </is>
      </c>
      <c r="J673" s="10" t="inlineStr">
        <is>
          <t>https://dym.asia/services/new-graduates/development-training/</t>
        </is>
      </c>
      <c r="K673" s="47" t="n"/>
      <c r="L673" s="47" t="n"/>
    </row>
    <row r="674">
      <c r="A674" s="52">
        <f>row()-1</f>
        <v/>
      </c>
      <c r="B674" s="46" t="inlineStr">
        <is>
          <t>アスリート採用｜企業のメリットと注意点を解説</t>
        </is>
      </c>
      <c r="C674" s="6" t="inlineStr">
        <is>
          <t>https://dym.asia/media/recruiting/athlete-recruitment/#index-2</t>
        </is>
      </c>
      <c r="D674" s="12" t="inlineStr">
        <is>
          <t>2025.03.24</t>
        </is>
      </c>
      <c r="E674" s="12" t="inlineStr">
        <is>
          <t>2025.10.27</t>
        </is>
      </c>
      <c r="F674" s="47" t="inlineStr">
        <is>
          <t>求職者</t>
        </is>
      </c>
      <c r="G674" s="47" t="n"/>
      <c r="H674" s="47" t="inlineStr">
        <is>
          <t>新卒</t>
        </is>
      </c>
      <c r="I674" s="6" t="inlineStr">
        <is>
          <t>https://www.meetscompany.jp/</t>
        </is>
      </c>
      <c r="J674" s="15" t="inlineStr">
        <is>
          <t>https://dym.asia/services/new-graduates/new-graduate-recruitment/</t>
        </is>
      </c>
      <c r="K674" s="47" t="n"/>
      <c r="L674" s="47" t="n"/>
    </row>
    <row r="675">
      <c r="A675" s="52">
        <f>row()-1</f>
        <v/>
      </c>
      <c r="B675" s="46" t="inlineStr">
        <is>
          <t>基本給とは？手取りや月給との違い、平均額まで詳しく解説</t>
        </is>
      </c>
      <c r="C675" s="6" t="inlineStr">
        <is>
          <t>https://dym.asia/media/recruiting/basic-salary/#index</t>
        </is>
      </c>
      <c r="D675" s="12" t="inlineStr">
        <is>
          <t>2025.03.28</t>
        </is>
      </c>
      <c r="E675" s="12" t="inlineStr">
        <is>
          <t>2025.10.27</t>
        </is>
      </c>
      <c r="F675" s="47" t="inlineStr">
        <is>
          <t>求職者</t>
        </is>
      </c>
      <c r="G675" s="47" t="n"/>
      <c r="H675" s="47" t="inlineStr">
        <is>
          <t>新卒</t>
        </is>
      </c>
      <c r="I675" s="6" t="inlineStr">
        <is>
          <t>https://www.meetscompany.jp/</t>
        </is>
      </c>
      <c r="J675" s="15" t="inlineStr">
        <is>
          <t>https://dym.asia/services/new-graduates/new-graduate-recruitment/</t>
        </is>
      </c>
      <c r="K675" s="47" t="n"/>
      <c r="L675" s="47" t="n"/>
    </row>
    <row r="676">
      <c r="A676" s="52">
        <f>row()-1</f>
        <v/>
      </c>
      <c r="B676" s="46" t="inlineStr">
        <is>
          <t>キャリアプランとは？描き方から職種別、年代別の例文まで解説</t>
        </is>
      </c>
      <c r="C676" s="6" t="inlineStr">
        <is>
          <t>https://dym.asia/media/recruiting/career-plan/</t>
        </is>
      </c>
      <c r="D676" s="12" t="inlineStr">
        <is>
          <t>2025.06.12</t>
        </is>
      </c>
      <c r="E676" s="12" t="inlineStr">
        <is>
          <t>2025.09.08</t>
        </is>
      </c>
      <c r="F676" s="47" t="inlineStr">
        <is>
          <t>求職者</t>
        </is>
      </c>
      <c r="G676" s="47" t="n"/>
      <c r="H676" s="47" t="inlineStr">
        <is>
          <t>中途・第二新卒</t>
        </is>
      </c>
      <c r="I676" s="10" t="inlineStr">
        <is>
          <t>https://www.dshu.jp/</t>
        </is>
      </c>
      <c r="J676" s="10" t="inlineStr">
        <is>
          <t>https://dym.asia/services/new-graduates/new-graduate-recruitment/</t>
        </is>
      </c>
      <c r="K676" s="47" t="n"/>
      <c r="L676" s="47" t="n"/>
    </row>
    <row r="677">
      <c r="A677" s="52">
        <f>row()-1</f>
        <v/>
      </c>
      <c r="B677" s="46" t="inlineStr">
        <is>
          <t>コミュニケーション能力とは？高い人の特徴と鍛えるべき4つのスキル</t>
        </is>
      </c>
      <c r="C677" s="6" t="inlineStr">
        <is>
          <t>https://dym.asia/media/recruiting/communication-ability/</t>
        </is>
      </c>
      <c r="D677" s="12" t="inlineStr">
        <is>
          <t>2025.03.28</t>
        </is>
      </c>
      <c r="E677" s="12" t="inlineStr">
        <is>
          <t>2025.03.28</t>
        </is>
      </c>
      <c r="F677" s="47" t="inlineStr">
        <is>
          <t>求職者</t>
        </is>
      </c>
      <c r="G677" s="47" t="n"/>
      <c r="H677" s="47" t="inlineStr">
        <is>
          <t>新卒</t>
        </is>
      </c>
      <c r="I677" s="6" t="inlineStr">
        <is>
          <t>https://www.meetscompany.jp/</t>
        </is>
      </c>
      <c r="J677" s="15" t="inlineStr">
        <is>
          <t>https://dym.asia/services/new-graduates/new-graduate-recruitment/</t>
        </is>
      </c>
      <c r="K677" s="47" t="n"/>
      <c r="L677" s="47" t="n"/>
    </row>
    <row r="678">
      <c r="A678" s="52">
        <f>row()-1</f>
        <v/>
      </c>
      <c r="B678" s="46" t="inlineStr">
        <is>
          <t>未経験からコンサルタントへ転職するポイントとは</t>
        </is>
      </c>
      <c r="C678" s="6" t="inlineStr">
        <is>
          <t>https://dym.asia/media/recruiting/consulting-job-change/</t>
        </is>
      </c>
      <c r="D678" s="12" t="inlineStr">
        <is>
          <t>2025.03.27</t>
        </is>
      </c>
      <c r="E678" s="12" t="inlineStr">
        <is>
          <t>2025.03.27</t>
        </is>
      </c>
      <c r="F678" s="47" t="inlineStr">
        <is>
          <t>求職者</t>
        </is>
      </c>
      <c r="G678" s="47" t="n"/>
      <c r="H678" s="47" t="inlineStr">
        <is>
          <t>中途・第二新卒</t>
        </is>
      </c>
      <c r="I678" s="10" t="inlineStr">
        <is>
          <t>https://www.dshu.jp/</t>
        </is>
      </c>
      <c r="J678" s="15" t="inlineStr">
        <is>
          <t>https://dym.asia/services/new-graduates/high-class/</t>
        </is>
      </c>
      <c r="K678" s="47" t="n"/>
      <c r="L678" s="47" t="n"/>
    </row>
    <row r="679">
      <c r="A679" s="52">
        <f>row()-1</f>
        <v/>
      </c>
      <c r="B679" s="46" t="inlineStr">
        <is>
          <t>第二新卒と既卒の違いとは？どちらが有利？意味や就職成功のポイントを解説</t>
        </is>
      </c>
      <c r="C679" s="6" t="inlineStr">
        <is>
          <t>https://dym.asia/media/recruiting/differance-former/#index-4</t>
        </is>
      </c>
      <c r="D679" s="12" t="inlineStr">
        <is>
          <t>2025.03.28</t>
        </is>
      </c>
      <c r="E679" s="12" t="inlineStr">
        <is>
          <t>2025.03.28</t>
        </is>
      </c>
      <c r="F679" s="47" t="inlineStr">
        <is>
          <t>求職者</t>
        </is>
      </c>
      <c r="G679" s="47" t="n"/>
      <c r="H679" s="47" t="inlineStr">
        <is>
          <t>中途・第二新卒</t>
        </is>
      </c>
      <c r="I679" s="10" t="inlineStr">
        <is>
          <t>https://www.dshu.jp/</t>
        </is>
      </c>
      <c r="J679" s="10" t="inlineStr">
        <is>
          <t>https://dym.asia/services/new-graduates/Former-graduate/</t>
        </is>
      </c>
      <c r="K679" s="47" t="n"/>
      <c r="L679" s="47" t="n"/>
    </row>
    <row r="680">
      <c r="A680" s="52">
        <f>row()-1</f>
        <v/>
      </c>
      <c r="B680" s="46" t="inlineStr">
        <is>
          <t>第二新卒と中途採用の違いって？どっちが転職に有利なのか解説</t>
        </is>
      </c>
      <c r="C680" s="6" t="inlineStr">
        <is>
          <t>https://dym.asia/media/recruiting/differance-former2/#index</t>
        </is>
      </c>
      <c r="D680" s="12" t="inlineStr">
        <is>
          <t>2025.03.28</t>
        </is>
      </c>
      <c r="E680" s="12" t="inlineStr">
        <is>
          <t>2025.03.28</t>
        </is>
      </c>
      <c r="F680" s="47" t="inlineStr">
        <is>
          <t>求職者</t>
        </is>
      </c>
      <c r="G680" s="47" t="n"/>
      <c r="H680" s="47" t="inlineStr">
        <is>
          <t>中途・第二新卒</t>
        </is>
      </c>
      <c r="I680" s="10" t="inlineStr">
        <is>
          <t>https://www.dshu.jp/</t>
        </is>
      </c>
      <c r="J680" s="10" t="inlineStr">
        <is>
          <t>https://dym.asia/services/new-graduates/Former-graduate/</t>
        </is>
      </c>
      <c r="K680" s="47" t="n"/>
      <c r="L680" s="47" t="n"/>
    </row>
    <row r="681">
      <c r="A681" s="52">
        <f>row()-1</f>
        <v/>
      </c>
      <c r="B681" s="46" t="inlineStr">
        <is>
          <t>第二新卒と中途採用の違いって？どっちが転職に有利なのか解説</t>
        </is>
      </c>
      <c r="C681" s="6" t="inlineStr">
        <is>
          <t>https://dym.asia/media/recruiting/differance-former2/#index-2</t>
        </is>
      </c>
      <c r="D681" s="12" t="inlineStr">
        <is>
          <t>2025.03.28</t>
        </is>
      </c>
      <c r="E681" s="12" t="inlineStr">
        <is>
          <t>2025.03.28</t>
        </is>
      </c>
      <c r="F681" s="47" t="inlineStr">
        <is>
          <t>求職者</t>
        </is>
      </c>
      <c r="G681" s="47" t="n"/>
      <c r="H681" s="47" t="inlineStr">
        <is>
          <t>中途・第二新卒</t>
        </is>
      </c>
      <c r="I681" s="10" t="inlineStr">
        <is>
          <t>https://www.dshu.jp/</t>
        </is>
      </c>
      <c r="J681" s="10" t="inlineStr">
        <is>
          <t>https://dym.asia/services/new-graduates/Former-graduate/</t>
        </is>
      </c>
      <c r="K681" s="47" t="n"/>
      <c r="L681" s="47" t="n"/>
    </row>
    <row r="682">
      <c r="A682" s="52">
        <f>row()-1</f>
        <v/>
      </c>
      <c r="B682" s="46" t="inlineStr">
        <is>
          <t>就活早期化が進む理由とは？意味や背景、対策まで徹底解説</t>
        </is>
      </c>
      <c r="C682" s="6" t="inlineStr">
        <is>
          <t>https://dym.asia/media/recruiting/early-job-hunting/#index-5-35-3toc</t>
        </is>
      </c>
      <c r="D682" s="12" t="inlineStr">
        <is>
          <t>2025.03.28</t>
        </is>
      </c>
      <c r="E682" s="12" t="inlineStr">
        <is>
          <t>2025.10.27</t>
        </is>
      </c>
      <c r="F682" s="47" t="inlineStr">
        <is>
          <t>求職者</t>
        </is>
      </c>
      <c r="G682" s="47" t="n"/>
      <c r="H682" s="47" t="inlineStr">
        <is>
          <t>新卒</t>
        </is>
      </c>
      <c r="I682" s="10" t="inlineStr">
        <is>
          <t>https://www.meetscompany.jp/</t>
        </is>
      </c>
      <c r="J682" s="15" t="inlineStr">
        <is>
          <t>https://dym.asia/services/new-graduates/new-graduate-recruitment/</t>
        </is>
      </c>
      <c r="K682" s="47" t="n"/>
      <c r="L682" s="47" t="n"/>
    </row>
    <row r="683">
      <c r="A683" s="52">
        <f>row()-1</f>
        <v/>
      </c>
      <c r="B683" s="46" t="inlineStr">
        <is>
          <t>就活早期化が進む理由とは？意味や背景、対策まで徹底解説</t>
        </is>
      </c>
      <c r="C683" s="6" t="inlineStr">
        <is>
          <t>https://dym.asia/media/recruiting/early-job-hunting/#index-55toc</t>
        </is>
      </c>
      <c r="D683" s="12" t="inlineStr">
        <is>
          <t>2025.03.28</t>
        </is>
      </c>
      <c r="E683" s="12" t="inlineStr">
        <is>
          <t>2025.10.27</t>
        </is>
      </c>
      <c r="F683" s="47" t="inlineStr">
        <is>
          <t>求職者</t>
        </is>
      </c>
      <c r="G683" s="47" t="n"/>
      <c r="H683" s="47" t="inlineStr">
        <is>
          <t>新卒</t>
        </is>
      </c>
      <c r="I683" s="10" t="inlineStr">
        <is>
          <t>https://www.meetscompany.jp/</t>
        </is>
      </c>
      <c r="J683" s="15" t="inlineStr">
        <is>
          <t>https://dym.asia/services/new-graduates/new-graduate-recruitment/</t>
        </is>
      </c>
      <c r="K683" s="47" t="n"/>
      <c r="L683" s="47" t="n"/>
    </row>
    <row r="684">
      <c r="A684" s="52">
        <f>row()-1</f>
        <v/>
      </c>
      <c r="B684" s="46" t="inlineStr">
        <is>
          <t>早期選考とは？業種別の特徴や成功に導く対策を解説</t>
        </is>
      </c>
      <c r="C684" s="6" t="inlineStr">
        <is>
          <t>https://dym.asia/media/recruiting/early-selection/#index-7</t>
        </is>
      </c>
      <c r="D684" s="12" t="inlineStr">
        <is>
          <t>2025.03.28</t>
        </is>
      </c>
      <c r="E684" s="12" t="inlineStr">
        <is>
          <t>2025.10.27</t>
        </is>
      </c>
      <c r="F684" s="47" t="inlineStr">
        <is>
          <t>求職者</t>
        </is>
      </c>
      <c r="G684" s="47" t="n"/>
      <c r="H684" s="47" t="inlineStr">
        <is>
          <t>新卒</t>
        </is>
      </c>
      <c r="I684" s="10" t="inlineStr">
        <is>
          <t>https://www.meetscompany.jp/</t>
        </is>
      </c>
      <c r="J684" s="15" t="inlineStr">
        <is>
          <t>https://dym.asia/services/new-graduates/new-graduate-recruitment/</t>
        </is>
      </c>
      <c r="K684" s="47" t="n"/>
      <c r="L684" s="47" t="n"/>
    </row>
    <row r="685">
      <c r="A685" s="52">
        <f>row()-1</f>
        <v/>
      </c>
      <c r="B685" s="46" t="inlineStr">
        <is>
          <t>大学生向け就職相談サービス5選｜支援内容や就活への生かし方を徹底解説</t>
        </is>
      </c>
      <c r="C685" s="6" t="inlineStr">
        <is>
          <t>https://dym.asia/media/recruiting/employment-consultation-university-student/#index</t>
        </is>
      </c>
      <c r="D685" s="12" t="inlineStr">
        <is>
          <t>2025.03.28</t>
        </is>
      </c>
      <c r="E685" s="12" t="inlineStr">
        <is>
          <t>2025.03.28</t>
        </is>
      </c>
      <c r="F685" s="47" t="inlineStr">
        <is>
          <t>求職者</t>
        </is>
      </c>
      <c r="G685" s="47" t="n"/>
      <c r="H685" s="47" t="inlineStr">
        <is>
          <t>新卒</t>
        </is>
      </c>
      <c r="I685" s="10" t="inlineStr">
        <is>
          <t>https://www.meetscompany.jp/</t>
        </is>
      </c>
      <c r="J685" s="15" t="inlineStr">
        <is>
          <t>https://dym.asia/services/new-graduates/new-graduate-recruitment/</t>
        </is>
      </c>
      <c r="K685" s="47" t="n"/>
      <c r="L685" s="47" t="n"/>
    </row>
    <row r="686">
      <c r="A686" s="52">
        <f>row()-1</f>
        <v/>
      </c>
      <c r="B686" s="46" t="inlineStr">
        <is>
          <t>ENFP（広報運動家）の性格・相性・恋愛傾向を徹底解説！</t>
        </is>
      </c>
      <c r="C686" s="6" t="inlineStr">
        <is>
          <t>https://dym.asia/media/recruiting/enfp/#index-ENFP-13ENFP-13toc</t>
        </is>
      </c>
      <c r="D686" s="12" t="inlineStr">
        <is>
          <t>2025.04.15</t>
        </is>
      </c>
      <c r="E686" s="12" t="inlineStr">
        <is>
          <t>2025.10.27</t>
        </is>
      </c>
      <c r="F686" s="47" t="inlineStr">
        <is>
          <t>求職者</t>
        </is>
      </c>
      <c r="G686" s="47" t="n"/>
      <c r="H686" s="47" t="inlineStr">
        <is>
          <t>中途・第二新卒</t>
        </is>
      </c>
      <c r="I686" s="10" t="inlineStr">
        <is>
          <t>https://www.dshu.jp/</t>
        </is>
      </c>
      <c r="J686" s="10" t="inlineStr">
        <is>
          <t>https://dym.asia/services/new-graduates/Former-graduate/</t>
        </is>
      </c>
      <c r="K686" s="47" t="n"/>
      <c r="L686" s="47" t="n"/>
    </row>
    <row r="687">
      <c r="A687" s="52">
        <f>row()-1</f>
        <v/>
      </c>
      <c r="B687" s="46" t="inlineStr">
        <is>
          <t>ENFP（広報運動家）の性格・相性・恋愛傾向を徹底解説！</t>
        </is>
      </c>
      <c r="C687" s="6" t="inlineStr">
        <is>
          <t>https://dym.asia/media/recruiting/enfp/#index-ENFPENFPtoc</t>
        </is>
      </c>
      <c r="D687" s="12" t="inlineStr">
        <is>
          <t>2025.04.15</t>
        </is>
      </c>
      <c r="E687" s="12" t="inlineStr">
        <is>
          <t>2025.10.27</t>
        </is>
      </c>
      <c r="F687" s="47" t="inlineStr">
        <is>
          <t>求職者</t>
        </is>
      </c>
      <c r="G687" s="47" t="n"/>
      <c r="H687" s="47" t="inlineStr">
        <is>
          <t>中途・第二新卒</t>
        </is>
      </c>
      <c r="I687" s="10" t="inlineStr">
        <is>
          <t>https://www.dshu.jp/</t>
        </is>
      </c>
      <c r="J687" s="10" t="inlineStr">
        <is>
          <t>https://dym.asia/services/new-graduates/Former-graduate/</t>
        </is>
      </c>
      <c r="K687" s="47" t="n"/>
      <c r="L687" s="47" t="n"/>
    </row>
    <row r="688">
      <c r="A688" s="52">
        <f>row()-1</f>
        <v/>
      </c>
      <c r="B688" s="46" t="inlineStr">
        <is>
          <t>ENTJ（指揮官）の性格と恋愛傾向｜16Personalities診断でわかる相性</t>
        </is>
      </c>
      <c r="C688" s="6" t="inlineStr">
        <is>
          <t>https://dym.asia/media/recruiting/entj/#index-ENTJ-9ENTJ-9toc</t>
        </is>
      </c>
      <c r="D688" s="12" t="inlineStr">
        <is>
          <t>2025.04.16</t>
        </is>
      </c>
      <c r="E688" s="12" t="inlineStr">
        <is>
          <t>2025.10.27</t>
        </is>
      </c>
      <c r="F688" s="47" t="inlineStr">
        <is>
          <t>求職者</t>
        </is>
      </c>
      <c r="G688" s="47" t="n"/>
      <c r="H688" s="47" t="inlineStr">
        <is>
          <t>中途・第二新卒</t>
        </is>
      </c>
      <c r="I688" s="10" t="inlineStr">
        <is>
          <t>https://www.dshu.jp/</t>
        </is>
      </c>
      <c r="J688" s="10" t="inlineStr">
        <is>
          <t>https://dym.asia/services/new-graduates/Former-graduate/</t>
        </is>
      </c>
      <c r="K688" s="47" t="n"/>
      <c r="L688" s="47" t="n"/>
    </row>
    <row r="689">
      <c r="A689" s="52">
        <f>row()-1</f>
        <v/>
      </c>
      <c r="B689" s="46" t="inlineStr">
        <is>
          <t>ENTP（討論者）の性格特徴！相性・恋愛・仕事は？</t>
        </is>
      </c>
      <c r="C689" s="6" t="inlineStr">
        <is>
          <t>https://dym.asia/media/recruiting/entp/#index-ENTP-3ENTP-3toc</t>
        </is>
      </c>
      <c r="D689" s="12" t="inlineStr">
        <is>
          <t>2025.04.18</t>
        </is>
      </c>
      <c r="E689" s="12" t="inlineStr">
        <is>
          <t>2025.10.27</t>
        </is>
      </c>
      <c r="F689" s="47" t="inlineStr">
        <is>
          <t>求職者</t>
        </is>
      </c>
      <c r="G689" s="47" t="n"/>
      <c r="H689" s="47" t="inlineStr">
        <is>
          <t>中途・第二新卒</t>
        </is>
      </c>
      <c r="I689" s="10" t="inlineStr">
        <is>
          <t>https://www.dshu.jp/</t>
        </is>
      </c>
      <c r="J689" s="10" t="inlineStr">
        <is>
          <t>https://dym.asia/services/new-graduates/Former-graduate/</t>
        </is>
      </c>
      <c r="K689" s="47" t="n"/>
      <c r="L689" s="47" t="n"/>
    </row>
    <row r="690">
      <c r="A690" s="52">
        <f>row()-1</f>
        <v/>
      </c>
      <c r="B690" s="46" t="inlineStr">
        <is>
          <t>ESとは？その役割と内定を引き寄せるための書き方講座</t>
        </is>
      </c>
      <c r="C690" s="6" t="inlineStr">
        <is>
          <t>https://dym.asia/media/recruiting/es/</t>
        </is>
      </c>
      <c r="D690" s="12" t="inlineStr">
        <is>
          <t>2025.06.11</t>
        </is>
      </c>
      <c r="E690" s="12" t="inlineStr">
        <is>
          <t>2025.09.08</t>
        </is>
      </c>
      <c r="F690" s="47" t="inlineStr">
        <is>
          <t>求職者</t>
        </is>
      </c>
      <c r="G690" s="47" t="n"/>
      <c r="H690" s="47" t="inlineStr">
        <is>
          <t>新卒</t>
        </is>
      </c>
      <c r="I690" s="10" t="inlineStr">
        <is>
          <t>https://www.meetscompany.jp/</t>
        </is>
      </c>
      <c r="J690" s="15" t="inlineStr">
        <is>
          <t>https://dym.asia/services/new-graduates/new-graduate-recruitment/</t>
        </is>
      </c>
      <c r="K690" s="47" t="n"/>
      <c r="L690" s="47" t="n"/>
    </row>
    <row r="691">
      <c r="A691" s="52">
        <f>row()-1</f>
        <v/>
      </c>
      <c r="B691" s="46" t="inlineStr">
        <is>
          <t>ESFJ（領事官）の性格診断、相性、仕事を紹介</t>
        </is>
      </c>
      <c r="C691" s="6" t="inlineStr">
        <is>
          <t>https://dym.asia/media/recruiting/esfj/#index-ESFJ-4ESFJ-4toc</t>
        </is>
      </c>
      <c r="D691" s="12" t="inlineStr">
        <is>
          <t>2025.04.16</t>
        </is>
      </c>
      <c r="E691" s="12" t="inlineStr">
        <is>
          <t>2025.10.27</t>
        </is>
      </c>
      <c r="F691" s="47" t="inlineStr">
        <is>
          <t>求職者</t>
        </is>
      </c>
      <c r="G691" s="47" t="n"/>
      <c r="H691" s="47" t="inlineStr">
        <is>
          <t>中途・第二新卒</t>
        </is>
      </c>
      <c r="I691" s="10" t="inlineStr">
        <is>
          <t>https://www.dshu.jp/</t>
        </is>
      </c>
      <c r="J691" s="10" t="inlineStr">
        <is>
          <t>https://dym.asia/services/new-graduates/Former-graduate/</t>
        </is>
      </c>
      <c r="K691" s="47" t="n"/>
      <c r="L691" s="47" t="n"/>
    </row>
    <row r="692">
      <c r="A692" s="52">
        <f>row()-1</f>
        <v/>
      </c>
      <c r="B692" s="46" t="inlineStr">
        <is>
          <t>ESFJ（領事官）の性格診断、相性、仕事を紹介</t>
        </is>
      </c>
      <c r="C692" s="6" t="inlineStr">
        <is>
          <t>https://dym.asia/media/recruiting/esfj/#index-ESFJ-6ESFJ-6toc</t>
        </is>
      </c>
      <c r="D692" s="12" t="inlineStr">
        <is>
          <t>2025.04.16</t>
        </is>
      </c>
      <c r="E692" s="12" t="inlineStr">
        <is>
          <t>2025.10.27</t>
        </is>
      </c>
      <c r="F692" s="47" t="inlineStr">
        <is>
          <t>求職者</t>
        </is>
      </c>
      <c r="G692" s="47" t="n"/>
      <c r="H692" s="47" t="inlineStr">
        <is>
          <t>中途・第二新卒</t>
        </is>
      </c>
      <c r="I692" s="10" t="inlineStr">
        <is>
          <t>https://www.dshu.jp/</t>
        </is>
      </c>
      <c r="J692" s="10" t="inlineStr">
        <is>
          <t>https://dym.asia/services/new-graduates/Former-graduate/</t>
        </is>
      </c>
      <c r="K692" s="47" t="n"/>
      <c r="L692" s="47" t="n"/>
    </row>
    <row r="693">
      <c r="A693" s="52">
        <f>row()-1</f>
        <v/>
      </c>
      <c r="B693" s="46" t="inlineStr">
        <is>
          <t>ESTJ（幹部）の性格診断｜相性、特徴、恋愛傾向を解説</t>
        </is>
      </c>
      <c r="C693" s="6" t="inlineStr">
        <is>
          <t>https://dym.asia/media/recruiting/estj/#index-ESTJ-8ESTJ-8toc</t>
        </is>
      </c>
      <c r="D693" s="12" t="inlineStr">
        <is>
          <t>2025.04.15</t>
        </is>
      </c>
      <c r="E693" s="12" t="inlineStr">
        <is>
          <t>2025.10.27</t>
        </is>
      </c>
      <c r="F693" s="47" t="inlineStr">
        <is>
          <t>求職者</t>
        </is>
      </c>
      <c r="G693" s="47" t="n"/>
      <c r="H693" s="47" t="inlineStr">
        <is>
          <t>中途・第二新卒</t>
        </is>
      </c>
      <c r="I693" s="10" t="inlineStr">
        <is>
          <t>https://www.dshu.jp/</t>
        </is>
      </c>
      <c r="J693" s="10" t="inlineStr">
        <is>
          <t>https://dym.asia/services/new-graduates/Former-graduate/</t>
        </is>
      </c>
      <c r="K693" s="47" t="n"/>
      <c r="L693" s="47" t="n"/>
    </row>
    <row r="694">
      <c r="A694" s="52">
        <f>row()-1</f>
        <v/>
      </c>
      <c r="B694" s="46" t="inlineStr">
        <is>
          <t>最終面接に落ちる理由と対策！転職活動でよくある不合格の理由や確率</t>
        </is>
      </c>
      <c r="C694" s="6" t="inlineStr">
        <is>
          <t>https://dym.asia/media/recruiting/final-interview-rejection/#index-2</t>
        </is>
      </c>
      <c r="D694" s="12" t="inlineStr">
        <is>
          <t>2025.09.08</t>
        </is>
      </c>
      <c r="E694" s="12" t="inlineStr">
        <is>
          <t>2025.09.08</t>
        </is>
      </c>
      <c r="F694" s="47" t="inlineStr">
        <is>
          <t>求職者</t>
        </is>
      </c>
      <c r="G694" s="47" t="n"/>
      <c r="H694" s="47" t="inlineStr">
        <is>
          <t>新卒</t>
        </is>
      </c>
      <c r="I694" s="10" t="inlineStr">
        <is>
          <t>https://www.meetscompany.jp/</t>
        </is>
      </c>
      <c r="J694" s="15" t="inlineStr">
        <is>
          <t>https://dym.asia/services/new-graduates/new-graduate-recruitment/</t>
        </is>
      </c>
      <c r="K694" s="47" t="n"/>
      <c r="L694" s="47" t="n"/>
    </row>
    <row r="695">
      <c r="A695" s="52">
        <f>row()-1</f>
        <v/>
      </c>
      <c r="B695" s="46" t="inlineStr">
        <is>
          <t>第二新卒とは？いつまでが第二新卒に該当するのかを解説</t>
        </is>
      </c>
      <c r="C695" s="6" t="inlineStr">
        <is>
          <t>https://dym.asia/media/recruiting/former-graduate-when/</t>
        </is>
      </c>
      <c r="D695" s="12" t="inlineStr">
        <is>
          <t>2025.03.26</t>
        </is>
      </c>
      <c r="E695" s="12" t="inlineStr">
        <is>
          <t>2025.03.26</t>
        </is>
      </c>
      <c r="F695" s="47" t="inlineStr">
        <is>
          <t>求職者</t>
        </is>
      </c>
      <c r="G695" s="47" t="n"/>
      <c r="H695" s="47" t="inlineStr">
        <is>
          <t>中途・第二新卒</t>
        </is>
      </c>
      <c r="I695" s="10" t="inlineStr">
        <is>
          <t>https://www.dshu.jp/</t>
        </is>
      </c>
      <c r="J695" s="15" t="inlineStr">
        <is>
          <t>https://dym.asia/services/new-graduates/Former-graduate/</t>
        </is>
      </c>
      <c r="K695" s="47" t="n"/>
      <c r="L695" s="47" t="n"/>
    </row>
    <row r="696">
      <c r="A696" s="52">
        <f>row()-1</f>
        <v/>
      </c>
      <c r="B696" s="46" t="inlineStr">
        <is>
          <t>第二新卒とは？年齢は何歳まで？定義や転職のコツ</t>
        </is>
      </c>
      <c r="C696" s="6" t="inlineStr">
        <is>
          <t>https://dym.asia/media/recruiting/former-recruitment-age/#index-2</t>
        </is>
      </c>
      <c r="D696" s="12" t="inlineStr">
        <is>
          <t>2025.03.28</t>
        </is>
      </c>
      <c r="E696" s="12" t="inlineStr">
        <is>
          <t>2025.10.27</t>
        </is>
      </c>
      <c r="F696" s="47" t="inlineStr">
        <is>
          <t>求職者</t>
        </is>
      </c>
      <c r="G696" s="47" t="n"/>
      <c r="H696" s="47" t="inlineStr">
        <is>
          <t>中途・第二新卒</t>
        </is>
      </c>
      <c r="I696" s="10" t="inlineStr">
        <is>
          <t>https://www.dshu.jp/</t>
        </is>
      </c>
      <c r="J696" s="15" t="inlineStr">
        <is>
          <t>https://dym.asia/services/new-graduates/Former-graduate/</t>
        </is>
      </c>
      <c r="K696" s="47" t="n"/>
      <c r="L696" s="47" t="n"/>
    </row>
    <row r="697">
      <c r="A697" s="52">
        <f>row()-1</f>
        <v/>
      </c>
      <c r="B697" s="46" t="inlineStr">
        <is>
          <t>ヘッドハンティング会社とは？おすすめの会社を紹介</t>
        </is>
      </c>
      <c r="C697" s="6" t="inlineStr">
        <is>
          <t>https://dym.asia/media/recruiting/head-hunting-company/</t>
        </is>
      </c>
      <c r="D697" s="12" t="inlineStr">
        <is>
          <t>2025.03.27</t>
        </is>
      </c>
      <c r="E697" s="12" t="inlineStr">
        <is>
          <t>2025.03.27</t>
        </is>
      </c>
      <c r="F697" s="47" t="inlineStr">
        <is>
          <t>求職者</t>
        </is>
      </c>
      <c r="G697" s="47" t="n"/>
      <c r="H697" s="47" t="inlineStr">
        <is>
          <t>中途・第二新卒</t>
        </is>
      </c>
      <c r="I697" s="10" t="inlineStr">
        <is>
          <t>https://www.dshu.jp/</t>
        </is>
      </c>
      <c r="J697" s="15" t="inlineStr">
        <is>
          <t>https://dym.asia/services/new-graduates/high-class/</t>
        </is>
      </c>
      <c r="K697" s="47" t="n"/>
      <c r="L697" s="47" t="n"/>
    </row>
    <row r="698">
      <c r="A698" s="52">
        <f>row()-1</f>
        <v/>
      </c>
      <c r="B698" s="46" t="inlineStr">
        <is>
          <t>40代以上におすすめ！ハイクラス転職エージェント転職サイト比較</t>
        </is>
      </c>
      <c r="C698" s="6" t="inlineStr">
        <is>
          <t>https://dym.asia/media/recruiting/high-class-agent/</t>
        </is>
      </c>
      <c r="D698" s="12" t="inlineStr">
        <is>
          <t>2025.03.28</t>
        </is>
      </c>
      <c r="E698" s="12" t="inlineStr">
        <is>
          <t>2025.03.28</t>
        </is>
      </c>
      <c r="F698" s="47" t="inlineStr">
        <is>
          <t>求職者</t>
        </is>
      </c>
      <c r="G698" s="47" t="n"/>
      <c r="H698" s="47" t="inlineStr">
        <is>
          <t>中途・第二新卒</t>
        </is>
      </c>
      <c r="I698" s="10" t="inlineStr">
        <is>
          <t>https://www.dshu.jp/</t>
        </is>
      </c>
      <c r="J698" s="15" t="inlineStr">
        <is>
          <t>https://dym.asia/services/new-graduates/high-class/</t>
        </is>
      </c>
      <c r="K698" s="47" t="n"/>
      <c r="L698" s="47" t="n"/>
    </row>
    <row r="699">
      <c r="A699" s="52">
        <f>row()-1</f>
        <v/>
      </c>
      <c r="B699" s="46" t="inlineStr">
        <is>
          <t>ハイクラス転職の年収相場は？年収を上げる条件と転職のポイントを解説</t>
        </is>
      </c>
      <c r="C699" s="6" t="inlineStr">
        <is>
          <t>https://dym.asia/media/recruiting/highclass-job-change-salary/</t>
        </is>
      </c>
      <c r="D699" s="12" t="inlineStr">
        <is>
          <t>2025.03.27</t>
        </is>
      </c>
      <c r="E699" s="12" t="inlineStr">
        <is>
          <t>2025.03.27</t>
        </is>
      </c>
      <c r="F699" s="47" t="inlineStr">
        <is>
          <t>求職者</t>
        </is>
      </c>
      <c r="G699" s="47" t="n"/>
      <c r="H699" s="47" t="inlineStr">
        <is>
          <t>中途・第二新卒</t>
        </is>
      </c>
      <c r="I699" s="10" t="inlineStr">
        <is>
          <t>https://www.dshu.jp/</t>
        </is>
      </c>
      <c r="J699" s="15" t="inlineStr">
        <is>
          <t>https://dym.asia/services/new-graduates/high-class/</t>
        </is>
      </c>
      <c r="K699" s="47" t="n"/>
      <c r="L699" s="47" t="n"/>
    </row>
    <row r="700">
      <c r="A700" s="52">
        <f>row()-1</f>
        <v/>
      </c>
      <c r="B700" s="46" t="inlineStr">
        <is>
          <t>メンタルを強くする方法5選｜心を鍛える習慣も紹介</t>
        </is>
      </c>
      <c r="C700" s="6" t="inlineStr">
        <is>
          <t>https://dym.asia/media/recruiting/how-to-strengthen-mentality/#index-55toc</t>
        </is>
      </c>
      <c r="D700" s="12" t="inlineStr">
        <is>
          <t>2025.03.28</t>
        </is>
      </c>
      <c r="E700" s="12" t="inlineStr">
        <is>
          <t>2025.10.27</t>
        </is>
      </c>
      <c r="F700" s="47" t="inlineStr">
        <is>
          <t>求職者</t>
        </is>
      </c>
      <c r="G700" s="47" t="n"/>
      <c r="H700" s="47" t="inlineStr">
        <is>
          <t>新卒</t>
        </is>
      </c>
      <c r="I700" s="10" t="inlineStr">
        <is>
          <t>https://www.meetscompany.jp/</t>
        </is>
      </c>
      <c r="J700" s="15" t="inlineStr">
        <is>
          <t>https://dym.asia/services/new-graduates/new-graduate-recruitment/</t>
        </is>
      </c>
      <c r="K700" s="47" t="n"/>
      <c r="L700" s="47" t="n"/>
    </row>
    <row r="701">
      <c r="A701" s="52">
        <f>row()-1</f>
        <v/>
      </c>
      <c r="B701" s="46" t="inlineStr">
        <is>
          <t>文系におすすめの職業一覧！専門職や高収入を狙える業界も紹介</t>
        </is>
      </c>
      <c r="C701" s="6" t="inlineStr">
        <is>
          <t>https://dym.asia/media/recruiting/humanities/#index</t>
        </is>
      </c>
      <c r="D701" s="12" t="inlineStr">
        <is>
          <t>2025.06.19</t>
        </is>
      </c>
      <c r="E701" s="12" t="inlineStr">
        <is>
          <t>2025.10.27</t>
        </is>
      </c>
      <c r="F701" s="47" t="inlineStr">
        <is>
          <t>求職者</t>
        </is>
      </c>
      <c r="G701" s="47" t="n"/>
      <c r="H701" s="47" t="inlineStr">
        <is>
          <t>新卒</t>
        </is>
      </c>
      <c r="I701" s="10" t="inlineStr">
        <is>
          <t>https://www.meetscompany.jp/</t>
        </is>
      </c>
      <c r="J701" s="15" t="inlineStr">
        <is>
          <t>https://dym.asia/services/new-graduates/new-graduate-recruitment/</t>
        </is>
      </c>
      <c r="K701" s="47" t="n"/>
      <c r="L701" s="47" t="n"/>
    </row>
    <row r="702">
      <c r="A702" s="52">
        <f>row()-1</f>
        <v/>
      </c>
      <c r="B702" s="46" t="inlineStr">
        <is>
          <t>文系におすすめの職業一覧！専門職や高収入を狙える業界も紹介</t>
        </is>
      </c>
      <c r="C702" s="6" t="inlineStr">
        <is>
          <t>https://dym.asia/media/recruiting/humanities/#index-1010toc</t>
        </is>
      </c>
      <c r="D702" s="12" t="inlineStr">
        <is>
          <t>2025.06.19</t>
        </is>
      </c>
      <c r="E702" s="12" t="inlineStr">
        <is>
          <t>2025.10.27</t>
        </is>
      </c>
      <c r="F702" s="47" t="inlineStr">
        <is>
          <t>求職者</t>
        </is>
      </c>
      <c r="G702" s="47" t="n"/>
      <c r="H702" s="47" t="inlineStr">
        <is>
          <t>新卒</t>
        </is>
      </c>
      <c r="I702" s="10" t="inlineStr">
        <is>
          <t>https://www.meetscompany.jp/</t>
        </is>
      </c>
      <c r="J702" s="15" t="inlineStr">
        <is>
          <t>https://dym.asia/services/new-graduates/new-graduate-recruitment/</t>
        </is>
      </c>
      <c r="K702" s="47" t="n"/>
      <c r="L702" s="47" t="n"/>
    </row>
    <row r="703">
      <c r="A703" s="52">
        <f>row()-1</f>
        <v/>
      </c>
      <c r="B703" s="46" t="inlineStr">
        <is>
          <t>文系におすすめの職業一覧！専門職や高収入を狙える業界も紹介</t>
        </is>
      </c>
      <c r="C703" s="6" t="inlineStr">
        <is>
          <t>https://dym.asia/media/recruiting/humanities/#index-55toc</t>
        </is>
      </c>
      <c r="D703" s="12" t="inlineStr">
        <is>
          <t>2025.06.19</t>
        </is>
      </c>
      <c r="E703" s="12" t="inlineStr">
        <is>
          <t>2025.10.27</t>
        </is>
      </c>
      <c r="F703" s="47" t="inlineStr">
        <is>
          <t>求職者</t>
        </is>
      </c>
      <c r="G703" s="47" t="n"/>
      <c r="H703" s="47" t="inlineStr">
        <is>
          <t>新卒</t>
        </is>
      </c>
      <c r="I703" s="10" t="inlineStr">
        <is>
          <t>https://www.meetscompany.jp/</t>
        </is>
      </c>
      <c r="J703" s="15" t="inlineStr">
        <is>
          <t>https://dym.asia/services/new-graduates/new-graduate-recruitment/</t>
        </is>
      </c>
      <c r="K703" s="47" t="n"/>
      <c r="L703" s="47" t="n"/>
    </row>
    <row r="704">
      <c r="A704" s="52">
        <f>row()-1</f>
        <v/>
      </c>
      <c r="B704" s="46" t="inlineStr">
        <is>
          <t>主体性とは？意味と自主性との違いや高める方法を解説</t>
        </is>
      </c>
      <c r="C704" s="6" t="inlineStr">
        <is>
          <t>https://dym.asia/media/recruiting/independence/</t>
        </is>
      </c>
      <c r="D704" s="12" t="inlineStr">
        <is>
          <t>2025.03.28</t>
        </is>
      </c>
      <c r="E704" s="12" t="inlineStr">
        <is>
          <t>2025.03.28</t>
        </is>
      </c>
      <c r="F704" s="47" t="inlineStr">
        <is>
          <t>求職者</t>
        </is>
      </c>
      <c r="G704" s="47" t="n"/>
      <c r="H704" s="47" t="inlineStr">
        <is>
          <t>新卒</t>
        </is>
      </c>
      <c r="I704" s="10" t="inlineStr">
        <is>
          <t>https://www.meetscompany.jp/</t>
        </is>
      </c>
      <c r="J704" s="15" t="inlineStr">
        <is>
          <t>https://dym.asia/services/new-graduates/new-graduate-recruitment/</t>
        </is>
      </c>
      <c r="K704" s="47" t="n"/>
      <c r="L704" s="47" t="n"/>
    </row>
    <row r="705">
      <c r="A705" s="52">
        <f>row()-1</f>
        <v/>
      </c>
      <c r="B705" s="46" t="inlineStr">
        <is>
          <t>業界研究のやり方・ポイントを解説！就活に役立つ業界一覧も</t>
        </is>
      </c>
      <c r="C705" s="6" t="inlineStr">
        <is>
          <t>https://dym.asia/media/recruiting/industry-research/</t>
        </is>
      </c>
      <c r="D705" s="12" t="inlineStr">
        <is>
          <t>2025.09.08</t>
        </is>
      </c>
      <c r="E705" s="12" t="inlineStr">
        <is>
          <t>2025.09.08</t>
        </is>
      </c>
      <c r="F705" s="47" t="inlineStr">
        <is>
          <t>求職者</t>
        </is>
      </c>
      <c r="G705" s="47" t="n"/>
      <c r="H705" s="47" t="inlineStr">
        <is>
          <t>新卒</t>
        </is>
      </c>
      <c r="I705" s="10" t="inlineStr">
        <is>
          <t>https://www.meetscompany.jp/</t>
        </is>
      </c>
      <c r="J705" s="15" t="inlineStr">
        <is>
          <t>https://dym.asia/services/new-graduates/new-graduate-recruitment/</t>
        </is>
      </c>
      <c r="K705" s="47" t="n"/>
      <c r="L705" s="47" t="n"/>
    </row>
    <row r="706">
      <c r="A706" s="52">
        <f>row()-1</f>
        <v/>
      </c>
      <c r="B706" s="46" t="inlineStr">
        <is>
          <t>INFJ（提唱者）の基本性格と相性！男女別の特徴やあるあるも解説</t>
        </is>
      </c>
      <c r="C706" s="6" t="inlineStr">
        <is>
          <t>https://dym.asia/media/recruiting/infj/#index-INFJ-8INFJ-8toc</t>
        </is>
      </c>
      <c r="D706" s="12" t="inlineStr">
        <is>
          <t>2025.04.15</t>
        </is>
      </c>
      <c r="E706" s="12" t="inlineStr">
        <is>
          <t>2025.10.27</t>
        </is>
      </c>
      <c r="F706" s="47" t="inlineStr">
        <is>
          <t>求職者</t>
        </is>
      </c>
      <c r="G706" s="47" t="n"/>
      <c r="H706" s="47" t="inlineStr">
        <is>
          <t>中途・第二新卒</t>
        </is>
      </c>
      <c r="I706" s="10" t="inlineStr">
        <is>
          <t>https://www.dshu.jp/</t>
        </is>
      </c>
      <c r="J706" s="10" t="inlineStr">
        <is>
          <t>https://dym.asia/services/new-graduates/Former-graduate/</t>
        </is>
      </c>
      <c r="K706" s="47" t="n"/>
      <c r="L706" s="47" t="n"/>
    </row>
    <row r="707">
      <c r="A707" s="52">
        <f>row()-1</f>
        <v/>
      </c>
      <c r="B707" s="46" t="inlineStr">
        <is>
          <t>INFJ（提唱者）の基本性格と相性！男女別の特徴やあるあるも解説</t>
        </is>
      </c>
      <c r="C707" s="6" t="inlineStr">
        <is>
          <t>https://dym.asia/media/recruiting/infj/#index-INFJINFJtoc</t>
        </is>
      </c>
      <c r="D707" s="12" t="inlineStr">
        <is>
          <t>2025.04.15</t>
        </is>
      </c>
      <c r="E707" s="12" t="inlineStr">
        <is>
          <t>2025.10.27</t>
        </is>
      </c>
      <c r="F707" s="47" t="inlineStr">
        <is>
          <t>求職者</t>
        </is>
      </c>
      <c r="G707" s="47" t="n"/>
      <c r="H707" s="47" t="inlineStr">
        <is>
          <t>中途・第二新卒</t>
        </is>
      </c>
      <c r="I707" s="15" t="inlineStr">
        <is>
          <t>https://www.dshu.jp/</t>
        </is>
      </c>
      <c r="J707" s="10" t="inlineStr">
        <is>
          <t>https://dym.asia/services/new-graduates/Former-graduate/</t>
        </is>
      </c>
      <c r="K707" s="47" t="n"/>
      <c r="L707" s="47" t="n"/>
    </row>
    <row r="708">
      <c r="A708" s="52">
        <f>row()-1</f>
        <v/>
      </c>
      <c r="B708" s="46" t="inlineStr">
        <is>
          <t>INFP（仲介者）の性格診断｜特徴や恋愛も解説</t>
        </is>
      </c>
      <c r="C708" s="6" t="inlineStr">
        <is>
          <t>https://dym.asia/media/recruiting/infp/#index-INFP-10INFP-10toc</t>
        </is>
      </c>
      <c r="D708" s="12" t="inlineStr">
        <is>
          <t>2025.04.22</t>
        </is>
      </c>
      <c r="E708" s="12" t="inlineStr">
        <is>
          <t>2025.10.27</t>
        </is>
      </c>
      <c r="F708" s="47" t="inlineStr">
        <is>
          <t>求職者</t>
        </is>
      </c>
      <c r="G708" s="47" t="n"/>
      <c r="H708" s="47" t="inlineStr">
        <is>
          <t>中途・第二新卒</t>
        </is>
      </c>
      <c r="I708" s="15" t="inlineStr">
        <is>
          <t>https://www.dshu.jp/</t>
        </is>
      </c>
      <c r="J708" s="10" t="inlineStr">
        <is>
          <t>https://dym.asia/services/new-graduates/Former-graduate/</t>
        </is>
      </c>
      <c r="K708" s="47" t="n"/>
      <c r="L708" s="47" t="n"/>
    </row>
    <row r="709">
      <c r="A709" s="52">
        <f>row()-1</f>
        <v/>
      </c>
      <c r="B709" s="46" t="inlineStr">
        <is>
          <t>INFP（仲介者）の性格診断｜特徴や恋愛も解説</t>
        </is>
      </c>
      <c r="C709" s="6" t="inlineStr">
        <is>
          <t>https://dym.asia/media/recruiting/infp/#index-INFP-14INFP-14toc</t>
        </is>
      </c>
      <c r="D709" s="12" t="inlineStr">
        <is>
          <t>2025.04.22</t>
        </is>
      </c>
      <c r="E709" s="12" t="inlineStr">
        <is>
          <t>2025.10.27</t>
        </is>
      </c>
      <c r="F709" s="47" t="inlineStr">
        <is>
          <t>求職者</t>
        </is>
      </c>
      <c r="G709" s="47" t="n"/>
      <c r="H709" s="47" t="inlineStr">
        <is>
          <t>中途・第二新卒</t>
        </is>
      </c>
      <c r="I709" s="15" t="inlineStr">
        <is>
          <t>https://www.dshu.jp/</t>
        </is>
      </c>
      <c r="J709" s="10" t="inlineStr">
        <is>
          <t>https://dym.asia/services/new-graduates/Former-graduate/</t>
        </is>
      </c>
      <c r="K709" s="47" t="n"/>
      <c r="L709" s="47" t="n"/>
    </row>
    <row r="710">
      <c r="A710" s="52">
        <f>row()-1</f>
        <v/>
      </c>
      <c r="B710" s="46" t="inlineStr">
        <is>
          <t>INFP（仲介者）の性格診断｜特徴や恋愛も解説</t>
        </is>
      </c>
      <c r="C710" s="6" t="inlineStr">
        <is>
          <t>https://dym.asia/media/recruiting/infp/#index-INFP-6INFP-6toc</t>
        </is>
      </c>
      <c r="D710" s="12" t="inlineStr">
        <is>
          <t>2025.04.22</t>
        </is>
      </c>
      <c r="E710" s="12" t="inlineStr">
        <is>
          <t>2025.10.27</t>
        </is>
      </c>
      <c r="F710" s="47" t="inlineStr">
        <is>
          <t>求職者</t>
        </is>
      </c>
      <c r="G710" s="47" t="n"/>
      <c r="H710" s="47" t="inlineStr">
        <is>
          <t>中途・第二新卒</t>
        </is>
      </c>
      <c r="I710" s="15" t="inlineStr">
        <is>
          <t>https://www.dshu.jp/</t>
        </is>
      </c>
      <c r="J710" s="10" t="inlineStr">
        <is>
          <t>https://dym.asia/services/new-graduates/Former-graduate/</t>
        </is>
      </c>
      <c r="K710" s="47" t="n"/>
      <c r="L710" s="47" t="n"/>
    </row>
    <row r="711">
      <c r="A711" s="52">
        <f>row()-1</f>
        <v/>
      </c>
      <c r="B711" s="46" t="inlineStr">
        <is>
          <t>インターンの早期選考とは？企業から呼ばれるための就活方法</t>
        </is>
      </c>
      <c r="C711" s="6" t="inlineStr">
        <is>
          <t>https://dym.asia/media/recruiting/internship-early-selection/#index</t>
        </is>
      </c>
      <c r="D711" s="12" t="inlineStr">
        <is>
          <t>2025.03.28</t>
        </is>
      </c>
      <c r="E711" s="12" t="inlineStr">
        <is>
          <t>2025.10.27</t>
        </is>
      </c>
      <c r="F711" s="47" t="inlineStr">
        <is>
          <t>求職者</t>
        </is>
      </c>
      <c r="G711" s="47" t="n"/>
      <c r="H711" s="47" t="inlineStr">
        <is>
          <t>新卒</t>
        </is>
      </c>
      <c r="I711" s="10" t="inlineStr">
        <is>
          <t>https://www.meetscompany.jp/</t>
        </is>
      </c>
      <c r="J711" s="15" t="inlineStr">
        <is>
          <t>https://dym.asia/services/new-graduates/new-graduate-recruitment/</t>
        </is>
      </c>
      <c r="K711" s="47" t="n"/>
      <c r="L711" s="47" t="n"/>
    </row>
    <row r="712">
      <c r="A712" s="52">
        <f>row()-1</f>
        <v/>
      </c>
      <c r="B712" s="46" t="inlineStr">
        <is>
          <t>インターンメリットでキャリアアップ！成功させる秘訣と内定獲得への近道</t>
        </is>
      </c>
      <c r="C712" s="6" t="inlineStr">
        <is>
          <t>https://dym.asia/media/recruiting/internship-merit/</t>
        </is>
      </c>
      <c r="D712" s="12" t="inlineStr">
        <is>
          <t>2025.03.28</t>
        </is>
      </c>
      <c r="E712" s="12" t="inlineStr">
        <is>
          <t>2025.03.28</t>
        </is>
      </c>
      <c r="F712" s="47" t="inlineStr">
        <is>
          <t>求職者</t>
        </is>
      </c>
      <c r="G712" s="47" t="n"/>
      <c r="H712" s="47" t="inlineStr">
        <is>
          <t>新卒</t>
        </is>
      </c>
      <c r="I712" s="10" t="inlineStr">
        <is>
          <t>https://www.meetscompany.jp/</t>
        </is>
      </c>
      <c r="J712" s="15" t="inlineStr">
        <is>
          <t>https://dym.asia/services/new-graduates/new-graduate-recruitment/</t>
        </is>
      </c>
      <c r="K712" s="47" t="n"/>
      <c r="L712" s="47" t="n"/>
    </row>
    <row r="713">
      <c r="A713" s="52">
        <f>row()-1</f>
        <v/>
      </c>
      <c r="B713" s="46" t="inlineStr">
        <is>
          <t>面接練習の効果的なやり方｜就活・転職に役立つ対策や一人でできる練習方法</t>
        </is>
      </c>
      <c r="C713" s="6" t="inlineStr">
        <is>
          <t>https://dym.asia/media/recruiting/interview-practice/#index-13</t>
        </is>
      </c>
      <c r="D713" s="12" t="inlineStr">
        <is>
          <t>2025.06.19</t>
        </is>
      </c>
      <c r="E713" s="12" t="inlineStr">
        <is>
          <t>2025.06.19</t>
        </is>
      </c>
      <c r="F713" s="47" t="inlineStr">
        <is>
          <t>求職者</t>
        </is>
      </c>
      <c r="G713" s="47" t="n"/>
      <c r="H713" s="47" t="inlineStr">
        <is>
          <t>新卒</t>
        </is>
      </c>
      <c r="I713" s="10" t="inlineStr">
        <is>
          <t>https://www.meetscompany.jp/</t>
        </is>
      </c>
      <c r="J713" s="15" t="inlineStr">
        <is>
          <t>https://dym.asia/services/new-graduates/new-graduate-recruitment/</t>
        </is>
      </c>
      <c r="K713" s="47" t="n"/>
      <c r="L713" s="47" t="n"/>
    </row>
    <row r="714">
      <c r="A714" s="52">
        <f>row()-1</f>
        <v/>
      </c>
      <c r="B714" s="46" t="inlineStr">
        <is>
          <t>INTP（論理学者）の性格・特徴は？相性や向いている仕事も解説！</t>
        </is>
      </c>
      <c r="C714" s="6" t="inlineStr">
        <is>
          <t>https://dym.asia/media/recruiting/intp/#index-INTP-12INTP-12toc</t>
        </is>
      </c>
      <c r="D714" s="12" t="inlineStr">
        <is>
          <t>2025.04.15</t>
        </is>
      </c>
      <c r="E714" s="12" t="inlineStr">
        <is>
          <t>2025.10.27</t>
        </is>
      </c>
      <c r="F714" s="47" t="inlineStr">
        <is>
          <t>求職者</t>
        </is>
      </c>
      <c r="G714" s="47" t="n"/>
      <c r="H714" s="47" t="inlineStr">
        <is>
          <t>中途・第二新卒</t>
        </is>
      </c>
      <c r="I714" s="15" t="inlineStr">
        <is>
          <t>https://www.dshu.jp/</t>
        </is>
      </c>
      <c r="J714" s="10" t="inlineStr">
        <is>
          <t>https://dym.asia/services/new-graduates/Former-graduate/</t>
        </is>
      </c>
      <c r="K714" s="47" t="n"/>
      <c r="L714" s="47" t="n"/>
    </row>
    <row r="715">
      <c r="A715" s="52">
        <f>row()-1</f>
        <v/>
      </c>
      <c r="B715" s="46" t="inlineStr">
        <is>
          <t>INTP（論理学者）の性格・特徴は？相性や向いている仕事も解説！</t>
        </is>
      </c>
      <c r="C715" s="6" t="inlineStr">
        <is>
          <t>https://dym.asia/media/recruiting/intp/#index-INTP-3INTP-3toc</t>
        </is>
      </c>
      <c r="D715" s="12" t="inlineStr">
        <is>
          <t>2025.04.15</t>
        </is>
      </c>
      <c r="E715" s="12" t="inlineStr">
        <is>
          <t>2025.10.27</t>
        </is>
      </c>
      <c r="F715" s="47" t="inlineStr">
        <is>
          <t>求職者</t>
        </is>
      </c>
      <c r="G715" s="47" t="n"/>
      <c r="H715" s="47" t="inlineStr">
        <is>
          <t>中途・第二新卒</t>
        </is>
      </c>
      <c r="I715" s="15" t="inlineStr">
        <is>
          <t>https://www.dshu.jp/</t>
        </is>
      </c>
      <c r="J715" s="10" t="inlineStr">
        <is>
          <t>https://dym.asia/services/new-graduates/Former-graduate/</t>
        </is>
      </c>
      <c r="K715" s="47" t="n"/>
      <c r="L715" s="47" t="n"/>
    </row>
    <row r="716">
      <c r="A716" s="52">
        <f>row()-1</f>
        <v/>
      </c>
      <c r="B716" s="46" t="inlineStr">
        <is>
          <t>INTP（論理学者）の性格・特徴は？相性や向いている仕事も解説！</t>
        </is>
      </c>
      <c r="C716" s="6" t="inlineStr">
        <is>
          <t>https://dym.asia/media/recruiting/intp/#index-INTP-7INTP-7toc</t>
        </is>
      </c>
      <c r="D716" s="12" t="inlineStr">
        <is>
          <t>2025.04.15</t>
        </is>
      </c>
      <c r="E716" s="12" t="inlineStr">
        <is>
          <t>2025.10.27</t>
        </is>
      </c>
      <c r="F716" s="47" t="inlineStr">
        <is>
          <t>求職者</t>
        </is>
      </c>
      <c r="G716" s="47" t="n"/>
      <c r="H716" s="47" t="inlineStr">
        <is>
          <t>中途・第二新卒</t>
        </is>
      </c>
      <c r="I716" s="15" t="inlineStr">
        <is>
          <t>https://www.dshu.jp/</t>
        </is>
      </c>
      <c r="J716" s="10" t="inlineStr">
        <is>
          <t>https://dym.asia/services/new-graduates/Former-graduate/</t>
        </is>
      </c>
      <c r="K716" s="47" t="n"/>
      <c r="L716" s="47" t="n"/>
    </row>
    <row r="717">
      <c r="A717" s="52">
        <f>row()-1</f>
        <v/>
      </c>
      <c r="B717" s="46" t="inlineStr">
        <is>
          <t>INTP（論理学者）の性格・特徴は？相性や向いている仕事も解説！</t>
        </is>
      </c>
      <c r="C717" s="6" t="inlineStr">
        <is>
          <t>https://dym.asia/media/recruiting/intp/#index-INTP-8INTP-8toc</t>
        </is>
      </c>
      <c r="D717" s="12" t="inlineStr">
        <is>
          <t>2025.04.15</t>
        </is>
      </c>
      <c r="E717" s="12" t="inlineStr">
        <is>
          <t>2025.10.27</t>
        </is>
      </c>
      <c r="F717" s="47" t="inlineStr">
        <is>
          <t>求職者</t>
        </is>
      </c>
      <c r="G717" s="47" t="n"/>
      <c r="H717" s="47" t="inlineStr">
        <is>
          <t>中途・第二新卒</t>
        </is>
      </c>
      <c r="I717" s="15" t="inlineStr">
        <is>
          <t>https://www.dshu.jp/</t>
        </is>
      </c>
      <c r="J717" s="10" t="inlineStr">
        <is>
          <t>https://dym.asia/services/new-graduates/Former-graduate/</t>
        </is>
      </c>
      <c r="K717" s="47" t="n"/>
      <c r="L717" s="47" t="n"/>
    </row>
    <row r="718">
      <c r="A718" s="52">
        <f>row()-1</f>
        <v/>
      </c>
      <c r="B718" s="46" t="inlineStr">
        <is>
          <t>ISFJ（擁護者）の性格と相性：特徴や恋愛、仕事も解説</t>
        </is>
      </c>
      <c r="C718" s="6" t="inlineStr">
        <is>
          <t>https://dym.asia/media/recruiting/isfj/#index-ISFJ-TISFJ-AISFJ-TISFJ-Atoc</t>
        </is>
      </c>
      <c r="D718" s="12" t="inlineStr">
        <is>
          <t>2025.04.15</t>
        </is>
      </c>
      <c r="E718" s="12" t="inlineStr">
        <is>
          <t>2025.10.27</t>
        </is>
      </c>
      <c r="F718" s="47" t="inlineStr">
        <is>
          <t>求職者</t>
        </is>
      </c>
      <c r="G718" s="47" t="n"/>
      <c r="H718" s="47" t="inlineStr">
        <is>
          <t>中途・第二新卒</t>
        </is>
      </c>
      <c r="I718" s="15" t="inlineStr">
        <is>
          <t>https://www.dshu.jp/</t>
        </is>
      </c>
      <c r="J718" s="10" t="inlineStr">
        <is>
          <t>https://dym.asia/services/new-graduates/Former-graduate/</t>
        </is>
      </c>
      <c r="K718" s="47" t="n"/>
      <c r="L718" s="47" t="n"/>
    </row>
    <row r="719">
      <c r="A719" s="52">
        <f>row()-1</f>
        <v/>
      </c>
      <c r="B719" s="46" t="inlineStr">
        <is>
          <t>ISTJ（管理者）の性格と恋愛傾向は？仕事や相性も解説！</t>
        </is>
      </c>
      <c r="C719" s="6" t="inlineStr">
        <is>
          <t>https://dym.asia/media/recruiting/istj/#index-ISTJ-13ISTJ-13toc</t>
        </is>
      </c>
      <c r="D719" s="12" t="inlineStr">
        <is>
          <t>2025.04.14</t>
        </is>
      </c>
      <c r="E719" s="12" t="inlineStr">
        <is>
          <t>2025.10.27</t>
        </is>
      </c>
      <c r="F719" s="47" t="inlineStr">
        <is>
          <t>求職者</t>
        </is>
      </c>
      <c r="G719" s="47" t="n"/>
      <c r="H719" s="47" t="inlineStr">
        <is>
          <t>中途・第二新卒</t>
        </is>
      </c>
      <c r="I719" s="15" t="inlineStr">
        <is>
          <t>https://www.dshu.jp/</t>
        </is>
      </c>
      <c r="J719" s="10" t="inlineStr">
        <is>
          <t>https://dym.asia/services/new-graduates/Former-graduate/</t>
        </is>
      </c>
      <c r="K719" s="47" t="n"/>
      <c r="L719" s="47" t="n"/>
    </row>
    <row r="720">
      <c r="A720" s="52">
        <f>row()-1</f>
        <v/>
      </c>
      <c r="B720" s="46" t="inlineStr">
        <is>
          <t>ISTJ（管理者）の性格と恋愛傾向は？仕事や相性も解説！</t>
        </is>
      </c>
      <c r="C720" s="10" t="inlineStr">
        <is>
          <t>https://dym.asia/media/recruiting/istj/#index-ISTJ-4ISTJ-4toc</t>
        </is>
      </c>
      <c r="D720" s="12" t="inlineStr">
        <is>
          <t>2025.04.14</t>
        </is>
      </c>
      <c r="E720" s="12" t="inlineStr">
        <is>
          <t>2025.10.27</t>
        </is>
      </c>
      <c r="F720" s="47" t="inlineStr">
        <is>
          <t>求職者</t>
        </is>
      </c>
      <c r="G720" s="47" t="n"/>
      <c r="H720" s="47" t="inlineStr">
        <is>
          <t>中途・第二新卒</t>
        </is>
      </c>
      <c r="I720" s="15" t="inlineStr">
        <is>
          <t>https://www.dshu.jp/</t>
        </is>
      </c>
      <c r="J720" s="10" t="inlineStr">
        <is>
          <t>https://dym.asia/services/new-graduates/Former-graduate/</t>
        </is>
      </c>
      <c r="K720" s="47" t="n"/>
      <c r="L720" s="47" t="n"/>
    </row>
    <row r="721">
      <c r="A721" s="52">
        <f>row()-1</f>
        <v/>
      </c>
      <c r="B721" s="46" t="inlineStr">
        <is>
          <t>ISTJ（管理者）の性格と恋愛傾向は？仕事や相性も解説！</t>
        </is>
      </c>
      <c r="C721" s="6" t="inlineStr">
        <is>
          <t>https://dym.asia/media/recruiting/istj/#index-ISTJ-9ISTJ-9toc</t>
        </is>
      </c>
      <c r="D721" s="12" t="inlineStr">
        <is>
          <t>2025.04.14</t>
        </is>
      </c>
      <c r="E721" s="12" t="inlineStr">
        <is>
          <t>2025.10.27</t>
        </is>
      </c>
      <c r="F721" s="47" t="inlineStr">
        <is>
          <t>求職者</t>
        </is>
      </c>
      <c r="G721" s="47" t="n"/>
      <c r="H721" s="47" t="inlineStr">
        <is>
          <t>中途・第二新卒</t>
        </is>
      </c>
      <c r="I721" s="15" t="inlineStr">
        <is>
          <t>https://www.dshu.jp/</t>
        </is>
      </c>
      <c r="J721" s="10" t="inlineStr">
        <is>
          <t>https://dym.asia/services/new-graduates/Former-graduate/</t>
        </is>
      </c>
      <c r="K721" s="47" t="n"/>
      <c r="L721" s="47" t="n"/>
    </row>
    <row r="722">
      <c r="A722" s="52">
        <f>row()-1</f>
        <v/>
      </c>
      <c r="B722" s="46" t="inlineStr">
        <is>
          <t>ISTP（巨匠）の性格と相性｜16Personalities診断でわかる特徴</t>
        </is>
      </c>
      <c r="C722" s="6" t="inlineStr">
        <is>
          <t>https://dym.asia/media/recruiting/istp/#index-ISTP-2ISTP-2toc</t>
        </is>
      </c>
      <c r="D722" s="12" t="inlineStr">
        <is>
          <t>2025.04.15</t>
        </is>
      </c>
      <c r="E722" s="12" t="inlineStr">
        <is>
          <t>2025.04.15</t>
        </is>
      </c>
      <c r="F722" s="47" t="inlineStr">
        <is>
          <t>求職者</t>
        </is>
      </c>
      <c r="G722" s="47" t="n"/>
      <c r="H722" s="47" t="inlineStr">
        <is>
          <t>中途・第二新卒</t>
        </is>
      </c>
      <c r="I722" s="15" t="inlineStr">
        <is>
          <t>https://www.dshu.jp/</t>
        </is>
      </c>
      <c r="J722" s="10" t="inlineStr">
        <is>
          <t>https://dym.asia/services/new-graduates/Former-graduate/</t>
        </is>
      </c>
      <c r="K722" s="47" t="n"/>
      <c r="L722" s="47" t="n"/>
    </row>
    <row r="723">
      <c r="A723" s="52">
        <f>row()-1</f>
        <v/>
      </c>
      <c r="B723" s="46" t="inlineStr">
        <is>
          <t>ISTP（巨匠）の性格と相性｜16Personalities診断でわかる特徴</t>
        </is>
      </c>
      <c r="C723" s="6" t="inlineStr">
        <is>
          <t>https://dym.asia/media/recruiting/istp/#index-ISTP-7ISTP-7toc</t>
        </is>
      </c>
      <c r="D723" s="12" t="inlineStr">
        <is>
          <t>2025.04.15</t>
        </is>
      </c>
      <c r="E723" s="12" t="inlineStr">
        <is>
          <t>2025.10.27</t>
        </is>
      </c>
      <c r="F723" s="47" t="inlineStr">
        <is>
          <t>求職者</t>
        </is>
      </c>
      <c r="G723" s="47" t="n"/>
      <c r="H723" s="47" t="inlineStr">
        <is>
          <t>中途・第二新卒</t>
        </is>
      </c>
      <c r="I723" s="10" t="inlineStr">
        <is>
          <t>https://www.meetscompany.jp/</t>
        </is>
      </c>
      <c r="J723" s="10" t="inlineStr">
        <is>
          <t>https://dym.asia/services/new-graduates/Former-graduate/</t>
        </is>
      </c>
      <c r="K723" s="47" t="n"/>
      <c r="L723" s="47" t="n"/>
    </row>
    <row r="724">
      <c r="A724" s="52">
        <f>row()-1</f>
        <v/>
      </c>
      <c r="B724" s="46" t="inlineStr">
        <is>
          <t>ISTP（巨匠）の性格と相性｜16Personalities診断でわかる特徴</t>
        </is>
      </c>
      <c r="C724" s="6" t="inlineStr">
        <is>
          <t>https://dym.asia/media/recruiting/istp/#index-ISTPISTPtoc</t>
        </is>
      </c>
      <c r="D724" s="12" t="inlineStr">
        <is>
          <t>2025.04.15</t>
        </is>
      </c>
      <c r="E724" s="12" t="inlineStr">
        <is>
          <t>2025.10.27</t>
        </is>
      </c>
      <c r="F724" s="47" t="inlineStr">
        <is>
          <t>求職者</t>
        </is>
      </c>
      <c r="G724" s="47" t="n"/>
      <c r="H724" s="47" t="inlineStr">
        <is>
          <t>中途・第二新卒</t>
        </is>
      </c>
      <c r="I724" s="10" t="inlineStr">
        <is>
          <t>https://www.meetscompany.jp/</t>
        </is>
      </c>
      <c r="J724" s="10" t="inlineStr">
        <is>
          <t>https://dym.asia/services/new-graduates/Former-graduate/</t>
        </is>
      </c>
      <c r="K724" s="47" t="n"/>
      <c r="L724" s="47" t="n"/>
    </row>
    <row r="725">
      <c r="A725" s="52">
        <f>row()-1</f>
        <v/>
      </c>
      <c r="B725" s="46" t="inlineStr">
        <is>
          <t>企業選びの軸を聞かれたら？例文と決め方を紹介</t>
        </is>
      </c>
      <c r="C725" s="6" t="inlineStr">
        <is>
          <t>https://dym.asia/media/recruiting/jobselect-important/#index</t>
        </is>
      </c>
      <c r="D725" s="12" t="inlineStr">
        <is>
          <t>2025.03.26</t>
        </is>
      </c>
      <c r="E725" s="12" t="inlineStr">
        <is>
          <t>2025.10.27</t>
        </is>
      </c>
      <c r="F725" s="47" t="inlineStr">
        <is>
          <t>求職者</t>
        </is>
      </c>
      <c r="G725" s="47" t="n"/>
      <c r="H725" s="47" t="inlineStr">
        <is>
          <t>新卒</t>
        </is>
      </c>
      <c r="I725" s="10" t="inlineStr">
        <is>
          <t>https://www.meetscompany.jp/</t>
        </is>
      </c>
      <c r="J725" s="15" t="inlineStr">
        <is>
          <t>https://dym.asia/services/new-graduates/new-graduate-recruitment/</t>
        </is>
      </c>
      <c r="K725" s="47" t="n"/>
      <c r="L725" s="47" t="n"/>
    </row>
    <row r="726">
      <c r="A726" s="52">
        <f>row()-1</f>
        <v/>
      </c>
      <c r="B726" s="46" t="inlineStr">
        <is>
          <t>企業選びの軸を聞かれたら？例文と決め方を紹介</t>
        </is>
      </c>
      <c r="C726" s="6" t="inlineStr">
        <is>
          <t>https://dym.asia/media/recruiting/jobselect-important/#index-44toc</t>
        </is>
      </c>
      <c r="D726" s="12" t="inlineStr">
        <is>
          <t>2025.03.26</t>
        </is>
      </c>
      <c r="E726" s="12" t="inlineStr">
        <is>
          <t>2025.10.27</t>
        </is>
      </c>
      <c r="F726" s="47" t="inlineStr">
        <is>
          <t>求職者</t>
        </is>
      </c>
      <c r="G726" s="47" t="n"/>
      <c r="H726" s="47" t="inlineStr">
        <is>
          <t>新卒</t>
        </is>
      </c>
      <c r="I726" s="10" t="inlineStr">
        <is>
          <t>https://www.meetscompany.jp/</t>
        </is>
      </c>
      <c r="J726" s="15" t="inlineStr">
        <is>
          <t>https://dym.asia/services/new-graduates/new-graduate-recruitment/</t>
        </is>
      </c>
      <c r="K726" s="47" t="n"/>
      <c r="L726" s="47" t="n"/>
    </row>
    <row r="727">
      <c r="A727" s="52">
        <f>row()-1</f>
        <v/>
      </c>
      <c r="B727" s="46" t="inlineStr">
        <is>
          <t>企業選びの軸を聞かれたら？例文と決め方を紹介</t>
        </is>
      </c>
      <c r="C727" s="6" t="inlineStr">
        <is>
          <t>https://dym.asia/media/recruiting/jobselect-important/#index-66toc</t>
        </is>
      </c>
      <c r="D727" s="12" t="inlineStr">
        <is>
          <t>2025.03.26</t>
        </is>
      </c>
      <c r="E727" s="12" t="inlineStr">
        <is>
          <t>2025.10.27</t>
        </is>
      </c>
      <c r="F727" s="47" t="inlineStr">
        <is>
          <t>求職者</t>
        </is>
      </c>
      <c r="G727" s="47" t="n"/>
      <c r="H727" s="47" t="inlineStr">
        <is>
          <t>新卒</t>
        </is>
      </c>
      <c r="I727" s="10" t="inlineStr">
        <is>
          <t>https://www.meetscompany.jp/</t>
        </is>
      </c>
      <c r="J727" s="15" t="inlineStr">
        <is>
          <t>https://dym.asia/services/new-graduates/new-graduate-recruitment/</t>
        </is>
      </c>
      <c r="K727" s="47" t="n"/>
      <c r="L727" s="47" t="n"/>
    </row>
    <row r="728">
      <c r="A728" s="52">
        <f>row()-1</f>
        <v/>
      </c>
      <c r="B728" s="46" t="inlineStr">
        <is>
          <t>リスティング広告を自分で始める！設定方法と効果的な運用</t>
        </is>
      </c>
      <c r="C728" s="6" t="inlineStr">
        <is>
          <t>https://dym.asia/media/recruiting/listing-personal/</t>
        </is>
      </c>
      <c r="D728" s="12" t="inlineStr">
        <is>
          <t>2025.03.27</t>
        </is>
      </c>
      <c r="E728" s="12" t="inlineStr">
        <is>
          <t>2025.03.27</t>
        </is>
      </c>
      <c r="F728" s="47" t="inlineStr">
        <is>
          <t>求職者</t>
        </is>
      </c>
      <c r="G728" s="47" t="n"/>
      <c r="H728" s="47" t="inlineStr">
        <is>
          <t>フリーランス</t>
        </is>
      </c>
      <c r="I728" s="15" t="inlineStr">
        <is>
          <t>https://dym-tech.jp/</t>
        </is>
      </c>
      <c r="J728" s="15" t="inlineStr">
        <is>
          <t>https://dym.asia/services/new-graduates/dym-tech/</t>
        </is>
      </c>
      <c r="K728" s="47" t="n"/>
      <c r="L728" s="47" t="n"/>
    </row>
    <row r="729">
      <c r="A729" s="52">
        <f>row()-1</f>
        <v/>
      </c>
      <c r="B729" s="46" t="inlineStr">
        <is>
          <t>「産休」・「育休」いつから？ 取得条件や期間、手当の仕組み</t>
        </is>
      </c>
      <c r="C729" s="6" t="inlineStr">
        <is>
          <t>https://dym.asia/media/recruiting/maternity-leave-when/</t>
        </is>
      </c>
      <c r="D729" s="12" t="inlineStr">
        <is>
          <t>2025.03.28</t>
        </is>
      </c>
      <c r="E729" s="12" t="inlineStr">
        <is>
          <t>2025.03.28</t>
        </is>
      </c>
      <c r="F729" s="47" t="inlineStr">
        <is>
          <t>求職者</t>
        </is>
      </c>
      <c r="G729" s="47" t="n"/>
      <c r="H729" s="47" t="inlineStr">
        <is>
          <t>新卒</t>
        </is>
      </c>
      <c r="I729" s="10" t="inlineStr">
        <is>
          <t>https://www.meetscompany.jp/</t>
        </is>
      </c>
      <c r="J729" s="15" t="inlineStr">
        <is>
          <t>https://dym.asia/services/new-graduates/new-graduate-recruitment/</t>
        </is>
      </c>
      <c r="K729" s="47" t="n"/>
      <c r="L729" s="47" t="n"/>
    </row>
    <row r="730">
      <c r="A730" s="52">
        <f>row()-1</f>
        <v/>
      </c>
      <c r="B730" s="46" t="inlineStr">
        <is>
          <t>面接練習のやり方｜一人で練習できる方法をご紹介！</t>
        </is>
      </c>
      <c r="C730" s="6" t="inlineStr">
        <is>
          <t>https://dym.asia/media/recruiting/mensetsu-practice-alone/</t>
        </is>
      </c>
      <c r="D730" s="12" t="inlineStr">
        <is>
          <t>2025.04.09</t>
        </is>
      </c>
      <c r="E730" s="12" t="inlineStr">
        <is>
          <t>2025.04.22</t>
        </is>
      </c>
      <c r="F730" s="47" t="inlineStr">
        <is>
          <t>求職者</t>
        </is>
      </c>
      <c r="G730" s="47" t="n"/>
      <c r="H730" s="47" t="inlineStr">
        <is>
          <t>新卒</t>
        </is>
      </c>
      <c r="I730" s="10" t="inlineStr">
        <is>
          <t>https://www.meetscompany.jp/</t>
        </is>
      </c>
      <c r="J730" s="15" t="inlineStr">
        <is>
          <t>https://dym.asia/services/new-graduates/new-graduate-recruitment/</t>
        </is>
      </c>
      <c r="K730" s="47" t="n"/>
      <c r="L730" s="47" t="n"/>
    </row>
    <row r="731">
      <c r="A731" s="52">
        <f>row()-1</f>
        <v/>
      </c>
      <c r="B731" s="46" t="inlineStr">
        <is>
          <t>【モチベーショングラフの書き方】メリットや就活活用術も紹介</t>
        </is>
      </c>
      <c r="C731" s="6" t="inlineStr">
        <is>
          <t>https://dym.asia/media/recruiting/motivation-graph/</t>
        </is>
      </c>
      <c r="D731" s="12" t="inlineStr">
        <is>
          <t>2025.09.09</t>
        </is>
      </c>
      <c r="E731" s="12" t="inlineStr">
        <is>
          <t>2025.09.09</t>
        </is>
      </c>
      <c r="F731" s="47" t="inlineStr">
        <is>
          <t>求職者</t>
        </is>
      </c>
      <c r="G731" s="47" t="n"/>
      <c r="H731" s="47" t="inlineStr">
        <is>
          <t>新卒</t>
        </is>
      </c>
      <c r="I731" s="10" t="inlineStr">
        <is>
          <t>https://www.meetscompany.jp/</t>
        </is>
      </c>
      <c r="J731" s="15" t="inlineStr">
        <is>
          <t>https://dym.asia/services/new-graduates/new-graduate-recruitment/</t>
        </is>
      </c>
      <c r="K731" s="47" t="n"/>
      <c r="L731" s="47" t="n"/>
    </row>
    <row r="732">
      <c r="A732" s="52">
        <f>row()-1</f>
        <v/>
      </c>
      <c r="B732" s="46" t="inlineStr">
        <is>
          <t>新卒の就活面接マナー｜入退室から服装や持ち物、言葉遣いの重要性</t>
        </is>
      </c>
      <c r="C732" s="6" t="inlineStr">
        <is>
          <t>https://dym.asia/media/recruiting/new-graduate-interview-manners/</t>
        </is>
      </c>
      <c r="D732" s="12" t="inlineStr">
        <is>
          <t>2025.03.28</t>
        </is>
      </c>
      <c r="E732" s="12" t="inlineStr">
        <is>
          <t>2025.03.28</t>
        </is>
      </c>
      <c r="F732" s="47" t="inlineStr">
        <is>
          <t>求職者</t>
        </is>
      </c>
      <c r="G732" s="47" t="n"/>
      <c r="H732" s="47" t="inlineStr">
        <is>
          <t>新卒</t>
        </is>
      </c>
      <c r="I732" s="10" t="inlineStr">
        <is>
          <t>https://www.meetscompany.jp/</t>
        </is>
      </c>
      <c r="J732" s="15" t="inlineStr">
        <is>
          <t>https://dym.asia/services/new-graduates/new-graduate-recruitment/</t>
        </is>
      </c>
      <c r="K732" s="47" t="n"/>
      <c r="L732" s="47" t="n"/>
    </row>
    <row r="733">
      <c r="A733" s="52">
        <f>row()-1</f>
        <v/>
      </c>
      <c r="B733" s="46" t="inlineStr">
        <is>
          <t>新卒の面接で志望動機をアピール！成功ポイントと例文</t>
        </is>
      </c>
      <c r="C733" s="6" t="inlineStr">
        <is>
          <t>https://dym.asia/media/recruiting/new-graduate-interview-motivation/</t>
        </is>
      </c>
      <c r="D733" s="12" t="inlineStr">
        <is>
          <t>2025.03.28</t>
        </is>
      </c>
      <c r="E733" s="12" t="inlineStr">
        <is>
          <t>2025.03.28</t>
        </is>
      </c>
      <c r="F733" s="47" t="inlineStr">
        <is>
          <t>求職者</t>
        </is>
      </c>
      <c r="G733" s="47" t="n"/>
      <c r="H733" s="47" t="inlineStr">
        <is>
          <t>新卒</t>
        </is>
      </c>
      <c r="I733" s="10" t="inlineStr">
        <is>
          <t>https://www.meetscompany.jp/</t>
        </is>
      </c>
      <c r="J733" s="15" t="inlineStr">
        <is>
          <t>https://dym.asia/services/new-graduates/new-graduate-recruitment/</t>
        </is>
      </c>
      <c r="K733" s="47" t="n"/>
      <c r="L733" s="47" t="n"/>
    </row>
    <row r="734">
      <c r="A734" s="52">
        <f>row()-1</f>
        <v/>
      </c>
      <c r="B734" s="46" t="inlineStr">
        <is>
          <t>新卒の面接で聞かれる質問集！効果的な回答準備とポイント</t>
        </is>
      </c>
      <c r="C734" s="6" t="inlineStr">
        <is>
          <t>https://dym.asia/media/recruiting/new-graduate-interview-questions/</t>
        </is>
      </c>
      <c r="D734" s="12" t="inlineStr">
        <is>
          <t>2025.03.26</t>
        </is>
      </c>
      <c r="E734" s="12" t="inlineStr">
        <is>
          <t>2025.03.26</t>
        </is>
      </c>
      <c r="F734" s="47" t="inlineStr">
        <is>
          <t>求職者</t>
        </is>
      </c>
      <c r="G734" s="47" t="n"/>
      <c r="H734" s="47" t="inlineStr">
        <is>
          <t>新卒</t>
        </is>
      </c>
      <c r="I734" s="10" t="inlineStr">
        <is>
          <t>https://www.meetscompany.jp/</t>
        </is>
      </c>
      <c r="J734" s="15" t="inlineStr">
        <is>
          <t>https://dym.asia/services/new-graduates/new-graduate-recruitment/</t>
        </is>
      </c>
      <c r="K734" s="47" t="n"/>
      <c r="L734" s="47" t="n"/>
    </row>
    <row r="735">
      <c r="A735" s="52">
        <f>row()-1</f>
        <v/>
      </c>
      <c r="B735" s="46" t="inlineStr">
        <is>
          <t>面接の自己紹介、何を言う？新卒就活で使える例文＆自己PR</t>
        </is>
      </c>
      <c r="C735" s="6" t="inlineStr">
        <is>
          <t>https://dym.asia/media/recruiting/new-graduate-self-introduction/</t>
        </is>
      </c>
      <c r="D735" s="12" t="inlineStr">
        <is>
          <t>2025.03.26</t>
        </is>
      </c>
      <c r="E735" s="12" t="inlineStr">
        <is>
          <t>2025.03.26</t>
        </is>
      </c>
      <c r="F735" s="47" t="inlineStr">
        <is>
          <t>求職者</t>
        </is>
      </c>
      <c r="G735" s="47" t="n"/>
      <c r="H735" s="47" t="inlineStr">
        <is>
          <t>新卒</t>
        </is>
      </c>
      <c r="I735" s="10" t="inlineStr">
        <is>
          <t>https://www.meetscompany.jp/</t>
        </is>
      </c>
      <c r="J735" s="15" t="inlineStr">
        <is>
          <t>https://dym.asia/services/new-graduates/new-graduate-recruitment/</t>
        </is>
      </c>
      <c r="K735" s="47" t="n"/>
      <c r="L735" s="47" t="n"/>
    </row>
    <row r="736">
      <c r="A736" s="52">
        <f>row()-1</f>
        <v/>
      </c>
      <c r="B736" s="46" t="inlineStr">
        <is>
          <t>就職浪人は新卒扱い？就活は不利？就職留年との違いやメリット・デメリットを解説</t>
        </is>
      </c>
      <c r="C736" s="6" t="inlineStr">
        <is>
          <t>https://dym.asia/media/recruiting/new-graduate-taking-job-hunting-year/#index-3</t>
        </is>
      </c>
      <c r="D736" s="12" t="inlineStr">
        <is>
          <t>2025.03.28</t>
        </is>
      </c>
      <c r="E736" s="12" t="inlineStr">
        <is>
          <t>2025.10.27</t>
        </is>
      </c>
      <c r="F736" s="47" t="inlineStr">
        <is>
          <t>求職者</t>
        </is>
      </c>
      <c r="G736" s="47" t="n"/>
      <c r="H736" s="47" t="inlineStr">
        <is>
          <t>新卒</t>
        </is>
      </c>
      <c r="I736" s="10" t="inlineStr">
        <is>
          <t>https://www.meetscompany.jp/</t>
        </is>
      </c>
      <c r="J736" s="15" t="inlineStr">
        <is>
          <t>https://dym.asia/services/new-graduates/new-graduate-recruitment/</t>
        </is>
      </c>
      <c r="K736" s="47" t="n"/>
      <c r="L736" s="47" t="n"/>
    </row>
    <row r="737">
      <c r="A737" s="52">
        <f>row()-1</f>
        <v/>
      </c>
      <c r="B737" s="46" t="inlineStr">
        <is>
          <t>就職浪人は新卒扱い？就活は不利？就職留年との違いやメリット・デメリットを解説</t>
        </is>
      </c>
      <c r="C737" s="6" t="inlineStr">
        <is>
          <t>https://dym.asia/media/recruiting/new-graduate-taking-job-hunting-year/#index-4</t>
        </is>
      </c>
      <c r="D737" s="12" t="inlineStr">
        <is>
          <t>2025.03.28</t>
        </is>
      </c>
      <c r="E737" s="12" t="inlineStr">
        <is>
          <t>2025.10.27</t>
        </is>
      </c>
      <c r="F737" s="47" t="inlineStr">
        <is>
          <t>求職者</t>
        </is>
      </c>
      <c r="G737" s="47" t="n"/>
      <c r="H737" s="47" t="inlineStr">
        <is>
          <t>新卒</t>
        </is>
      </c>
      <c r="I737" s="10" t="inlineStr">
        <is>
          <t>https://www.meetscompany.jp/</t>
        </is>
      </c>
      <c r="J737" s="15" t="inlineStr">
        <is>
          <t>https://dym.asia/services/new-graduates/new-graduate-recruitment/</t>
        </is>
      </c>
      <c r="K737" s="47" t="n"/>
      <c r="L737" s="47" t="n"/>
    </row>
    <row r="738">
      <c r="A738" s="52">
        <f>row()-1</f>
        <v/>
      </c>
      <c r="B738" s="46" t="inlineStr">
        <is>
          <t>新卒とはいつまで？卒業後3年以内ならOK？第二新卒や既卒との違い解説</t>
        </is>
      </c>
      <c r="C738" s="6" t="inlineStr">
        <is>
          <t>https://dym.asia/media/recruiting/new-graduate-treated-when/#index-33toc</t>
        </is>
      </c>
      <c r="D738" s="12" t="inlineStr">
        <is>
          <t>2025.03.28</t>
        </is>
      </c>
      <c r="E738" s="12" t="inlineStr">
        <is>
          <t>2025.10.27</t>
        </is>
      </c>
      <c r="F738" s="47" t="inlineStr">
        <is>
          <t>求職者</t>
        </is>
      </c>
      <c r="G738" s="47" t="n"/>
      <c r="H738" s="47" t="inlineStr">
        <is>
          <t>新卒</t>
        </is>
      </c>
      <c r="I738" s="10" t="inlineStr">
        <is>
          <t>https://www.meetscompany.jp/</t>
        </is>
      </c>
      <c r="J738" s="15" t="inlineStr">
        <is>
          <t>https://dym.asia/services/new-graduates/new-graduate-recruitment/</t>
        </is>
      </c>
      <c r="K738" s="47" t="n"/>
      <c r="L738" s="47" t="n"/>
    </row>
    <row r="739">
      <c r="A739" s="52">
        <f>row()-1</f>
        <v/>
      </c>
      <c r="B739" s="46" t="inlineStr">
        <is>
          <t>新卒でベンチャーに就職するメリット、失敗しない企業選びのポイントも紹介</t>
        </is>
      </c>
      <c r="C739" s="6" t="inlineStr">
        <is>
          <t>https://dym.asia/media/recruiting/new-graduate-venture/</t>
        </is>
      </c>
      <c r="D739" s="12" t="inlineStr">
        <is>
          <t>2025.03.26</t>
        </is>
      </c>
      <c r="E739" s="12" t="inlineStr">
        <is>
          <t>2025.03.26</t>
        </is>
      </c>
      <c r="F739" s="47" t="inlineStr">
        <is>
          <t>求職者</t>
        </is>
      </c>
      <c r="G739" s="47" t="n"/>
      <c r="H739" s="47" t="inlineStr">
        <is>
          <t>新卒</t>
        </is>
      </c>
      <c r="I739" s="10" t="inlineStr">
        <is>
          <t>https://www.meetscompany.jp/</t>
        </is>
      </c>
      <c r="J739" s="15" t="inlineStr">
        <is>
          <t>https://dym.asia/services/new-graduates/new-graduate-recruitment/</t>
        </is>
      </c>
      <c r="K739" s="47" t="n"/>
      <c r="L739" s="47" t="n"/>
    </row>
    <row r="740">
      <c r="A740" s="52">
        <f>row()-1</f>
        <v/>
      </c>
      <c r="B740" s="46" t="inlineStr">
        <is>
          <t>理系学生必見！就活エージェント・サイトの選び方</t>
        </is>
      </c>
      <c r="C740" s="10" t="inlineStr">
        <is>
          <t>https://dym.asia/media/recruiting/new-graduation-agent-scientific/</t>
        </is>
      </c>
      <c r="D740" s="12" t="inlineStr">
        <is>
          <t>2025.03.28</t>
        </is>
      </c>
      <c r="E740" s="12" t="inlineStr">
        <is>
          <t>2025.03.28</t>
        </is>
      </c>
      <c r="F740" s="47" t="inlineStr">
        <is>
          <t>求職者</t>
        </is>
      </c>
      <c r="G740" s="47" t="n"/>
      <c r="H740" s="47" t="inlineStr">
        <is>
          <t>新卒</t>
        </is>
      </c>
      <c r="I740" s="10" t="inlineStr">
        <is>
          <t>https://www.meetscompany.jp/</t>
        </is>
      </c>
      <c r="J740" s="15" t="inlineStr">
        <is>
          <t>https://dym.asia/services/new-graduates/new-graduate-recruitment/</t>
        </is>
      </c>
      <c r="K740" s="47" t="n"/>
      <c r="L740" s="47" t="n"/>
    </row>
    <row r="741">
      <c r="A741" s="52">
        <f>row()-1</f>
        <v/>
      </c>
      <c r="B741" s="46" t="inlineStr">
        <is>
          <t>非正規雇用女性の課題｜正規雇用の増加の可能性は？</t>
        </is>
      </c>
      <c r="C741" s="6" t="inlineStr">
        <is>
          <t>https://dym.asia/media/recruiting/non-regular-employment-female/#index-2</t>
        </is>
      </c>
      <c r="D741" s="12" t="inlineStr">
        <is>
          <t>2025.03.28</t>
        </is>
      </c>
      <c r="E741" s="12" t="inlineStr">
        <is>
          <t>2025.10.27</t>
        </is>
      </c>
      <c r="F741" s="47" t="inlineStr">
        <is>
          <t>求職者</t>
        </is>
      </c>
      <c r="G741" s="47" t="n"/>
      <c r="H741" s="47" t="inlineStr">
        <is>
          <t>派遣</t>
        </is>
      </c>
      <c r="I741" s="15" t="inlineStr">
        <is>
          <t>https://dymcareer.jp/?_gl=1*1omsvpz*_ga*MTY1NDA3OTI2OC4xNzYwNTgxMjEy*_ga_ZXCZZJJ72V*czE3NjkwNTYzNDMkbzIwJGcxJHQxNzY5MDYxNTg2JGo2MCRsMCRoMA..</t>
        </is>
      </c>
      <c r="J741" s="15" t="inlineStr">
        <is>
          <t>https://dym.asia/services/new-graduates/ready-career/</t>
        </is>
      </c>
      <c r="K741" s="47" t="n"/>
      <c r="L741" s="47" t="n"/>
    </row>
    <row r="742">
      <c r="A742" s="52">
        <f>row()-1</f>
        <v/>
      </c>
      <c r="B742" s="46" t="inlineStr">
        <is>
          <t>事務員とは？仕事内容、向いている人やスキル、転職のメリットを解説</t>
        </is>
      </c>
      <c r="C742" s="6" t="inlineStr">
        <is>
          <t>https://dym.asia/media/recruiting/office-workers/#index-13</t>
        </is>
      </c>
      <c r="D742" s="12" t="inlineStr">
        <is>
          <t>2025.03.28</t>
        </is>
      </c>
      <c r="E742" s="12" t="inlineStr">
        <is>
          <t>2025.03.28</t>
        </is>
      </c>
      <c r="F742" s="47" t="inlineStr">
        <is>
          <t>求職者</t>
        </is>
      </c>
      <c r="G742" s="47" t="n"/>
      <c r="H742" s="47" t="inlineStr">
        <is>
          <t>派遣</t>
        </is>
      </c>
      <c r="I742" s="15" t="inlineStr">
        <is>
          <t>https://dymcareer.jp/?_gl=1*1omsvpz*_ga*MTY1NDA3OTI2OC4xNzYwNTgxMjEy*_ga_ZXCZZJJ72V*czE3NjkwNTYzNDMkbzIwJGcxJHQxNzY5MDYxNTg2JGo2MCRsMCRoMA..</t>
        </is>
      </c>
      <c r="J742" s="15" t="inlineStr">
        <is>
          <t>https://dym.asia/services/new-graduates/ready-career/</t>
        </is>
      </c>
      <c r="K742" s="47" t="n"/>
      <c r="L742" s="47" t="n"/>
    </row>
    <row r="743">
      <c r="A743" s="52">
        <f>row()-1</f>
        <v/>
      </c>
      <c r="B743" s="46" t="inlineStr">
        <is>
          <t>事務員とは？仕事内容、向いている人やスキル、転職のメリットを解説</t>
        </is>
      </c>
      <c r="C743" s="6" t="inlineStr">
        <is>
          <t>https://dym.asia/media/recruiting/office-workers/#index-4</t>
        </is>
      </c>
      <c r="D743" s="12" t="inlineStr">
        <is>
          <t>2025.03.28</t>
        </is>
      </c>
      <c r="E743" s="12" t="inlineStr">
        <is>
          <t>2025.03.28</t>
        </is>
      </c>
      <c r="F743" s="47" t="inlineStr">
        <is>
          <t>求職者</t>
        </is>
      </c>
      <c r="G743" s="47" t="n"/>
      <c r="H743" s="47" t="inlineStr">
        <is>
          <t>派遣</t>
        </is>
      </c>
      <c r="I743" s="15" t="inlineStr">
        <is>
          <t>https://dymcareer.jp/?_gl=1*1omsvpz*_ga*MTY1NDA3OTI2OC4xNzYwNTgxMjEy*_ga_ZXCZZJJ72V*czE3NjkwNTYzNDMkbzIwJGcxJHQxNzY5MDYxNTg2JGo2MCRsMCRoMA..</t>
        </is>
      </c>
      <c r="J743" s="15" t="inlineStr">
        <is>
          <t>https://dym.asia/services/new-graduates/ready-career/</t>
        </is>
      </c>
      <c r="K743" s="47" t="n"/>
      <c r="L743" s="47" t="n"/>
    </row>
    <row r="744">
      <c r="A744" s="52">
        <f>row()-1</f>
        <v/>
      </c>
      <c r="B744" s="46" t="inlineStr">
        <is>
          <t>服装に関して記載なしのWEB説明会、就活生におすすめの対応方法とは？</t>
        </is>
      </c>
      <c r="C744" s="6" t="inlineStr">
        <is>
          <t>https://dym.asia/media/recruiting/online-session-wearing-no-note/#index</t>
        </is>
      </c>
      <c r="D744" s="12" t="inlineStr">
        <is>
          <t>2025.03.28</t>
        </is>
      </c>
      <c r="E744" s="12" t="inlineStr">
        <is>
          <t>2025.10.27</t>
        </is>
      </c>
      <c r="F744" s="47" t="inlineStr">
        <is>
          <t>求職者</t>
        </is>
      </c>
      <c r="G744" s="47" t="n"/>
      <c r="H744" s="47" t="inlineStr">
        <is>
          <t>新卒</t>
        </is>
      </c>
      <c r="I744" s="10" t="inlineStr">
        <is>
          <t>https://www.meetscompany.jp/</t>
        </is>
      </c>
      <c r="J744" s="15" t="inlineStr">
        <is>
          <t>https://dym.asia/services/new-graduates/new-graduate-recruitment/</t>
        </is>
      </c>
      <c r="K744" s="47" t="n"/>
      <c r="L744" s="47" t="n"/>
    </row>
    <row r="745">
      <c r="A745" s="52">
        <f>row()-1</f>
        <v/>
      </c>
      <c r="B745" s="46" t="inlineStr">
        <is>
          <t>服装に関して記載なしのWEB説明会、就活生におすすめの対応方法とは？</t>
        </is>
      </c>
      <c r="C745" s="6" t="inlineStr">
        <is>
          <t>https://dym.asia/media/recruiting/online-session-wearing-no-note/#index-WEB-2WEB-2toc</t>
        </is>
      </c>
      <c r="D745" s="12" t="inlineStr">
        <is>
          <t>2025.03.28</t>
        </is>
      </c>
      <c r="E745" s="12" t="inlineStr">
        <is>
          <t>2025.10.27</t>
        </is>
      </c>
      <c r="F745" s="47" t="inlineStr">
        <is>
          <t>求職者</t>
        </is>
      </c>
      <c r="G745" s="47" t="n"/>
      <c r="H745" s="47" t="inlineStr">
        <is>
          <t>新卒</t>
        </is>
      </c>
      <c r="I745" s="10" t="inlineStr">
        <is>
          <t>https://www.meetscompany.jp/</t>
        </is>
      </c>
      <c r="J745" s="15" t="inlineStr">
        <is>
          <t>https://dym.asia/services/new-graduates/new-graduate-recruitment/</t>
        </is>
      </c>
      <c r="K745" s="47" t="n"/>
      <c r="L745" s="47" t="n"/>
    </row>
    <row r="746">
      <c r="A746" s="52">
        <f>row()-1</f>
        <v/>
      </c>
      <c r="B746" s="46" t="inlineStr">
        <is>
          <t>会社説明会の服装、服装自由・私服指定の注意点</t>
        </is>
      </c>
      <c r="C746" s="6" t="inlineStr">
        <is>
          <t>https://dym.asia/media/recruiting/online-session-wearing/#index-Web-3Web-3toc</t>
        </is>
      </c>
      <c r="D746" s="12" t="inlineStr">
        <is>
          <t>2025.03.28</t>
        </is>
      </c>
      <c r="E746" s="12" t="inlineStr">
        <is>
          <t>2025.10.27</t>
        </is>
      </c>
      <c r="F746" s="47" t="inlineStr">
        <is>
          <t>求職者</t>
        </is>
      </c>
      <c r="G746" s="47" t="n"/>
      <c r="H746" s="47" t="inlineStr">
        <is>
          <t>新卒</t>
        </is>
      </c>
      <c r="I746" s="10" t="inlineStr">
        <is>
          <t>https://www.meetscompany.jp/</t>
        </is>
      </c>
      <c r="J746" s="15" t="inlineStr">
        <is>
          <t>https://dym.asia/services/new-graduates/new-graduate-recruitment/</t>
        </is>
      </c>
      <c r="K746" s="47" t="n"/>
      <c r="L746" s="47" t="n"/>
    </row>
    <row r="747">
      <c r="A747" s="52">
        <f>row()-1</f>
        <v/>
      </c>
      <c r="B747" s="46" t="inlineStr">
        <is>
          <t>会社説明会の服装、服装自由・私服指定の注意点</t>
        </is>
      </c>
      <c r="C747" s="6" t="inlineStr">
        <is>
          <t>https://dym.asia/media/recruiting/online-session-wearing/#index-WebWebtoc</t>
        </is>
      </c>
      <c r="D747" s="12" t="inlineStr">
        <is>
          <t>2025.03.28</t>
        </is>
      </c>
      <c r="E747" s="12" t="inlineStr">
        <is>
          <t>2025.10.27</t>
        </is>
      </c>
      <c r="F747" s="47" t="inlineStr">
        <is>
          <t>求職者</t>
        </is>
      </c>
      <c r="G747" s="47" t="n"/>
      <c r="H747" s="47" t="inlineStr">
        <is>
          <t>新卒</t>
        </is>
      </c>
      <c r="I747" s="15" t="inlineStr">
        <is>
          <t>https://www.meetscompany.jp/</t>
        </is>
      </c>
      <c r="J747" s="15" t="inlineStr">
        <is>
          <t>https://dym.asia/services/new-graduates/new-graduate-recruitment/</t>
        </is>
      </c>
      <c r="K747" s="47" t="n"/>
      <c r="L747" s="47" t="n"/>
    </row>
    <row r="748">
      <c r="A748" s="52">
        <f>row()-1</f>
        <v/>
      </c>
      <c r="B748" s="46" t="inlineStr">
        <is>
          <t>非常勤顧問とは？顧問との違いや報酬、社会保険について解説</t>
        </is>
      </c>
      <c r="C748" s="6" t="inlineStr">
        <is>
          <t>https://dym.asia/media/recruiting/part-time-advisor/#index-2</t>
        </is>
      </c>
      <c r="D748" s="12" t="inlineStr">
        <is>
          <t>2025.10.27</t>
        </is>
      </c>
      <c r="E748" s="12" t="inlineStr">
        <is>
          <t>2025.10.27</t>
        </is>
      </c>
      <c r="F748" s="47" t="inlineStr">
        <is>
          <t>求職者</t>
        </is>
      </c>
      <c r="G748" s="47" t="n"/>
      <c r="H748" s="47" t="inlineStr">
        <is>
          <t>顧問登録</t>
        </is>
      </c>
      <c r="I748" s="47" t="inlineStr">
        <is>
          <t>URLがありませんでした。</t>
        </is>
      </c>
      <c r="J748" s="15" t="inlineStr">
        <is>
          <t>https://dym.asia/services/new-graduates/dym-tech/</t>
        </is>
      </c>
      <c r="K748" s="47" t="n"/>
      <c r="L748" s="47" t="n"/>
    </row>
    <row r="749">
      <c r="A749" s="52">
        <f>row()-1</f>
        <v/>
      </c>
      <c r="B749" s="46" t="inlineStr">
        <is>
          <t>プログラマーが業務委託で働くメリット・デメリット｜契約前に確認すべきことも解説</t>
        </is>
      </c>
      <c r="C749" s="6" t="inlineStr">
        <is>
          <t>https://dym.asia/media/recruiting/programmer-outsourcing/</t>
        </is>
      </c>
      <c r="D749" s="12" t="inlineStr">
        <is>
          <t>2025.10.27</t>
        </is>
      </c>
      <c r="E749" s="12" t="inlineStr">
        <is>
          <t>2025.10.27</t>
        </is>
      </c>
      <c r="F749" s="47" t="inlineStr">
        <is>
          <t>求職者</t>
        </is>
      </c>
      <c r="G749" s="47" t="n"/>
      <c r="H749" s="47" t="inlineStr">
        <is>
          <t>フリーランス</t>
        </is>
      </c>
      <c r="I749" s="15" t="inlineStr">
        <is>
          <t>https://dym-tech.jp/</t>
        </is>
      </c>
      <c r="J749" s="10" t="inlineStr">
        <is>
          <t>https://dym.asia/services/new-graduates/dym-tech/</t>
        </is>
      </c>
      <c r="K749" s="47" t="n"/>
      <c r="L749" s="47" t="n"/>
    </row>
    <row r="750">
      <c r="A750" s="52">
        <f>row()-1</f>
        <v/>
      </c>
      <c r="B750" s="46" t="inlineStr">
        <is>
          <t>マーケティングに役立つ資格17選！ジャンル別に徹底解説</t>
        </is>
      </c>
      <c r="C750" s="6" t="inlineStr">
        <is>
          <t>https://dym.asia/media/recruiting/qualification/</t>
        </is>
      </c>
      <c r="D750" s="47" t="inlineStr">
        <is>
          <t xml:space="preserve">2025.06.12 </t>
        </is>
      </c>
      <c r="E750" s="47" t="inlineStr">
        <is>
          <t>2025.09.12</t>
        </is>
      </c>
      <c r="F750" s="47" t="inlineStr">
        <is>
          <t>求職者</t>
        </is>
      </c>
      <c r="G750" s="47" t="n"/>
      <c r="H750" s="47" t="inlineStr">
        <is>
          <t>中途・第二新卒</t>
        </is>
      </c>
      <c r="I750" s="15" t="inlineStr">
        <is>
          <t>https://www.dshu.jp/</t>
        </is>
      </c>
      <c r="J750" s="10" t="inlineStr">
        <is>
          <t>https://dym.asia/services/new-graduates/Former-graduate/</t>
        </is>
      </c>
      <c r="K750" s="47" t="n"/>
      <c r="L750" s="47" t="n"/>
    </row>
    <row r="751">
      <c r="A751" s="52">
        <f>row()-1</f>
        <v/>
      </c>
      <c r="B751" s="46" t="inlineStr">
        <is>
          <t>履歴書の証明写真｜服装マナーと好印象を与えるコツ</t>
        </is>
      </c>
      <c r="C751" s="6" t="inlineStr">
        <is>
          <t>https://dym.asia/media/recruiting/rirekisho-photo-manner/#index</t>
        </is>
      </c>
      <c r="D751" s="47" t="inlineStr">
        <is>
          <t xml:space="preserve">2025.04.14 </t>
        </is>
      </c>
      <c r="E751" s="47" t="inlineStr">
        <is>
          <t>2025.09.01</t>
        </is>
      </c>
      <c r="F751" s="47" t="inlineStr">
        <is>
          <t>求職者</t>
        </is>
      </c>
      <c r="G751" s="47" t="n"/>
      <c r="H751" s="47" t="inlineStr">
        <is>
          <t>新卒</t>
        </is>
      </c>
      <c r="I751" s="15" t="inlineStr">
        <is>
          <t>https://www.meetscompany.jp/</t>
        </is>
      </c>
      <c r="J751" s="15" t="inlineStr">
        <is>
          <t>https://dym.asia/services/new-graduates/new-graduate-recruitment/</t>
        </is>
      </c>
      <c r="K751" s="47" t="n"/>
      <c r="L751" s="47" t="n"/>
    </row>
    <row r="752">
      <c r="A752" s="52">
        <f>row()-1</f>
        <v/>
      </c>
      <c r="B752" s="46" t="inlineStr">
        <is>
          <t>新卒面接で差をつける！自己紹介の例文やポイントを解説</t>
        </is>
      </c>
      <c r="C752" s="10" t="inlineStr">
        <is>
          <t>https://dym.asia/media/recruiting/self-introduction/</t>
        </is>
      </c>
      <c r="D752" s="47" t="inlineStr">
        <is>
          <t xml:space="preserve">2025.06.11 </t>
        </is>
      </c>
      <c r="E752" s="47" t="inlineStr">
        <is>
          <t>2025.09.08</t>
        </is>
      </c>
      <c r="F752" s="47" t="inlineStr">
        <is>
          <t>求職者</t>
        </is>
      </c>
      <c r="G752" s="47" t="n"/>
      <c r="H752" s="47" t="inlineStr">
        <is>
          <t>新卒</t>
        </is>
      </c>
      <c r="I752" s="15" t="inlineStr">
        <is>
          <t>https://www.meetscompany.jp/</t>
        </is>
      </c>
      <c r="J752" s="15" t="inlineStr">
        <is>
          <t>https://dym.asia/services/new-graduates/new-graduate-recruitment/</t>
        </is>
      </c>
      <c r="K752" s="47" t="n"/>
      <c r="L752" s="47" t="n"/>
    </row>
    <row r="753">
      <c r="A753" s="52">
        <f>row()-1</f>
        <v/>
      </c>
      <c r="B753" s="46" t="inlineStr">
        <is>
          <t>売り手市場とは？意味・買い手市場との違いや転職活動への影響を解説</t>
        </is>
      </c>
      <c r="C753" s="6" t="inlineStr">
        <is>
          <t>https://dym.asia/media/recruiting/sellers-market/</t>
        </is>
      </c>
      <c r="D753" s="47" t="inlineStr">
        <is>
          <t xml:space="preserve">2025.09.08 </t>
        </is>
      </c>
      <c r="E753" s="47" t="inlineStr">
        <is>
          <t>2025.09.08</t>
        </is>
      </c>
      <c r="F753" s="47" t="inlineStr">
        <is>
          <t>求職者</t>
        </is>
      </c>
      <c r="G753" s="47" t="n"/>
      <c r="H753" s="47" t="inlineStr">
        <is>
          <t>新卒</t>
        </is>
      </c>
      <c r="I753" s="15" t="inlineStr">
        <is>
          <t>https://www.meetscompany.jp/</t>
        </is>
      </c>
      <c r="J753" s="15" t="inlineStr">
        <is>
          <t>https://dym.asia/services/new-graduates/new-graduate-recruitment/</t>
        </is>
      </c>
      <c r="K753" s="47" t="n"/>
      <c r="L753" s="47" t="n"/>
    </row>
    <row r="754">
      <c r="A754" s="52">
        <f>row()-1</f>
        <v/>
      </c>
      <c r="B754" s="46" t="inlineStr">
        <is>
          <t>企業説明会に最適なカバン選び｜おすすめのポイントと注意点</t>
        </is>
      </c>
      <c r="C754" s="6" t="inlineStr">
        <is>
          <t>https://dym.asia/media/recruiting/session-bag/#index</t>
        </is>
      </c>
      <c r="D754" s="47" t="inlineStr">
        <is>
          <t xml:space="preserve">2025.03.28 </t>
        </is>
      </c>
      <c r="E754" s="47" t="inlineStr">
        <is>
          <t>2025.10.27</t>
        </is>
      </c>
      <c r="F754" s="47" t="inlineStr">
        <is>
          <t>求職者</t>
        </is>
      </c>
      <c r="G754" s="47" t="n"/>
      <c r="H754" s="47" t="inlineStr">
        <is>
          <t>新卒</t>
        </is>
      </c>
      <c r="I754" s="15" t="inlineStr">
        <is>
          <t>https://www.meetscompany.jp/</t>
        </is>
      </c>
      <c r="J754" s="15" t="inlineStr">
        <is>
          <t>https://dym.asia/services/new-graduates/new-graduate-recruitment/</t>
        </is>
      </c>
      <c r="K754" s="47" t="n"/>
      <c r="L754" s="47" t="n"/>
    </row>
    <row r="755">
      <c r="A755" s="52">
        <f>row()-1</f>
        <v/>
      </c>
      <c r="B755" s="46" t="inlineStr">
        <is>
          <t>会社説明会の私服ルール、服装自由なら何を着ていくのがベスト？</t>
        </is>
      </c>
      <c r="C755" s="6" t="inlineStr">
        <is>
          <t>https://dym.asia/media/recruiting/session-casual/</t>
        </is>
      </c>
      <c r="D755" s="47" t="inlineStr">
        <is>
          <t xml:space="preserve">2025.03.28 </t>
        </is>
      </c>
      <c r="E755" s="47" t="inlineStr">
        <is>
          <t xml:space="preserve">2025.03.28 </t>
        </is>
      </c>
      <c r="F755" s="47" t="inlineStr">
        <is>
          <t>求職者</t>
        </is>
      </c>
      <c r="G755" s="47" t="n"/>
      <c r="H755" s="47" t="inlineStr">
        <is>
          <t>新卒</t>
        </is>
      </c>
      <c r="I755" s="15" t="inlineStr">
        <is>
          <t>https://www.meetscompany.jp/</t>
        </is>
      </c>
      <c r="J755" s="15" t="inlineStr">
        <is>
          <t>https://dym.asia/services/new-graduates/new-graduate-recruitment/</t>
        </is>
      </c>
      <c r="K755" s="47" t="n"/>
      <c r="L755" s="47" t="n"/>
    </row>
    <row r="756">
      <c r="A756" s="52">
        <f>row()-1</f>
        <v/>
      </c>
      <c r="B756" s="46" t="inlineStr">
        <is>
          <t>企業説明会の服装は？服装自由・私服指定やオンライン合同説明会でのポイント</t>
        </is>
      </c>
      <c r="C756" s="6" t="inlineStr">
        <is>
          <t>https://dym.asia/media/recruiting/session-wearing/#index</t>
        </is>
      </c>
      <c r="D756" s="47" t="inlineStr">
        <is>
          <t xml:space="preserve">2025.03.28 </t>
        </is>
      </c>
      <c r="E756" s="47" t="inlineStr">
        <is>
          <t xml:space="preserve">2025.03.28
</t>
        </is>
      </c>
      <c r="F756" s="47" t="inlineStr">
        <is>
          <t>求職者</t>
        </is>
      </c>
      <c r="G756" s="47" t="n"/>
      <c r="H756" s="47" t="inlineStr">
        <is>
          <t>新卒</t>
        </is>
      </c>
      <c r="I756" s="15" t="inlineStr">
        <is>
          <t>https://www.meetscompany.jp/</t>
        </is>
      </c>
      <c r="J756" s="15" t="inlineStr">
        <is>
          <t>https://dym.asia/services/new-graduates/new-graduate-recruitment/</t>
        </is>
      </c>
      <c r="K756" s="47" t="n"/>
      <c r="L756" s="47" t="n"/>
    </row>
    <row r="757">
      <c r="A757" s="52">
        <f>row()-1</f>
        <v/>
      </c>
      <c r="B757" s="46" t="inlineStr">
        <is>
          <t>企業説明会の服装は？服装自由・私服指定やオンライン合同説明会でのポイント</t>
        </is>
      </c>
      <c r="C757" s="6" t="inlineStr">
        <is>
          <t>https://dym.asia/media/recruiting/session-wearing/#index-6</t>
        </is>
      </c>
      <c r="D757" s="47" t="inlineStr">
        <is>
          <t>2025.03.28</t>
        </is>
      </c>
      <c r="E757" s="47" t="inlineStr">
        <is>
          <t>2025.10.27</t>
        </is>
      </c>
      <c r="F757" s="47" t="inlineStr">
        <is>
          <t>求職者</t>
        </is>
      </c>
      <c r="G757" s="47" t="n"/>
      <c r="H757" s="47" t="inlineStr">
        <is>
          <t>新卒</t>
        </is>
      </c>
      <c r="I757" s="15" t="inlineStr">
        <is>
          <t>https://www.meetscompany.jp/</t>
        </is>
      </c>
      <c r="J757" s="15" t="inlineStr">
        <is>
          <t>https://dym.asia/services/new-graduates/new-graduate-recruitment/</t>
        </is>
      </c>
      <c r="K757" s="47" t="n"/>
      <c r="L757" s="47" t="n"/>
    </row>
    <row r="758">
      <c r="A758" s="52">
        <f>row()-1</f>
        <v/>
      </c>
      <c r="B758" s="46" t="inlineStr">
        <is>
          <t>会社説明会、受付時間の何分前に来るべき？マナーとして正しい時間は？</t>
        </is>
      </c>
      <c r="C758" s="6" t="inlineStr">
        <is>
          <t>https://dym.asia/media/recruiting/session-when-arrive/#index-8</t>
        </is>
      </c>
      <c r="D758" s="47" t="inlineStr">
        <is>
          <t xml:space="preserve">2025.03.28 </t>
        </is>
      </c>
      <c r="E758" s="47" t="inlineStr">
        <is>
          <t>2025.10.27</t>
        </is>
      </c>
      <c r="F758" s="47" t="inlineStr">
        <is>
          <t>求職者</t>
        </is>
      </c>
      <c r="G758" s="47" t="n"/>
      <c r="H758" s="47" t="inlineStr">
        <is>
          <t>新卒</t>
        </is>
      </c>
      <c r="I758" s="15" t="inlineStr">
        <is>
          <t>https://www.meetscompany.jp/</t>
        </is>
      </c>
      <c r="J758" s="15" t="inlineStr">
        <is>
          <t>https://dym.asia/services/new-graduates/new-graduate-recruitment/</t>
        </is>
      </c>
      <c r="K758" s="47" t="n"/>
      <c r="L758" s="47" t="n"/>
    </row>
    <row r="759">
      <c r="A759" s="52">
        <f>row()-1</f>
        <v/>
      </c>
      <c r="B759" s="46" t="inlineStr">
        <is>
          <t>【完全版】職務経歴書の書き方マニュアル・例文集</t>
        </is>
      </c>
      <c r="C759" s="6" t="inlineStr">
        <is>
          <t>https://dym.asia/media/recruiting/shokumu-keirekisho-complete-guide/</t>
        </is>
      </c>
      <c r="D759" s="13" t="inlineStr">
        <is>
          <t>2025.03.28</t>
        </is>
      </c>
      <c r="E759" s="47" t="inlineStr">
        <is>
          <t>2025.10.27</t>
        </is>
      </c>
      <c r="F759" s="47" t="inlineStr">
        <is>
          <t>求職者</t>
        </is>
      </c>
      <c r="G759" s="47" t="n"/>
      <c r="H759" s="47" t="inlineStr">
        <is>
          <t>新卒</t>
        </is>
      </c>
      <c r="I759" s="15" t="inlineStr">
        <is>
          <t>https://www.dshu.jp/</t>
        </is>
      </c>
      <c r="J759" s="15" t="inlineStr">
        <is>
          <t>https://dym.asia/services/new-graduates/new-graduate-recruitment/</t>
        </is>
      </c>
      <c r="K759" s="47" t="n"/>
      <c r="L759" s="47" t="n"/>
    </row>
    <row r="760">
      <c r="A760" s="52">
        <f>row()-1</f>
        <v/>
      </c>
      <c r="B760" s="46" t="inlineStr">
        <is>
          <t>「自分の強み」の見つけ方｜強みが分からない人の分析方法や自己PR例文を紹介</t>
        </is>
      </c>
      <c r="C760" s="6" t="inlineStr">
        <is>
          <t>https://dym.asia/media/recruiting/strengths/#index</t>
        </is>
      </c>
      <c r="D760" s="47" t="inlineStr">
        <is>
          <t>2025.04.14</t>
        </is>
      </c>
      <c r="E760" s="47" t="inlineStr">
        <is>
          <t>2025.08.25</t>
        </is>
      </c>
      <c r="F760" s="47" t="inlineStr">
        <is>
          <t>求職者</t>
        </is>
      </c>
      <c r="G760" s="47" t="n"/>
      <c r="H760" s="47" t="inlineStr">
        <is>
          <t>中途・第二新卒</t>
        </is>
      </c>
      <c r="I760" s="15" t="inlineStr">
        <is>
          <t>https://www.dshu.jp/</t>
        </is>
      </c>
      <c r="J760" s="10" t="inlineStr">
        <is>
          <t>https://dym.asia/services/new-graduates/Former-graduate/</t>
        </is>
      </c>
      <c r="K760" s="47" t="n"/>
      <c r="L760" s="47" t="n"/>
    </row>
    <row r="761">
      <c r="A761" s="52">
        <f>row()-1</f>
        <v/>
      </c>
      <c r="B761" s="46" t="inlineStr">
        <is>
          <t>「自分の強み」の見つけ方｜強みが分からない人の分析方法や自己PR例文を紹介</t>
        </is>
      </c>
      <c r="C761" s="10" t="inlineStr">
        <is>
          <t>https://dym.asia/media/recruiting/strengths/#index-5</t>
        </is>
      </c>
      <c r="D761" s="47" t="inlineStr">
        <is>
          <t xml:space="preserve">2025.06.19 </t>
        </is>
      </c>
      <c r="E761" s="47" t="inlineStr">
        <is>
          <t>2025.10.27</t>
        </is>
      </c>
      <c r="F761" s="47" t="inlineStr">
        <is>
          <t>求職者</t>
        </is>
      </c>
      <c r="G761" s="47" t="n"/>
      <c r="H761" s="47" t="inlineStr">
        <is>
          <t>中途・第二新卒</t>
        </is>
      </c>
      <c r="I761" s="10" t="inlineStr">
        <is>
          <t>https://www.dshu.jp/</t>
        </is>
      </c>
      <c r="J761" s="10" t="inlineStr">
        <is>
          <t>https://dym.asia/services/new-graduates/Former-graduate/</t>
        </is>
      </c>
      <c r="K761" s="47" t="n"/>
      <c r="L761" s="47" t="n"/>
    </row>
    <row r="762">
      <c r="A762" s="52">
        <f>row()-1</f>
        <v/>
      </c>
      <c r="B762" s="46" t="inlineStr">
        <is>
          <t>ベンチャー企業とは？スタートアップとの違いや、ベンチャーで働くメリット・デメリットを解説</t>
        </is>
      </c>
      <c r="C762" s="6" t="inlineStr">
        <is>
          <t>https://dym.asia/media/recruiting/venture-company/#index-16</t>
        </is>
      </c>
      <c r="D762" s="47" t="inlineStr">
        <is>
          <t xml:space="preserve">2025.06.11 </t>
        </is>
      </c>
      <c r="E762" s="47" t="inlineStr">
        <is>
          <t>2025.06.12</t>
        </is>
      </c>
      <c r="F762" s="47" t="inlineStr">
        <is>
          <t>求職者</t>
        </is>
      </c>
      <c r="G762" s="47" t="n"/>
      <c r="H762" s="47" t="inlineStr">
        <is>
          <t>新卒</t>
        </is>
      </c>
      <c r="I762" s="15" t="inlineStr">
        <is>
          <t>https://www.dshu.jp/</t>
        </is>
      </c>
      <c r="J762" s="15" t="inlineStr">
        <is>
          <t>https://dym.asia/services/new-graduates/new-graduate-recruitment/</t>
        </is>
      </c>
      <c r="K762" s="47" t="n"/>
      <c r="L762" s="47" t="n"/>
    </row>
    <row r="763">
      <c r="A763" s="52">
        <f>row()-1</f>
        <v/>
      </c>
      <c r="B763" s="46" t="inlineStr">
        <is>
          <t>自己都合退職で失業保険はもらえる？いつから、いくらもらえるかを解説</t>
        </is>
      </c>
      <c r="C763" s="6" t="inlineStr">
        <is>
          <t>https://dym.asia/media/recruiting/voluntary-unemployment-insurance/#index-7</t>
        </is>
      </c>
      <c r="D763" s="47" t="inlineStr">
        <is>
          <t>2025.03.28</t>
        </is>
      </c>
      <c r="E763" s="47" t="inlineStr">
        <is>
          <t>2025.10.27</t>
        </is>
      </c>
      <c r="F763" s="47" t="inlineStr">
        <is>
          <t>求職者</t>
        </is>
      </c>
      <c r="G763" s="47" t="n"/>
      <c r="H763" s="47" t="inlineStr">
        <is>
          <t>新卒</t>
        </is>
      </c>
      <c r="I763" s="10" t="inlineStr">
        <is>
          <t>https://www.meetscompany.jp/</t>
        </is>
      </c>
      <c r="J763" s="15" t="inlineStr">
        <is>
          <t>https://dym.asia/services/new-graduates/new-graduate-recruitment/</t>
        </is>
      </c>
      <c r="K763" s="47" t="n"/>
      <c r="L763" s="47" t="n"/>
    </row>
    <row r="764">
      <c r="A764" s="52">
        <f>row()-1</f>
        <v/>
      </c>
      <c r="B764" s="46" t="inlineStr">
        <is>
          <t>高卒女性の就職、資格なしでもできる仕事</t>
        </is>
      </c>
      <c r="C764" s="6" t="inlineStr">
        <is>
          <t>https://dym.asia/media/recruiting/woman-highschool-graduation/#index</t>
        </is>
      </c>
      <c r="D764" s="47" t="inlineStr">
        <is>
          <t xml:space="preserve">2025.04.11 </t>
        </is>
      </c>
      <c r="E764" s="47" t="inlineStr">
        <is>
          <t xml:space="preserve">2025.10.27
</t>
        </is>
      </c>
      <c r="F764" s="47" t="inlineStr">
        <is>
          <t>求職者</t>
        </is>
      </c>
      <c r="G764" s="47" t="n"/>
      <c r="H764" s="47" t="inlineStr">
        <is>
          <t>中途・第二新卒</t>
        </is>
      </c>
      <c r="I764" s="10" t="inlineStr">
        <is>
          <t>https://www.dshu.jp/</t>
        </is>
      </c>
      <c r="J764" s="10" t="inlineStr">
        <is>
          <t>https://dym.asia/services/new-graduates/Former-graduate/</t>
        </is>
      </c>
      <c r="K764" s="47" t="n"/>
      <c r="L764" s="47" t="n"/>
    </row>
    <row r="765">
      <c r="A765" s="52">
        <f>row()-1</f>
        <v/>
      </c>
      <c r="B765" s="55" t="n"/>
      <c r="C765" s="47" t="n"/>
      <c r="D765" s="20" t="n"/>
      <c r="E765" s="20" t="n"/>
      <c r="F765" s="47" t="n"/>
      <c r="G765" s="47" t="n"/>
      <c r="H765" s="47" t="n"/>
      <c r="I765" s="47" t="n"/>
      <c r="J765" s="47" t="n"/>
      <c r="K765" s="47" t="n"/>
      <c r="L765" s="47" t="n"/>
    </row>
    <row r="766">
      <c r="A766" s="52">
        <f>row()-1</f>
        <v/>
      </c>
      <c r="B766" s="55" t="n"/>
      <c r="C766" s="47" t="n"/>
      <c r="D766" s="20" t="n"/>
      <c r="E766" s="20" t="n"/>
      <c r="F766" s="47" t="n"/>
      <c r="G766" s="47" t="n"/>
      <c r="H766" s="47" t="n"/>
      <c r="I766" s="47" t="n"/>
      <c r="J766" s="47" t="n"/>
      <c r="K766" s="47" t="n"/>
      <c r="L766" s="47" t="n"/>
    </row>
    <row r="767">
      <c r="A767" s="52">
        <f>row()-1</f>
        <v/>
      </c>
      <c r="B767" s="55" t="n"/>
      <c r="C767" s="47" t="n"/>
      <c r="D767" s="20" t="n"/>
      <c r="E767" s="20" t="n"/>
      <c r="F767" s="47" t="n"/>
      <c r="G767" s="47" t="n"/>
      <c r="H767" s="47" t="n"/>
      <c r="I767" s="47" t="n"/>
      <c r="J767" s="47" t="n"/>
      <c r="K767" s="47" t="n"/>
      <c r="L767" s="47" t="n"/>
    </row>
    <row r="768">
      <c r="A768" s="52">
        <f>row()-1</f>
        <v/>
      </c>
      <c r="B768" s="55" t="n"/>
      <c r="C768" s="47" t="n"/>
      <c r="D768" s="20" t="n"/>
      <c r="E768" s="20" t="n"/>
      <c r="F768" s="47" t="n"/>
      <c r="G768" s="47" t="n"/>
      <c r="H768" s="47" t="n"/>
      <c r="I768" s="47" t="n"/>
      <c r="J768" s="47" t="n"/>
      <c r="K768" s="47" t="n"/>
      <c r="L768" s="47" t="n"/>
    </row>
    <row r="769">
      <c r="A769" s="52">
        <f>row()-1</f>
        <v/>
      </c>
      <c r="B769" s="55" t="n"/>
      <c r="C769" s="47" t="n"/>
      <c r="D769" s="20" t="n"/>
      <c r="E769" s="20" t="n"/>
      <c r="F769" s="47" t="n"/>
      <c r="G769" s="47" t="n"/>
      <c r="H769" s="47" t="n"/>
      <c r="I769" s="47" t="n"/>
      <c r="J769" s="47" t="n"/>
      <c r="K769" s="47" t="n"/>
      <c r="L769" s="47" t="n"/>
    </row>
    <row r="770">
      <c r="A770" s="52">
        <f>row()-1</f>
        <v/>
      </c>
      <c r="B770" s="55" t="n"/>
      <c r="C770" s="47" t="n"/>
      <c r="D770" s="20" t="n"/>
      <c r="E770" s="20" t="n"/>
      <c r="F770" s="47" t="n"/>
      <c r="G770" s="47" t="n"/>
      <c r="H770" s="47" t="n"/>
      <c r="I770" s="47" t="n"/>
      <c r="J770" s="47" t="n"/>
      <c r="K770" s="47" t="n"/>
      <c r="L770" s="47" t="n"/>
    </row>
    <row r="771">
      <c r="A771" s="52">
        <f>row()-1</f>
        <v/>
      </c>
      <c r="B771" s="55" t="n"/>
      <c r="C771" s="47" t="n"/>
      <c r="D771" s="20" t="n"/>
      <c r="E771" s="20" t="n"/>
      <c r="F771" s="47" t="n"/>
      <c r="G771" s="47" t="n"/>
      <c r="H771" s="47" t="n"/>
      <c r="I771" s="47" t="n"/>
      <c r="J771" s="47" t="n"/>
      <c r="K771" s="47" t="n"/>
      <c r="L771" s="47" t="n"/>
    </row>
    <row r="772">
      <c r="A772" s="52">
        <f>row()-1</f>
        <v/>
      </c>
      <c r="B772" s="55" t="n"/>
      <c r="C772" s="47" t="n"/>
      <c r="D772" s="20" t="n"/>
      <c r="E772" s="20" t="n"/>
      <c r="F772" s="47" t="n"/>
      <c r="G772" s="47" t="n"/>
      <c r="H772" s="47" t="n"/>
      <c r="I772" s="47" t="n"/>
      <c r="J772" s="47" t="n"/>
      <c r="K772" s="47" t="n"/>
      <c r="L772" s="47" t="n"/>
    </row>
    <row r="773">
      <c r="A773" s="52">
        <f>row()-1</f>
        <v/>
      </c>
      <c r="B773" s="55" t="n"/>
      <c r="C773" s="47" t="n"/>
      <c r="D773" s="20" t="n"/>
      <c r="E773" s="20" t="n"/>
      <c r="F773" s="47" t="n"/>
      <c r="G773" s="47" t="n"/>
      <c r="H773" s="47" t="n"/>
      <c r="I773" s="47" t="n"/>
      <c r="J773" s="47" t="n"/>
      <c r="K773" s="47" t="n"/>
      <c r="L773" s="47" t="n"/>
    </row>
    <row r="774">
      <c r="A774" s="52">
        <f>row()-1</f>
        <v/>
      </c>
      <c r="B774" s="55" t="n"/>
      <c r="C774" s="47" t="n"/>
      <c r="D774" s="20" t="n"/>
      <c r="E774" s="20" t="n"/>
      <c r="F774" s="47" t="n"/>
      <c r="G774" s="47" t="n"/>
      <c r="H774" s="47" t="n"/>
      <c r="I774" s="47" t="n"/>
      <c r="J774" s="47" t="n"/>
      <c r="K774" s="47" t="n"/>
      <c r="L774" s="47" t="n"/>
    </row>
    <row r="775">
      <c r="A775" s="52">
        <f>row()-1</f>
        <v/>
      </c>
      <c r="B775" s="55" t="n"/>
      <c r="C775" s="47" t="n"/>
      <c r="D775" s="20" t="n"/>
      <c r="E775" s="20" t="n"/>
      <c r="F775" s="47" t="n"/>
      <c r="G775" s="47" t="n"/>
      <c r="H775" s="47" t="n"/>
      <c r="I775" s="47" t="n"/>
      <c r="J775" s="47" t="n"/>
      <c r="K775" s="47" t="n"/>
      <c r="L775" s="47" t="n"/>
    </row>
    <row r="776">
      <c r="A776" s="52">
        <f>row()-1</f>
        <v/>
      </c>
      <c r="B776" s="55" t="n"/>
      <c r="C776" s="47" t="n"/>
      <c r="D776" s="20" t="n"/>
      <c r="E776" s="20" t="n"/>
      <c r="F776" s="47" t="n"/>
      <c r="G776" s="47" t="n"/>
      <c r="H776" s="47" t="n"/>
      <c r="I776" s="47" t="n"/>
      <c r="J776" s="47" t="n"/>
      <c r="K776" s="47" t="n"/>
      <c r="L776" s="47" t="n"/>
    </row>
    <row r="777">
      <c r="A777" s="52">
        <f>row()-1</f>
        <v/>
      </c>
      <c r="B777" s="55" t="n"/>
      <c r="C777" s="47" t="n"/>
      <c r="D777" s="20" t="n"/>
      <c r="E777" s="20" t="n"/>
      <c r="F777" s="47" t="n"/>
      <c r="G777" s="47" t="n"/>
      <c r="H777" s="47" t="n"/>
      <c r="I777" s="47" t="n"/>
      <c r="J777" s="47" t="n"/>
      <c r="K777" s="47" t="n"/>
      <c r="L777" s="47" t="n"/>
    </row>
    <row r="778">
      <c r="A778" s="52">
        <f>row()-1</f>
        <v/>
      </c>
      <c r="B778" s="55" t="n"/>
      <c r="C778" s="47" t="n"/>
      <c r="D778" s="20" t="n"/>
      <c r="E778" s="20" t="n"/>
      <c r="F778" s="47" t="n"/>
      <c r="G778" s="47" t="n"/>
      <c r="H778" s="47" t="n"/>
      <c r="I778" s="47" t="n"/>
      <c r="J778" s="47" t="n"/>
      <c r="K778" s="47" t="n"/>
      <c r="L778" s="47" t="n"/>
    </row>
    <row r="779">
      <c r="A779" s="52">
        <f>row()-1</f>
        <v/>
      </c>
      <c r="B779" s="55" t="n"/>
      <c r="C779" s="47" t="n"/>
      <c r="D779" s="20" t="n"/>
      <c r="E779" s="20" t="n"/>
      <c r="F779" s="47" t="n"/>
      <c r="G779" s="47" t="n"/>
      <c r="H779" s="47" t="n"/>
      <c r="I779" s="47" t="n"/>
      <c r="J779" s="47" t="n"/>
      <c r="K779" s="47" t="n"/>
      <c r="L779" s="47" t="n"/>
    </row>
    <row r="780">
      <c r="A780" s="52">
        <f>row()-1</f>
        <v/>
      </c>
      <c r="B780" s="55" t="n"/>
      <c r="C780" s="47" t="n"/>
      <c r="D780" s="20" t="n"/>
      <c r="E780" s="20" t="n"/>
      <c r="F780" s="47" t="n"/>
      <c r="G780" s="47" t="n"/>
      <c r="H780" s="47" t="n"/>
      <c r="I780" s="47" t="n"/>
      <c r="J780" s="47" t="n"/>
      <c r="K780" s="47" t="n"/>
      <c r="L780" s="47" t="n"/>
    </row>
    <row r="781">
      <c r="A781" s="52">
        <f>row()-1</f>
        <v/>
      </c>
      <c r="B781" s="55" t="n"/>
      <c r="C781" s="47" t="n"/>
      <c r="D781" s="20" t="n"/>
      <c r="E781" s="20" t="n"/>
      <c r="F781" s="47" t="n"/>
      <c r="G781" s="47" t="n"/>
      <c r="H781" s="47" t="n"/>
      <c r="I781" s="47" t="n"/>
      <c r="J781" s="47" t="n"/>
      <c r="K781" s="47" t="n"/>
      <c r="L781" s="47" t="n"/>
    </row>
    <row r="782">
      <c r="A782" s="52">
        <f>row()-1</f>
        <v/>
      </c>
      <c r="B782" s="55" t="n"/>
      <c r="C782" s="47" t="n"/>
      <c r="D782" s="20" t="n"/>
      <c r="E782" s="20" t="n"/>
      <c r="F782" s="47" t="n"/>
      <c r="G782" s="47" t="n"/>
      <c r="H782" s="47" t="n"/>
      <c r="I782" s="47" t="n"/>
      <c r="J782" s="47" t="n"/>
      <c r="K782" s="47" t="n"/>
      <c r="L782" s="47" t="n"/>
    </row>
    <row r="783">
      <c r="A783" s="52">
        <f>row()-1</f>
        <v/>
      </c>
      <c r="B783" s="55" t="n"/>
      <c r="C783" s="47" t="n"/>
      <c r="D783" s="20" t="n"/>
      <c r="E783" s="20" t="n"/>
      <c r="F783" s="47" t="n"/>
      <c r="G783" s="47" t="n"/>
      <c r="H783" s="47" t="n"/>
      <c r="I783" s="47" t="n"/>
      <c r="J783" s="47" t="n"/>
      <c r="K783" s="47" t="n"/>
      <c r="L783" s="47" t="n"/>
    </row>
    <row r="784">
      <c r="A784" s="52">
        <f>row()-1</f>
        <v/>
      </c>
      <c r="B784" s="55" t="n"/>
      <c r="C784" s="47" t="n"/>
      <c r="D784" s="20" t="n"/>
      <c r="E784" s="20" t="n"/>
      <c r="F784" s="47" t="n"/>
      <c r="G784" s="47" t="n"/>
      <c r="H784" s="47" t="n"/>
      <c r="I784" s="47" t="n"/>
      <c r="J784" s="47" t="n"/>
      <c r="K784" s="47" t="n"/>
      <c r="L784" s="47" t="n"/>
    </row>
    <row r="785">
      <c r="A785" s="52">
        <f>row()-1</f>
        <v/>
      </c>
      <c r="B785" s="55" t="n"/>
      <c r="C785" s="47" t="n"/>
      <c r="D785" s="20" t="n"/>
      <c r="E785" s="20" t="n"/>
      <c r="F785" s="47" t="n"/>
      <c r="G785" s="47" t="n"/>
      <c r="H785" s="47" t="n"/>
      <c r="I785" s="47" t="n"/>
      <c r="J785" s="47" t="n"/>
      <c r="K785" s="47" t="n"/>
      <c r="L785" s="47" t="n"/>
    </row>
    <row r="786">
      <c r="A786" s="52">
        <f>row()-1</f>
        <v/>
      </c>
      <c r="B786" s="55" t="n"/>
      <c r="C786" s="47" t="n"/>
      <c r="D786" s="20" t="n"/>
      <c r="E786" s="20" t="n"/>
      <c r="F786" s="47" t="n"/>
      <c r="G786" s="47" t="n"/>
      <c r="H786" s="47" t="n"/>
      <c r="I786" s="47" t="n"/>
      <c r="J786" s="47" t="n"/>
      <c r="K786" s="47" t="n"/>
      <c r="L786" s="47" t="n"/>
    </row>
    <row r="787">
      <c r="A787" s="52">
        <f>row()-1</f>
        <v/>
      </c>
      <c r="B787" s="55" t="n"/>
      <c r="C787" s="47" t="n"/>
      <c r="D787" s="20" t="n"/>
      <c r="E787" s="20" t="n"/>
      <c r="F787" s="47" t="n"/>
      <c r="G787" s="47" t="n"/>
      <c r="H787" s="47" t="n"/>
      <c r="I787" s="47" t="n"/>
      <c r="J787" s="47" t="n"/>
      <c r="K787" s="47" t="n"/>
      <c r="L787" s="47" t="n"/>
    </row>
    <row r="788">
      <c r="A788" s="52">
        <f>row()-1</f>
        <v/>
      </c>
      <c r="B788" s="55" t="n"/>
      <c r="C788" s="47" t="n"/>
      <c r="D788" s="20" t="n"/>
      <c r="E788" s="20" t="n"/>
      <c r="F788" s="47" t="n"/>
      <c r="G788" s="47" t="n"/>
      <c r="H788" s="47" t="n"/>
      <c r="I788" s="47" t="n"/>
      <c r="J788" s="47" t="n"/>
      <c r="K788" s="47" t="n"/>
      <c r="L788" s="47" t="n"/>
    </row>
    <row r="789">
      <c r="A789" s="52">
        <f>row()-1</f>
        <v/>
      </c>
      <c r="B789" s="55" t="n"/>
      <c r="C789" s="47" t="n"/>
      <c r="D789" s="20" t="n"/>
      <c r="E789" s="20" t="n"/>
      <c r="F789" s="47" t="n"/>
      <c r="G789" s="47" t="n"/>
      <c r="H789" s="47" t="n"/>
      <c r="I789" s="47" t="n"/>
      <c r="J789" s="47" t="n"/>
      <c r="K789" s="47" t="n"/>
      <c r="L789" s="47" t="n"/>
    </row>
    <row r="790">
      <c r="A790" s="52">
        <f>row()-1</f>
        <v/>
      </c>
      <c r="B790" s="55" t="n"/>
      <c r="C790" s="47" t="n"/>
      <c r="D790" s="20" t="n"/>
      <c r="E790" s="20" t="n"/>
      <c r="F790" s="47" t="n"/>
      <c r="G790" s="47" t="n"/>
      <c r="H790" s="47" t="n"/>
      <c r="I790" s="47" t="n"/>
      <c r="J790" s="47" t="n"/>
      <c r="K790" s="47" t="n"/>
      <c r="L790" s="47" t="n"/>
    </row>
    <row r="791">
      <c r="A791" s="52">
        <f>row()-1</f>
        <v/>
      </c>
      <c r="B791" s="55" t="n"/>
      <c r="C791" s="47" t="n"/>
      <c r="D791" s="20" t="n"/>
      <c r="E791" s="20" t="n"/>
      <c r="F791" s="47" t="n"/>
      <c r="G791" s="47" t="n"/>
      <c r="H791" s="47" t="n"/>
      <c r="I791" s="47" t="n"/>
      <c r="J791" s="47" t="n"/>
      <c r="K791" s="47" t="n"/>
      <c r="L791" s="47" t="n"/>
    </row>
    <row r="792">
      <c r="A792" s="52">
        <f>row()-1</f>
        <v/>
      </c>
      <c r="B792" s="55" t="n"/>
      <c r="C792" s="47" t="n"/>
      <c r="D792" s="20" t="n"/>
      <c r="E792" s="20" t="n"/>
      <c r="F792" s="47" t="n"/>
      <c r="G792" s="47" t="n"/>
      <c r="H792" s="47" t="n"/>
      <c r="I792" s="47" t="n"/>
      <c r="J792" s="47" t="n"/>
      <c r="K792" s="47" t="n"/>
      <c r="L792" s="47" t="n"/>
    </row>
    <row r="793">
      <c r="A793" s="52">
        <f>row()-1</f>
        <v/>
      </c>
      <c r="B793" s="55" t="n"/>
      <c r="C793" s="47" t="n"/>
      <c r="D793" s="20" t="n"/>
      <c r="E793" s="20" t="n"/>
      <c r="F793" s="47" t="n"/>
      <c r="G793" s="47" t="n"/>
      <c r="H793" s="47" t="n"/>
      <c r="I793" s="47" t="n"/>
      <c r="J793" s="47" t="n"/>
      <c r="K793" s="47" t="n"/>
      <c r="L793" s="47" t="n"/>
    </row>
    <row r="794">
      <c r="A794" s="52">
        <f>row()-1</f>
        <v/>
      </c>
      <c r="B794" s="55" t="n"/>
      <c r="C794" s="47" t="n"/>
      <c r="D794" s="20" t="n"/>
      <c r="E794" s="20" t="n"/>
      <c r="F794" s="47" t="n"/>
      <c r="G794" s="47" t="n"/>
      <c r="H794" s="47" t="n"/>
      <c r="I794" s="47" t="n"/>
      <c r="J794" s="47" t="n"/>
      <c r="K794" s="47" t="n"/>
      <c r="L794" s="47" t="n"/>
    </row>
    <row r="795">
      <c r="A795" s="52">
        <f>row()-1</f>
        <v/>
      </c>
      <c r="B795" s="55" t="n"/>
      <c r="C795" s="47" t="n"/>
      <c r="D795" s="20" t="n"/>
      <c r="E795" s="20" t="n"/>
      <c r="F795" s="47" t="n"/>
      <c r="G795" s="47" t="n"/>
      <c r="H795" s="47" t="n"/>
      <c r="I795" s="47" t="n"/>
      <c r="J795" s="47" t="n"/>
      <c r="K795" s="47" t="n"/>
      <c r="L795" s="47" t="n"/>
    </row>
    <row r="796">
      <c r="A796" s="52">
        <f>row()-1</f>
        <v/>
      </c>
      <c r="B796" s="55" t="n"/>
      <c r="C796" s="47" t="n"/>
      <c r="D796" s="20" t="n"/>
      <c r="E796" s="20" t="n"/>
      <c r="F796" s="47" t="n"/>
      <c r="G796" s="47" t="n"/>
      <c r="H796" s="47" t="n"/>
      <c r="I796" s="47" t="n"/>
      <c r="J796" s="47" t="n"/>
      <c r="K796" s="47" t="n"/>
      <c r="L796" s="47" t="n"/>
    </row>
    <row r="797">
      <c r="A797" s="52">
        <f>row()-1</f>
        <v/>
      </c>
      <c r="B797" s="55" t="n"/>
      <c r="C797" s="47" t="n"/>
      <c r="D797" s="20" t="n"/>
      <c r="E797" s="20" t="n"/>
      <c r="F797" s="47" t="n"/>
      <c r="G797" s="47" t="n"/>
      <c r="H797" s="47" t="n"/>
      <c r="I797" s="47" t="n"/>
      <c r="J797" s="47" t="n"/>
      <c r="K797" s="47" t="n"/>
      <c r="L797" s="47" t="n"/>
    </row>
    <row r="798">
      <c r="A798" s="52">
        <f>row()-1</f>
        <v/>
      </c>
      <c r="B798" s="55" t="n"/>
      <c r="C798" s="47" t="n"/>
      <c r="D798" s="20" t="n"/>
      <c r="E798" s="20" t="n"/>
      <c r="F798" s="47" t="n"/>
      <c r="G798" s="47" t="n"/>
      <c r="H798" s="47" t="n"/>
      <c r="I798" s="47" t="n"/>
      <c r="J798" s="47" t="n"/>
      <c r="K798" s="47" t="n"/>
      <c r="L798" s="47" t="n"/>
    </row>
    <row r="799">
      <c r="A799" s="52">
        <f>row()-1</f>
        <v/>
      </c>
      <c r="B799" s="55" t="n"/>
      <c r="C799" s="47" t="n"/>
      <c r="D799" s="20" t="n"/>
      <c r="E799" s="20" t="n"/>
      <c r="F799" s="47" t="n"/>
      <c r="G799" s="47" t="n"/>
      <c r="H799" s="47" t="n"/>
      <c r="I799" s="47" t="n"/>
      <c r="J799" s="47" t="n"/>
      <c r="K799" s="47" t="n"/>
      <c r="L799" s="47" t="n"/>
    </row>
    <row r="800">
      <c r="A800" s="52">
        <f>row()-1</f>
        <v/>
      </c>
      <c r="B800" s="55" t="n"/>
      <c r="C800" s="47" t="n"/>
      <c r="D800" s="20" t="n"/>
      <c r="E800" s="20" t="n"/>
      <c r="F800" s="47" t="n"/>
      <c r="G800" s="47" t="n"/>
      <c r="H800" s="47" t="n"/>
      <c r="I800" s="47" t="n"/>
      <c r="J800" s="47" t="n"/>
      <c r="K800" s="47" t="n"/>
      <c r="L800" s="47" t="n"/>
    </row>
    <row r="801">
      <c r="A801" s="52">
        <f>row()-1</f>
        <v/>
      </c>
      <c r="B801" s="55" t="n"/>
      <c r="C801" s="47" t="n"/>
      <c r="D801" s="20" t="n"/>
      <c r="E801" s="20" t="n"/>
      <c r="F801" s="47" t="n"/>
      <c r="G801" s="47" t="n"/>
      <c r="H801" s="47" t="n"/>
      <c r="I801" s="47" t="n"/>
      <c r="J801" s="47" t="n"/>
      <c r="K801" s="47" t="n"/>
      <c r="L801" s="47" t="n"/>
    </row>
    <row r="802">
      <c r="A802" s="52">
        <f>row()-1</f>
        <v/>
      </c>
      <c r="B802" s="55" t="n"/>
      <c r="C802" s="47" t="n"/>
      <c r="D802" s="20" t="n"/>
      <c r="E802" s="20" t="n"/>
      <c r="F802" s="47" t="n"/>
      <c r="G802" s="47" t="n"/>
      <c r="H802" s="47" t="n"/>
      <c r="I802" s="47" t="n"/>
      <c r="J802" s="47" t="n"/>
      <c r="K802" s="47" t="n"/>
      <c r="L802" s="47" t="n"/>
    </row>
    <row r="803">
      <c r="A803" s="52">
        <f>row()-1</f>
        <v/>
      </c>
      <c r="B803" s="55" t="n"/>
      <c r="C803" s="47" t="n"/>
      <c r="D803" s="20" t="n"/>
      <c r="E803" s="20" t="n"/>
      <c r="F803" s="47" t="n"/>
      <c r="G803" s="47" t="n"/>
      <c r="H803" s="47" t="n"/>
      <c r="I803" s="47" t="n"/>
      <c r="J803" s="47" t="n"/>
      <c r="K803" s="47" t="n"/>
      <c r="L803" s="47" t="n"/>
    </row>
    <row r="804">
      <c r="A804" s="52">
        <f>row()-1</f>
        <v/>
      </c>
      <c r="B804" s="55" t="n"/>
      <c r="C804" s="47" t="n"/>
      <c r="D804" s="20" t="n"/>
      <c r="E804" s="20" t="n"/>
      <c r="F804" s="47" t="n"/>
      <c r="G804" s="47" t="n"/>
      <c r="H804" s="47" t="n"/>
      <c r="I804" s="47" t="n"/>
      <c r="J804" s="47" t="n"/>
      <c r="K804" s="47" t="n"/>
      <c r="L804" s="47" t="n"/>
    </row>
    <row r="805">
      <c r="A805" s="52">
        <f>row()-1</f>
        <v/>
      </c>
      <c r="B805" s="55" t="n"/>
      <c r="C805" s="47" t="n"/>
      <c r="D805" s="20" t="n"/>
      <c r="E805" s="20" t="n"/>
      <c r="F805" s="47" t="n"/>
      <c r="G805" s="47" t="n"/>
      <c r="H805" s="47" t="n"/>
      <c r="I805" s="47" t="n"/>
      <c r="J805" s="47" t="n"/>
      <c r="K805" s="47" t="n"/>
      <c r="L805" s="47" t="n"/>
    </row>
    <row r="806">
      <c r="A806" s="52">
        <f>row()-1</f>
        <v/>
      </c>
      <c r="B806" s="55" t="n"/>
      <c r="C806" s="47" t="n"/>
      <c r="D806" s="20" t="n"/>
      <c r="E806" s="20" t="n"/>
      <c r="F806" s="47" t="n"/>
      <c r="G806" s="47" t="n"/>
      <c r="H806" s="47" t="n"/>
      <c r="I806" s="47" t="n"/>
      <c r="J806" s="47" t="n"/>
      <c r="K806" s="47" t="n"/>
      <c r="L806" s="47" t="n"/>
    </row>
    <row r="807">
      <c r="A807" s="52">
        <f>row()-1</f>
        <v/>
      </c>
      <c r="B807" s="55" t="n"/>
      <c r="C807" s="47" t="n"/>
      <c r="D807" s="20" t="n"/>
      <c r="E807" s="20" t="n"/>
      <c r="F807" s="47" t="n"/>
      <c r="G807" s="47" t="n"/>
      <c r="H807" s="47" t="n"/>
      <c r="I807" s="47" t="n"/>
      <c r="J807" s="47" t="n"/>
      <c r="K807" s="47" t="n"/>
      <c r="L807" s="47" t="n"/>
    </row>
    <row r="808">
      <c r="A808" s="52">
        <f>row()-1</f>
        <v/>
      </c>
      <c r="B808" s="55" t="n"/>
      <c r="C808" s="47" t="n"/>
      <c r="D808" s="20" t="n"/>
      <c r="E808" s="20" t="n"/>
      <c r="F808" s="47" t="n"/>
      <c r="G808" s="47" t="n"/>
      <c r="H808" s="47" t="n"/>
      <c r="I808" s="47" t="n"/>
      <c r="J808" s="47" t="n"/>
      <c r="K808" s="47" t="n"/>
      <c r="L808" s="47" t="n"/>
    </row>
    <row r="809">
      <c r="A809" s="52">
        <f>row()-1</f>
        <v/>
      </c>
      <c r="B809" s="55" t="n"/>
      <c r="C809" s="47" t="n"/>
      <c r="D809" s="20" t="n"/>
      <c r="E809" s="20" t="n"/>
      <c r="F809" s="47" t="n"/>
      <c r="G809" s="47" t="n"/>
      <c r="H809" s="47" t="n"/>
      <c r="I809" s="47" t="n"/>
      <c r="J809" s="47" t="n"/>
      <c r="K809" s="47" t="n"/>
      <c r="L809" s="47" t="n"/>
    </row>
    <row r="810">
      <c r="A810" s="52">
        <f>row()-1</f>
        <v/>
      </c>
      <c r="B810" s="55" t="n"/>
      <c r="C810" s="47" t="n"/>
      <c r="D810" s="20" t="n"/>
      <c r="E810" s="20" t="n"/>
      <c r="F810" s="47" t="n"/>
      <c r="G810" s="47" t="n"/>
      <c r="H810" s="47" t="n"/>
      <c r="I810" s="47" t="n"/>
      <c r="J810" s="47" t="n"/>
      <c r="K810" s="47" t="n"/>
      <c r="L810" s="47" t="n"/>
    </row>
    <row r="811">
      <c r="A811" s="52">
        <f>row()-1</f>
        <v/>
      </c>
      <c r="B811" s="55" t="n"/>
      <c r="C811" s="47" t="n"/>
      <c r="D811" s="20" t="n"/>
      <c r="E811" s="20" t="n"/>
      <c r="F811" s="47" t="n"/>
      <c r="G811" s="47" t="n"/>
      <c r="H811" s="47" t="n"/>
      <c r="I811" s="47" t="n"/>
      <c r="J811" s="47" t="n"/>
      <c r="K811" s="47" t="n"/>
      <c r="L811" s="47" t="n"/>
    </row>
    <row r="812">
      <c r="A812" s="52">
        <f>row()-1</f>
        <v/>
      </c>
      <c r="B812" s="55" t="n"/>
      <c r="C812" s="47" t="n"/>
      <c r="D812" s="20" t="n"/>
      <c r="E812" s="20" t="n"/>
      <c r="F812" s="47" t="n"/>
      <c r="G812" s="47" t="n"/>
      <c r="H812" s="47" t="n"/>
      <c r="I812" s="47" t="n"/>
      <c r="J812" s="47" t="n"/>
      <c r="K812" s="47" t="n"/>
      <c r="L812" s="47" t="n"/>
    </row>
    <row r="813">
      <c r="A813" s="52">
        <f>row()-1</f>
        <v/>
      </c>
      <c r="B813" s="55" t="n"/>
      <c r="C813" s="47" t="n"/>
      <c r="D813" s="20" t="n"/>
      <c r="E813" s="20" t="n"/>
      <c r="F813" s="47" t="n"/>
      <c r="G813" s="47" t="n"/>
      <c r="H813" s="47" t="n"/>
      <c r="I813" s="47" t="n"/>
      <c r="J813" s="47" t="n"/>
      <c r="K813" s="47" t="n"/>
      <c r="L813" s="47" t="n"/>
    </row>
    <row r="814">
      <c r="A814" s="52">
        <f>row()-1</f>
        <v/>
      </c>
      <c r="B814" s="55" t="n"/>
      <c r="C814" s="47" t="n"/>
      <c r="D814" s="20" t="n"/>
      <c r="E814" s="20" t="n"/>
      <c r="F814" s="47" t="n"/>
      <c r="G814" s="47" t="n"/>
      <c r="H814" s="47" t="n"/>
      <c r="I814" s="47" t="n"/>
      <c r="J814" s="47" t="n"/>
      <c r="K814" s="47" t="n"/>
      <c r="L814" s="47" t="n"/>
    </row>
    <row r="815">
      <c r="A815" s="52">
        <f>row()-1</f>
        <v/>
      </c>
      <c r="B815" s="55" t="n"/>
      <c r="C815" s="47" t="n"/>
      <c r="D815" s="20" t="n"/>
      <c r="E815" s="20" t="n"/>
      <c r="F815" s="47" t="n"/>
      <c r="G815" s="47" t="n"/>
      <c r="H815" s="47" t="n"/>
      <c r="I815" s="47" t="n"/>
      <c r="J815" s="47" t="n"/>
      <c r="K815" s="47" t="n"/>
      <c r="L815" s="47" t="n"/>
    </row>
    <row r="816">
      <c r="A816" s="52">
        <f>row()-1</f>
        <v/>
      </c>
      <c r="B816" s="55" t="n"/>
      <c r="C816" s="47" t="n"/>
      <c r="D816" s="20" t="n"/>
      <c r="E816" s="20" t="n"/>
      <c r="F816" s="47" t="n"/>
      <c r="G816" s="47" t="n"/>
      <c r="H816" s="47" t="n"/>
      <c r="I816" s="47" t="n"/>
      <c r="J816" s="47" t="n"/>
      <c r="K816" s="47" t="n"/>
      <c r="L816" s="47" t="n"/>
    </row>
    <row r="817">
      <c r="A817" s="52">
        <f>row()-1</f>
        <v/>
      </c>
      <c r="B817" s="55" t="n"/>
      <c r="C817" s="47" t="n"/>
      <c r="D817" s="20" t="n"/>
      <c r="E817" s="20" t="n"/>
      <c r="F817" s="47" t="n"/>
      <c r="G817" s="47" t="n"/>
      <c r="H817" s="47" t="n"/>
      <c r="I817" s="47" t="n"/>
      <c r="J817" s="47" t="n"/>
      <c r="K817" s="47" t="n"/>
      <c r="L817" s="47" t="n"/>
    </row>
    <row r="818">
      <c r="A818" s="52">
        <f>row()-1</f>
        <v/>
      </c>
      <c r="B818" s="55" t="n"/>
      <c r="C818" s="47" t="n"/>
      <c r="D818" s="20" t="n"/>
      <c r="E818" s="20" t="n"/>
      <c r="F818" s="47" t="n"/>
      <c r="G818" s="47" t="n"/>
      <c r="H818" s="47" t="n"/>
      <c r="I818" s="47" t="n"/>
      <c r="J818" s="47" t="n"/>
      <c r="K818" s="47" t="n"/>
      <c r="L818" s="47" t="n"/>
    </row>
    <row r="819">
      <c r="A819" s="52">
        <f>row()-1</f>
        <v/>
      </c>
      <c r="B819" s="55" t="n"/>
      <c r="C819" s="47" t="n"/>
      <c r="D819" s="20" t="n"/>
      <c r="E819" s="20" t="n"/>
      <c r="F819" s="47" t="n"/>
      <c r="G819" s="47" t="n"/>
      <c r="H819" s="47" t="n"/>
      <c r="I819" s="47" t="n"/>
      <c r="J819" s="47" t="n"/>
      <c r="K819" s="47" t="n"/>
      <c r="L819" s="47" t="n"/>
    </row>
    <row r="820">
      <c r="A820" s="52">
        <f>row()-1</f>
        <v/>
      </c>
      <c r="B820" s="55" t="n"/>
      <c r="C820" s="47" t="n"/>
      <c r="D820" s="20" t="n"/>
      <c r="E820" s="20" t="n"/>
      <c r="F820" s="47" t="n"/>
      <c r="G820" s="47" t="n"/>
      <c r="H820" s="47" t="n"/>
      <c r="I820" s="47" t="n"/>
      <c r="J820" s="47" t="n"/>
      <c r="K820" s="47" t="n"/>
      <c r="L820" s="47" t="n"/>
    </row>
    <row r="821">
      <c r="A821" s="52">
        <f>row()-1</f>
        <v/>
      </c>
      <c r="B821" s="55" t="n"/>
      <c r="C821" s="47" t="n"/>
      <c r="D821" s="20" t="n"/>
      <c r="E821" s="20" t="n"/>
      <c r="F821" s="47" t="n"/>
      <c r="G821" s="47" t="n"/>
      <c r="H821" s="47" t="n"/>
      <c r="I821" s="47" t="n"/>
      <c r="J821" s="47" t="n"/>
      <c r="K821" s="47" t="n"/>
      <c r="L821" s="47" t="n"/>
    </row>
    <row r="822">
      <c r="A822" s="52">
        <f>row()-1</f>
        <v/>
      </c>
      <c r="B822" s="55" t="n"/>
      <c r="C822" s="47" t="n"/>
      <c r="D822" s="20" t="n"/>
      <c r="E822" s="20" t="n"/>
      <c r="F822" s="47" t="n"/>
      <c r="G822" s="47" t="n"/>
      <c r="H822" s="47" t="n"/>
      <c r="I822" s="47" t="n"/>
      <c r="J822" s="47" t="n"/>
      <c r="K822" s="47" t="n"/>
      <c r="L822" s="47" t="n"/>
    </row>
    <row r="823">
      <c r="A823" s="52">
        <f>row()-1</f>
        <v/>
      </c>
      <c r="B823" s="55" t="n"/>
      <c r="C823" s="47" t="n"/>
      <c r="D823" s="20" t="n"/>
      <c r="E823" s="20" t="n"/>
      <c r="F823" s="47" t="n"/>
      <c r="G823" s="47" t="n"/>
      <c r="H823" s="47" t="n"/>
      <c r="I823" s="47" t="n"/>
      <c r="J823" s="47" t="n"/>
      <c r="K823" s="47" t="n"/>
      <c r="L823" s="47" t="n"/>
    </row>
    <row r="824">
      <c r="A824" s="52">
        <f>row()-1</f>
        <v/>
      </c>
      <c r="B824" s="55" t="n"/>
      <c r="C824" s="47" t="n"/>
      <c r="D824" s="20" t="n"/>
      <c r="E824" s="20" t="n"/>
      <c r="F824" s="47" t="n"/>
      <c r="G824" s="47" t="n"/>
      <c r="H824" s="47" t="n"/>
      <c r="I824" s="47" t="n"/>
      <c r="J824" s="47" t="n"/>
      <c r="K824" s="47" t="n"/>
      <c r="L824" s="47" t="n"/>
    </row>
    <row r="825">
      <c r="A825" s="52">
        <f>row()-1</f>
        <v/>
      </c>
      <c r="B825" s="55" t="n"/>
      <c r="C825" s="47" t="n"/>
      <c r="D825" s="20" t="n"/>
      <c r="E825" s="20" t="n"/>
      <c r="F825" s="47" t="n"/>
      <c r="G825" s="47" t="n"/>
      <c r="H825" s="47" t="n"/>
      <c r="I825" s="47" t="n"/>
      <c r="J825" s="47" t="n"/>
      <c r="K825" s="47" t="n"/>
      <c r="L825" s="47" t="n"/>
    </row>
    <row r="826">
      <c r="A826" s="52">
        <f>row()-1</f>
        <v/>
      </c>
      <c r="B826" s="55" t="n"/>
      <c r="C826" s="47" t="n"/>
      <c r="D826" s="20" t="n"/>
      <c r="E826" s="20" t="n"/>
      <c r="F826" s="47" t="n"/>
      <c r="G826" s="47" t="n"/>
      <c r="H826" s="47" t="n"/>
      <c r="I826" s="47" t="n"/>
      <c r="J826" s="47" t="n"/>
      <c r="K826" s="47" t="n"/>
      <c r="L826" s="47" t="n"/>
    </row>
    <row r="827">
      <c r="A827" s="52">
        <f>row()-1</f>
        <v/>
      </c>
      <c r="B827" s="55" t="n"/>
      <c r="C827" s="47" t="n"/>
      <c r="D827" s="20" t="n"/>
      <c r="E827" s="20" t="n"/>
      <c r="F827" s="47" t="n"/>
      <c r="G827" s="47" t="n"/>
      <c r="H827" s="47" t="n"/>
      <c r="I827" s="47" t="n"/>
      <c r="J827" s="47" t="n"/>
      <c r="K827" s="47" t="n"/>
      <c r="L827" s="47" t="n"/>
    </row>
    <row r="828">
      <c r="A828" s="52">
        <f>row()-1</f>
        <v/>
      </c>
      <c r="B828" s="55" t="n"/>
      <c r="C828" s="47" t="n"/>
      <c r="D828" s="20" t="n"/>
      <c r="E828" s="20" t="n"/>
      <c r="F828" s="47" t="n"/>
      <c r="G828" s="47" t="n"/>
      <c r="H828" s="47" t="n"/>
      <c r="I828" s="47" t="n"/>
      <c r="J828" s="47" t="n"/>
      <c r="K828" s="47" t="n"/>
      <c r="L828" s="47" t="n"/>
    </row>
    <row r="829">
      <c r="A829" s="52">
        <f>row()-1</f>
        <v/>
      </c>
      <c r="B829" s="55" t="n"/>
      <c r="C829" s="47" t="n"/>
      <c r="D829" s="20" t="n"/>
      <c r="E829" s="20" t="n"/>
      <c r="F829" s="47" t="n"/>
      <c r="G829" s="47" t="n"/>
      <c r="H829" s="47" t="n"/>
      <c r="I829" s="47" t="n"/>
      <c r="J829" s="47" t="n"/>
      <c r="K829" s="47" t="n"/>
      <c r="L829" s="47" t="n"/>
    </row>
    <row r="830">
      <c r="A830" s="52">
        <f>row()-1</f>
        <v/>
      </c>
      <c r="B830" s="55" t="n"/>
      <c r="C830" s="47" t="n"/>
      <c r="D830" s="20" t="n"/>
      <c r="E830" s="20" t="n"/>
      <c r="F830" s="47" t="n"/>
      <c r="G830" s="47" t="n"/>
      <c r="H830" s="47" t="n"/>
      <c r="I830" s="47" t="n"/>
      <c r="J830" s="47" t="n"/>
      <c r="K830" s="47" t="n"/>
      <c r="L830" s="47" t="n"/>
    </row>
    <row r="831">
      <c r="A831" s="52">
        <f>row()-1</f>
        <v/>
      </c>
      <c r="B831" s="55" t="n"/>
      <c r="C831" s="47" t="n"/>
      <c r="D831" s="20" t="n"/>
      <c r="E831" s="20" t="n"/>
      <c r="F831" s="47" t="n"/>
      <c r="G831" s="47" t="n"/>
      <c r="H831" s="47" t="n"/>
      <c r="I831" s="47" t="n"/>
      <c r="J831" s="47" t="n"/>
      <c r="K831" s="47" t="n"/>
      <c r="L831" s="47" t="n"/>
    </row>
    <row r="832">
      <c r="A832" s="52">
        <f>row()-1</f>
        <v/>
      </c>
      <c r="B832" s="55" t="n"/>
      <c r="C832" s="47" t="n"/>
      <c r="D832" s="20" t="n"/>
      <c r="E832" s="20" t="n"/>
      <c r="F832" s="47" t="n"/>
      <c r="G832" s="47" t="n"/>
      <c r="H832" s="47" t="n"/>
      <c r="I832" s="47" t="n"/>
      <c r="J832" s="47" t="n"/>
      <c r="K832" s="47" t="n"/>
      <c r="L832" s="47" t="n"/>
    </row>
    <row r="833">
      <c r="A833" s="52">
        <f>row()-1</f>
        <v/>
      </c>
      <c r="B833" s="55" t="n"/>
      <c r="C833" s="47" t="n"/>
      <c r="D833" s="20" t="n"/>
      <c r="E833" s="20" t="n"/>
      <c r="F833" s="47" t="n"/>
      <c r="G833" s="47" t="n"/>
      <c r="H833" s="47" t="n"/>
      <c r="I833" s="47" t="n"/>
      <c r="J833" s="47" t="n"/>
      <c r="K833" s="47" t="n"/>
      <c r="L833" s="47" t="n"/>
    </row>
    <row r="834">
      <c r="A834" s="52">
        <f>row()-1</f>
        <v/>
      </c>
      <c r="B834" s="55" t="n"/>
      <c r="C834" s="47" t="n"/>
      <c r="D834" s="20" t="n"/>
      <c r="E834" s="20" t="n"/>
      <c r="F834" s="47" t="n"/>
      <c r="G834" s="47" t="n"/>
      <c r="H834" s="47" t="n"/>
      <c r="I834" s="47" t="n"/>
      <c r="J834" s="47" t="n"/>
      <c r="K834" s="47" t="n"/>
      <c r="L834" s="47" t="n"/>
    </row>
    <row r="835">
      <c r="A835" s="52">
        <f>row()-1</f>
        <v/>
      </c>
      <c r="B835" s="55" t="n"/>
      <c r="C835" s="47" t="n"/>
      <c r="D835" s="20" t="n"/>
      <c r="E835" s="20" t="n"/>
      <c r="F835" s="47" t="n"/>
      <c r="G835" s="47" t="n"/>
      <c r="H835" s="47" t="n"/>
      <c r="I835" s="47" t="n"/>
      <c r="J835" s="47" t="n"/>
      <c r="K835" s="47" t="n"/>
      <c r="L835" s="47" t="n"/>
    </row>
    <row r="836">
      <c r="A836" s="52">
        <f>row()-1</f>
        <v/>
      </c>
      <c r="B836" s="55" t="n"/>
      <c r="C836" s="47" t="n"/>
      <c r="D836" s="20" t="n"/>
      <c r="E836" s="20" t="n"/>
      <c r="F836" s="47" t="n"/>
      <c r="G836" s="47" t="n"/>
      <c r="H836" s="47" t="n"/>
      <c r="I836" s="47" t="n"/>
      <c r="J836" s="47" t="n"/>
      <c r="K836" s="47" t="n"/>
      <c r="L836" s="47" t="n"/>
    </row>
    <row r="837">
      <c r="A837" s="52">
        <f>row()-1</f>
        <v/>
      </c>
      <c r="B837" s="55" t="n"/>
      <c r="C837" s="47" t="n"/>
      <c r="D837" s="20" t="n"/>
      <c r="E837" s="20" t="n"/>
      <c r="F837" s="47" t="n"/>
      <c r="G837" s="47" t="n"/>
      <c r="H837" s="47" t="n"/>
      <c r="I837" s="47" t="n"/>
      <c r="J837" s="47" t="n"/>
      <c r="K837" s="47" t="n"/>
      <c r="L837" s="47" t="n"/>
    </row>
    <row r="838">
      <c r="A838" s="52">
        <f>row()-1</f>
        <v/>
      </c>
      <c r="B838" s="55" t="n"/>
      <c r="C838" s="47" t="n"/>
      <c r="D838" s="20" t="n"/>
      <c r="E838" s="20" t="n"/>
      <c r="F838" s="47" t="n"/>
      <c r="G838" s="47" t="n"/>
      <c r="H838" s="47" t="n"/>
      <c r="I838" s="47" t="n"/>
      <c r="J838" s="47" t="n"/>
      <c r="K838" s="47" t="n"/>
      <c r="L838" s="47" t="n"/>
    </row>
    <row r="839">
      <c r="A839" s="52">
        <f>row()-1</f>
        <v/>
      </c>
      <c r="B839" s="55" t="n"/>
      <c r="C839" s="47" t="n"/>
      <c r="D839" s="20" t="n"/>
      <c r="E839" s="20" t="n"/>
      <c r="F839" s="47" t="n"/>
      <c r="G839" s="47" t="n"/>
      <c r="H839" s="47" t="n"/>
      <c r="I839" s="47" t="n"/>
      <c r="J839" s="47" t="n"/>
      <c r="K839" s="47" t="n"/>
      <c r="L839" s="47" t="n"/>
    </row>
    <row r="840">
      <c r="A840" s="52">
        <f>row()-1</f>
        <v/>
      </c>
      <c r="B840" s="55" t="n"/>
      <c r="C840" s="47" t="n"/>
      <c r="D840" s="20" t="n"/>
      <c r="E840" s="20" t="n"/>
      <c r="F840" s="47" t="n"/>
      <c r="G840" s="47" t="n"/>
      <c r="H840" s="47" t="n"/>
      <c r="I840" s="47" t="n"/>
      <c r="J840" s="47" t="n"/>
      <c r="K840" s="47" t="n"/>
      <c r="L840" s="47" t="n"/>
    </row>
    <row r="841">
      <c r="A841" s="52">
        <f>row()-1</f>
        <v/>
      </c>
      <c r="B841" s="55" t="n"/>
      <c r="C841" s="47" t="n"/>
      <c r="D841" s="20" t="n"/>
      <c r="E841" s="20" t="n"/>
      <c r="F841" s="47" t="n"/>
      <c r="G841" s="47" t="n"/>
      <c r="H841" s="47" t="n"/>
      <c r="I841" s="47" t="n"/>
      <c r="J841" s="47" t="n"/>
      <c r="K841" s="47" t="n"/>
      <c r="L841" s="47" t="n"/>
    </row>
    <row r="842">
      <c r="A842" s="52">
        <f>row()-1</f>
        <v/>
      </c>
      <c r="B842" s="55" t="n"/>
      <c r="C842" s="47" t="n"/>
      <c r="D842" s="20" t="n"/>
      <c r="E842" s="20" t="n"/>
      <c r="F842" s="47" t="n"/>
      <c r="G842" s="47" t="n"/>
      <c r="H842" s="47" t="n"/>
      <c r="I842" s="47" t="n"/>
      <c r="J842" s="47" t="n"/>
      <c r="K842" s="47" t="n"/>
      <c r="L842" s="47" t="n"/>
    </row>
    <row r="843">
      <c r="A843" s="52">
        <f>row()-1</f>
        <v/>
      </c>
      <c r="B843" s="55" t="n"/>
      <c r="C843" s="47" t="n"/>
      <c r="D843" s="20" t="n"/>
      <c r="E843" s="20" t="n"/>
      <c r="F843" s="47" t="n"/>
      <c r="G843" s="47" t="n"/>
      <c r="H843" s="47" t="n"/>
      <c r="I843" s="47" t="n"/>
      <c r="J843" s="47" t="n"/>
      <c r="K843" s="47" t="n"/>
      <c r="L843" s="47" t="n"/>
    </row>
    <row r="844">
      <c r="A844" s="52">
        <f>row()-1</f>
        <v/>
      </c>
      <c r="B844" s="55" t="n"/>
      <c r="C844" s="47" t="n"/>
      <c r="D844" s="20" t="n"/>
      <c r="E844" s="20" t="n"/>
      <c r="F844" s="47" t="n"/>
      <c r="G844" s="47" t="n"/>
      <c r="H844" s="47" t="n"/>
      <c r="I844" s="47" t="n"/>
      <c r="J844" s="47" t="n"/>
      <c r="K844" s="47" t="n"/>
      <c r="L844" s="47" t="n"/>
    </row>
    <row r="845">
      <c r="A845" s="52">
        <f>row()-1</f>
        <v/>
      </c>
      <c r="B845" s="55" t="n"/>
      <c r="C845" s="47" t="n"/>
      <c r="D845" s="20" t="n"/>
      <c r="E845" s="20" t="n"/>
      <c r="F845" s="47" t="n"/>
      <c r="G845" s="47" t="n"/>
      <c r="H845" s="47" t="n"/>
      <c r="I845" s="47" t="n"/>
      <c r="J845" s="47" t="n"/>
      <c r="K845" s="47" t="n"/>
      <c r="L845" s="47" t="n"/>
    </row>
    <row r="846">
      <c r="A846" s="52">
        <f>row()-1</f>
        <v/>
      </c>
      <c r="B846" s="55" t="n"/>
      <c r="C846" s="47" t="n"/>
      <c r="D846" s="20" t="n"/>
      <c r="E846" s="20" t="n"/>
      <c r="F846" s="47" t="n"/>
      <c r="G846" s="47" t="n"/>
      <c r="H846" s="47" t="n"/>
      <c r="I846" s="47" t="n"/>
      <c r="J846" s="47" t="n"/>
      <c r="K846" s="47" t="n"/>
      <c r="L846" s="47" t="n"/>
    </row>
    <row r="847">
      <c r="A847" s="52">
        <f>row()-1</f>
        <v/>
      </c>
      <c r="B847" s="55" t="n"/>
      <c r="C847" s="47" t="n"/>
      <c r="D847" s="20" t="n"/>
      <c r="E847" s="20" t="n"/>
      <c r="F847" s="47" t="n"/>
      <c r="G847" s="47" t="n"/>
      <c r="H847" s="47" t="n"/>
      <c r="I847" s="47" t="n"/>
      <c r="J847" s="47" t="n"/>
      <c r="K847" s="47" t="n"/>
      <c r="L847" s="47" t="n"/>
    </row>
    <row r="848">
      <c r="A848" s="52">
        <f>row()-1</f>
        <v/>
      </c>
      <c r="B848" s="55" t="n"/>
      <c r="C848" s="47" t="n"/>
      <c r="D848" s="20" t="n"/>
      <c r="E848" s="20" t="n"/>
      <c r="F848" s="47" t="n"/>
      <c r="G848" s="47" t="n"/>
      <c r="H848" s="47" t="n"/>
      <c r="I848" s="47" t="n"/>
      <c r="J848" s="47" t="n"/>
      <c r="K848" s="47" t="n"/>
      <c r="L848" s="47" t="n"/>
    </row>
    <row r="849">
      <c r="A849" s="52">
        <f>row()-1</f>
        <v/>
      </c>
      <c r="B849" s="55" t="n"/>
      <c r="C849" s="47" t="n"/>
      <c r="D849" s="20" t="n"/>
      <c r="E849" s="20" t="n"/>
      <c r="F849" s="47" t="n"/>
      <c r="G849" s="47" t="n"/>
      <c r="H849" s="47" t="n"/>
      <c r="I849" s="47" t="n"/>
      <c r="J849" s="47" t="n"/>
      <c r="K849" s="47" t="n"/>
      <c r="L849" s="47" t="n"/>
    </row>
    <row r="850">
      <c r="A850" s="52">
        <f>row()-1</f>
        <v/>
      </c>
      <c r="B850" s="55" t="n"/>
      <c r="C850" s="47" t="n"/>
      <c r="D850" s="20" t="n"/>
      <c r="E850" s="20" t="n"/>
      <c r="F850" s="47" t="n"/>
      <c r="G850" s="47" t="n"/>
      <c r="H850" s="47" t="n"/>
      <c r="I850" s="47" t="n"/>
      <c r="J850" s="47" t="n"/>
      <c r="K850" s="47" t="n"/>
      <c r="L850" s="47" t="n"/>
    </row>
    <row r="851">
      <c r="A851" s="52">
        <f>row()-1</f>
        <v/>
      </c>
      <c r="B851" s="55" t="n"/>
      <c r="C851" s="47" t="n"/>
      <c r="D851" s="20" t="n"/>
      <c r="E851" s="20" t="n"/>
      <c r="F851" s="47" t="n"/>
      <c r="G851" s="47" t="n"/>
      <c r="H851" s="47" t="n"/>
      <c r="I851" s="47" t="n"/>
      <c r="J851" s="47" t="n"/>
      <c r="K851" s="47" t="n"/>
      <c r="L851" s="47" t="n"/>
    </row>
    <row r="852">
      <c r="A852" s="52">
        <f>row()-1</f>
        <v/>
      </c>
      <c r="B852" s="55" t="n"/>
      <c r="C852" s="47" t="n"/>
      <c r="D852" s="20" t="n"/>
      <c r="E852" s="20" t="n"/>
      <c r="F852" s="47" t="n"/>
      <c r="G852" s="47" t="n"/>
      <c r="H852" s="47" t="n"/>
      <c r="I852" s="47" t="n"/>
      <c r="J852" s="47" t="n"/>
      <c r="K852" s="47" t="n"/>
      <c r="L852" s="47" t="n"/>
    </row>
    <row r="853">
      <c r="A853" s="52">
        <f>row()-1</f>
        <v/>
      </c>
      <c r="B853" s="55" t="n"/>
      <c r="C853" s="47" t="n"/>
      <c r="D853" s="20" t="n"/>
      <c r="E853" s="20" t="n"/>
      <c r="F853" s="47" t="n"/>
      <c r="G853" s="47" t="n"/>
      <c r="H853" s="47" t="n"/>
      <c r="I853" s="47" t="n"/>
      <c r="J853" s="47" t="n"/>
      <c r="K853" s="47" t="n"/>
      <c r="L853" s="47" t="n"/>
    </row>
    <row r="854">
      <c r="A854" s="52">
        <f>row()-1</f>
        <v/>
      </c>
      <c r="B854" s="55" t="n"/>
      <c r="C854" s="47" t="n"/>
      <c r="D854" s="20" t="n"/>
      <c r="E854" s="20" t="n"/>
      <c r="F854" s="47" t="n"/>
      <c r="G854" s="47" t="n"/>
      <c r="H854" s="47" t="n"/>
      <c r="I854" s="47" t="n"/>
      <c r="J854" s="47" t="n"/>
      <c r="K854" s="47" t="n"/>
      <c r="L854" s="47" t="n"/>
    </row>
    <row r="855">
      <c r="A855" s="52">
        <f>row()-1</f>
        <v/>
      </c>
      <c r="B855" s="55" t="n"/>
      <c r="C855" s="47" t="n"/>
      <c r="D855" s="20" t="n"/>
      <c r="E855" s="20" t="n"/>
      <c r="F855" s="47" t="n"/>
      <c r="G855" s="47" t="n"/>
      <c r="H855" s="47" t="n"/>
      <c r="I855" s="47" t="n"/>
      <c r="J855" s="47" t="n"/>
      <c r="K855" s="47" t="n"/>
      <c r="L855" s="47" t="n"/>
    </row>
    <row r="856">
      <c r="A856" s="52">
        <f>row()-1</f>
        <v/>
      </c>
      <c r="B856" s="55" t="n"/>
      <c r="C856" s="47" t="n"/>
      <c r="D856" s="20" t="n"/>
      <c r="E856" s="20" t="n"/>
      <c r="F856" s="47" t="n"/>
      <c r="G856" s="47" t="n"/>
      <c r="H856" s="47" t="n"/>
      <c r="I856" s="47" t="n"/>
      <c r="J856" s="47" t="n"/>
      <c r="K856" s="47" t="n"/>
      <c r="L856" s="47" t="n"/>
    </row>
    <row r="857">
      <c r="A857" s="52">
        <f>row()-1</f>
        <v/>
      </c>
      <c r="B857" s="55" t="n"/>
      <c r="C857" s="47" t="n"/>
      <c r="D857" s="20" t="n"/>
      <c r="E857" s="20" t="n"/>
      <c r="F857" s="47" t="n"/>
      <c r="G857" s="47" t="n"/>
      <c r="H857" s="47" t="n"/>
      <c r="I857" s="47" t="n"/>
      <c r="J857" s="47" t="n"/>
      <c r="K857" s="47" t="n"/>
      <c r="L857" s="47" t="n"/>
    </row>
    <row r="858">
      <c r="A858" s="52">
        <f>row()-1</f>
        <v/>
      </c>
      <c r="B858" s="55" t="n"/>
      <c r="C858" s="47" t="n"/>
      <c r="D858" s="20" t="n"/>
      <c r="E858" s="20" t="n"/>
      <c r="F858" s="47" t="n"/>
      <c r="G858" s="47" t="n"/>
      <c r="H858" s="47" t="n"/>
      <c r="I858" s="47" t="n"/>
      <c r="J858" s="47" t="n"/>
      <c r="K858" s="47" t="n"/>
      <c r="L858" s="47" t="n"/>
    </row>
    <row r="859">
      <c r="A859" s="52">
        <f>row()-1</f>
        <v/>
      </c>
      <c r="B859" s="55" t="n"/>
      <c r="C859" s="47" t="n"/>
      <c r="D859" s="20" t="n"/>
      <c r="E859" s="20" t="n"/>
      <c r="F859" s="47" t="n"/>
      <c r="G859" s="47" t="n"/>
      <c r="H859" s="47" t="n"/>
      <c r="I859" s="47" t="n"/>
      <c r="J859" s="47" t="n"/>
      <c r="K859" s="47" t="n"/>
      <c r="L859" s="47" t="n"/>
    </row>
    <row r="860">
      <c r="A860" s="52">
        <f>row()-1</f>
        <v/>
      </c>
      <c r="B860" s="55" t="n"/>
      <c r="C860" s="47" t="n"/>
      <c r="D860" s="20" t="n"/>
      <c r="E860" s="20" t="n"/>
      <c r="F860" s="47" t="n"/>
      <c r="G860" s="47" t="n"/>
      <c r="H860" s="47" t="n"/>
      <c r="I860" s="47" t="n"/>
      <c r="J860" s="47" t="n"/>
      <c r="K860" s="47" t="n"/>
      <c r="L860" s="47" t="n"/>
    </row>
    <row r="861">
      <c r="A861" s="52">
        <f>row()-1</f>
        <v/>
      </c>
      <c r="B861" s="55" t="n"/>
      <c r="C861" s="47" t="n"/>
      <c r="D861" s="20" t="n"/>
      <c r="E861" s="20" t="n"/>
      <c r="F861" s="47" t="n"/>
      <c r="G861" s="47" t="n"/>
      <c r="H861" s="47" t="n"/>
      <c r="I861" s="47" t="n"/>
      <c r="J861" s="47" t="n"/>
      <c r="K861" s="47" t="n"/>
      <c r="L861" s="47" t="n"/>
    </row>
    <row r="862">
      <c r="A862" s="52">
        <f>row()-1</f>
        <v/>
      </c>
      <c r="B862" s="55" t="n"/>
      <c r="C862" s="47" t="n"/>
      <c r="D862" s="20" t="n"/>
      <c r="E862" s="20" t="n"/>
      <c r="F862" s="47" t="n"/>
      <c r="G862" s="47" t="n"/>
      <c r="H862" s="47" t="n"/>
      <c r="I862" s="47" t="n"/>
      <c r="J862" s="47" t="n"/>
      <c r="K862" s="47" t="n"/>
      <c r="L862" s="47" t="n"/>
    </row>
    <row r="863">
      <c r="A863" s="52">
        <f>row()-1</f>
        <v/>
      </c>
      <c r="B863" s="55" t="n"/>
      <c r="C863" s="47" t="n"/>
      <c r="D863" s="20" t="n"/>
      <c r="E863" s="20" t="n"/>
      <c r="F863" s="47" t="n"/>
      <c r="G863" s="47" t="n"/>
      <c r="H863" s="47" t="n"/>
      <c r="I863" s="47" t="n"/>
      <c r="J863" s="47" t="n"/>
      <c r="K863" s="47" t="n"/>
      <c r="L863" s="47" t="n"/>
    </row>
    <row r="864">
      <c r="A864" s="52">
        <f>row()-1</f>
        <v/>
      </c>
      <c r="B864" s="55" t="n"/>
      <c r="C864" s="47" t="n"/>
      <c r="D864" s="20" t="n"/>
      <c r="E864" s="20" t="n"/>
      <c r="F864" s="47" t="n"/>
      <c r="G864" s="47" t="n"/>
      <c r="H864" s="47" t="n"/>
      <c r="I864" s="47" t="n"/>
      <c r="J864" s="47" t="n"/>
      <c r="K864" s="47" t="n"/>
      <c r="L864" s="47" t="n"/>
    </row>
    <row r="865">
      <c r="A865" s="52">
        <f>row()-1</f>
        <v/>
      </c>
      <c r="B865" s="55" t="n"/>
      <c r="C865" s="47" t="n"/>
      <c r="D865" s="20" t="n"/>
      <c r="E865" s="20" t="n"/>
      <c r="F865" s="47" t="n"/>
      <c r="G865" s="47" t="n"/>
      <c r="H865" s="47" t="n"/>
      <c r="I865" s="47" t="n"/>
      <c r="J865" s="47" t="n"/>
      <c r="K865" s="47" t="n"/>
      <c r="L865" s="47" t="n"/>
    </row>
    <row r="866">
      <c r="A866" s="52">
        <f>row()-1</f>
        <v/>
      </c>
      <c r="B866" s="55" t="n"/>
      <c r="C866" s="47" t="n"/>
      <c r="D866" s="20" t="n"/>
      <c r="E866" s="20" t="n"/>
      <c r="F866" s="47" t="n"/>
      <c r="G866" s="47" t="n"/>
      <c r="H866" s="47" t="n"/>
      <c r="I866" s="47" t="n"/>
      <c r="J866" s="47" t="n"/>
      <c r="K866" s="47" t="n"/>
      <c r="L866" s="47" t="n"/>
    </row>
    <row r="867">
      <c r="A867" s="52">
        <f>row()-1</f>
        <v/>
      </c>
      <c r="B867" s="55" t="n"/>
      <c r="C867" s="47" t="n"/>
      <c r="D867" s="20" t="n"/>
      <c r="E867" s="20" t="n"/>
      <c r="F867" s="47" t="n"/>
      <c r="G867" s="47" t="n"/>
      <c r="H867" s="47" t="n"/>
      <c r="I867" s="47" t="n"/>
      <c r="J867" s="47" t="n"/>
      <c r="K867" s="47" t="n"/>
      <c r="L867" s="47" t="n"/>
    </row>
    <row r="868">
      <c r="A868" s="52">
        <f>row()-1</f>
        <v/>
      </c>
      <c r="B868" s="55" t="n"/>
      <c r="C868" s="47" t="n"/>
      <c r="D868" s="20" t="n"/>
      <c r="E868" s="20" t="n"/>
      <c r="F868" s="47" t="n"/>
      <c r="G868" s="47" t="n"/>
      <c r="H868" s="47" t="n"/>
      <c r="I868" s="47" t="n"/>
      <c r="J868" s="47" t="n"/>
      <c r="K868" s="47" t="n"/>
      <c r="L868" s="47" t="n"/>
    </row>
    <row r="869">
      <c r="A869" s="52">
        <f>row()-1</f>
        <v/>
      </c>
      <c r="B869" s="55" t="n"/>
      <c r="C869" s="47" t="n"/>
      <c r="D869" s="20" t="n"/>
      <c r="E869" s="20" t="n"/>
      <c r="F869" s="47" t="n"/>
      <c r="G869" s="47" t="n"/>
      <c r="H869" s="47" t="n"/>
      <c r="I869" s="47" t="n"/>
      <c r="J869" s="47" t="n"/>
      <c r="K869" s="47" t="n"/>
      <c r="L869" s="47" t="n"/>
    </row>
    <row r="870">
      <c r="A870" s="52">
        <f>row()-1</f>
        <v/>
      </c>
      <c r="B870" s="55" t="n"/>
      <c r="C870" s="47" t="n"/>
      <c r="D870" s="20" t="n"/>
      <c r="E870" s="20" t="n"/>
      <c r="F870" s="47" t="n"/>
      <c r="G870" s="47" t="n"/>
      <c r="H870" s="47" t="n"/>
      <c r="I870" s="47" t="n"/>
      <c r="J870" s="47" t="n"/>
      <c r="K870" s="47" t="n"/>
      <c r="L870" s="47" t="n"/>
    </row>
    <row r="871">
      <c r="A871" s="52">
        <f>row()-1</f>
        <v/>
      </c>
      <c r="B871" s="55" t="n"/>
      <c r="C871" s="47" t="n"/>
      <c r="D871" s="20" t="n"/>
      <c r="E871" s="20" t="n"/>
      <c r="F871" s="47" t="n"/>
      <c r="G871" s="47" t="n"/>
      <c r="H871" s="47" t="n"/>
      <c r="I871" s="47" t="n"/>
      <c r="J871" s="47" t="n"/>
      <c r="K871" s="47" t="n"/>
      <c r="L871" s="47" t="n"/>
    </row>
    <row r="872">
      <c r="A872" s="52">
        <f>row()-1</f>
        <v/>
      </c>
      <c r="B872" s="55" t="n"/>
      <c r="C872" s="47" t="n"/>
      <c r="D872" s="20" t="n"/>
      <c r="E872" s="20" t="n"/>
      <c r="F872" s="47" t="n"/>
      <c r="G872" s="47" t="n"/>
      <c r="H872" s="47" t="n"/>
      <c r="I872" s="47" t="n"/>
      <c r="J872" s="47" t="n"/>
      <c r="K872" s="47" t="n"/>
      <c r="L872" s="47" t="n"/>
    </row>
    <row r="873">
      <c r="A873" s="52">
        <f>row()-1</f>
        <v/>
      </c>
      <c r="B873" s="55" t="n"/>
      <c r="C873" s="47" t="n"/>
      <c r="D873" s="20" t="n"/>
      <c r="E873" s="20" t="n"/>
      <c r="F873" s="47" t="n"/>
      <c r="G873" s="47" t="n"/>
      <c r="H873" s="47" t="n"/>
      <c r="I873" s="47" t="n"/>
      <c r="J873" s="47" t="n"/>
      <c r="K873" s="47" t="n"/>
      <c r="L873" s="47" t="n"/>
    </row>
    <row r="874">
      <c r="A874" s="52">
        <f>row()-1</f>
        <v/>
      </c>
      <c r="B874" s="55" t="n"/>
      <c r="C874" s="47" t="n"/>
      <c r="D874" s="20" t="n"/>
      <c r="E874" s="20" t="n"/>
      <c r="F874" s="47" t="n"/>
      <c r="G874" s="47" t="n"/>
      <c r="H874" s="47" t="n"/>
      <c r="I874" s="47" t="n"/>
      <c r="J874" s="47" t="n"/>
      <c r="K874" s="47" t="n"/>
      <c r="L874" s="47" t="n"/>
    </row>
    <row r="875">
      <c r="A875" s="52">
        <f>row()-1</f>
        <v/>
      </c>
      <c r="B875" s="55" t="n"/>
      <c r="C875" s="47" t="n"/>
      <c r="D875" s="20" t="n"/>
      <c r="E875" s="20" t="n"/>
      <c r="F875" s="47" t="n"/>
      <c r="G875" s="47" t="n"/>
      <c r="H875" s="47" t="n"/>
      <c r="I875" s="47" t="n"/>
      <c r="J875" s="47" t="n"/>
      <c r="K875" s="47" t="n"/>
      <c r="L875" s="47" t="n"/>
    </row>
    <row r="876">
      <c r="A876" s="52">
        <f>row()-1</f>
        <v/>
      </c>
      <c r="B876" s="55" t="n"/>
      <c r="C876" s="47" t="n"/>
      <c r="D876" s="20" t="n"/>
      <c r="E876" s="20" t="n"/>
      <c r="F876" s="47" t="n"/>
      <c r="G876" s="47" t="n"/>
      <c r="H876" s="47" t="n"/>
      <c r="I876" s="47" t="n"/>
      <c r="J876" s="47" t="n"/>
      <c r="K876" s="47" t="n"/>
      <c r="L876" s="47" t="n"/>
    </row>
    <row r="877">
      <c r="A877" s="52">
        <f>row()-1</f>
        <v/>
      </c>
      <c r="B877" s="55" t="n"/>
      <c r="C877" s="47" t="n"/>
      <c r="D877" s="20" t="n"/>
      <c r="E877" s="20" t="n"/>
      <c r="F877" s="47" t="n"/>
      <c r="G877" s="47" t="n"/>
      <c r="H877" s="47" t="n"/>
      <c r="I877" s="47" t="n"/>
      <c r="J877" s="47" t="n"/>
      <c r="K877" s="47" t="n"/>
      <c r="L877" s="47" t="n"/>
    </row>
    <row r="878">
      <c r="A878" s="52">
        <f>row()-1</f>
        <v/>
      </c>
      <c r="B878" s="55" t="n"/>
      <c r="C878" s="47" t="n"/>
      <c r="D878" s="20" t="n"/>
      <c r="E878" s="20" t="n"/>
      <c r="F878" s="47" t="n"/>
      <c r="G878" s="47" t="n"/>
      <c r="H878" s="47" t="n"/>
      <c r="I878" s="47" t="n"/>
      <c r="J878" s="47" t="n"/>
      <c r="K878" s="47" t="n"/>
      <c r="L878" s="47" t="n"/>
    </row>
    <row r="879">
      <c r="A879" s="52">
        <f>row()-1</f>
        <v/>
      </c>
      <c r="B879" s="55" t="n"/>
      <c r="C879" s="47" t="n"/>
      <c r="D879" s="20" t="n"/>
      <c r="E879" s="20" t="n"/>
      <c r="F879" s="47" t="n"/>
      <c r="G879" s="47" t="n"/>
      <c r="H879" s="47" t="n"/>
      <c r="I879" s="47" t="n"/>
      <c r="J879" s="47" t="n"/>
      <c r="K879" s="47" t="n"/>
      <c r="L879" s="47" t="n"/>
    </row>
    <row r="880">
      <c r="A880" s="52">
        <f>row()-1</f>
        <v/>
      </c>
      <c r="B880" s="55" t="n"/>
      <c r="C880" s="47" t="n"/>
      <c r="D880" s="20" t="n"/>
      <c r="E880" s="20" t="n"/>
      <c r="F880" s="47" t="n"/>
      <c r="G880" s="47" t="n"/>
      <c r="H880" s="47" t="n"/>
      <c r="I880" s="47" t="n"/>
      <c r="J880" s="47" t="n"/>
      <c r="K880" s="47" t="n"/>
      <c r="L880" s="47" t="n"/>
    </row>
    <row r="881">
      <c r="A881" s="52">
        <f>row()-1</f>
        <v/>
      </c>
      <c r="B881" s="55" t="n"/>
      <c r="C881" s="47" t="n"/>
      <c r="D881" s="20" t="n"/>
      <c r="E881" s="20" t="n"/>
      <c r="F881" s="47" t="n"/>
      <c r="G881" s="47" t="n"/>
      <c r="H881" s="47" t="n"/>
      <c r="I881" s="47" t="n"/>
      <c r="J881" s="47" t="n"/>
      <c r="K881" s="47" t="n"/>
      <c r="L881" s="47" t="n"/>
    </row>
    <row r="882">
      <c r="A882" s="52">
        <f>row()-1</f>
        <v/>
      </c>
      <c r="B882" s="55" t="n"/>
      <c r="C882" s="47" t="n"/>
      <c r="D882" s="20" t="n"/>
      <c r="E882" s="20" t="n"/>
      <c r="F882" s="47" t="n"/>
      <c r="G882" s="47" t="n"/>
      <c r="H882" s="47" t="n"/>
      <c r="I882" s="47" t="n"/>
      <c r="J882" s="47" t="n"/>
      <c r="K882" s="47" t="n"/>
      <c r="L882" s="47" t="n"/>
    </row>
    <row r="883">
      <c r="A883" s="52">
        <f>row()-1</f>
        <v/>
      </c>
      <c r="B883" s="55" t="n"/>
      <c r="C883" s="47" t="n"/>
      <c r="D883" s="20" t="n"/>
      <c r="E883" s="20" t="n"/>
      <c r="F883" s="47" t="n"/>
      <c r="G883" s="47" t="n"/>
      <c r="H883" s="47" t="n"/>
      <c r="I883" s="47" t="n"/>
      <c r="J883" s="47" t="n"/>
      <c r="K883" s="47" t="n"/>
      <c r="L883" s="47" t="n"/>
    </row>
    <row r="884">
      <c r="A884" s="52">
        <f>row()-1</f>
        <v/>
      </c>
      <c r="B884" s="55" t="n"/>
      <c r="C884" s="47" t="n"/>
      <c r="D884" s="20" t="n"/>
      <c r="E884" s="20" t="n"/>
      <c r="F884" s="47" t="n"/>
      <c r="G884" s="47" t="n"/>
      <c r="H884" s="47" t="n"/>
      <c r="I884" s="47" t="n"/>
      <c r="J884" s="47" t="n"/>
      <c r="K884" s="47" t="n"/>
      <c r="L884" s="47" t="n"/>
    </row>
    <row r="885">
      <c r="A885" s="52">
        <f>row()-1</f>
        <v/>
      </c>
      <c r="B885" s="55" t="n"/>
      <c r="C885" s="47" t="n"/>
      <c r="D885" s="20" t="n"/>
      <c r="E885" s="20" t="n"/>
      <c r="F885" s="47" t="n"/>
      <c r="G885" s="47" t="n"/>
      <c r="H885" s="47" t="n"/>
      <c r="I885" s="47" t="n"/>
      <c r="J885" s="47" t="n"/>
      <c r="K885" s="47" t="n"/>
      <c r="L885" s="47" t="n"/>
    </row>
    <row r="886">
      <c r="A886" s="52">
        <f>row()-1</f>
        <v/>
      </c>
      <c r="B886" s="55" t="n"/>
      <c r="C886" s="47" t="n"/>
      <c r="D886" s="20" t="n"/>
      <c r="E886" s="20" t="n"/>
      <c r="F886" s="47" t="n"/>
      <c r="G886" s="47" t="n"/>
      <c r="H886" s="47" t="n"/>
      <c r="I886" s="47" t="n"/>
      <c r="J886" s="47" t="n"/>
      <c r="K886" s="47" t="n"/>
      <c r="L886" s="47" t="n"/>
    </row>
    <row r="887">
      <c r="A887" s="52">
        <f>row()-1</f>
        <v/>
      </c>
      <c r="B887" s="55" t="n"/>
      <c r="C887" s="47" t="n"/>
      <c r="D887" s="20" t="n"/>
      <c r="E887" s="20" t="n"/>
      <c r="F887" s="47" t="n"/>
      <c r="G887" s="47" t="n"/>
      <c r="H887" s="47" t="n"/>
      <c r="I887" s="47" t="n"/>
      <c r="J887" s="47" t="n"/>
      <c r="K887" s="47" t="n"/>
      <c r="L887" s="47" t="n"/>
    </row>
    <row r="888">
      <c r="A888" s="52">
        <f>row()-1</f>
        <v/>
      </c>
      <c r="B888" s="55" t="n"/>
      <c r="C888" s="47" t="n"/>
      <c r="D888" s="20" t="n"/>
      <c r="E888" s="20" t="n"/>
      <c r="F888" s="47" t="n"/>
      <c r="G888" s="47" t="n"/>
      <c r="H888" s="47" t="n"/>
      <c r="I888" s="47" t="n"/>
      <c r="J888" s="47" t="n"/>
      <c r="K888" s="47" t="n"/>
      <c r="L888" s="47" t="n"/>
    </row>
    <row r="889">
      <c r="A889" s="52">
        <f>row()-1</f>
        <v/>
      </c>
      <c r="B889" s="55" t="n"/>
      <c r="C889" s="47" t="n"/>
      <c r="D889" s="20" t="n"/>
      <c r="E889" s="20" t="n"/>
      <c r="F889" s="47" t="n"/>
      <c r="G889" s="47" t="n"/>
      <c r="H889" s="47" t="n"/>
      <c r="I889" s="47" t="n"/>
      <c r="J889" s="47" t="n"/>
      <c r="K889" s="47" t="n"/>
      <c r="L889" s="47" t="n"/>
    </row>
    <row r="890">
      <c r="A890" s="52">
        <f>row()-1</f>
        <v/>
      </c>
      <c r="B890" s="55" t="n"/>
      <c r="C890" s="47" t="n"/>
      <c r="D890" s="20" t="n"/>
      <c r="E890" s="20" t="n"/>
      <c r="F890" s="47" t="n"/>
      <c r="G890" s="47" t="n"/>
      <c r="H890" s="47" t="n"/>
      <c r="I890" s="47" t="n"/>
      <c r="J890" s="47" t="n"/>
      <c r="K890" s="47" t="n"/>
      <c r="L890" s="47" t="n"/>
    </row>
    <row r="891">
      <c r="A891" s="52">
        <f>row()-1</f>
        <v/>
      </c>
      <c r="B891" s="55" t="n"/>
      <c r="C891" s="47" t="n"/>
      <c r="D891" s="20" t="n"/>
      <c r="E891" s="20" t="n"/>
      <c r="F891" s="47" t="n"/>
      <c r="G891" s="47" t="n"/>
      <c r="H891" s="47" t="n"/>
      <c r="I891" s="47" t="n"/>
      <c r="J891" s="47" t="n"/>
      <c r="K891" s="47" t="n"/>
      <c r="L891" s="47" t="n"/>
    </row>
    <row r="892">
      <c r="A892" s="52">
        <f>row()-1</f>
        <v/>
      </c>
      <c r="B892" s="55" t="n"/>
      <c r="C892" s="47" t="n"/>
      <c r="D892" s="20" t="n"/>
      <c r="E892" s="20" t="n"/>
      <c r="F892" s="47" t="n"/>
      <c r="G892" s="47" t="n"/>
      <c r="H892" s="47" t="n"/>
      <c r="I892" s="47" t="n"/>
      <c r="J892" s="47" t="n"/>
      <c r="K892" s="47" t="n"/>
      <c r="L892" s="47" t="n"/>
    </row>
    <row r="893">
      <c r="A893" s="52">
        <f>row()-1</f>
        <v/>
      </c>
      <c r="B893" s="55" t="n"/>
      <c r="C893" s="47" t="n"/>
      <c r="D893" s="20" t="n"/>
      <c r="E893" s="20" t="n"/>
      <c r="F893" s="47" t="n"/>
      <c r="G893" s="47" t="n"/>
      <c r="H893" s="47" t="n"/>
      <c r="I893" s="47" t="n"/>
      <c r="J893" s="47" t="n"/>
      <c r="K893" s="47" t="n"/>
      <c r="L893" s="47" t="n"/>
    </row>
    <row r="894">
      <c r="A894" s="52">
        <f>row()-1</f>
        <v/>
      </c>
      <c r="B894" s="55" t="n"/>
      <c r="C894" s="47" t="n"/>
      <c r="D894" s="20" t="n"/>
      <c r="E894" s="20" t="n"/>
      <c r="F894" s="47" t="n"/>
      <c r="G894" s="47" t="n"/>
      <c r="H894" s="47" t="n"/>
      <c r="I894" s="47" t="n"/>
      <c r="J894" s="47" t="n"/>
      <c r="K894" s="47" t="n"/>
      <c r="L894" s="47" t="n"/>
    </row>
    <row r="895">
      <c r="A895" s="52">
        <f>row()-1</f>
        <v/>
      </c>
      <c r="B895" s="55" t="n"/>
      <c r="C895" s="47" t="n"/>
      <c r="D895" s="20" t="n"/>
      <c r="E895" s="20" t="n"/>
      <c r="F895" s="47" t="n"/>
      <c r="G895" s="47" t="n"/>
      <c r="H895" s="47" t="n"/>
      <c r="I895" s="47" t="n"/>
      <c r="J895" s="47" t="n"/>
      <c r="K895" s="47" t="n"/>
      <c r="L895" s="47" t="n"/>
    </row>
    <row r="896">
      <c r="A896" s="52">
        <f>row()-1</f>
        <v/>
      </c>
      <c r="B896" s="55" t="n"/>
      <c r="C896" s="47" t="n"/>
      <c r="D896" s="20" t="n"/>
      <c r="E896" s="20" t="n"/>
      <c r="F896" s="47" t="n"/>
      <c r="G896" s="47" t="n"/>
      <c r="H896" s="47" t="n"/>
      <c r="I896" s="47" t="n"/>
      <c r="J896" s="47" t="n"/>
      <c r="K896" s="47" t="n"/>
      <c r="L896" s="47" t="n"/>
    </row>
    <row r="897">
      <c r="A897" s="52">
        <f>row()-1</f>
        <v/>
      </c>
      <c r="B897" s="55" t="n"/>
      <c r="C897" s="47" t="n"/>
      <c r="D897" s="20" t="n"/>
      <c r="E897" s="20" t="n"/>
      <c r="F897" s="47" t="n"/>
      <c r="G897" s="47" t="n"/>
      <c r="H897" s="47" t="n"/>
      <c r="I897" s="47" t="n"/>
      <c r="J897" s="47" t="n"/>
      <c r="K897" s="47" t="n"/>
      <c r="L897" s="47" t="n"/>
    </row>
    <row r="898">
      <c r="A898" s="52">
        <f>row()-1</f>
        <v/>
      </c>
      <c r="B898" s="55" t="n"/>
      <c r="C898" s="47" t="n"/>
      <c r="D898" s="20" t="n"/>
      <c r="E898" s="20" t="n"/>
      <c r="F898" s="47" t="n"/>
      <c r="G898" s="47" t="n"/>
      <c r="H898" s="47" t="n"/>
      <c r="I898" s="47" t="n"/>
      <c r="J898" s="47" t="n"/>
      <c r="K898" s="47" t="n"/>
      <c r="L898" s="47" t="n"/>
    </row>
    <row r="899">
      <c r="A899" s="52">
        <f>row()-1</f>
        <v/>
      </c>
      <c r="B899" s="55" t="n"/>
      <c r="C899" s="47" t="n"/>
      <c r="D899" s="20" t="n"/>
      <c r="E899" s="20" t="n"/>
      <c r="F899" s="47" t="n"/>
      <c r="G899" s="47" t="n"/>
      <c r="H899" s="47" t="n"/>
      <c r="I899" s="47" t="n"/>
      <c r="J899" s="47" t="n"/>
      <c r="K899" s="47" t="n"/>
      <c r="L899" s="47" t="n"/>
    </row>
    <row r="900">
      <c r="A900" s="52">
        <f>row()-1</f>
        <v/>
      </c>
      <c r="B900" s="55" t="n"/>
      <c r="C900" s="47" t="n"/>
      <c r="D900" s="20" t="n"/>
      <c r="E900" s="20" t="n"/>
      <c r="F900" s="47" t="n"/>
      <c r="G900" s="47" t="n"/>
      <c r="H900" s="47" t="n"/>
      <c r="I900" s="47" t="n"/>
      <c r="J900" s="47" t="n"/>
      <c r="K900" s="47" t="n"/>
      <c r="L900" s="47" t="n"/>
    </row>
    <row r="901">
      <c r="A901" s="52">
        <f>row()-1</f>
        <v/>
      </c>
      <c r="B901" s="55" t="n"/>
      <c r="C901" s="47" t="n"/>
      <c r="D901" s="20" t="n"/>
      <c r="E901" s="20" t="n"/>
      <c r="F901" s="47" t="n"/>
      <c r="G901" s="47" t="n"/>
      <c r="H901" s="47" t="n"/>
      <c r="I901" s="47" t="n"/>
      <c r="J901" s="47" t="n"/>
      <c r="K901" s="47" t="n"/>
      <c r="L901" s="47" t="n"/>
    </row>
    <row r="902">
      <c r="A902" s="52">
        <f>row()-1</f>
        <v/>
      </c>
      <c r="B902" s="55" t="n"/>
      <c r="C902" s="47" t="n"/>
      <c r="D902" s="20" t="n"/>
      <c r="E902" s="20" t="n"/>
      <c r="F902" s="47" t="n"/>
      <c r="G902" s="47" t="n"/>
      <c r="H902" s="47" t="n"/>
      <c r="I902" s="47" t="n"/>
      <c r="J902" s="47" t="n"/>
      <c r="K902" s="47" t="n"/>
      <c r="L902" s="47" t="n"/>
    </row>
    <row r="903">
      <c r="A903" s="52">
        <f>row()-1</f>
        <v/>
      </c>
      <c r="B903" s="55" t="n"/>
      <c r="C903" s="47" t="n"/>
      <c r="D903" s="20" t="n"/>
      <c r="E903" s="20" t="n"/>
      <c r="F903" s="47" t="n"/>
      <c r="G903" s="47" t="n"/>
      <c r="H903" s="47" t="n"/>
      <c r="I903" s="47" t="n"/>
      <c r="J903" s="47" t="n"/>
      <c r="K903" s="47" t="n"/>
      <c r="L903" s="47" t="n"/>
    </row>
    <row r="904">
      <c r="A904" s="52">
        <f>row()-1</f>
        <v/>
      </c>
      <c r="B904" s="55" t="n"/>
      <c r="C904" s="47" t="n"/>
      <c r="D904" s="20" t="n"/>
      <c r="E904" s="20" t="n"/>
      <c r="F904" s="47" t="n"/>
      <c r="G904" s="47" t="n"/>
      <c r="H904" s="47" t="n"/>
      <c r="I904" s="47" t="n"/>
      <c r="J904" s="47" t="n"/>
      <c r="K904" s="47" t="n"/>
      <c r="L904" s="47" t="n"/>
    </row>
    <row r="905">
      <c r="A905" s="52">
        <f>row()-1</f>
        <v/>
      </c>
      <c r="B905" s="55" t="n"/>
      <c r="C905" s="47" t="n"/>
      <c r="D905" s="20" t="n"/>
      <c r="E905" s="20" t="n"/>
      <c r="F905" s="47" t="n"/>
      <c r="G905" s="47" t="n"/>
      <c r="H905" s="47" t="n"/>
      <c r="I905" s="47" t="n"/>
      <c r="J905" s="47" t="n"/>
      <c r="K905" s="47" t="n"/>
      <c r="L905" s="47" t="n"/>
    </row>
    <row r="906">
      <c r="A906" s="52">
        <f>row()-1</f>
        <v/>
      </c>
      <c r="B906" s="55" t="n"/>
      <c r="C906" s="47" t="n"/>
      <c r="D906" s="20" t="n"/>
      <c r="E906" s="20" t="n"/>
      <c r="F906" s="47" t="n"/>
      <c r="G906" s="47" t="n"/>
      <c r="H906" s="47" t="n"/>
      <c r="I906" s="47" t="n"/>
      <c r="J906" s="47" t="n"/>
      <c r="K906" s="47" t="n"/>
      <c r="L906" s="47" t="n"/>
    </row>
    <row r="907">
      <c r="A907" s="52">
        <f>row()-1</f>
        <v/>
      </c>
      <c r="B907" s="55" t="n"/>
      <c r="C907" s="47" t="n"/>
      <c r="D907" s="20" t="n"/>
      <c r="E907" s="20" t="n"/>
      <c r="F907" s="47" t="n"/>
      <c r="G907" s="47" t="n"/>
      <c r="H907" s="47" t="n"/>
      <c r="I907" s="47" t="n"/>
      <c r="J907" s="47" t="n"/>
      <c r="K907" s="47" t="n"/>
      <c r="L907" s="47" t="n"/>
    </row>
    <row r="908">
      <c r="A908" s="52">
        <f>row()-1</f>
        <v/>
      </c>
      <c r="B908" s="55" t="n"/>
      <c r="C908" s="47" t="n"/>
      <c r="D908" s="20" t="n"/>
      <c r="E908" s="20" t="n"/>
      <c r="F908" s="47" t="n"/>
      <c r="G908" s="47" t="n"/>
      <c r="H908" s="47" t="n"/>
      <c r="I908" s="47" t="n"/>
      <c r="J908" s="47" t="n"/>
      <c r="K908" s="47" t="n"/>
      <c r="L908" s="47" t="n"/>
    </row>
    <row r="909">
      <c r="A909" s="52">
        <f>row()-1</f>
        <v/>
      </c>
      <c r="B909" s="55" t="n"/>
      <c r="C909" s="47" t="n"/>
      <c r="D909" s="20" t="n"/>
      <c r="E909" s="20" t="n"/>
      <c r="F909" s="47" t="n"/>
      <c r="G909" s="47" t="n"/>
      <c r="H909" s="47" t="n"/>
      <c r="I909" s="47" t="n"/>
      <c r="J909" s="47" t="n"/>
      <c r="K909" s="47" t="n"/>
      <c r="L909" s="47" t="n"/>
    </row>
    <row r="910">
      <c r="A910" s="52">
        <f>row()-1</f>
        <v/>
      </c>
      <c r="B910" s="55" t="n"/>
      <c r="C910" s="47" t="n"/>
      <c r="D910" s="20" t="n"/>
      <c r="E910" s="20" t="n"/>
      <c r="F910" s="47" t="n"/>
      <c r="G910" s="47" t="n"/>
      <c r="H910" s="47" t="n"/>
      <c r="I910" s="47" t="n"/>
      <c r="J910" s="47" t="n"/>
      <c r="K910" s="47" t="n"/>
      <c r="L910" s="47" t="n"/>
    </row>
    <row r="911">
      <c r="A911" s="52">
        <f>row()-1</f>
        <v/>
      </c>
      <c r="B911" s="55" t="n"/>
      <c r="C911" s="47" t="n"/>
      <c r="D911" s="20" t="n"/>
      <c r="E911" s="20" t="n"/>
      <c r="F911" s="47" t="n"/>
      <c r="G911" s="47" t="n"/>
      <c r="H911" s="47" t="n"/>
      <c r="I911" s="47" t="n"/>
      <c r="J911" s="47" t="n"/>
      <c r="K911" s="47" t="n"/>
      <c r="L911" s="47" t="n"/>
    </row>
    <row r="912">
      <c r="A912" s="52">
        <f>row()-1</f>
        <v/>
      </c>
      <c r="B912" s="55" t="n"/>
      <c r="C912" s="47" t="n"/>
      <c r="D912" s="20" t="n"/>
      <c r="E912" s="20" t="n"/>
      <c r="F912" s="47" t="n"/>
      <c r="G912" s="47" t="n"/>
      <c r="H912" s="47" t="n"/>
      <c r="I912" s="47" t="n"/>
      <c r="J912" s="47" t="n"/>
      <c r="K912" s="47" t="n"/>
      <c r="L912" s="47" t="n"/>
    </row>
    <row r="913">
      <c r="A913" s="52">
        <f>row()-1</f>
        <v/>
      </c>
      <c r="B913" s="55" t="n"/>
      <c r="C913" s="47" t="n"/>
      <c r="D913" s="20" t="n"/>
      <c r="E913" s="20" t="n"/>
      <c r="F913" s="47" t="n"/>
      <c r="G913" s="47" t="n"/>
      <c r="H913" s="47" t="n"/>
      <c r="I913" s="47" t="n"/>
      <c r="J913" s="47" t="n"/>
      <c r="K913" s="47" t="n"/>
      <c r="L913" s="47" t="n"/>
    </row>
    <row r="914">
      <c r="A914" s="52">
        <f>row()-1</f>
        <v/>
      </c>
      <c r="B914" s="55" t="n"/>
      <c r="C914" s="47" t="n"/>
      <c r="D914" s="20" t="n"/>
      <c r="E914" s="20" t="n"/>
      <c r="F914" s="47" t="n"/>
      <c r="G914" s="47" t="n"/>
      <c r="H914" s="47" t="n"/>
      <c r="I914" s="47" t="n"/>
      <c r="J914" s="47" t="n"/>
      <c r="K914" s="47" t="n"/>
      <c r="L914" s="47" t="n"/>
    </row>
    <row r="915">
      <c r="A915" s="52">
        <f>row()-1</f>
        <v/>
      </c>
      <c r="B915" s="55" t="n"/>
      <c r="C915" s="47" t="n"/>
      <c r="D915" s="20" t="n"/>
      <c r="E915" s="20" t="n"/>
      <c r="F915" s="47" t="n"/>
      <c r="G915" s="47" t="n"/>
      <c r="H915" s="47" t="n"/>
      <c r="I915" s="47" t="n"/>
      <c r="J915" s="47" t="n"/>
      <c r="K915" s="47" t="n"/>
      <c r="L915" s="47" t="n"/>
    </row>
    <row r="916">
      <c r="A916" s="52">
        <f>row()-1</f>
        <v/>
      </c>
      <c r="B916" s="55" t="n"/>
      <c r="C916" s="47" t="n"/>
      <c r="D916" s="20" t="n"/>
      <c r="E916" s="20" t="n"/>
      <c r="F916" s="47" t="n"/>
      <c r="G916" s="47" t="n"/>
      <c r="H916" s="47" t="n"/>
      <c r="I916" s="47" t="n"/>
      <c r="J916" s="47" t="n"/>
      <c r="K916" s="47" t="n"/>
      <c r="L916" s="47" t="n"/>
    </row>
    <row r="917">
      <c r="A917" s="52">
        <f>row()-1</f>
        <v/>
      </c>
      <c r="B917" s="55" t="n"/>
      <c r="C917" s="47" t="n"/>
      <c r="D917" s="20" t="n"/>
      <c r="E917" s="20" t="n"/>
      <c r="F917" s="47" t="n"/>
      <c r="G917" s="47" t="n"/>
      <c r="H917" s="47" t="n"/>
      <c r="I917" s="47" t="n"/>
      <c r="J917" s="47" t="n"/>
      <c r="K917" s="47" t="n"/>
      <c r="L917" s="47" t="n"/>
    </row>
    <row r="918">
      <c r="A918" s="52">
        <f>row()-1</f>
        <v/>
      </c>
      <c r="B918" s="55" t="n"/>
      <c r="C918" s="47" t="n"/>
      <c r="D918" s="20" t="n"/>
      <c r="E918" s="20" t="n"/>
      <c r="F918" s="47" t="n"/>
      <c r="G918" s="47" t="n"/>
      <c r="H918" s="47" t="n"/>
      <c r="I918" s="47" t="n"/>
      <c r="J918" s="47" t="n"/>
      <c r="K918" s="47" t="n"/>
      <c r="L918" s="47" t="n"/>
    </row>
    <row r="919">
      <c r="A919" s="52">
        <f>row()-1</f>
        <v/>
      </c>
      <c r="B919" s="55" t="n"/>
      <c r="C919" s="47" t="n"/>
      <c r="D919" s="20" t="n"/>
      <c r="E919" s="20" t="n"/>
      <c r="F919" s="47" t="n"/>
      <c r="G919" s="47" t="n"/>
      <c r="H919" s="47" t="n"/>
      <c r="I919" s="47" t="n"/>
      <c r="J919" s="47" t="n"/>
      <c r="K919" s="47" t="n"/>
      <c r="L919" s="47" t="n"/>
    </row>
    <row r="920">
      <c r="A920" s="52">
        <f>row()-1</f>
        <v/>
      </c>
      <c r="B920" s="55" t="n"/>
      <c r="C920" s="47" t="n"/>
      <c r="D920" s="20" t="n"/>
      <c r="E920" s="20" t="n"/>
      <c r="F920" s="47" t="n"/>
      <c r="G920" s="47" t="n"/>
      <c r="H920" s="47" t="n"/>
      <c r="I920" s="47" t="n"/>
      <c r="J920" s="47" t="n"/>
      <c r="K920" s="47" t="n"/>
      <c r="L920" s="47" t="n"/>
    </row>
    <row r="921">
      <c r="A921" s="52">
        <f>row()-1</f>
        <v/>
      </c>
      <c r="B921" s="55" t="n"/>
      <c r="C921" s="47" t="n"/>
      <c r="D921" s="20" t="n"/>
      <c r="E921" s="20" t="n"/>
      <c r="F921" s="47" t="n"/>
      <c r="G921" s="47" t="n"/>
      <c r="H921" s="47" t="n"/>
      <c r="I921" s="47" t="n"/>
      <c r="J921" s="47" t="n"/>
      <c r="K921" s="47" t="n"/>
      <c r="L921" s="47" t="n"/>
    </row>
    <row r="922">
      <c r="A922" s="52">
        <f>row()-1</f>
        <v/>
      </c>
      <c r="B922" s="55" t="n"/>
      <c r="C922" s="47" t="n"/>
      <c r="D922" s="20" t="n"/>
      <c r="E922" s="20" t="n"/>
      <c r="F922" s="47" t="n"/>
      <c r="G922" s="47" t="n"/>
      <c r="H922" s="47" t="n"/>
      <c r="I922" s="47" t="n"/>
      <c r="J922" s="47" t="n"/>
      <c r="K922" s="47" t="n"/>
      <c r="L922" s="47" t="n"/>
    </row>
    <row r="923">
      <c r="A923" s="52">
        <f>row()-1</f>
        <v/>
      </c>
      <c r="B923" s="55" t="n"/>
      <c r="C923" s="47" t="n"/>
      <c r="D923" s="20" t="n"/>
      <c r="E923" s="20" t="n"/>
      <c r="F923" s="47" t="n"/>
      <c r="G923" s="47" t="n"/>
      <c r="H923" s="47" t="n"/>
      <c r="I923" s="47" t="n"/>
      <c r="J923" s="47" t="n"/>
      <c r="K923" s="47" t="n"/>
      <c r="L923" s="47" t="n"/>
    </row>
    <row r="924">
      <c r="A924" s="52">
        <f>row()-1</f>
        <v/>
      </c>
      <c r="B924" s="55" t="n"/>
      <c r="C924" s="47" t="n"/>
      <c r="D924" s="20" t="n"/>
      <c r="E924" s="20" t="n"/>
      <c r="F924" s="47" t="n"/>
      <c r="G924" s="47" t="n"/>
      <c r="H924" s="47" t="n"/>
      <c r="I924" s="47" t="n"/>
      <c r="J924" s="47" t="n"/>
      <c r="K924" s="47" t="n"/>
      <c r="L924" s="47" t="n"/>
    </row>
    <row r="925">
      <c r="A925" s="52">
        <f>row()-1</f>
        <v/>
      </c>
      <c r="B925" s="55" t="n"/>
      <c r="C925" s="47" t="n"/>
      <c r="D925" s="20" t="n"/>
      <c r="E925" s="20" t="n"/>
      <c r="F925" s="47" t="n"/>
      <c r="G925" s="47" t="n"/>
      <c r="H925" s="47" t="n"/>
      <c r="I925" s="47" t="n"/>
      <c r="J925" s="47" t="n"/>
      <c r="K925" s="47" t="n"/>
      <c r="L925" s="47" t="n"/>
    </row>
    <row r="926">
      <c r="A926" s="52">
        <f>row()-1</f>
        <v/>
      </c>
      <c r="B926" s="55" t="n"/>
      <c r="C926" s="47" t="n"/>
      <c r="D926" s="20" t="n"/>
      <c r="E926" s="20" t="n"/>
      <c r="F926" s="47" t="n"/>
      <c r="G926" s="47" t="n"/>
      <c r="H926" s="47" t="n"/>
      <c r="I926" s="47" t="n"/>
      <c r="J926" s="47" t="n"/>
      <c r="K926" s="47" t="n"/>
      <c r="L926" s="47" t="n"/>
    </row>
    <row r="927">
      <c r="A927" s="52">
        <f>row()-1</f>
        <v/>
      </c>
      <c r="B927" s="55" t="n"/>
      <c r="C927" s="47" t="n"/>
      <c r="D927" s="20" t="n"/>
      <c r="E927" s="20" t="n"/>
      <c r="F927" s="47" t="n"/>
      <c r="G927" s="47" t="n"/>
      <c r="H927" s="47" t="n"/>
      <c r="I927" s="47" t="n"/>
      <c r="J927" s="47" t="n"/>
      <c r="K927" s="47" t="n"/>
      <c r="L927" s="47" t="n"/>
    </row>
    <row r="928">
      <c r="A928" s="52">
        <f>row()-1</f>
        <v/>
      </c>
      <c r="B928" s="55" t="n"/>
      <c r="C928" s="47" t="n"/>
      <c r="D928" s="20" t="n"/>
      <c r="E928" s="20" t="n"/>
      <c r="F928" s="47" t="n"/>
      <c r="G928" s="47" t="n"/>
      <c r="H928" s="47" t="n"/>
      <c r="I928" s="47" t="n"/>
      <c r="J928" s="47" t="n"/>
      <c r="K928" s="47" t="n"/>
      <c r="L928" s="47" t="n"/>
    </row>
    <row r="929">
      <c r="A929" s="52">
        <f>row()-1</f>
        <v/>
      </c>
      <c r="B929" s="55" t="n"/>
      <c r="C929" s="47" t="n"/>
      <c r="D929" s="20" t="n"/>
      <c r="E929" s="20" t="n"/>
      <c r="F929" s="47" t="n"/>
      <c r="G929" s="47" t="n"/>
      <c r="H929" s="47" t="n"/>
      <c r="I929" s="47" t="n"/>
      <c r="J929" s="47" t="n"/>
      <c r="K929" s="47" t="n"/>
      <c r="L929" s="47" t="n"/>
    </row>
    <row r="930">
      <c r="A930" s="52">
        <f>row()-1</f>
        <v/>
      </c>
      <c r="B930" s="55" t="n"/>
      <c r="C930" s="47" t="n"/>
      <c r="D930" s="20" t="n"/>
      <c r="E930" s="20" t="n"/>
      <c r="F930" s="47" t="n"/>
      <c r="G930" s="47" t="n"/>
      <c r="H930" s="47" t="n"/>
      <c r="I930" s="47" t="n"/>
      <c r="J930" s="47" t="n"/>
      <c r="K930" s="47" t="n"/>
      <c r="L930" s="47" t="n"/>
    </row>
    <row r="931">
      <c r="A931" s="52">
        <f>row()-1</f>
        <v/>
      </c>
      <c r="B931" s="55" t="n"/>
      <c r="C931" s="47" t="n"/>
      <c r="D931" s="20" t="n"/>
      <c r="E931" s="20" t="n"/>
      <c r="F931" s="47" t="n"/>
      <c r="G931" s="47" t="n"/>
      <c r="H931" s="47" t="n"/>
      <c r="I931" s="47" t="n"/>
      <c r="J931" s="47" t="n"/>
      <c r="K931" s="47" t="n"/>
      <c r="L931" s="47" t="n"/>
    </row>
    <row r="932">
      <c r="A932" s="52">
        <f>row()-1</f>
        <v/>
      </c>
      <c r="B932" s="55" t="n"/>
      <c r="C932" s="47" t="n"/>
      <c r="D932" s="20" t="n"/>
      <c r="E932" s="20" t="n"/>
      <c r="F932" s="47" t="n"/>
      <c r="G932" s="47" t="n"/>
      <c r="H932" s="47" t="n"/>
      <c r="I932" s="47" t="n"/>
      <c r="J932" s="47" t="n"/>
      <c r="K932" s="47" t="n"/>
      <c r="L932" s="47" t="n"/>
    </row>
    <row r="933">
      <c r="A933" s="52">
        <f>row()-1</f>
        <v/>
      </c>
      <c r="B933" s="55" t="n"/>
      <c r="C933" s="47" t="n"/>
      <c r="D933" s="20" t="n"/>
      <c r="E933" s="20" t="n"/>
      <c r="F933" s="47" t="n"/>
      <c r="G933" s="47" t="n"/>
      <c r="H933" s="47" t="n"/>
      <c r="I933" s="47" t="n"/>
      <c r="J933" s="47" t="n"/>
      <c r="K933" s="47" t="n"/>
      <c r="L933" s="47" t="n"/>
    </row>
    <row r="934">
      <c r="A934" s="52">
        <f>row()-1</f>
        <v/>
      </c>
      <c r="B934" s="55" t="n"/>
      <c r="C934" s="47" t="n"/>
      <c r="D934" s="20" t="n"/>
      <c r="E934" s="20" t="n"/>
      <c r="F934" s="47" t="n"/>
      <c r="G934" s="47" t="n"/>
      <c r="H934" s="47" t="n"/>
      <c r="I934" s="47" t="n"/>
      <c r="J934" s="47" t="n"/>
      <c r="K934" s="47" t="n"/>
      <c r="L934" s="47" t="n"/>
    </row>
    <row r="935">
      <c r="A935" s="52">
        <f>row()-1</f>
        <v/>
      </c>
      <c r="B935" s="55" t="n"/>
      <c r="C935" s="47" t="n"/>
      <c r="D935" s="20" t="n"/>
      <c r="E935" s="20" t="n"/>
      <c r="F935" s="47" t="n"/>
      <c r="G935" s="47" t="n"/>
      <c r="H935" s="47" t="n"/>
      <c r="I935" s="47" t="n"/>
      <c r="J935" s="47" t="n"/>
      <c r="K935" s="47" t="n"/>
      <c r="L935" s="47" t="n"/>
    </row>
    <row r="936">
      <c r="A936" s="52">
        <f>row()-1</f>
        <v/>
      </c>
      <c r="B936" s="55" t="n"/>
      <c r="C936" s="47" t="n"/>
      <c r="D936" s="20" t="n"/>
      <c r="E936" s="20" t="n"/>
      <c r="F936" s="47" t="n"/>
      <c r="G936" s="47" t="n"/>
      <c r="H936" s="47" t="n"/>
      <c r="I936" s="47" t="n"/>
      <c r="J936" s="47" t="n"/>
      <c r="K936" s="47" t="n"/>
      <c r="L936" s="47" t="n"/>
    </row>
    <row r="937">
      <c r="A937" s="52">
        <f>row()-1</f>
        <v/>
      </c>
      <c r="B937" s="55" t="n"/>
      <c r="C937" s="47" t="n"/>
      <c r="D937" s="20" t="n"/>
      <c r="E937" s="20" t="n"/>
      <c r="F937" s="47" t="n"/>
      <c r="G937" s="47" t="n"/>
      <c r="H937" s="47" t="n"/>
      <c r="I937" s="47" t="n"/>
      <c r="J937" s="47" t="n"/>
      <c r="K937" s="47" t="n"/>
      <c r="L937" s="47" t="n"/>
    </row>
    <row r="938">
      <c r="A938" s="52">
        <f>row()-1</f>
        <v/>
      </c>
      <c r="B938" s="55" t="n"/>
      <c r="C938" s="47" t="n"/>
      <c r="D938" s="20" t="n"/>
      <c r="E938" s="20" t="n"/>
      <c r="F938" s="47" t="n"/>
      <c r="G938" s="47" t="n"/>
      <c r="H938" s="47" t="n"/>
      <c r="I938" s="47" t="n"/>
      <c r="J938" s="47" t="n"/>
      <c r="K938" s="47" t="n"/>
      <c r="L938" s="47" t="n"/>
    </row>
    <row r="939">
      <c r="A939" s="52">
        <f>row()-1</f>
        <v/>
      </c>
      <c r="B939" s="55" t="n"/>
      <c r="C939" s="47" t="n"/>
      <c r="D939" s="20" t="n"/>
      <c r="E939" s="20" t="n"/>
      <c r="F939" s="47" t="n"/>
      <c r="G939" s="47" t="n"/>
      <c r="H939" s="47" t="n"/>
      <c r="I939" s="47" t="n"/>
      <c r="J939" s="47" t="n"/>
      <c r="K939" s="47" t="n"/>
      <c r="L939" s="47" t="n"/>
    </row>
    <row r="940">
      <c r="A940" s="52">
        <f>row()-1</f>
        <v/>
      </c>
      <c r="B940" s="55" t="n"/>
      <c r="C940" s="47" t="n"/>
      <c r="D940" s="20" t="n"/>
      <c r="E940" s="20" t="n"/>
      <c r="F940" s="47" t="n"/>
      <c r="G940" s="47" t="n"/>
      <c r="H940" s="47" t="n"/>
      <c r="I940" s="47" t="n"/>
      <c r="J940" s="47" t="n"/>
      <c r="K940" s="47" t="n"/>
      <c r="L940" s="47" t="n"/>
    </row>
    <row r="941">
      <c r="A941" s="52">
        <f>row()-1</f>
        <v/>
      </c>
      <c r="B941" s="55" t="n"/>
      <c r="C941" s="47" t="n"/>
      <c r="D941" s="20" t="n"/>
      <c r="E941" s="20" t="n"/>
      <c r="F941" s="47" t="n"/>
      <c r="G941" s="47" t="n"/>
      <c r="H941" s="47" t="n"/>
      <c r="I941" s="47" t="n"/>
      <c r="J941" s="47" t="n"/>
      <c r="K941" s="47" t="n"/>
      <c r="L941" s="47" t="n"/>
    </row>
    <row r="942">
      <c r="A942" s="52">
        <f>row()-1</f>
        <v/>
      </c>
      <c r="B942" s="55" t="n"/>
      <c r="C942" s="47" t="n"/>
      <c r="D942" s="20" t="n"/>
      <c r="E942" s="20" t="n"/>
      <c r="F942" s="47" t="n"/>
      <c r="G942" s="47" t="n"/>
      <c r="H942" s="47" t="n"/>
      <c r="I942" s="47" t="n"/>
      <c r="J942" s="47" t="n"/>
      <c r="K942" s="47" t="n"/>
      <c r="L942" s="47" t="n"/>
    </row>
    <row r="943">
      <c r="A943" s="52">
        <f>row()-1</f>
        <v/>
      </c>
      <c r="B943" s="55" t="n"/>
      <c r="C943" s="47" t="n"/>
      <c r="D943" s="20" t="n"/>
      <c r="E943" s="20" t="n"/>
      <c r="F943" s="47" t="n"/>
      <c r="G943" s="47" t="n"/>
      <c r="H943" s="47" t="n"/>
      <c r="I943" s="47" t="n"/>
      <c r="J943" s="47" t="n"/>
      <c r="K943" s="47" t="n"/>
      <c r="L943" s="47" t="n"/>
    </row>
    <row r="944">
      <c r="A944" s="52">
        <f>row()-1</f>
        <v/>
      </c>
      <c r="B944" s="55" t="n"/>
      <c r="C944" s="47" t="n"/>
      <c r="D944" s="20" t="n"/>
      <c r="E944" s="20" t="n"/>
      <c r="F944" s="47" t="n"/>
      <c r="G944" s="47" t="n"/>
      <c r="H944" s="47" t="n"/>
      <c r="I944" s="47" t="n"/>
      <c r="J944" s="47" t="n"/>
      <c r="K944" s="47" t="n"/>
      <c r="L944" s="47" t="n"/>
    </row>
    <row r="945">
      <c r="A945" s="52">
        <f>row()-1</f>
        <v/>
      </c>
      <c r="B945" s="55" t="n"/>
      <c r="C945" s="47" t="n"/>
      <c r="D945" s="20" t="n"/>
      <c r="E945" s="20" t="n"/>
      <c r="F945" s="47" t="n"/>
      <c r="G945" s="47" t="n"/>
      <c r="H945" s="47" t="n"/>
      <c r="I945" s="47" t="n"/>
      <c r="J945" s="47" t="n"/>
      <c r="K945" s="47" t="n"/>
      <c r="L945" s="47" t="n"/>
    </row>
    <row r="946">
      <c r="A946" s="52">
        <f>row()-1</f>
        <v/>
      </c>
      <c r="B946" s="55" t="n"/>
      <c r="C946" s="47" t="n"/>
      <c r="D946" s="20" t="n"/>
      <c r="E946" s="20" t="n"/>
      <c r="F946" s="47" t="n"/>
      <c r="G946" s="47" t="n"/>
      <c r="H946" s="47" t="n"/>
      <c r="I946" s="47" t="n"/>
      <c r="J946" s="47" t="n"/>
      <c r="K946" s="47" t="n"/>
      <c r="L946" s="47" t="n"/>
    </row>
    <row r="947">
      <c r="A947" s="52">
        <f>row()-1</f>
        <v/>
      </c>
      <c r="B947" s="55" t="n"/>
      <c r="C947" s="47" t="n"/>
      <c r="D947" s="20" t="n"/>
      <c r="E947" s="20" t="n"/>
      <c r="F947" s="47" t="n"/>
      <c r="G947" s="47" t="n"/>
      <c r="H947" s="47" t="n"/>
      <c r="I947" s="47" t="n"/>
      <c r="J947" s="47" t="n"/>
      <c r="K947" s="47" t="n"/>
      <c r="L947" s="47" t="n"/>
    </row>
    <row r="948">
      <c r="A948" s="52">
        <f>row()-1</f>
        <v/>
      </c>
      <c r="B948" s="55" t="n"/>
      <c r="C948" s="47" t="n"/>
      <c r="D948" s="20" t="n"/>
      <c r="E948" s="20" t="n"/>
      <c r="F948" s="47" t="n"/>
      <c r="G948" s="47" t="n"/>
      <c r="H948" s="47" t="n"/>
      <c r="I948" s="47" t="n"/>
      <c r="J948" s="47" t="n"/>
      <c r="K948" s="47" t="n"/>
      <c r="L948" s="47" t="n"/>
    </row>
    <row r="949">
      <c r="A949" s="52">
        <f>row()-1</f>
        <v/>
      </c>
      <c r="B949" s="55" t="n"/>
      <c r="C949" s="47" t="n"/>
      <c r="D949" s="20" t="n"/>
      <c r="E949" s="20" t="n"/>
      <c r="F949" s="47" t="n"/>
      <c r="G949" s="47" t="n"/>
      <c r="H949" s="47" t="n"/>
      <c r="I949" s="47" t="n"/>
      <c r="J949" s="47" t="n"/>
      <c r="K949" s="47" t="n"/>
      <c r="L949" s="47" t="n"/>
    </row>
    <row r="950">
      <c r="A950" s="52">
        <f>row()-1</f>
        <v/>
      </c>
      <c r="B950" s="55" t="n"/>
      <c r="C950" s="47" t="n"/>
      <c r="D950" s="20" t="n"/>
      <c r="E950" s="20" t="n"/>
      <c r="F950" s="47" t="n"/>
      <c r="G950" s="47" t="n"/>
      <c r="H950" s="47" t="n"/>
      <c r="I950" s="47" t="n"/>
      <c r="J950" s="47" t="n"/>
      <c r="K950" s="47" t="n"/>
      <c r="L950" s="47" t="n"/>
    </row>
    <row r="951">
      <c r="A951" s="52">
        <f>row()-1</f>
        <v/>
      </c>
      <c r="B951" s="55" t="n"/>
      <c r="C951" s="47" t="n"/>
      <c r="D951" s="20" t="n"/>
      <c r="E951" s="20" t="n"/>
      <c r="F951" s="47" t="n"/>
      <c r="G951" s="47" t="n"/>
      <c r="H951" s="47" t="n"/>
      <c r="I951" s="47" t="n"/>
      <c r="J951" s="47" t="n"/>
      <c r="K951" s="47" t="n"/>
      <c r="L951" s="47" t="n"/>
    </row>
    <row r="952">
      <c r="A952" s="52">
        <f>row()-1</f>
        <v/>
      </c>
      <c r="B952" s="55" t="n"/>
      <c r="C952" s="47" t="n"/>
      <c r="D952" s="20" t="n"/>
      <c r="E952" s="20" t="n"/>
      <c r="F952" s="47" t="n"/>
      <c r="G952" s="47" t="n"/>
      <c r="H952" s="47" t="n"/>
      <c r="I952" s="47" t="n"/>
      <c r="J952" s="47" t="n"/>
      <c r="K952" s="47" t="n"/>
      <c r="L952" s="47" t="n"/>
    </row>
    <row r="953">
      <c r="A953" s="52">
        <f>row()-1</f>
        <v/>
      </c>
      <c r="B953" s="55" t="n"/>
      <c r="C953" s="47" t="n"/>
      <c r="D953" s="20" t="n"/>
      <c r="E953" s="20" t="n"/>
      <c r="F953" s="47" t="n"/>
      <c r="G953" s="47" t="n"/>
      <c r="H953" s="47" t="n"/>
      <c r="I953" s="47" t="n"/>
      <c r="J953" s="47" t="n"/>
      <c r="K953" s="47" t="n"/>
      <c r="L953" s="47" t="n"/>
    </row>
    <row r="954">
      <c r="A954" s="52">
        <f>row()-1</f>
        <v/>
      </c>
      <c r="B954" s="55" t="n"/>
      <c r="C954" s="47" t="n"/>
      <c r="D954" s="20" t="n"/>
      <c r="E954" s="20" t="n"/>
      <c r="F954" s="47" t="n"/>
      <c r="G954" s="47" t="n"/>
      <c r="H954" s="47" t="n"/>
      <c r="I954" s="47" t="n"/>
      <c r="J954" s="47" t="n"/>
      <c r="K954" s="47" t="n"/>
      <c r="L954" s="47" t="n"/>
    </row>
    <row r="955">
      <c r="A955" s="52">
        <f>row()-1</f>
        <v/>
      </c>
      <c r="B955" s="55" t="n"/>
      <c r="C955" s="47" t="n"/>
      <c r="D955" s="20" t="n"/>
      <c r="E955" s="20" t="n"/>
      <c r="F955" s="47" t="n"/>
      <c r="G955" s="47" t="n"/>
      <c r="H955" s="47" t="n"/>
      <c r="I955" s="47" t="n"/>
      <c r="J955" s="47" t="n"/>
      <c r="K955" s="47" t="n"/>
      <c r="L955" s="47" t="n"/>
    </row>
    <row r="956">
      <c r="A956" s="52">
        <f>row()-1</f>
        <v/>
      </c>
      <c r="B956" s="55" t="n"/>
      <c r="C956" s="47" t="n"/>
      <c r="D956" s="20" t="n"/>
      <c r="E956" s="20" t="n"/>
      <c r="F956" s="47" t="n"/>
      <c r="G956" s="47" t="n"/>
      <c r="H956" s="47" t="n"/>
      <c r="I956" s="47" t="n"/>
      <c r="J956" s="47" t="n"/>
      <c r="K956" s="47" t="n"/>
      <c r="L956" s="47" t="n"/>
    </row>
    <row r="957">
      <c r="A957" s="52">
        <f>row()-1</f>
        <v/>
      </c>
      <c r="B957" s="55" t="n"/>
      <c r="C957" s="47" t="n"/>
      <c r="D957" s="20" t="n"/>
      <c r="E957" s="20" t="n"/>
      <c r="F957" s="47" t="n"/>
      <c r="G957" s="47" t="n"/>
      <c r="H957" s="47" t="n"/>
      <c r="I957" s="47" t="n"/>
      <c r="J957" s="47" t="n"/>
      <c r="K957" s="47" t="n"/>
      <c r="L957" s="47" t="n"/>
    </row>
    <row r="958">
      <c r="A958" s="52">
        <f>row()-1</f>
        <v/>
      </c>
      <c r="B958" s="55" t="n"/>
      <c r="C958" s="47" t="n"/>
      <c r="D958" s="20" t="n"/>
      <c r="E958" s="20" t="n"/>
      <c r="F958" s="47" t="n"/>
      <c r="G958" s="47" t="n"/>
      <c r="H958" s="47" t="n"/>
      <c r="I958" s="47" t="n"/>
      <c r="J958" s="47" t="n"/>
      <c r="K958" s="47" t="n"/>
      <c r="L958" s="47" t="n"/>
    </row>
    <row r="959">
      <c r="A959" s="52">
        <f>row()-1</f>
        <v/>
      </c>
      <c r="B959" s="55" t="n"/>
      <c r="C959" s="47" t="n"/>
      <c r="D959" s="20" t="n"/>
      <c r="E959" s="20" t="n"/>
      <c r="F959" s="47" t="n"/>
      <c r="G959" s="47" t="n"/>
      <c r="H959" s="47" t="n"/>
      <c r="I959" s="47" t="n"/>
      <c r="J959" s="47" t="n"/>
      <c r="K959" s="47" t="n"/>
      <c r="L959" s="47" t="n"/>
    </row>
    <row r="960">
      <c r="A960" s="52">
        <f>row()-1</f>
        <v/>
      </c>
      <c r="B960" s="55" t="n"/>
      <c r="C960" s="47" t="n"/>
      <c r="D960" s="20" t="n"/>
      <c r="E960" s="20" t="n"/>
      <c r="F960" s="47" t="n"/>
      <c r="G960" s="47" t="n"/>
      <c r="H960" s="47" t="n"/>
      <c r="I960" s="47" t="n"/>
      <c r="J960" s="47" t="n"/>
      <c r="K960" s="47" t="n"/>
      <c r="L960" s="47" t="n"/>
    </row>
    <row r="961">
      <c r="A961" s="52">
        <f>row()-1</f>
        <v/>
      </c>
      <c r="B961" s="55" t="n"/>
      <c r="C961" s="47" t="n"/>
      <c r="D961" s="20" t="n"/>
      <c r="E961" s="20" t="n"/>
      <c r="F961" s="47" t="n"/>
      <c r="G961" s="47" t="n"/>
      <c r="H961" s="47" t="n"/>
      <c r="I961" s="47" t="n"/>
      <c r="J961" s="47" t="n"/>
      <c r="K961" s="47" t="n"/>
      <c r="L961" s="47" t="n"/>
    </row>
    <row r="962">
      <c r="A962" s="52">
        <f>row()-1</f>
        <v/>
      </c>
      <c r="B962" s="55" t="n"/>
      <c r="C962" s="47" t="n"/>
      <c r="D962" s="20" t="n"/>
      <c r="E962" s="20" t="n"/>
      <c r="F962" s="47" t="n"/>
      <c r="G962" s="47" t="n"/>
      <c r="H962" s="47" t="n"/>
      <c r="I962" s="47" t="n"/>
      <c r="J962" s="47" t="n"/>
      <c r="K962" s="47" t="n"/>
      <c r="L962" s="47" t="n"/>
    </row>
    <row r="963">
      <c r="A963" s="52">
        <f>row()-1</f>
        <v/>
      </c>
      <c r="B963" s="55" t="n"/>
      <c r="C963" s="47" t="n"/>
      <c r="D963" s="20" t="n"/>
      <c r="E963" s="20" t="n"/>
      <c r="F963" s="47" t="n"/>
      <c r="G963" s="47" t="n"/>
      <c r="H963" s="47" t="n"/>
      <c r="I963" s="47" t="n"/>
      <c r="J963" s="47" t="n"/>
      <c r="K963" s="47" t="n"/>
      <c r="L963" s="47" t="n"/>
    </row>
    <row r="964">
      <c r="A964" s="52">
        <f>row()-1</f>
        <v/>
      </c>
      <c r="B964" s="55" t="n"/>
      <c r="C964" s="47" t="n"/>
      <c r="D964" s="20" t="n"/>
      <c r="E964" s="20" t="n"/>
      <c r="F964" s="47" t="n"/>
      <c r="G964" s="47" t="n"/>
      <c r="H964" s="47" t="n"/>
      <c r="I964" s="47" t="n"/>
      <c r="J964" s="47" t="n"/>
      <c r="K964" s="47" t="n"/>
      <c r="L964" s="47" t="n"/>
    </row>
    <row r="965">
      <c r="A965" s="52">
        <f>row()-1</f>
        <v/>
      </c>
      <c r="B965" s="55" t="n"/>
      <c r="C965" s="47" t="n"/>
      <c r="D965" s="20" t="n"/>
      <c r="E965" s="20" t="n"/>
      <c r="F965" s="47" t="n"/>
      <c r="G965" s="47" t="n"/>
      <c r="H965" s="47" t="n"/>
      <c r="I965" s="47" t="n"/>
      <c r="J965" s="47" t="n"/>
      <c r="K965" s="47" t="n"/>
      <c r="L965" s="47" t="n"/>
    </row>
    <row r="966">
      <c r="A966" s="52">
        <f>row()-1</f>
        <v/>
      </c>
      <c r="B966" s="55" t="n"/>
      <c r="C966" s="47" t="n"/>
      <c r="D966" s="20" t="n"/>
      <c r="E966" s="20" t="n"/>
      <c r="F966" s="47" t="n"/>
      <c r="G966" s="47" t="n"/>
      <c r="H966" s="47" t="n"/>
      <c r="I966" s="47" t="n"/>
      <c r="J966" s="47" t="n"/>
      <c r="K966" s="47" t="n"/>
      <c r="L966" s="47" t="n"/>
    </row>
    <row r="967">
      <c r="A967" s="52">
        <f>row()-1</f>
        <v/>
      </c>
      <c r="B967" s="55" t="n"/>
      <c r="C967" s="47" t="n"/>
      <c r="D967" s="20" t="n"/>
      <c r="E967" s="20" t="n"/>
      <c r="F967" s="47" t="n"/>
      <c r="G967" s="47" t="n"/>
      <c r="H967" s="47" t="n"/>
      <c r="I967" s="47" t="n"/>
      <c r="J967" s="47" t="n"/>
      <c r="K967" s="47" t="n"/>
      <c r="L967" s="47" t="n"/>
    </row>
    <row r="968">
      <c r="A968" s="52">
        <f>row()-1</f>
        <v/>
      </c>
      <c r="B968" s="55" t="n"/>
      <c r="C968" s="47" t="n"/>
      <c r="D968" s="20" t="n"/>
      <c r="E968" s="20" t="n"/>
      <c r="F968" s="47" t="n"/>
      <c r="G968" s="47" t="n"/>
      <c r="H968" s="47" t="n"/>
      <c r="I968" s="47" t="n"/>
      <c r="J968" s="47" t="n"/>
      <c r="K968" s="47" t="n"/>
      <c r="L968" s="47" t="n"/>
    </row>
    <row r="969">
      <c r="A969" s="52">
        <f>row()-1</f>
        <v/>
      </c>
      <c r="B969" s="55" t="n"/>
      <c r="C969" s="47" t="n"/>
      <c r="D969" s="20" t="n"/>
      <c r="E969" s="20" t="n"/>
      <c r="F969" s="47" t="n"/>
      <c r="G969" s="47" t="n"/>
      <c r="H969" s="47" t="n"/>
      <c r="I969" s="47" t="n"/>
      <c r="J969" s="47" t="n"/>
      <c r="K969" s="47" t="n"/>
      <c r="L969" s="47" t="n"/>
    </row>
    <row r="970">
      <c r="A970" s="52">
        <f>row()-1</f>
        <v/>
      </c>
      <c r="B970" s="55" t="n"/>
      <c r="C970" s="47" t="n"/>
      <c r="D970" s="20" t="n"/>
      <c r="E970" s="20" t="n"/>
      <c r="F970" s="47" t="n"/>
      <c r="G970" s="47" t="n"/>
      <c r="H970" s="47" t="n"/>
      <c r="I970" s="47" t="n"/>
      <c r="J970" s="47" t="n"/>
      <c r="K970" s="47" t="n"/>
      <c r="L970" s="47" t="n"/>
    </row>
    <row r="971">
      <c r="A971" s="52">
        <f>row()-1</f>
        <v/>
      </c>
      <c r="B971" s="55" t="n"/>
      <c r="C971" s="47" t="n"/>
      <c r="D971" s="20" t="n"/>
      <c r="E971" s="20" t="n"/>
      <c r="F971" s="47" t="n"/>
      <c r="G971" s="47" t="n"/>
      <c r="H971" s="47" t="n"/>
      <c r="I971" s="47" t="n"/>
      <c r="J971" s="47" t="n"/>
      <c r="K971" s="47" t="n"/>
      <c r="L971" s="47" t="n"/>
    </row>
    <row r="972">
      <c r="A972" s="52">
        <f>row()-1</f>
        <v/>
      </c>
      <c r="B972" s="55" t="n"/>
      <c r="C972" s="47" t="n"/>
      <c r="D972" s="20" t="n"/>
      <c r="E972" s="20" t="n"/>
      <c r="F972" s="47" t="n"/>
      <c r="G972" s="47" t="n"/>
      <c r="H972" s="47" t="n"/>
      <c r="I972" s="47" t="n"/>
      <c r="J972" s="47" t="n"/>
      <c r="K972" s="47" t="n"/>
      <c r="L972" s="47" t="n"/>
    </row>
    <row r="973">
      <c r="A973" s="52">
        <f>row()-1</f>
        <v/>
      </c>
      <c r="B973" s="55" t="n"/>
      <c r="C973" s="47" t="n"/>
      <c r="D973" s="20" t="n"/>
      <c r="E973" s="20" t="n"/>
      <c r="F973" s="47" t="n"/>
      <c r="G973" s="47" t="n"/>
      <c r="H973" s="47" t="n"/>
      <c r="I973" s="47" t="n"/>
      <c r="J973" s="47" t="n"/>
      <c r="K973" s="47" t="n"/>
      <c r="L973" s="47" t="n"/>
    </row>
    <row r="974">
      <c r="A974" s="52">
        <f>row()-1</f>
        <v/>
      </c>
      <c r="B974" s="55" t="n"/>
      <c r="C974" s="47" t="n"/>
      <c r="D974" s="20" t="n"/>
      <c r="E974" s="20" t="n"/>
      <c r="F974" s="47" t="n"/>
      <c r="G974" s="47" t="n"/>
      <c r="H974" s="47" t="n"/>
      <c r="I974" s="47" t="n"/>
      <c r="J974" s="47" t="n"/>
      <c r="K974" s="47" t="n"/>
      <c r="L974" s="47" t="n"/>
    </row>
    <row r="975">
      <c r="A975" s="52">
        <f>row()-1</f>
        <v/>
      </c>
      <c r="B975" s="55" t="n"/>
      <c r="C975" s="47" t="n"/>
      <c r="D975" s="20" t="n"/>
      <c r="E975" s="20" t="n"/>
      <c r="F975" s="47" t="n"/>
      <c r="G975" s="47" t="n"/>
      <c r="H975" s="47" t="n"/>
      <c r="I975" s="47" t="n"/>
      <c r="J975" s="47" t="n"/>
      <c r="K975" s="47" t="n"/>
      <c r="L975" s="47" t="n"/>
    </row>
    <row r="976">
      <c r="A976" s="52">
        <f>row()-1</f>
        <v/>
      </c>
      <c r="B976" s="55" t="n"/>
      <c r="C976" s="47" t="n"/>
      <c r="D976" s="20" t="n"/>
      <c r="E976" s="20" t="n"/>
      <c r="F976" s="47" t="n"/>
      <c r="G976" s="47" t="n"/>
      <c r="H976" s="47" t="n"/>
      <c r="I976" s="47" t="n"/>
      <c r="J976" s="47" t="n"/>
      <c r="K976" s="47" t="n"/>
      <c r="L976" s="47" t="n"/>
    </row>
    <row r="977">
      <c r="A977" s="52">
        <f>row()-1</f>
        <v/>
      </c>
      <c r="B977" s="55" t="n"/>
      <c r="C977" s="47" t="n"/>
      <c r="D977" s="20" t="n"/>
      <c r="E977" s="20" t="n"/>
      <c r="F977" s="47" t="n"/>
      <c r="G977" s="47" t="n"/>
      <c r="H977" s="47" t="n"/>
      <c r="I977" s="47" t="n"/>
      <c r="J977" s="47" t="n"/>
      <c r="K977" s="47" t="n"/>
      <c r="L977" s="47" t="n"/>
    </row>
    <row r="978">
      <c r="A978" s="52">
        <f>row()-1</f>
        <v/>
      </c>
      <c r="B978" s="55" t="n"/>
      <c r="C978" s="47" t="n"/>
      <c r="D978" s="20" t="n"/>
      <c r="E978" s="20" t="n"/>
      <c r="F978" s="47" t="n"/>
      <c r="G978" s="47" t="n"/>
      <c r="H978" s="47" t="n"/>
      <c r="I978" s="47" t="n"/>
      <c r="J978" s="47" t="n"/>
      <c r="K978" s="47" t="n"/>
      <c r="L978" s="47" t="n"/>
    </row>
    <row r="979">
      <c r="A979" s="52">
        <f>row()-1</f>
        <v/>
      </c>
      <c r="B979" s="55" t="n"/>
      <c r="C979" s="47" t="n"/>
      <c r="D979" s="20" t="n"/>
      <c r="E979" s="20" t="n"/>
      <c r="F979" s="47" t="n"/>
      <c r="G979" s="47" t="n"/>
      <c r="H979" s="47" t="n"/>
      <c r="I979" s="47" t="n"/>
      <c r="J979" s="47" t="n"/>
      <c r="K979" s="47" t="n"/>
      <c r="L979" s="47" t="n"/>
    </row>
    <row r="980">
      <c r="A980" s="52">
        <f>row()-1</f>
        <v/>
      </c>
      <c r="B980" s="55" t="n"/>
      <c r="C980" s="47" t="n"/>
      <c r="D980" s="20" t="n"/>
      <c r="E980" s="20" t="n"/>
      <c r="F980" s="47" t="n"/>
      <c r="G980" s="47" t="n"/>
      <c r="H980" s="47" t="n"/>
      <c r="I980" s="47" t="n"/>
      <c r="J980" s="47" t="n"/>
      <c r="K980" s="47" t="n"/>
      <c r="L980" s="47" t="n"/>
    </row>
    <row r="981">
      <c r="A981" s="52">
        <f>row()-1</f>
        <v/>
      </c>
      <c r="B981" s="55" t="n"/>
      <c r="C981" s="47" t="n"/>
      <c r="D981" s="20" t="n"/>
      <c r="E981" s="20" t="n"/>
      <c r="F981" s="47" t="n"/>
      <c r="G981" s="47" t="n"/>
      <c r="H981" s="47" t="n"/>
      <c r="I981" s="47" t="n"/>
      <c r="J981" s="47" t="n"/>
      <c r="K981" s="47" t="n"/>
      <c r="L981" s="47" t="n"/>
    </row>
    <row r="982">
      <c r="A982" s="52">
        <f>row()-1</f>
        <v/>
      </c>
      <c r="B982" s="55" t="n"/>
      <c r="C982" s="47" t="n"/>
      <c r="D982" s="20" t="n"/>
      <c r="E982" s="20" t="n"/>
      <c r="F982" s="47" t="n"/>
      <c r="G982" s="47" t="n"/>
      <c r="H982" s="47" t="n"/>
      <c r="I982" s="47" t="n"/>
      <c r="J982" s="47" t="n"/>
      <c r="K982" s="47" t="n"/>
      <c r="L982" s="47" t="n"/>
    </row>
    <row r="983">
      <c r="A983" s="52">
        <f>row()-1</f>
        <v/>
      </c>
      <c r="B983" s="55" t="n"/>
      <c r="C983" s="47" t="n"/>
      <c r="D983" s="20" t="n"/>
      <c r="E983" s="20" t="n"/>
      <c r="F983" s="47" t="n"/>
      <c r="G983" s="47" t="n"/>
      <c r="H983" s="47" t="n"/>
      <c r="I983" s="47" t="n"/>
      <c r="J983" s="47" t="n"/>
      <c r="K983" s="47" t="n"/>
      <c r="L983" s="47" t="n"/>
    </row>
    <row r="984">
      <c r="A984" s="52">
        <f>row()-1</f>
        <v/>
      </c>
      <c r="B984" s="55" t="n"/>
      <c r="C984" s="47" t="n"/>
      <c r="D984" s="20" t="n"/>
      <c r="E984" s="20" t="n"/>
      <c r="F984" s="47" t="n"/>
      <c r="G984" s="47" t="n"/>
      <c r="H984" s="47" t="n"/>
      <c r="I984" s="47" t="n"/>
      <c r="J984" s="47" t="n"/>
      <c r="K984" s="47" t="n"/>
      <c r="L984" s="47" t="n"/>
    </row>
    <row r="985">
      <c r="A985" s="52">
        <f>row()-1</f>
        <v/>
      </c>
      <c r="B985" s="55" t="n"/>
      <c r="C985" s="47" t="n"/>
      <c r="D985" s="20" t="n"/>
      <c r="E985" s="20" t="n"/>
      <c r="F985" s="47" t="n"/>
      <c r="G985" s="47" t="n"/>
      <c r="H985" s="47" t="n"/>
      <c r="I985" s="47" t="n"/>
      <c r="J985" s="47" t="n"/>
      <c r="K985" s="47" t="n"/>
      <c r="L985" s="47" t="n"/>
    </row>
    <row r="986">
      <c r="A986" s="52">
        <f>row()-1</f>
        <v/>
      </c>
      <c r="B986" s="55" t="n"/>
      <c r="C986" s="47" t="n"/>
      <c r="D986" s="20" t="n"/>
      <c r="E986" s="20" t="n"/>
      <c r="F986" s="47" t="n"/>
      <c r="G986" s="47" t="n"/>
      <c r="H986" s="47" t="n"/>
      <c r="I986" s="47" t="n"/>
      <c r="J986" s="47" t="n"/>
      <c r="K986" s="47" t="n"/>
      <c r="L986" s="47" t="n"/>
    </row>
    <row r="987">
      <c r="A987" s="52">
        <f>row()-1</f>
        <v/>
      </c>
      <c r="B987" s="55" t="n"/>
      <c r="C987" s="47" t="n"/>
      <c r="D987" s="20" t="n"/>
      <c r="E987" s="20" t="n"/>
      <c r="F987" s="47" t="n"/>
      <c r="G987" s="47" t="n"/>
      <c r="H987" s="47" t="n"/>
      <c r="I987" s="47" t="n"/>
      <c r="J987" s="47" t="n"/>
      <c r="K987" s="47" t="n"/>
      <c r="L987" s="47" t="n"/>
    </row>
    <row r="988">
      <c r="A988" s="52">
        <f>row()-1</f>
        <v/>
      </c>
      <c r="B988" s="55" t="n"/>
      <c r="C988" s="47" t="n"/>
      <c r="D988" s="20" t="n"/>
      <c r="E988" s="20" t="n"/>
      <c r="F988" s="47" t="n"/>
      <c r="G988" s="47" t="n"/>
      <c r="H988" s="47" t="n"/>
      <c r="I988" s="47" t="n"/>
      <c r="J988" s="47" t="n"/>
      <c r="K988" s="47" t="n"/>
      <c r="L988" s="47" t="n"/>
    </row>
    <row r="989">
      <c r="A989" s="52">
        <f>row()-1</f>
        <v/>
      </c>
      <c r="B989" s="55" t="n"/>
      <c r="C989" s="47" t="n"/>
      <c r="D989" s="20" t="n"/>
      <c r="E989" s="20" t="n"/>
      <c r="F989" s="47" t="n"/>
      <c r="G989" s="47" t="n"/>
      <c r="H989" s="47" t="n"/>
      <c r="I989" s="47" t="n"/>
      <c r="J989" s="47" t="n"/>
      <c r="K989" s="47" t="n"/>
      <c r="L989" s="47" t="n"/>
    </row>
    <row r="990">
      <c r="A990" s="52">
        <f>row()-1</f>
        <v/>
      </c>
      <c r="B990" s="55" t="n"/>
      <c r="C990" s="47" t="n"/>
      <c r="D990" s="20" t="n"/>
      <c r="E990" s="20" t="n"/>
      <c r="F990" s="47" t="n"/>
      <c r="G990" s="47" t="n"/>
      <c r="H990" s="47" t="n"/>
      <c r="I990" s="47" t="n"/>
      <c r="J990" s="47" t="n"/>
      <c r="K990" s="47" t="n"/>
      <c r="L990" s="47" t="n"/>
    </row>
    <row r="991">
      <c r="A991" s="52">
        <f>row()-1</f>
        <v/>
      </c>
      <c r="B991" s="55" t="n"/>
      <c r="C991" s="47" t="n"/>
      <c r="D991" s="20" t="n"/>
      <c r="E991" s="20" t="n"/>
      <c r="F991" s="47" t="n"/>
      <c r="G991" s="47" t="n"/>
      <c r="H991" s="47" t="n"/>
      <c r="I991" s="47" t="n"/>
      <c r="J991" s="47" t="n"/>
      <c r="K991" s="47" t="n"/>
      <c r="L991" s="47" t="n"/>
    </row>
    <row r="992">
      <c r="A992" s="52">
        <f>row()-1</f>
        <v/>
      </c>
      <c r="B992" s="55" t="n"/>
      <c r="C992" s="47" t="n"/>
      <c r="D992" s="20" t="n"/>
      <c r="E992" s="20" t="n"/>
      <c r="F992" s="47" t="n"/>
      <c r="G992" s="47" t="n"/>
      <c r="H992" s="47" t="n"/>
      <c r="I992" s="47" t="n"/>
      <c r="J992" s="47" t="n"/>
      <c r="K992" s="47" t="n"/>
      <c r="L992" s="47" t="n"/>
    </row>
    <row r="993">
      <c r="A993" s="52">
        <f>row()-1</f>
        <v/>
      </c>
      <c r="B993" s="55" t="n"/>
      <c r="C993" s="47" t="n"/>
      <c r="D993" s="20" t="n"/>
      <c r="E993" s="20" t="n"/>
      <c r="F993" s="47" t="n"/>
      <c r="G993" s="47" t="n"/>
      <c r="H993" s="47" t="n"/>
      <c r="I993" s="47" t="n"/>
      <c r="J993" s="47" t="n"/>
      <c r="K993" s="47" t="n"/>
      <c r="L993" s="47" t="n"/>
    </row>
    <row r="994">
      <c r="A994" s="52">
        <f>row()-1</f>
        <v/>
      </c>
      <c r="B994" s="55" t="n"/>
      <c r="C994" s="47" t="n"/>
      <c r="D994" s="20" t="n"/>
      <c r="E994" s="20" t="n"/>
      <c r="F994" s="47" t="n"/>
      <c r="G994" s="47" t="n"/>
      <c r="H994" s="47" t="n"/>
      <c r="I994" s="47" t="n"/>
      <c r="J994" s="47" t="n"/>
      <c r="K994" s="47" t="n"/>
      <c r="L994" s="47" t="n"/>
    </row>
    <row r="995">
      <c r="A995" s="52">
        <f>row()-1</f>
        <v/>
      </c>
      <c r="B995" s="55" t="n"/>
      <c r="C995" s="47" t="n"/>
      <c r="D995" s="20" t="n"/>
      <c r="E995" s="20" t="n"/>
      <c r="F995" s="47" t="n"/>
      <c r="G995" s="47" t="n"/>
      <c r="H995" s="47" t="n"/>
      <c r="I995" s="47" t="n"/>
      <c r="J995" s="47" t="n"/>
      <c r="K995" s="47" t="n"/>
      <c r="L995" s="47" t="n"/>
    </row>
    <row r="996">
      <c r="A996" s="52">
        <f>row()-1</f>
        <v/>
      </c>
      <c r="B996" s="55" t="n"/>
      <c r="C996" s="47" t="n"/>
      <c r="D996" s="20" t="n"/>
      <c r="E996" s="20" t="n"/>
      <c r="F996" s="47" t="n"/>
      <c r="G996" s="47" t="n"/>
      <c r="H996" s="47" t="n"/>
      <c r="I996" s="47" t="n"/>
      <c r="J996" s="47" t="n"/>
      <c r="K996" s="47" t="n"/>
      <c r="L996" s="47" t="n"/>
    </row>
    <row r="997">
      <c r="A997" s="52">
        <f>row()-1</f>
        <v/>
      </c>
      <c r="B997" s="55" t="n"/>
      <c r="C997" s="47" t="n"/>
      <c r="D997" s="20" t="n"/>
      <c r="E997" s="20" t="n"/>
      <c r="F997" s="47" t="n"/>
      <c r="G997" s="47" t="n"/>
      <c r="H997" s="47" t="n"/>
      <c r="I997" s="47" t="n"/>
      <c r="J997" s="47" t="n"/>
      <c r="K997" s="47" t="n"/>
      <c r="L997" s="47" t="n"/>
    </row>
    <row r="998">
      <c r="A998" s="52">
        <f>row()-1</f>
        <v/>
      </c>
      <c r="B998" s="55" t="n"/>
      <c r="C998" s="47" t="n"/>
      <c r="D998" s="20" t="n"/>
      <c r="E998" s="20" t="n"/>
      <c r="F998" s="47" t="n"/>
      <c r="G998" s="47" t="n"/>
      <c r="H998" s="47" t="n"/>
      <c r="I998" s="47" t="n"/>
      <c r="J998" s="47" t="n"/>
      <c r="K998" s="47" t="n"/>
      <c r="L998" s="47" t="n"/>
    </row>
    <row r="999">
      <c r="A999" s="52">
        <f>row()-1</f>
        <v/>
      </c>
      <c r="B999" s="55" t="n"/>
      <c r="C999" s="47" t="n"/>
      <c r="D999" s="20" t="n"/>
      <c r="E999" s="20" t="n"/>
      <c r="F999" s="47" t="n"/>
      <c r="G999" s="47" t="n"/>
      <c r="H999" s="47" t="n"/>
      <c r="I999" s="47" t="n"/>
      <c r="J999" s="47" t="n"/>
      <c r="K999" s="47" t="n"/>
      <c r="L999" s="47" t="n"/>
    </row>
    <row r="1000">
      <c r="A1000" s="52">
        <f>row()-1</f>
        <v/>
      </c>
      <c r="B1000" s="55" t="n"/>
      <c r="C1000" s="47" t="n"/>
      <c r="D1000" s="20" t="n"/>
      <c r="E1000" s="20" t="n"/>
      <c r="F1000" s="47" t="n"/>
      <c r="G1000" s="47" t="n"/>
      <c r="H1000" s="47" t="n"/>
      <c r="I1000" s="47" t="n"/>
      <c r="J1000" s="47" t="n"/>
      <c r="K1000" s="47" t="n"/>
      <c r="L1000" s="47" t="n"/>
    </row>
    <row r="1001">
      <c r="A1001" s="52">
        <f>row()-1</f>
        <v/>
      </c>
      <c r="B1001" s="55" t="n"/>
      <c r="C1001" s="47" t="n"/>
      <c r="D1001" s="20" t="n"/>
      <c r="E1001" s="20" t="n"/>
      <c r="F1001" s="47" t="n"/>
      <c r="G1001" s="47" t="n"/>
      <c r="H1001" s="47" t="n"/>
      <c r="I1001" s="47" t="n"/>
      <c r="J1001" s="47" t="n"/>
      <c r="K1001" s="47" t="n"/>
      <c r="L1001" s="47" t="n"/>
    </row>
    <row r="1002">
      <c r="A1002" s="52">
        <f>row()-1</f>
        <v/>
      </c>
      <c r="B1002" s="55" t="n"/>
      <c r="C1002" s="47" t="n"/>
      <c r="D1002" s="20" t="n"/>
      <c r="E1002" s="20" t="n"/>
      <c r="F1002" s="47" t="n"/>
      <c r="G1002" s="47" t="n"/>
      <c r="H1002" s="47" t="n"/>
      <c r="I1002" s="47" t="n"/>
      <c r="J1002" s="47" t="n"/>
      <c r="K1002" s="47" t="n"/>
      <c r="L1002" s="47" t="n"/>
    </row>
    <row r="1003">
      <c r="A1003" s="52">
        <f>row()-1</f>
        <v/>
      </c>
      <c r="B1003" s="55" t="n"/>
      <c r="C1003" s="47" t="n"/>
      <c r="D1003" s="20" t="n"/>
      <c r="E1003" s="20" t="n"/>
      <c r="F1003" s="47" t="n"/>
      <c r="G1003" s="47" t="n"/>
      <c r="H1003" s="47" t="n"/>
      <c r="I1003" s="47" t="n"/>
      <c r="J1003" s="47" t="n"/>
      <c r="K1003" s="47" t="n"/>
      <c r="L1003" s="47" t="n"/>
    </row>
    <row r="1004">
      <c r="A1004" s="52">
        <f>row()-1</f>
        <v/>
      </c>
      <c r="B1004" s="55" t="n"/>
      <c r="C1004" s="47" t="n"/>
      <c r="D1004" s="20" t="n"/>
      <c r="E1004" s="20" t="n"/>
      <c r="F1004" s="47" t="n"/>
      <c r="G1004" s="47" t="n"/>
      <c r="H1004" s="47" t="n"/>
      <c r="I1004" s="47" t="n"/>
      <c r="J1004" s="47" t="n"/>
      <c r="K1004" s="47" t="n"/>
      <c r="L1004" s="47" t="n"/>
    </row>
    <row r="1005">
      <c r="A1005" s="52">
        <f>row()-1</f>
        <v/>
      </c>
      <c r="B1005" s="55" t="n"/>
      <c r="C1005" s="47" t="n"/>
      <c r="D1005" s="20" t="n"/>
      <c r="E1005" s="20" t="n"/>
      <c r="F1005" s="47" t="n"/>
      <c r="G1005" s="47" t="n"/>
      <c r="H1005" s="47" t="n"/>
      <c r="I1005" s="47" t="n"/>
      <c r="J1005" s="47" t="n"/>
      <c r="K1005" s="47" t="n"/>
      <c r="L1005" s="47" t="n"/>
    </row>
    <row r="1006">
      <c r="A1006" s="52">
        <f>row()-1</f>
        <v/>
      </c>
      <c r="B1006" s="55" t="n"/>
      <c r="C1006" s="47" t="n"/>
      <c r="D1006" s="20" t="n"/>
      <c r="E1006" s="20" t="n"/>
      <c r="F1006" s="47" t="n"/>
      <c r="G1006" s="47" t="n"/>
      <c r="H1006" s="47" t="n"/>
      <c r="I1006" s="47" t="n"/>
      <c r="J1006" s="47" t="n"/>
      <c r="K1006" s="47" t="n"/>
      <c r="L1006" s="47" t="n"/>
    </row>
    <row r="1007">
      <c r="A1007" s="52">
        <f>row()-1</f>
        <v/>
      </c>
      <c r="B1007" s="55" t="n"/>
      <c r="C1007" s="47" t="n"/>
      <c r="D1007" s="20" t="n"/>
      <c r="E1007" s="20" t="n"/>
      <c r="F1007" s="47" t="n"/>
      <c r="G1007" s="47" t="n"/>
      <c r="H1007" s="47" t="n"/>
      <c r="I1007" s="47" t="n"/>
      <c r="J1007" s="47" t="n"/>
      <c r="K1007" s="47" t="n"/>
      <c r="L1007" s="47" t="n"/>
    </row>
    <row r="1008">
      <c r="A1008" s="52">
        <f>row()-1</f>
        <v/>
      </c>
      <c r="B1008" s="55" t="n"/>
      <c r="C1008" s="47" t="n"/>
      <c r="D1008" s="20" t="n"/>
      <c r="E1008" s="20" t="n"/>
      <c r="F1008" s="47" t="n"/>
      <c r="G1008" s="47" t="n"/>
      <c r="H1008" s="47" t="n"/>
      <c r="I1008" s="47" t="n"/>
      <c r="J1008" s="47" t="n"/>
      <c r="K1008" s="47" t="n"/>
      <c r="L1008" s="47" t="n"/>
    </row>
    <row r="1009">
      <c r="A1009" s="52">
        <f>row()-1</f>
        <v/>
      </c>
      <c r="B1009" s="55" t="n"/>
      <c r="C1009" s="47" t="n"/>
      <c r="D1009" s="20" t="n"/>
      <c r="E1009" s="20" t="n"/>
      <c r="F1009" s="47" t="n"/>
      <c r="G1009" s="47" t="n"/>
      <c r="H1009" s="47" t="n"/>
      <c r="I1009" s="47" t="n"/>
      <c r="J1009" s="47" t="n"/>
      <c r="K1009" s="47" t="n"/>
      <c r="L1009" s="47" t="n"/>
    </row>
    <row r="1010">
      <c r="A1010" s="52">
        <f>row()-1</f>
        <v/>
      </c>
      <c r="B1010" s="55" t="n"/>
      <c r="C1010" s="47" t="n"/>
      <c r="D1010" s="20" t="n"/>
      <c r="E1010" s="20" t="n"/>
      <c r="F1010" s="47" t="n"/>
      <c r="G1010" s="47" t="n"/>
      <c r="H1010" s="47" t="n"/>
      <c r="I1010" s="47" t="n"/>
      <c r="J1010" s="47" t="n"/>
      <c r="K1010" s="47" t="n"/>
      <c r="L1010" s="47" t="n"/>
    </row>
    <row r="1011">
      <c r="A1011" s="52">
        <f>row()-1</f>
        <v/>
      </c>
      <c r="B1011" s="55" t="n"/>
      <c r="C1011" s="47" t="n"/>
      <c r="D1011" s="20" t="n"/>
      <c r="E1011" s="20" t="n"/>
      <c r="F1011" s="47" t="n"/>
      <c r="G1011" s="47" t="n"/>
      <c r="H1011" s="47" t="n"/>
      <c r="I1011" s="47" t="n"/>
      <c r="J1011" s="47" t="n"/>
      <c r="K1011" s="47" t="n"/>
      <c r="L1011" s="47" t="n"/>
    </row>
    <row r="1012">
      <c r="A1012" s="52">
        <f>row()-1</f>
        <v/>
      </c>
      <c r="B1012" s="55" t="n"/>
      <c r="C1012" s="47" t="n"/>
      <c r="D1012" s="20" t="n"/>
      <c r="E1012" s="20" t="n"/>
      <c r="F1012" s="47" t="n"/>
      <c r="G1012" s="47" t="n"/>
      <c r="H1012" s="47" t="n"/>
      <c r="I1012" s="47" t="n"/>
      <c r="J1012" s="47" t="n"/>
      <c r="K1012" s="47" t="n"/>
      <c r="L1012" s="47" t="n"/>
    </row>
    <row r="1013">
      <c r="A1013" s="52">
        <f>row()-1</f>
        <v/>
      </c>
      <c r="B1013" s="55" t="n"/>
      <c r="C1013" s="47" t="n"/>
      <c r="D1013" s="20" t="n"/>
      <c r="E1013" s="20" t="n"/>
      <c r="F1013" s="47" t="n"/>
      <c r="G1013" s="47" t="n"/>
      <c r="H1013" s="47" t="n"/>
      <c r="I1013" s="47" t="n"/>
      <c r="J1013" s="47" t="n"/>
      <c r="K1013" s="47" t="n"/>
      <c r="L1013" s="47" t="n"/>
    </row>
    <row r="1014">
      <c r="A1014" s="52">
        <f>row()-1</f>
        <v/>
      </c>
      <c r="B1014" s="55" t="n"/>
      <c r="C1014" s="47" t="n"/>
      <c r="D1014" s="20" t="n"/>
      <c r="E1014" s="20" t="n"/>
      <c r="F1014" s="47" t="n"/>
      <c r="G1014" s="47" t="n"/>
      <c r="H1014" s="47" t="n"/>
      <c r="I1014" s="47" t="n"/>
      <c r="J1014" s="47" t="n"/>
      <c r="K1014" s="47" t="n"/>
      <c r="L1014" s="47" t="n"/>
    </row>
    <row r="1015">
      <c r="A1015" s="52">
        <f>row()-1</f>
        <v/>
      </c>
      <c r="B1015" s="55" t="n"/>
      <c r="C1015" s="47" t="n"/>
      <c r="D1015" s="20" t="n"/>
      <c r="E1015" s="20" t="n"/>
      <c r="F1015" s="47" t="n"/>
      <c r="G1015" s="47" t="n"/>
      <c r="H1015" s="47" t="n"/>
      <c r="I1015" s="47" t="n"/>
      <c r="J1015" s="47" t="n"/>
      <c r="K1015" s="47" t="n"/>
      <c r="L1015" s="47" t="n"/>
    </row>
    <row r="1016">
      <c r="A1016" s="52">
        <f>row()-1</f>
        <v/>
      </c>
      <c r="B1016" s="55" t="n"/>
      <c r="C1016" s="47" t="n"/>
      <c r="D1016" s="20" t="n"/>
      <c r="E1016" s="20" t="n"/>
      <c r="F1016" s="47" t="n"/>
      <c r="G1016" s="47" t="n"/>
      <c r="H1016" s="47" t="n"/>
      <c r="I1016" s="47" t="n"/>
      <c r="J1016" s="47" t="n"/>
      <c r="K1016" s="47" t="n"/>
      <c r="L1016" s="47" t="n"/>
    </row>
    <row r="1017">
      <c r="A1017" s="52">
        <f>row()-1</f>
        <v/>
      </c>
      <c r="B1017" s="55" t="n"/>
      <c r="C1017" s="47" t="n"/>
      <c r="D1017" s="20" t="n"/>
      <c r="E1017" s="20" t="n"/>
      <c r="F1017" s="47" t="n"/>
      <c r="G1017" s="47" t="n"/>
      <c r="H1017" s="47" t="n"/>
      <c r="I1017" s="47" t="n"/>
      <c r="J1017" s="47" t="n"/>
      <c r="K1017" s="47" t="n"/>
      <c r="L1017" s="47" t="n"/>
    </row>
    <row r="1018">
      <c r="A1018" s="52">
        <f>row()-1</f>
        <v/>
      </c>
      <c r="B1018" s="55" t="n"/>
      <c r="C1018" s="47" t="n"/>
      <c r="D1018" s="20" t="n"/>
      <c r="E1018" s="20" t="n"/>
      <c r="F1018" s="47" t="n"/>
      <c r="G1018" s="47" t="n"/>
      <c r="H1018" s="47" t="n"/>
      <c r="I1018" s="47" t="n"/>
      <c r="J1018" s="47" t="n"/>
      <c r="K1018" s="47" t="n"/>
      <c r="L1018" s="47" t="n"/>
    </row>
    <row r="1019">
      <c r="A1019" s="52">
        <f>row()-1</f>
        <v/>
      </c>
      <c r="B1019" s="55" t="n"/>
      <c r="C1019" s="47" t="n"/>
      <c r="D1019" s="20" t="n"/>
      <c r="E1019" s="20" t="n"/>
      <c r="F1019" s="47" t="n"/>
      <c r="G1019" s="47" t="n"/>
      <c r="H1019" s="47" t="n"/>
      <c r="I1019" s="47" t="n"/>
      <c r="J1019" s="47" t="n"/>
      <c r="K1019" s="47" t="n"/>
      <c r="L1019" s="47" t="n"/>
    </row>
    <row r="1020">
      <c r="A1020" s="52">
        <f>row()-1</f>
        <v/>
      </c>
      <c r="B1020" s="55" t="n"/>
      <c r="C1020" s="47" t="n"/>
      <c r="D1020" s="20" t="n"/>
      <c r="E1020" s="20" t="n"/>
      <c r="F1020" s="47" t="n"/>
      <c r="G1020" s="47" t="n"/>
      <c r="H1020" s="47" t="n"/>
      <c r="I1020" s="47" t="n"/>
      <c r="J1020" s="47" t="n"/>
      <c r="K1020" s="47" t="n"/>
      <c r="L1020" s="47" t="n"/>
    </row>
    <row r="1021">
      <c r="A1021" s="52">
        <f>row()-1</f>
        <v/>
      </c>
      <c r="B1021" s="55" t="n"/>
      <c r="C1021" s="47" t="n"/>
      <c r="D1021" s="20" t="n"/>
      <c r="E1021" s="20" t="n"/>
      <c r="F1021" s="47" t="n"/>
      <c r="G1021" s="47" t="n"/>
      <c r="H1021" s="47" t="n"/>
      <c r="I1021" s="47" t="n"/>
      <c r="J1021" s="47" t="n"/>
      <c r="K1021" s="47" t="n"/>
      <c r="L1021" s="47" t="n"/>
    </row>
    <row r="1022">
      <c r="A1022" s="52">
        <f>row()-1</f>
        <v/>
      </c>
      <c r="B1022" s="55" t="n"/>
      <c r="C1022" s="47" t="n"/>
      <c r="D1022" s="20" t="n"/>
      <c r="E1022" s="20" t="n"/>
      <c r="F1022" s="47" t="n"/>
      <c r="G1022" s="47" t="n"/>
      <c r="H1022" s="47" t="n"/>
      <c r="I1022" s="47" t="n"/>
      <c r="J1022" s="47" t="n"/>
      <c r="K1022" s="47" t="n"/>
      <c r="L1022" s="47" t="n"/>
    </row>
    <row r="1023">
      <c r="A1023" s="52">
        <f>row()-1</f>
        <v/>
      </c>
      <c r="B1023" s="55" t="n"/>
      <c r="C1023" s="47" t="n"/>
      <c r="D1023" s="20" t="n"/>
      <c r="E1023" s="20" t="n"/>
      <c r="F1023" s="47" t="n"/>
      <c r="G1023" s="47" t="n"/>
      <c r="H1023" s="47" t="n"/>
      <c r="I1023" s="47" t="n"/>
      <c r="J1023" s="47" t="n"/>
      <c r="K1023" s="47" t="n"/>
      <c r="L1023" s="47" t="n"/>
    </row>
    <row r="1024">
      <c r="A1024" s="52">
        <f>row()-1</f>
        <v/>
      </c>
      <c r="B1024" s="55" t="n"/>
      <c r="C1024" s="47" t="n"/>
      <c r="D1024" s="20" t="n"/>
      <c r="E1024" s="20" t="n"/>
      <c r="F1024" s="47" t="n"/>
      <c r="G1024" s="47" t="n"/>
      <c r="H1024" s="47" t="n"/>
      <c r="I1024" s="47" t="n"/>
      <c r="J1024" s="47" t="n"/>
      <c r="K1024" s="47" t="n"/>
      <c r="L1024" s="47" t="n"/>
    </row>
    <row r="1025">
      <c r="A1025" s="52">
        <f>row()-1</f>
        <v/>
      </c>
      <c r="B1025" s="55" t="n"/>
      <c r="C1025" s="47" t="n"/>
      <c r="D1025" s="20" t="n"/>
      <c r="E1025" s="20" t="n"/>
      <c r="F1025" s="47" t="n"/>
      <c r="G1025" s="47" t="n"/>
      <c r="H1025" s="47" t="n"/>
      <c r="I1025" s="47" t="n"/>
      <c r="J1025" s="47" t="n"/>
      <c r="K1025" s="47" t="n"/>
      <c r="L1025" s="47" t="n"/>
    </row>
    <row r="1026">
      <c r="A1026" s="52">
        <f>row()-1</f>
        <v/>
      </c>
      <c r="B1026" s="55" t="n"/>
      <c r="C1026" s="47" t="n"/>
      <c r="D1026" s="20" t="n"/>
      <c r="E1026" s="20" t="n"/>
      <c r="F1026" s="47" t="n"/>
      <c r="G1026" s="47" t="n"/>
      <c r="H1026" s="47" t="n"/>
      <c r="I1026" s="47" t="n"/>
      <c r="J1026" s="47" t="n"/>
      <c r="K1026" s="47" t="n"/>
      <c r="L1026" s="47" t="n"/>
    </row>
    <row r="1027">
      <c r="A1027" s="52">
        <f>row()-1</f>
        <v/>
      </c>
      <c r="B1027" s="55" t="n"/>
      <c r="C1027" s="47" t="n"/>
      <c r="D1027" s="20" t="n"/>
      <c r="E1027" s="20" t="n"/>
      <c r="F1027" s="47" t="n"/>
      <c r="G1027" s="47" t="n"/>
      <c r="H1027" s="47" t="n"/>
      <c r="I1027" s="47" t="n"/>
      <c r="J1027" s="47" t="n"/>
      <c r="K1027" s="47" t="n"/>
      <c r="L1027" s="47" t="n"/>
    </row>
    <row r="1028">
      <c r="A1028" s="52">
        <f>row()-1</f>
        <v/>
      </c>
      <c r="B1028" s="55" t="n"/>
      <c r="C1028" s="47" t="n"/>
      <c r="D1028" s="20" t="n"/>
      <c r="E1028" s="20" t="n"/>
      <c r="F1028" s="47" t="n"/>
      <c r="G1028" s="47" t="n"/>
      <c r="H1028" s="47" t="n"/>
      <c r="I1028" s="47" t="n"/>
      <c r="J1028" s="47" t="n"/>
      <c r="K1028" s="47" t="n"/>
      <c r="L1028" s="47" t="n"/>
    </row>
    <row r="1029">
      <c r="A1029" s="52">
        <f>row()-1</f>
        <v/>
      </c>
      <c r="B1029" s="55" t="n"/>
      <c r="C1029" s="47" t="n"/>
      <c r="D1029" s="20" t="n"/>
      <c r="E1029" s="20" t="n"/>
      <c r="F1029" s="47" t="n"/>
      <c r="G1029" s="47" t="n"/>
      <c r="H1029" s="47" t="n"/>
      <c r="I1029" s="47" t="n"/>
      <c r="J1029" s="47" t="n"/>
      <c r="K1029" s="47" t="n"/>
      <c r="L1029" s="47" t="n"/>
    </row>
    <row r="1030">
      <c r="A1030" s="52">
        <f>row()-1</f>
        <v/>
      </c>
      <c r="B1030" s="55" t="n"/>
      <c r="C1030" s="47" t="n"/>
      <c r="D1030" s="20" t="n"/>
      <c r="E1030" s="20" t="n"/>
      <c r="F1030" s="47" t="n"/>
      <c r="G1030" s="47" t="n"/>
      <c r="H1030" s="47" t="n"/>
      <c r="I1030" s="47" t="n"/>
      <c r="J1030" s="47" t="n"/>
      <c r="K1030" s="47" t="n"/>
      <c r="L1030" s="47" t="n"/>
    </row>
    <row r="1031">
      <c r="A1031" s="52">
        <f>row()-1</f>
        <v/>
      </c>
      <c r="B1031" s="55" t="n"/>
      <c r="C1031" s="47" t="n"/>
      <c r="D1031" s="20" t="n"/>
      <c r="E1031" s="20" t="n"/>
      <c r="F1031" s="47" t="n"/>
      <c r="G1031" s="47" t="n"/>
      <c r="H1031" s="47" t="n"/>
      <c r="I1031" s="47" t="n"/>
      <c r="J1031" s="47" t="n"/>
      <c r="K1031" s="47" t="n"/>
      <c r="L1031" s="47" t="n"/>
    </row>
    <row r="1032">
      <c r="A1032" s="52">
        <f>row()-1</f>
        <v/>
      </c>
      <c r="B1032" s="55" t="n"/>
      <c r="C1032" s="47" t="n"/>
      <c r="D1032" s="20" t="n"/>
      <c r="E1032" s="20" t="n"/>
      <c r="F1032" s="47" t="n"/>
      <c r="G1032" s="47" t="n"/>
      <c r="H1032" s="47" t="n"/>
      <c r="I1032" s="47" t="n"/>
      <c r="J1032" s="47" t="n"/>
      <c r="K1032" s="47" t="n"/>
      <c r="L1032" s="47" t="n"/>
    </row>
    <row r="1033">
      <c r="A1033" s="52">
        <f>row()-1</f>
        <v/>
      </c>
      <c r="B1033" s="55" t="n"/>
      <c r="C1033" s="47" t="n"/>
      <c r="D1033" s="20" t="n"/>
      <c r="E1033" s="20" t="n"/>
      <c r="F1033" s="47" t="n"/>
      <c r="G1033" s="47" t="n"/>
      <c r="H1033" s="47" t="n"/>
      <c r="I1033" s="47" t="n"/>
      <c r="J1033" s="47" t="n"/>
      <c r="K1033" s="47" t="n"/>
      <c r="L1033" s="47" t="n"/>
    </row>
    <row r="1034">
      <c r="A1034" s="52">
        <f>row()-1</f>
        <v/>
      </c>
      <c r="B1034" s="55" t="n"/>
      <c r="C1034" s="47" t="n"/>
      <c r="D1034" s="20" t="n"/>
      <c r="E1034" s="20" t="n"/>
      <c r="F1034" s="47" t="n"/>
      <c r="G1034" s="47" t="n"/>
      <c r="H1034" s="47" t="n"/>
      <c r="I1034" s="47" t="n"/>
      <c r="J1034" s="47" t="n"/>
      <c r="K1034" s="47" t="n"/>
      <c r="L1034" s="47" t="n"/>
    </row>
    <row r="1035">
      <c r="A1035" s="52">
        <f>row()-1</f>
        <v/>
      </c>
      <c r="B1035" s="55" t="n"/>
      <c r="C1035" s="47" t="n"/>
      <c r="D1035" s="20" t="n"/>
      <c r="E1035" s="20" t="n"/>
      <c r="F1035" s="47" t="n"/>
      <c r="G1035" s="47" t="n"/>
      <c r="H1035" s="47" t="n"/>
      <c r="I1035" s="47" t="n"/>
      <c r="J1035" s="47" t="n"/>
      <c r="K1035" s="47" t="n"/>
      <c r="L1035" s="47" t="n"/>
    </row>
    <row r="1036">
      <c r="A1036" s="52">
        <f>row()-1</f>
        <v/>
      </c>
      <c r="B1036" s="55" t="n"/>
      <c r="C1036" s="47" t="n"/>
      <c r="D1036" s="20" t="n"/>
      <c r="E1036" s="20" t="n"/>
      <c r="F1036" s="47" t="n"/>
      <c r="G1036" s="47" t="n"/>
      <c r="H1036" s="47" t="n"/>
      <c r="I1036" s="47" t="n"/>
      <c r="J1036" s="47" t="n"/>
      <c r="K1036" s="47" t="n"/>
      <c r="L1036" s="47" t="n"/>
    </row>
    <row r="1037">
      <c r="A1037" s="52">
        <f>row()-1</f>
        <v/>
      </c>
      <c r="B1037" s="55" t="n"/>
      <c r="C1037" s="47" t="n"/>
      <c r="D1037" s="20" t="n"/>
      <c r="E1037" s="20" t="n"/>
      <c r="F1037" s="47" t="n"/>
      <c r="G1037" s="47" t="n"/>
      <c r="H1037" s="47" t="n"/>
      <c r="I1037" s="47" t="n"/>
      <c r="J1037" s="47" t="n"/>
      <c r="K1037" s="47" t="n"/>
      <c r="L1037" s="47" t="n"/>
    </row>
    <row r="1038">
      <c r="A1038" s="52">
        <f>row()-1</f>
        <v/>
      </c>
      <c r="B1038" s="55" t="n"/>
      <c r="C1038" s="47" t="n"/>
      <c r="D1038" s="20" t="n"/>
      <c r="E1038" s="20" t="n"/>
      <c r="F1038" s="47" t="n"/>
      <c r="G1038" s="47" t="n"/>
      <c r="H1038" s="47" t="n"/>
      <c r="I1038" s="47" t="n"/>
      <c r="J1038" s="47" t="n"/>
      <c r="K1038" s="47" t="n"/>
      <c r="L1038" s="47" t="n"/>
    </row>
    <row r="1039">
      <c r="A1039" s="52">
        <f>row()-1</f>
        <v/>
      </c>
      <c r="B1039" s="55" t="n"/>
      <c r="C1039" s="47" t="n"/>
      <c r="D1039" s="20" t="n"/>
      <c r="E1039" s="20" t="n"/>
      <c r="F1039" s="47" t="n"/>
      <c r="G1039" s="47" t="n"/>
      <c r="H1039" s="47" t="n"/>
      <c r="I1039" s="47" t="n"/>
      <c r="J1039" s="47" t="n"/>
      <c r="K1039" s="47" t="n"/>
      <c r="L1039" s="47" t="n"/>
    </row>
    <row r="1040">
      <c r="A1040" s="52">
        <f>row()-1</f>
        <v/>
      </c>
      <c r="B1040" s="55" t="n"/>
      <c r="C1040" s="47" t="n"/>
      <c r="D1040" s="20" t="n"/>
      <c r="E1040" s="20" t="n"/>
      <c r="F1040" s="47" t="n"/>
      <c r="G1040" s="47" t="n"/>
      <c r="H1040" s="47" t="n"/>
      <c r="I1040" s="47" t="n"/>
      <c r="J1040" s="47" t="n"/>
      <c r="K1040" s="47" t="n"/>
      <c r="L1040" s="47" t="n"/>
    </row>
    <row r="1041">
      <c r="A1041" s="52">
        <f>row()-1</f>
        <v/>
      </c>
      <c r="B1041" s="55" t="n"/>
      <c r="C1041" s="47" t="n"/>
      <c r="D1041" s="20" t="n"/>
      <c r="E1041" s="20" t="n"/>
      <c r="F1041" s="47" t="n"/>
      <c r="G1041" s="47" t="n"/>
      <c r="H1041" s="47" t="n"/>
      <c r="I1041" s="47" t="n"/>
      <c r="J1041" s="47" t="n"/>
      <c r="K1041" s="47" t="n"/>
      <c r="L1041" s="47" t="n"/>
    </row>
    <row r="1042">
      <c r="A1042" s="52">
        <f>row()-1</f>
        <v/>
      </c>
      <c r="B1042" s="55" t="n"/>
      <c r="C1042" s="47" t="n"/>
      <c r="D1042" s="20" t="n"/>
      <c r="E1042" s="20" t="n"/>
      <c r="F1042" s="47" t="n"/>
      <c r="G1042" s="47" t="n"/>
      <c r="H1042" s="47" t="n"/>
      <c r="I1042" s="47" t="n"/>
      <c r="J1042" s="47" t="n"/>
      <c r="K1042" s="47" t="n"/>
      <c r="L1042" s="47" t="n"/>
    </row>
    <row r="1043">
      <c r="A1043" s="52">
        <f>row()-1</f>
        <v/>
      </c>
      <c r="B1043" s="55" t="n"/>
      <c r="C1043" s="47" t="n"/>
      <c r="D1043" s="20" t="n"/>
      <c r="E1043" s="20" t="n"/>
      <c r="F1043" s="47" t="n"/>
      <c r="G1043" s="47" t="n"/>
      <c r="H1043" s="47" t="n"/>
      <c r="I1043" s="47" t="n"/>
      <c r="J1043" s="47" t="n"/>
      <c r="K1043" s="47" t="n"/>
      <c r="L1043" s="47" t="n"/>
    </row>
    <row r="1044">
      <c r="A1044" s="52">
        <f>row()-1</f>
        <v/>
      </c>
      <c r="B1044" s="55" t="n"/>
      <c r="C1044" s="47" t="n"/>
      <c r="D1044" s="20" t="n"/>
      <c r="E1044" s="20" t="n"/>
      <c r="F1044" s="47" t="n"/>
      <c r="G1044" s="47" t="n"/>
      <c r="H1044" s="47" t="n"/>
      <c r="I1044" s="47" t="n"/>
      <c r="J1044" s="47" t="n"/>
      <c r="K1044" s="47" t="n"/>
      <c r="L1044" s="47" t="n"/>
    </row>
    <row r="1045">
      <c r="A1045" s="52">
        <f>row()-1</f>
        <v/>
      </c>
      <c r="B1045" s="55" t="n"/>
      <c r="C1045" s="47" t="n"/>
      <c r="D1045" s="20" t="n"/>
      <c r="E1045" s="20" t="n"/>
      <c r="F1045" s="47" t="n"/>
      <c r="G1045" s="47" t="n"/>
      <c r="H1045" s="47" t="n"/>
      <c r="I1045" s="47" t="n"/>
      <c r="J1045" s="47" t="n"/>
      <c r="K1045" s="47" t="n"/>
      <c r="L1045" s="47" t="n"/>
    </row>
    <row r="1046">
      <c r="A1046" s="52">
        <f>row()-1</f>
        <v/>
      </c>
      <c r="B1046" s="55" t="n"/>
      <c r="C1046" s="47" t="n"/>
      <c r="D1046" s="20" t="n"/>
      <c r="E1046" s="20" t="n"/>
      <c r="F1046" s="47" t="n"/>
      <c r="G1046" s="47" t="n"/>
      <c r="H1046" s="47" t="n"/>
      <c r="I1046" s="47" t="n"/>
      <c r="J1046" s="47" t="n"/>
      <c r="K1046" s="47" t="n"/>
      <c r="L1046" s="47" t="n"/>
    </row>
    <row r="1047">
      <c r="A1047" s="52">
        <f>row()-1</f>
        <v/>
      </c>
      <c r="B1047" s="55" t="n"/>
      <c r="C1047" s="47" t="n"/>
      <c r="D1047" s="20" t="n"/>
      <c r="E1047" s="20" t="n"/>
      <c r="F1047" s="47" t="n"/>
      <c r="G1047" s="47" t="n"/>
      <c r="H1047" s="47" t="n"/>
      <c r="I1047" s="47" t="n"/>
      <c r="J1047" s="47" t="n"/>
      <c r="K1047" s="47" t="n"/>
      <c r="L1047" s="47" t="n"/>
    </row>
    <row r="1048">
      <c r="A1048" s="52">
        <f>row()-1</f>
        <v/>
      </c>
      <c r="B1048" s="55" t="n"/>
      <c r="C1048" s="47" t="n"/>
      <c r="D1048" s="20" t="n"/>
      <c r="E1048" s="20" t="n"/>
      <c r="F1048" s="47" t="n"/>
      <c r="G1048" s="47" t="n"/>
      <c r="H1048" s="47" t="n"/>
      <c r="I1048" s="47" t="n"/>
      <c r="J1048" s="47" t="n"/>
      <c r="K1048" s="47" t="n"/>
      <c r="L1048" s="47" t="n"/>
    </row>
    <row r="1049">
      <c r="A1049" s="52">
        <f>row()-1</f>
        <v/>
      </c>
      <c r="B1049" s="55" t="n"/>
      <c r="C1049" s="47" t="n"/>
      <c r="D1049" s="20" t="n"/>
      <c r="E1049" s="20" t="n"/>
      <c r="F1049" s="47" t="n"/>
      <c r="G1049" s="47" t="n"/>
      <c r="H1049" s="47" t="n"/>
      <c r="I1049" s="47" t="n"/>
      <c r="J1049" s="47" t="n"/>
      <c r="K1049" s="47" t="n"/>
      <c r="L1049" s="47" t="n"/>
    </row>
    <row r="1050">
      <c r="A1050" s="52">
        <f>row()-1</f>
        <v/>
      </c>
      <c r="B1050" s="55" t="n"/>
      <c r="C1050" s="47" t="n"/>
      <c r="D1050" s="20" t="n"/>
      <c r="E1050" s="20" t="n"/>
      <c r="F1050" s="47" t="n"/>
      <c r="G1050" s="47" t="n"/>
      <c r="H1050" s="47" t="n"/>
      <c r="I1050" s="47" t="n"/>
      <c r="J1050" s="47" t="n"/>
      <c r="K1050" s="47" t="n"/>
      <c r="L1050" s="47" t="n"/>
    </row>
    <row r="1051">
      <c r="A1051" s="52">
        <f>row()-1</f>
        <v/>
      </c>
      <c r="B1051" s="55" t="n"/>
      <c r="C1051" s="47" t="n"/>
      <c r="D1051" s="20" t="n"/>
      <c r="E1051" s="20" t="n"/>
      <c r="F1051" s="47" t="n"/>
      <c r="G1051" s="47" t="n"/>
      <c r="H1051" s="47" t="n"/>
      <c r="I1051" s="47" t="n"/>
      <c r="J1051" s="47" t="n"/>
      <c r="K1051" s="47" t="n"/>
      <c r="L1051" s="47" t="n"/>
    </row>
    <row r="1052">
      <c r="A1052" s="52">
        <f>row()-1</f>
        <v/>
      </c>
      <c r="B1052" s="55" t="n"/>
      <c r="C1052" s="47" t="n"/>
      <c r="D1052" s="20" t="n"/>
      <c r="E1052" s="20" t="n"/>
      <c r="F1052" s="47" t="n"/>
      <c r="G1052" s="47" t="n"/>
      <c r="H1052" s="47" t="n"/>
      <c r="I1052" s="47" t="n"/>
      <c r="J1052" s="47" t="n"/>
      <c r="K1052" s="47" t="n"/>
      <c r="L1052" s="47" t="n"/>
    </row>
    <row r="1053">
      <c r="A1053" s="52">
        <f>row()-1</f>
        <v/>
      </c>
      <c r="B1053" s="55" t="n"/>
      <c r="C1053" s="47" t="n"/>
      <c r="D1053" s="20" t="n"/>
      <c r="E1053" s="20" t="n"/>
      <c r="F1053" s="47" t="n"/>
      <c r="G1053" s="47" t="n"/>
      <c r="H1053" s="47" t="n"/>
      <c r="I1053" s="47" t="n"/>
      <c r="J1053" s="47" t="n"/>
      <c r="K1053" s="47" t="n"/>
      <c r="L1053" s="47" t="n"/>
    </row>
    <row r="1054">
      <c r="A1054" s="52">
        <f>row()-1</f>
        <v/>
      </c>
      <c r="B1054" s="55" t="n"/>
      <c r="C1054" s="47" t="n"/>
      <c r="D1054" s="20" t="n"/>
      <c r="E1054" s="20" t="n"/>
      <c r="F1054" s="47" t="n"/>
      <c r="G1054" s="47" t="n"/>
      <c r="H1054" s="47" t="n"/>
      <c r="I1054" s="47" t="n"/>
      <c r="J1054" s="47" t="n"/>
      <c r="K1054" s="47" t="n"/>
      <c r="L1054" s="47" t="n"/>
    </row>
    <row r="1055">
      <c r="A1055" s="52">
        <f>row()-1</f>
        <v/>
      </c>
      <c r="B1055" s="55" t="n"/>
      <c r="C1055" s="47" t="n"/>
      <c r="D1055" s="20" t="n"/>
      <c r="E1055" s="20" t="n"/>
      <c r="F1055" s="47" t="n"/>
      <c r="G1055" s="47" t="n"/>
      <c r="H1055" s="47" t="n"/>
      <c r="I1055" s="47" t="n"/>
      <c r="J1055" s="47" t="n"/>
      <c r="K1055" s="47" t="n"/>
      <c r="L1055" s="47" t="n"/>
    </row>
    <row r="1056">
      <c r="A1056" s="52">
        <f>row()-1</f>
        <v/>
      </c>
      <c r="B1056" s="55" t="n"/>
      <c r="C1056" s="47" t="n"/>
      <c r="D1056" s="20" t="n"/>
      <c r="E1056" s="20" t="n"/>
      <c r="F1056" s="47" t="n"/>
      <c r="G1056" s="47" t="n"/>
      <c r="H1056" s="47" t="n"/>
      <c r="I1056" s="47" t="n"/>
      <c r="J1056" s="47" t="n"/>
      <c r="K1056" s="47" t="n"/>
      <c r="L1056" s="47" t="n"/>
    </row>
    <row r="1057">
      <c r="A1057" s="52">
        <f>row()-1</f>
        <v/>
      </c>
      <c r="B1057" s="55" t="n"/>
      <c r="C1057" s="47" t="n"/>
      <c r="D1057" s="20" t="n"/>
      <c r="E1057" s="20" t="n"/>
      <c r="F1057" s="47" t="n"/>
      <c r="G1057" s="47" t="n"/>
      <c r="H1057" s="47" t="n"/>
      <c r="I1057" s="47" t="n"/>
      <c r="J1057" s="47" t="n"/>
      <c r="K1057" s="47" t="n"/>
      <c r="L1057" s="47" t="n"/>
    </row>
    <row r="1058">
      <c r="A1058" s="52">
        <f>row()-1</f>
        <v/>
      </c>
      <c r="B1058" s="55" t="n"/>
      <c r="C1058" s="47" t="n"/>
      <c r="D1058" s="20" t="n"/>
      <c r="E1058" s="20" t="n"/>
      <c r="F1058" s="47" t="n"/>
      <c r="G1058" s="47" t="n"/>
      <c r="H1058" s="47" t="n"/>
      <c r="I1058" s="47" t="n"/>
      <c r="J1058" s="47" t="n"/>
      <c r="K1058" s="47" t="n"/>
      <c r="L1058" s="47" t="n"/>
    </row>
    <row r="1059">
      <c r="A1059" s="52">
        <f>row()-1</f>
        <v/>
      </c>
      <c r="B1059" s="55" t="n"/>
      <c r="C1059" s="47" t="n"/>
      <c r="D1059" s="20" t="n"/>
      <c r="E1059" s="20" t="n"/>
      <c r="F1059" s="47" t="n"/>
      <c r="G1059" s="47" t="n"/>
      <c r="H1059" s="47" t="n"/>
      <c r="I1059" s="47" t="n"/>
      <c r="J1059" s="47" t="n"/>
      <c r="K1059" s="47" t="n"/>
      <c r="L1059" s="47" t="n"/>
    </row>
    <row r="1060">
      <c r="A1060" s="52">
        <f>row()-1</f>
        <v/>
      </c>
      <c r="B1060" s="55" t="n"/>
      <c r="C1060" s="47" t="n"/>
      <c r="D1060" s="20" t="n"/>
      <c r="E1060" s="20" t="n"/>
      <c r="F1060" s="47" t="n"/>
      <c r="G1060" s="47" t="n"/>
      <c r="H1060" s="47" t="n"/>
      <c r="I1060" s="47" t="n"/>
      <c r="J1060" s="47" t="n"/>
      <c r="K1060" s="47" t="n"/>
      <c r="L1060" s="47" t="n"/>
    </row>
    <row r="1061">
      <c r="A1061" s="52">
        <f>row()-1</f>
        <v/>
      </c>
      <c r="B1061" s="55" t="n"/>
      <c r="C1061" s="47" t="n"/>
      <c r="D1061" s="20" t="n"/>
      <c r="E1061" s="20" t="n"/>
      <c r="F1061" s="47" t="n"/>
      <c r="G1061" s="47" t="n"/>
      <c r="H1061" s="47" t="n"/>
      <c r="I1061" s="47" t="n"/>
      <c r="J1061" s="47" t="n"/>
      <c r="K1061" s="47" t="n"/>
      <c r="L1061" s="47" t="n"/>
    </row>
    <row r="1062">
      <c r="A1062" s="52">
        <f>row()-1</f>
        <v/>
      </c>
      <c r="B1062" s="55" t="n"/>
      <c r="C1062" s="47" t="n"/>
      <c r="D1062" s="20" t="n"/>
      <c r="E1062" s="20" t="n"/>
      <c r="F1062" s="47" t="n"/>
      <c r="G1062" s="47" t="n"/>
      <c r="H1062" s="47" t="n"/>
      <c r="I1062" s="47" t="n"/>
      <c r="J1062" s="47" t="n"/>
      <c r="K1062" s="47" t="n"/>
      <c r="L1062" s="47" t="n"/>
    </row>
    <row r="1063">
      <c r="A1063" s="52">
        <f>row()-1</f>
        <v/>
      </c>
      <c r="B1063" s="55" t="n"/>
      <c r="C1063" s="47" t="n"/>
      <c r="D1063" s="20" t="n"/>
      <c r="E1063" s="20" t="n"/>
      <c r="F1063" s="47" t="n"/>
      <c r="G1063" s="47" t="n"/>
      <c r="H1063" s="47" t="n"/>
      <c r="I1063" s="47" t="n"/>
      <c r="J1063" s="47" t="n"/>
      <c r="K1063" s="47" t="n"/>
      <c r="L1063" s="47" t="n"/>
    </row>
    <row r="1064">
      <c r="A1064" s="52">
        <f>row()-1</f>
        <v/>
      </c>
      <c r="B1064" s="55" t="n"/>
      <c r="C1064" s="47" t="n"/>
      <c r="D1064" s="20" t="n"/>
      <c r="E1064" s="20" t="n"/>
      <c r="F1064" s="47" t="n"/>
      <c r="G1064" s="47" t="n"/>
      <c r="H1064" s="47" t="n"/>
      <c r="I1064" s="47" t="n"/>
      <c r="J1064" s="47" t="n"/>
      <c r="K1064" s="47" t="n"/>
      <c r="L1064" s="47" t="n"/>
    </row>
    <row r="1065">
      <c r="A1065" s="52">
        <f>row()-1</f>
        <v/>
      </c>
      <c r="B1065" s="55" t="n"/>
      <c r="C1065" s="47" t="n"/>
      <c r="D1065" s="20" t="n"/>
      <c r="E1065" s="20" t="n"/>
      <c r="F1065" s="47" t="n"/>
      <c r="G1065" s="47" t="n"/>
      <c r="H1065" s="47" t="n"/>
      <c r="I1065" s="47" t="n"/>
      <c r="J1065" s="47" t="n"/>
      <c r="K1065" s="47" t="n"/>
      <c r="L1065" s="47" t="n"/>
    </row>
    <row r="1066">
      <c r="A1066" s="52">
        <f>row()-1</f>
        <v/>
      </c>
      <c r="B1066" s="55" t="n"/>
      <c r="C1066" s="47" t="n"/>
      <c r="D1066" s="20" t="n"/>
      <c r="E1066" s="20" t="n"/>
      <c r="F1066" s="47" t="n"/>
      <c r="G1066" s="47" t="n"/>
      <c r="H1066" s="47" t="n"/>
      <c r="I1066" s="47" t="n"/>
      <c r="J1066" s="47" t="n"/>
      <c r="K1066" s="47" t="n"/>
      <c r="L1066" s="47" t="n"/>
    </row>
    <row r="1067">
      <c r="A1067" s="52">
        <f>row()-1</f>
        <v/>
      </c>
      <c r="B1067" s="55" t="n"/>
      <c r="C1067" s="47" t="n"/>
      <c r="D1067" s="20" t="n"/>
      <c r="E1067" s="20" t="n"/>
      <c r="F1067" s="47" t="n"/>
      <c r="G1067" s="47" t="n"/>
      <c r="H1067" s="47" t="n"/>
      <c r="I1067" s="47" t="n"/>
      <c r="J1067" s="47" t="n"/>
      <c r="K1067" s="47" t="n"/>
      <c r="L1067" s="47" t="n"/>
    </row>
    <row r="1068">
      <c r="A1068" s="52">
        <f>row()-1</f>
        <v/>
      </c>
      <c r="B1068" s="55" t="n"/>
      <c r="C1068" s="47" t="n"/>
      <c r="D1068" s="20" t="n"/>
      <c r="E1068" s="20" t="n"/>
      <c r="F1068" s="47" t="n"/>
      <c r="G1068" s="47" t="n"/>
      <c r="H1068" s="47" t="n"/>
      <c r="I1068" s="47" t="n"/>
      <c r="J1068" s="47" t="n"/>
      <c r="K1068" s="47" t="n"/>
      <c r="L1068" s="47" t="n"/>
    </row>
    <row r="1069">
      <c r="A1069" s="52">
        <f>row()-1</f>
        <v/>
      </c>
      <c r="B1069" s="55" t="n"/>
      <c r="C1069" s="47" t="n"/>
      <c r="D1069" s="20" t="n"/>
      <c r="E1069" s="20" t="n"/>
      <c r="F1069" s="47" t="n"/>
      <c r="G1069" s="47" t="n"/>
      <c r="H1069" s="47" t="n"/>
      <c r="I1069" s="47" t="n"/>
      <c r="J1069" s="47" t="n"/>
      <c r="K1069" s="47" t="n"/>
      <c r="L1069" s="47" t="n"/>
    </row>
    <row r="1070">
      <c r="A1070" s="52">
        <f>row()-1</f>
        <v/>
      </c>
      <c r="B1070" s="55" t="n"/>
      <c r="C1070" s="47" t="n"/>
      <c r="D1070" s="20" t="n"/>
      <c r="E1070" s="20" t="n"/>
      <c r="F1070" s="47" t="n"/>
      <c r="G1070" s="47" t="n"/>
      <c r="H1070" s="47" t="n"/>
      <c r="I1070" s="47" t="n"/>
      <c r="J1070" s="47" t="n"/>
      <c r="K1070" s="47" t="n"/>
      <c r="L1070" s="47" t="n"/>
    </row>
    <row r="1071">
      <c r="A1071" s="52">
        <f>row()-1</f>
        <v/>
      </c>
      <c r="B1071" s="55" t="n"/>
      <c r="C1071" s="47" t="n"/>
      <c r="D1071" s="20" t="n"/>
      <c r="E1071" s="20" t="n"/>
      <c r="F1071" s="47" t="n"/>
      <c r="G1071" s="47" t="n"/>
      <c r="H1071" s="47" t="n"/>
      <c r="I1071" s="47" t="n"/>
      <c r="J1071" s="47" t="n"/>
      <c r="K1071" s="47" t="n"/>
      <c r="L1071" s="47" t="n"/>
    </row>
    <row r="1072">
      <c r="A1072" s="52">
        <f>row()-1</f>
        <v/>
      </c>
      <c r="B1072" s="55" t="n"/>
      <c r="C1072" s="47" t="n"/>
      <c r="D1072" s="20" t="n"/>
      <c r="E1072" s="20" t="n"/>
      <c r="F1072" s="47" t="n"/>
      <c r="G1072" s="47" t="n"/>
      <c r="H1072" s="47" t="n"/>
      <c r="I1072" s="47" t="n"/>
      <c r="J1072" s="47" t="n"/>
      <c r="K1072" s="47" t="n"/>
      <c r="L1072" s="47" t="n"/>
    </row>
    <row r="1073">
      <c r="A1073" s="52">
        <f>row()-1</f>
        <v/>
      </c>
      <c r="B1073" s="55" t="n"/>
      <c r="C1073" s="47" t="n"/>
      <c r="D1073" s="20" t="n"/>
      <c r="E1073" s="20" t="n"/>
      <c r="F1073" s="47" t="n"/>
      <c r="G1073" s="47" t="n"/>
      <c r="H1073" s="47" t="n"/>
      <c r="I1073" s="47" t="n"/>
      <c r="J1073" s="47" t="n"/>
      <c r="K1073" s="47" t="n"/>
      <c r="L1073" s="47" t="n"/>
    </row>
    <row r="1074">
      <c r="A1074" s="52">
        <f>row()-1</f>
        <v/>
      </c>
      <c r="B1074" s="55" t="n"/>
      <c r="C1074" s="47" t="n"/>
      <c r="D1074" s="20" t="n"/>
      <c r="E1074" s="20" t="n"/>
      <c r="F1074" s="47" t="n"/>
      <c r="G1074" s="47" t="n"/>
      <c r="H1074" s="47" t="n"/>
      <c r="I1074" s="47" t="n"/>
      <c r="J1074" s="47" t="n"/>
      <c r="K1074" s="47" t="n"/>
      <c r="L1074" s="47" t="n"/>
    </row>
    <row r="1075">
      <c r="A1075" s="52">
        <f>row()-1</f>
        <v/>
      </c>
      <c r="B1075" s="55" t="n"/>
      <c r="C1075" s="47" t="n"/>
      <c r="D1075" s="20" t="n"/>
      <c r="E1075" s="20" t="n"/>
      <c r="F1075" s="47" t="n"/>
      <c r="G1075" s="47" t="n"/>
      <c r="H1075" s="47" t="n"/>
      <c r="I1075" s="47" t="n"/>
      <c r="J1075" s="47" t="n"/>
      <c r="K1075" s="47" t="n"/>
      <c r="L1075" s="47" t="n"/>
    </row>
    <row r="1076">
      <c r="A1076" s="52">
        <f>row()-1</f>
        <v/>
      </c>
      <c r="B1076" s="55" t="n"/>
      <c r="C1076" s="47" t="n"/>
      <c r="D1076" s="20" t="n"/>
      <c r="E1076" s="20" t="n"/>
      <c r="F1076" s="47" t="n"/>
      <c r="G1076" s="47" t="n"/>
      <c r="H1076" s="47" t="n"/>
      <c r="I1076" s="47" t="n"/>
      <c r="J1076" s="47" t="n"/>
      <c r="K1076" s="47" t="n"/>
      <c r="L1076" s="47" t="n"/>
    </row>
    <row r="1077">
      <c r="A1077" s="52">
        <f>row()-1</f>
        <v/>
      </c>
      <c r="B1077" s="55" t="n"/>
      <c r="C1077" s="47" t="n"/>
      <c r="D1077" s="20" t="n"/>
      <c r="E1077" s="20" t="n"/>
      <c r="F1077" s="47" t="n"/>
      <c r="G1077" s="47" t="n"/>
      <c r="H1077" s="47" t="n"/>
      <c r="I1077" s="47" t="n"/>
      <c r="J1077" s="47" t="n"/>
      <c r="K1077" s="47" t="n"/>
      <c r="L1077" s="47" t="n"/>
    </row>
    <row r="1078">
      <c r="A1078" s="52">
        <f>row()-1</f>
        <v/>
      </c>
      <c r="B1078" s="55" t="n"/>
      <c r="C1078" s="47" t="n"/>
      <c r="D1078" s="20" t="n"/>
      <c r="E1078" s="20" t="n"/>
      <c r="F1078" s="47" t="n"/>
      <c r="G1078" s="47" t="n"/>
      <c r="H1078" s="47" t="n"/>
      <c r="I1078" s="47" t="n"/>
      <c r="J1078" s="47" t="n"/>
      <c r="K1078" s="47" t="n"/>
      <c r="L1078" s="47" t="n"/>
    </row>
    <row r="1079">
      <c r="A1079" s="52">
        <f>row()-1</f>
        <v/>
      </c>
      <c r="B1079" s="55" t="n"/>
      <c r="C1079" s="47" t="n"/>
      <c r="D1079" s="20" t="n"/>
      <c r="E1079" s="20" t="n"/>
      <c r="F1079" s="47" t="n"/>
      <c r="G1079" s="47" t="n"/>
      <c r="H1079" s="47" t="n"/>
      <c r="I1079" s="47" t="n"/>
      <c r="J1079" s="47" t="n"/>
      <c r="K1079" s="47" t="n"/>
      <c r="L1079" s="47" t="n"/>
    </row>
    <row r="1080">
      <c r="A1080" s="52">
        <f>row()-1</f>
        <v/>
      </c>
      <c r="B1080" s="55" t="n"/>
      <c r="C1080" s="47" t="n"/>
      <c r="D1080" s="20" t="n"/>
      <c r="E1080" s="20" t="n"/>
      <c r="F1080" s="47" t="n"/>
      <c r="G1080" s="47" t="n"/>
      <c r="H1080" s="47" t="n"/>
      <c r="I1080" s="47" t="n"/>
      <c r="J1080" s="47" t="n"/>
      <c r="K1080" s="47" t="n"/>
      <c r="L1080" s="47" t="n"/>
    </row>
    <row r="1081">
      <c r="A1081" s="52">
        <f>row()-1</f>
        <v/>
      </c>
      <c r="B1081" s="55" t="n"/>
      <c r="C1081" s="47" t="n"/>
      <c r="D1081" s="20" t="n"/>
      <c r="E1081" s="20" t="n"/>
      <c r="F1081" s="47" t="n"/>
      <c r="G1081" s="47" t="n"/>
      <c r="H1081" s="47" t="n"/>
      <c r="I1081" s="47" t="n"/>
      <c r="J1081" s="47" t="n"/>
      <c r="K1081" s="47" t="n"/>
      <c r="L1081" s="47" t="n"/>
    </row>
    <row r="1082">
      <c r="A1082" s="52">
        <f>row()-1</f>
        <v/>
      </c>
      <c r="B1082" s="55" t="n"/>
      <c r="C1082" s="47" t="n"/>
      <c r="D1082" s="20" t="n"/>
      <c r="E1082" s="20" t="n"/>
      <c r="F1082" s="47" t="n"/>
      <c r="G1082" s="47" t="n"/>
      <c r="H1082" s="47" t="n"/>
      <c r="I1082" s="47" t="n"/>
      <c r="J1082" s="47" t="n"/>
      <c r="K1082" s="47" t="n"/>
      <c r="L1082" s="47" t="n"/>
    </row>
    <row r="1083">
      <c r="A1083" s="52">
        <f>row()-1</f>
        <v/>
      </c>
      <c r="B1083" s="55" t="n"/>
      <c r="C1083" s="47" t="n"/>
      <c r="D1083" s="20" t="n"/>
      <c r="E1083" s="20" t="n"/>
      <c r="F1083" s="47" t="n"/>
      <c r="G1083" s="47" t="n"/>
      <c r="H1083" s="47" t="n"/>
      <c r="I1083" s="47" t="n"/>
      <c r="J1083" s="47" t="n"/>
      <c r="K1083" s="47" t="n"/>
      <c r="L1083" s="47" t="n"/>
    </row>
    <row r="1084">
      <c r="A1084" s="52">
        <f>row()-1</f>
        <v/>
      </c>
      <c r="B1084" s="55" t="n"/>
      <c r="C1084" s="47" t="n"/>
      <c r="D1084" s="20" t="n"/>
      <c r="E1084" s="20" t="n"/>
      <c r="F1084" s="47" t="n"/>
      <c r="G1084" s="47" t="n"/>
      <c r="H1084" s="47" t="n"/>
      <c r="I1084" s="47" t="n"/>
      <c r="J1084" s="47" t="n"/>
      <c r="K1084" s="47" t="n"/>
      <c r="L1084" s="47" t="n"/>
    </row>
    <row r="1085">
      <c r="A1085" s="52">
        <f>row()-1</f>
        <v/>
      </c>
      <c r="B1085" s="55" t="n"/>
      <c r="C1085" s="47" t="n"/>
      <c r="D1085" s="20" t="n"/>
      <c r="E1085" s="20" t="n"/>
      <c r="F1085" s="47" t="n"/>
      <c r="G1085" s="47" t="n"/>
      <c r="H1085" s="47" t="n"/>
      <c r="I1085" s="47" t="n"/>
      <c r="J1085" s="47" t="n"/>
      <c r="K1085" s="47" t="n"/>
      <c r="L1085" s="47" t="n"/>
    </row>
    <row r="1086">
      <c r="A1086" s="52">
        <f>row()-1</f>
        <v/>
      </c>
      <c r="B1086" s="55" t="n"/>
      <c r="C1086" s="47" t="n"/>
      <c r="D1086" s="20" t="n"/>
      <c r="E1086" s="20" t="n"/>
      <c r="F1086" s="47" t="n"/>
      <c r="G1086" s="47" t="n"/>
      <c r="H1086" s="47" t="n"/>
      <c r="I1086" s="47" t="n"/>
      <c r="J1086" s="47" t="n"/>
      <c r="K1086" s="47" t="n"/>
      <c r="L1086" s="47" t="n"/>
    </row>
    <row r="1087">
      <c r="A1087" s="52">
        <f>row()-1</f>
        <v/>
      </c>
      <c r="B1087" s="55" t="n"/>
      <c r="C1087" s="47" t="n"/>
      <c r="D1087" s="20" t="n"/>
      <c r="E1087" s="20" t="n"/>
      <c r="F1087" s="47" t="n"/>
      <c r="G1087" s="47" t="n"/>
      <c r="H1087" s="47" t="n"/>
      <c r="I1087" s="47" t="n"/>
      <c r="J1087" s="47" t="n"/>
      <c r="K1087" s="47" t="n"/>
      <c r="L1087" s="47" t="n"/>
    </row>
    <row r="1088">
      <c r="A1088" s="52">
        <f>row()-1</f>
        <v/>
      </c>
      <c r="B1088" s="55" t="n"/>
      <c r="C1088" s="47" t="n"/>
      <c r="D1088" s="20" t="n"/>
      <c r="E1088" s="20" t="n"/>
      <c r="F1088" s="47" t="n"/>
      <c r="G1088" s="47" t="n"/>
      <c r="H1088" s="47" t="n"/>
      <c r="I1088" s="47" t="n"/>
      <c r="J1088" s="47" t="n"/>
      <c r="K1088" s="47" t="n"/>
      <c r="L1088" s="47" t="n"/>
    </row>
    <row r="1089">
      <c r="A1089" s="52">
        <f>row()-1</f>
        <v/>
      </c>
      <c r="B1089" s="55" t="n"/>
      <c r="C1089" s="47" t="n"/>
      <c r="D1089" s="20" t="n"/>
      <c r="E1089" s="20" t="n"/>
      <c r="F1089" s="47" t="n"/>
      <c r="G1089" s="47" t="n"/>
      <c r="H1089" s="47" t="n"/>
      <c r="I1089" s="47" t="n"/>
      <c r="J1089" s="47" t="n"/>
      <c r="K1089" s="47" t="n"/>
      <c r="L1089" s="47" t="n"/>
    </row>
    <row r="1090">
      <c r="A1090" s="52">
        <f>row()-1</f>
        <v/>
      </c>
      <c r="B1090" s="55" t="n"/>
      <c r="C1090" s="47" t="n"/>
      <c r="D1090" s="20" t="n"/>
      <c r="E1090" s="20" t="n"/>
      <c r="F1090" s="47" t="n"/>
      <c r="G1090" s="47" t="n"/>
      <c r="H1090" s="47" t="n"/>
      <c r="I1090" s="47" t="n"/>
      <c r="J1090" s="47" t="n"/>
      <c r="K1090" s="47" t="n"/>
      <c r="L1090" s="47" t="n"/>
    </row>
    <row r="1091">
      <c r="A1091" s="52">
        <f>row()-1</f>
        <v/>
      </c>
      <c r="B1091" s="55" t="n"/>
      <c r="C1091" s="47" t="n"/>
      <c r="D1091" s="20" t="n"/>
      <c r="E1091" s="20" t="n"/>
      <c r="F1091" s="47" t="n"/>
      <c r="G1091" s="47" t="n"/>
      <c r="H1091" s="47" t="n"/>
      <c r="I1091" s="47" t="n"/>
      <c r="J1091" s="47" t="n"/>
      <c r="K1091" s="47" t="n"/>
      <c r="L1091" s="47" t="n"/>
    </row>
    <row r="1092">
      <c r="A1092" s="52">
        <f>row()-1</f>
        <v/>
      </c>
      <c r="B1092" s="55" t="n"/>
      <c r="C1092" s="47" t="n"/>
      <c r="D1092" s="20" t="n"/>
      <c r="E1092" s="20" t="n"/>
      <c r="F1092" s="47" t="n"/>
      <c r="G1092" s="47" t="n"/>
      <c r="H1092" s="47" t="n"/>
      <c r="I1092" s="47" t="n"/>
      <c r="J1092" s="47" t="n"/>
      <c r="K1092" s="47" t="n"/>
      <c r="L1092" s="47" t="n"/>
    </row>
    <row r="1093">
      <c r="A1093" s="52">
        <f>row()-1</f>
        <v/>
      </c>
      <c r="B1093" s="55" t="n"/>
      <c r="C1093" s="47" t="n"/>
      <c r="D1093" s="20" t="n"/>
      <c r="E1093" s="20" t="n"/>
      <c r="F1093" s="47" t="n"/>
      <c r="G1093" s="47" t="n"/>
      <c r="H1093" s="47" t="n"/>
      <c r="I1093" s="47" t="n"/>
      <c r="J1093" s="47" t="n"/>
      <c r="K1093" s="47" t="n"/>
      <c r="L1093" s="47" t="n"/>
    </row>
    <row r="1094">
      <c r="A1094" s="52">
        <f>row()-1</f>
        <v/>
      </c>
      <c r="B1094" s="55" t="n"/>
      <c r="C1094" s="47" t="n"/>
      <c r="D1094" s="20" t="n"/>
      <c r="E1094" s="20" t="n"/>
      <c r="F1094" s="47" t="n"/>
      <c r="G1094" s="47" t="n"/>
      <c r="H1094" s="47" t="n"/>
      <c r="I1094" s="47" t="n"/>
      <c r="J1094" s="47" t="n"/>
      <c r="K1094" s="47" t="n"/>
      <c r="L1094" s="47" t="n"/>
    </row>
    <row r="1095">
      <c r="A1095" s="52">
        <f>row()-1</f>
        <v/>
      </c>
      <c r="B1095" s="55" t="n"/>
      <c r="C1095" s="47" t="n"/>
      <c r="D1095" s="20" t="n"/>
      <c r="E1095" s="20" t="n"/>
      <c r="F1095" s="47" t="n"/>
      <c r="G1095" s="47" t="n"/>
      <c r="H1095" s="47" t="n"/>
      <c r="I1095" s="47" t="n"/>
      <c r="J1095" s="47" t="n"/>
      <c r="K1095" s="47" t="n"/>
      <c r="L1095" s="47" t="n"/>
    </row>
    <row r="1096">
      <c r="A1096" s="52">
        <f>row()-1</f>
        <v/>
      </c>
      <c r="B1096" s="55" t="n"/>
      <c r="C1096" s="47" t="n"/>
      <c r="D1096" s="20" t="n"/>
      <c r="E1096" s="20" t="n"/>
      <c r="F1096" s="47" t="n"/>
      <c r="G1096" s="47" t="n"/>
      <c r="H1096" s="47" t="n"/>
      <c r="I1096" s="47" t="n"/>
      <c r="J1096" s="47" t="n"/>
      <c r="K1096" s="47" t="n"/>
      <c r="L1096" s="47" t="n"/>
    </row>
    <row r="1097">
      <c r="A1097" s="52">
        <f>row()-1</f>
        <v/>
      </c>
      <c r="B1097" s="55" t="n"/>
      <c r="C1097" s="47" t="n"/>
      <c r="D1097" s="20" t="n"/>
      <c r="E1097" s="20" t="n"/>
      <c r="F1097" s="47" t="n"/>
      <c r="G1097" s="47" t="n"/>
      <c r="H1097" s="47" t="n"/>
      <c r="I1097" s="47" t="n"/>
      <c r="J1097" s="47" t="n"/>
      <c r="K1097" s="47" t="n"/>
      <c r="L1097" s="47" t="n"/>
    </row>
    <row r="1098">
      <c r="A1098" s="52">
        <f>row()-1</f>
        <v/>
      </c>
      <c r="B1098" s="55" t="n"/>
      <c r="C1098" s="47" t="n"/>
      <c r="D1098" s="20" t="n"/>
      <c r="E1098" s="20" t="n"/>
      <c r="F1098" s="47" t="n"/>
      <c r="G1098" s="47" t="n"/>
      <c r="H1098" s="47" t="n"/>
      <c r="I1098" s="47" t="n"/>
      <c r="J1098" s="47" t="n"/>
      <c r="K1098" s="47" t="n"/>
      <c r="L1098" s="47" t="n"/>
    </row>
    <row r="1099">
      <c r="A1099" s="52">
        <f>row()-1</f>
        <v/>
      </c>
      <c r="B1099" s="55" t="n"/>
      <c r="C1099" s="47" t="n"/>
      <c r="D1099" s="20" t="n"/>
      <c r="E1099" s="20" t="n"/>
      <c r="F1099" s="47" t="n"/>
      <c r="G1099" s="47" t="n"/>
      <c r="H1099" s="47" t="n"/>
      <c r="I1099" s="47" t="n"/>
      <c r="J1099" s="47" t="n"/>
      <c r="K1099" s="47" t="n"/>
      <c r="L1099" s="47" t="n"/>
    </row>
    <row r="1100">
      <c r="A1100" s="52">
        <f>row()-1</f>
        <v/>
      </c>
      <c r="B1100" s="55" t="n"/>
      <c r="C1100" s="47" t="n"/>
      <c r="D1100" s="20" t="n"/>
      <c r="E1100" s="20" t="n"/>
      <c r="F1100" s="47" t="n"/>
      <c r="G1100" s="47" t="n"/>
      <c r="H1100" s="47" t="n"/>
      <c r="I1100" s="47" t="n"/>
      <c r="J1100" s="47" t="n"/>
      <c r="K1100" s="47" t="n"/>
      <c r="L1100" s="47" t="n"/>
    </row>
    <row r="1101">
      <c r="A1101" s="52">
        <f>row()-1</f>
        <v/>
      </c>
      <c r="B1101" s="55" t="n"/>
      <c r="C1101" s="47" t="n"/>
      <c r="D1101" s="20" t="n"/>
      <c r="E1101" s="20" t="n"/>
      <c r="F1101" s="47" t="n"/>
      <c r="G1101" s="47" t="n"/>
      <c r="H1101" s="47" t="n"/>
      <c r="I1101" s="47" t="n"/>
      <c r="J1101" s="47" t="n"/>
      <c r="K1101" s="47" t="n"/>
      <c r="L1101" s="47" t="n"/>
    </row>
    <row r="1102">
      <c r="A1102" s="52">
        <f>row()-1</f>
        <v/>
      </c>
      <c r="B1102" s="55" t="n"/>
      <c r="C1102" s="47" t="n"/>
      <c r="D1102" s="20" t="n"/>
      <c r="E1102" s="20" t="n"/>
      <c r="F1102" s="47" t="n"/>
      <c r="G1102" s="47" t="n"/>
      <c r="H1102" s="47" t="n"/>
      <c r="I1102" s="47" t="n"/>
      <c r="J1102" s="47" t="n"/>
      <c r="K1102" s="47" t="n"/>
      <c r="L1102" s="47" t="n"/>
    </row>
    <row r="1103">
      <c r="A1103" s="52">
        <f>row()-1</f>
        <v/>
      </c>
      <c r="B1103" s="55" t="n"/>
      <c r="C1103" s="47" t="n"/>
      <c r="D1103" s="20" t="n"/>
      <c r="E1103" s="20" t="n"/>
      <c r="F1103" s="47" t="n"/>
      <c r="G1103" s="47" t="n"/>
      <c r="H1103" s="47" t="n"/>
      <c r="I1103" s="47" t="n"/>
      <c r="J1103" s="47" t="n"/>
      <c r="K1103" s="47" t="n"/>
      <c r="L1103" s="47" t="n"/>
    </row>
    <row r="1104">
      <c r="A1104" s="52">
        <f>row()-1</f>
        <v/>
      </c>
      <c r="B1104" s="55" t="n"/>
      <c r="C1104" s="47" t="n"/>
      <c r="D1104" s="20" t="n"/>
      <c r="E1104" s="20" t="n"/>
      <c r="F1104" s="47" t="n"/>
      <c r="G1104" s="47" t="n"/>
      <c r="H1104" s="47" t="n"/>
      <c r="I1104" s="47" t="n"/>
      <c r="J1104" s="47" t="n"/>
      <c r="K1104" s="47" t="n"/>
      <c r="L1104" s="47" t="n"/>
    </row>
    <row r="1105">
      <c r="A1105" s="52">
        <f>row()-1</f>
        <v/>
      </c>
      <c r="B1105" s="55" t="n"/>
      <c r="C1105" s="47" t="n"/>
      <c r="D1105" s="20" t="n"/>
      <c r="E1105" s="20" t="n"/>
      <c r="F1105" s="47" t="n"/>
      <c r="G1105" s="47" t="n"/>
      <c r="H1105" s="47" t="n"/>
      <c r="I1105" s="47" t="n"/>
      <c r="J1105" s="47" t="n"/>
      <c r="K1105" s="47" t="n"/>
      <c r="L1105" s="47" t="n"/>
    </row>
    <row r="1106">
      <c r="A1106" s="52">
        <f>row()-1</f>
        <v/>
      </c>
      <c r="B1106" s="55" t="n"/>
      <c r="C1106" s="47" t="n"/>
      <c r="D1106" s="20" t="n"/>
      <c r="E1106" s="20" t="n"/>
      <c r="F1106" s="47" t="n"/>
      <c r="G1106" s="47" t="n"/>
      <c r="H1106" s="47" t="n"/>
      <c r="I1106" s="47" t="n"/>
      <c r="J1106" s="47" t="n"/>
      <c r="K1106" s="47" t="n"/>
      <c r="L1106" s="47" t="n"/>
    </row>
    <row r="1107">
      <c r="A1107" s="52">
        <f>row()-1</f>
        <v/>
      </c>
      <c r="B1107" s="55" t="n"/>
      <c r="C1107" s="47" t="n"/>
      <c r="D1107" s="20" t="n"/>
      <c r="E1107" s="20" t="n"/>
      <c r="F1107" s="47" t="n"/>
      <c r="G1107" s="47" t="n"/>
      <c r="H1107" s="47" t="n"/>
      <c r="I1107" s="47" t="n"/>
      <c r="J1107" s="47" t="n"/>
      <c r="K1107" s="47" t="n"/>
      <c r="L1107" s="47" t="n"/>
    </row>
    <row r="1108">
      <c r="A1108" s="52">
        <f>row()-1</f>
        <v/>
      </c>
      <c r="B1108" s="55" t="n"/>
      <c r="C1108" s="47" t="n"/>
      <c r="D1108" s="20" t="n"/>
      <c r="E1108" s="20" t="n"/>
      <c r="F1108" s="47" t="n"/>
      <c r="G1108" s="47" t="n"/>
      <c r="H1108" s="47" t="n"/>
      <c r="I1108" s="47" t="n"/>
      <c r="J1108" s="47" t="n"/>
      <c r="K1108" s="47" t="n"/>
      <c r="L1108" s="47" t="n"/>
    </row>
    <row r="1109">
      <c r="A1109" s="52">
        <f>row()-1</f>
        <v/>
      </c>
      <c r="B1109" s="55" t="n"/>
      <c r="C1109" s="47" t="n"/>
      <c r="D1109" s="20" t="n"/>
      <c r="E1109" s="20" t="n"/>
      <c r="F1109" s="47" t="n"/>
      <c r="G1109" s="47" t="n"/>
      <c r="H1109" s="47" t="n"/>
      <c r="I1109" s="47" t="n"/>
      <c r="J1109" s="47" t="n"/>
      <c r="K1109" s="47" t="n"/>
      <c r="L1109" s="47" t="n"/>
    </row>
    <row r="1110">
      <c r="A1110" s="52">
        <f>row()-1</f>
        <v/>
      </c>
      <c r="B1110" s="55" t="n"/>
      <c r="C1110" s="47" t="n"/>
      <c r="D1110" s="20" t="n"/>
      <c r="E1110" s="20" t="n"/>
      <c r="F1110" s="47" t="n"/>
      <c r="G1110" s="47" t="n"/>
      <c r="H1110" s="47" t="n"/>
      <c r="I1110" s="47" t="n"/>
      <c r="J1110" s="47" t="n"/>
      <c r="K1110" s="47" t="n"/>
      <c r="L1110" s="47" t="n"/>
    </row>
    <row r="1111">
      <c r="A1111" s="52">
        <f>row()-1</f>
        <v/>
      </c>
      <c r="B1111" s="55" t="n"/>
      <c r="C1111" s="47" t="n"/>
      <c r="D1111" s="20" t="n"/>
      <c r="E1111" s="20" t="n"/>
      <c r="F1111" s="47" t="n"/>
      <c r="G1111" s="47" t="n"/>
      <c r="H1111" s="47" t="n"/>
      <c r="I1111" s="47" t="n"/>
      <c r="J1111" s="47" t="n"/>
      <c r="K1111" s="47" t="n"/>
      <c r="L1111" s="47" t="n"/>
    </row>
    <row r="1112">
      <c r="A1112" s="52">
        <f>row()-1</f>
        <v/>
      </c>
      <c r="B1112" s="55" t="n"/>
      <c r="C1112" s="47" t="n"/>
      <c r="D1112" s="20" t="n"/>
      <c r="E1112" s="20" t="n"/>
      <c r="F1112" s="47" t="n"/>
      <c r="G1112" s="47" t="n"/>
      <c r="H1112" s="47" t="n"/>
      <c r="I1112" s="47" t="n"/>
      <c r="J1112" s="47" t="n"/>
      <c r="K1112" s="47" t="n"/>
      <c r="L1112" s="47" t="n"/>
    </row>
    <row r="1113">
      <c r="A1113" s="52">
        <f>row()-1</f>
        <v/>
      </c>
      <c r="B1113" s="55" t="n"/>
      <c r="C1113" s="47" t="n"/>
      <c r="D1113" s="20" t="n"/>
      <c r="E1113" s="20" t="n"/>
      <c r="F1113" s="47" t="n"/>
      <c r="G1113" s="47" t="n"/>
      <c r="H1113" s="47" t="n"/>
      <c r="I1113" s="47" t="n"/>
      <c r="J1113" s="47" t="n"/>
      <c r="K1113" s="47" t="n"/>
      <c r="L1113" s="47" t="n"/>
    </row>
    <row r="1114">
      <c r="A1114" s="52">
        <f>row()-1</f>
        <v/>
      </c>
      <c r="B1114" s="55" t="n"/>
      <c r="C1114" s="47" t="n"/>
      <c r="D1114" s="20" t="n"/>
      <c r="E1114" s="20" t="n"/>
      <c r="F1114" s="47" t="n"/>
      <c r="G1114" s="47" t="n"/>
      <c r="H1114" s="47" t="n"/>
      <c r="I1114" s="47" t="n"/>
      <c r="J1114" s="47" t="n"/>
      <c r="K1114" s="47" t="n"/>
      <c r="L1114" s="47" t="n"/>
    </row>
    <row r="1115">
      <c r="A1115" s="52">
        <f>row()-1</f>
        <v/>
      </c>
      <c r="B1115" s="55" t="n"/>
      <c r="C1115" s="47" t="n"/>
      <c r="D1115" s="20" t="n"/>
      <c r="E1115" s="20" t="n"/>
      <c r="F1115" s="47" t="n"/>
      <c r="G1115" s="47" t="n"/>
      <c r="H1115" s="47" t="n"/>
      <c r="I1115" s="47" t="n"/>
      <c r="J1115" s="47" t="n"/>
      <c r="K1115" s="47" t="n"/>
      <c r="L1115" s="47" t="n"/>
    </row>
    <row r="1116">
      <c r="A1116" s="52">
        <f>row()-1</f>
        <v/>
      </c>
      <c r="B1116" s="55" t="n"/>
      <c r="C1116" s="47" t="n"/>
      <c r="D1116" s="20" t="n"/>
      <c r="E1116" s="20" t="n"/>
      <c r="F1116" s="47" t="n"/>
      <c r="G1116" s="47" t="n"/>
      <c r="H1116" s="47" t="n"/>
      <c r="I1116" s="47" t="n"/>
      <c r="J1116" s="47" t="n"/>
      <c r="K1116" s="47" t="n"/>
      <c r="L1116" s="47" t="n"/>
    </row>
    <row r="1117">
      <c r="A1117" s="52">
        <f>row()-1</f>
        <v/>
      </c>
      <c r="B1117" s="55" t="n"/>
      <c r="C1117" s="47" t="n"/>
      <c r="D1117" s="20" t="n"/>
      <c r="E1117" s="20" t="n"/>
      <c r="F1117" s="47" t="n"/>
      <c r="G1117" s="47" t="n"/>
      <c r="H1117" s="47" t="n"/>
      <c r="I1117" s="47" t="n"/>
      <c r="J1117" s="47" t="n"/>
      <c r="K1117" s="47" t="n"/>
      <c r="L1117" s="47" t="n"/>
    </row>
    <row r="1118">
      <c r="A1118" s="52">
        <f>row()-1</f>
        <v/>
      </c>
      <c r="B1118" s="55" t="n"/>
      <c r="C1118" s="47" t="n"/>
      <c r="D1118" s="20" t="n"/>
      <c r="E1118" s="20" t="n"/>
      <c r="F1118" s="47" t="n"/>
      <c r="G1118" s="47" t="n"/>
      <c r="H1118" s="47" t="n"/>
      <c r="I1118" s="47" t="n"/>
      <c r="J1118" s="47" t="n"/>
      <c r="K1118" s="47" t="n"/>
      <c r="L1118" s="47" t="n"/>
    </row>
    <row r="1119">
      <c r="A1119" s="52">
        <f>row()-1</f>
        <v/>
      </c>
      <c r="B1119" s="55" t="n"/>
      <c r="C1119" s="47" t="n"/>
      <c r="D1119" s="20" t="n"/>
      <c r="E1119" s="20" t="n"/>
      <c r="F1119" s="47" t="n"/>
      <c r="G1119" s="47" t="n"/>
      <c r="H1119" s="47" t="n"/>
      <c r="I1119" s="47" t="n"/>
      <c r="J1119" s="47" t="n"/>
      <c r="K1119" s="47" t="n"/>
      <c r="L1119" s="47" t="n"/>
    </row>
    <row r="1120">
      <c r="A1120" s="52">
        <f>row()-1</f>
        <v/>
      </c>
      <c r="B1120" s="55" t="n"/>
      <c r="C1120" s="47" t="n"/>
      <c r="D1120" s="20" t="n"/>
      <c r="E1120" s="20" t="n"/>
      <c r="F1120" s="47" t="n"/>
      <c r="G1120" s="47" t="n"/>
      <c r="H1120" s="47" t="n"/>
      <c r="I1120" s="47" t="n"/>
      <c r="J1120" s="47" t="n"/>
      <c r="K1120" s="47" t="n"/>
      <c r="L1120" s="47" t="n"/>
    </row>
    <row r="1121">
      <c r="A1121" s="52">
        <f>row()-1</f>
        <v/>
      </c>
      <c r="B1121" s="55" t="n"/>
      <c r="C1121" s="47" t="n"/>
      <c r="D1121" s="20" t="n"/>
      <c r="E1121" s="20" t="n"/>
      <c r="F1121" s="47" t="n"/>
      <c r="G1121" s="47" t="n"/>
      <c r="H1121" s="47" t="n"/>
      <c r="I1121" s="47" t="n"/>
      <c r="J1121" s="47" t="n"/>
      <c r="K1121" s="47" t="n"/>
      <c r="L1121" s="47" t="n"/>
    </row>
    <row r="1122">
      <c r="A1122" s="52">
        <f>row()-1</f>
        <v/>
      </c>
      <c r="B1122" s="55" t="n"/>
      <c r="C1122" s="47" t="n"/>
      <c r="D1122" s="20" t="n"/>
      <c r="E1122" s="20" t="n"/>
      <c r="F1122" s="47" t="n"/>
      <c r="G1122" s="47" t="n"/>
      <c r="H1122" s="47" t="n"/>
      <c r="I1122" s="47" t="n"/>
      <c r="J1122" s="47" t="n"/>
      <c r="K1122" s="47" t="n"/>
      <c r="L1122" s="47" t="n"/>
    </row>
    <row r="1123">
      <c r="A1123" s="52">
        <f>row()-1</f>
        <v/>
      </c>
      <c r="B1123" s="55" t="n"/>
      <c r="C1123" s="47" t="n"/>
      <c r="D1123" s="20" t="n"/>
      <c r="E1123" s="20" t="n"/>
      <c r="F1123" s="47" t="n"/>
      <c r="G1123" s="47" t="n"/>
      <c r="H1123" s="47" t="n"/>
      <c r="I1123" s="47" t="n"/>
      <c r="J1123" s="47" t="n"/>
      <c r="K1123" s="47" t="n"/>
      <c r="L1123" s="47" t="n"/>
    </row>
    <row r="1124">
      <c r="A1124" s="52">
        <f>row()-1</f>
        <v/>
      </c>
      <c r="B1124" s="55" t="n"/>
      <c r="C1124" s="47" t="n"/>
      <c r="D1124" s="20" t="n"/>
      <c r="E1124" s="20" t="n"/>
      <c r="F1124" s="47" t="n"/>
      <c r="G1124" s="47" t="n"/>
      <c r="H1124" s="47" t="n"/>
      <c r="I1124" s="47" t="n"/>
      <c r="J1124" s="47" t="n"/>
      <c r="K1124" s="47" t="n"/>
      <c r="L1124" s="47" t="n"/>
    </row>
    <row r="1125">
      <c r="A1125" s="52">
        <f>row()-1</f>
        <v/>
      </c>
      <c r="B1125" s="55" t="n"/>
      <c r="C1125" s="47" t="n"/>
      <c r="D1125" s="20" t="n"/>
      <c r="E1125" s="20" t="n"/>
      <c r="F1125" s="47" t="n"/>
      <c r="G1125" s="47" t="n"/>
      <c r="H1125" s="47" t="n"/>
      <c r="I1125" s="47" t="n"/>
      <c r="J1125" s="47" t="n"/>
      <c r="K1125" s="47" t="n"/>
      <c r="L1125" s="47" t="n"/>
    </row>
    <row r="1126">
      <c r="A1126" s="52">
        <f>row()-1</f>
        <v/>
      </c>
      <c r="B1126" s="55" t="n"/>
      <c r="C1126" s="47" t="n"/>
      <c r="D1126" s="20" t="n"/>
      <c r="E1126" s="20" t="n"/>
      <c r="F1126" s="47" t="n"/>
      <c r="G1126" s="47" t="n"/>
      <c r="H1126" s="47" t="n"/>
      <c r="I1126" s="47" t="n"/>
      <c r="J1126" s="47" t="n"/>
      <c r="K1126" s="47" t="n"/>
      <c r="L1126" s="47" t="n"/>
    </row>
    <row r="1127">
      <c r="A1127" s="52">
        <f>row()-1</f>
        <v/>
      </c>
      <c r="B1127" s="55" t="n"/>
      <c r="C1127" s="47" t="n"/>
      <c r="D1127" s="20" t="n"/>
      <c r="E1127" s="20" t="n"/>
      <c r="F1127" s="47" t="n"/>
      <c r="G1127" s="47" t="n"/>
      <c r="H1127" s="47" t="n"/>
      <c r="I1127" s="47" t="n"/>
      <c r="J1127" s="47" t="n"/>
      <c r="K1127" s="47" t="n"/>
      <c r="L1127" s="47" t="n"/>
    </row>
    <row r="1128">
      <c r="A1128" s="52">
        <f>row()-1</f>
        <v/>
      </c>
      <c r="B1128" s="55" t="n"/>
      <c r="C1128" s="47" t="n"/>
      <c r="D1128" s="20" t="n"/>
      <c r="E1128" s="20" t="n"/>
      <c r="F1128" s="47" t="n"/>
      <c r="G1128" s="47" t="n"/>
      <c r="H1128" s="47" t="n"/>
      <c r="I1128" s="47" t="n"/>
      <c r="J1128" s="47" t="n"/>
      <c r="K1128" s="47" t="n"/>
      <c r="L1128" s="47" t="n"/>
    </row>
    <row r="1129">
      <c r="A1129" s="52">
        <f>row()-1</f>
        <v/>
      </c>
      <c r="B1129" s="55" t="n"/>
      <c r="C1129" s="47" t="n"/>
      <c r="D1129" s="20" t="n"/>
      <c r="E1129" s="20" t="n"/>
      <c r="F1129" s="47" t="n"/>
      <c r="G1129" s="47" t="n"/>
      <c r="H1129" s="47" t="n"/>
      <c r="I1129" s="47" t="n"/>
      <c r="J1129" s="47" t="n"/>
      <c r="K1129" s="47" t="n"/>
      <c r="L1129" s="47" t="n"/>
    </row>
    <row r="1130">
      <c r="A1130" s="52">
        <f>row()-1</f>
        <v/>
      </c>
      <c r="B1130" s="55" t="n"/>
      <c r="C1130" s="47" t="n"/>
      <c r="D1130" s="20" t="n"/>
      <c r="E1130" s="20" t="n"/>
      <c r="F1130" s="47" t="n"/>
      <c r="G1130" s="47" t="n"/>
      <c r="H1130" s="47" t="n"/>
      <c r="I1130" s="47" t="n"/>
      <c r="J1130" s="47" t="n"/>
      <c r="K1130" s="47" t="n"/>
      <c r="L1130" s="47" t="n"/>
    </row>
    <row r="1131">
      <c r="A1131" s="52">
        <f>row()-1</f>
        <v/>
      </c>
      <c r="B1131" s="55" t="n"/>
      <c r="C1131" s="47" t="n"/>
      <c r="D1131" s="20" t="n"/>
      <c r="E1131" s="20" t="n"/>
      <c r="F1131" s="47" t="n"/>
      <c r="G1131" s="47" t="n"/>
      <c r="H1131" s="47" t="n"/>
      <c r="I1131" s="47" t="n"/>
      <c r="J1131" s="47" t="n"/>
      <c r="K1131" s="47" t="n"/>
      <c r="L1131" s="47" t="n"/>
    </row>
    <row r="1132">
      <c r="A1132" s="52">
        <f>row()-1</f>
        <v/>
      </c>
      <c r="B1132" s="55" t="n"/>
      <c r="C1132" s="47" t="n"/>
      <c r="D1132" s="20" t="n"/>
      <c r="E1132" s="20" t="n"/>
      <c r="F1132" s="47" t="n"/>
      <c r="G1132" s="47" t="n"/>
      <c r="H1132" s="47" t="n"/>
      <c r="I1132" s="47" t="n"/>
      <c r="J1132" s="47" t="n"/>
      <c r="K1132" s="47" t="n"/>
      <c r="L1132" s="47" t="n"/>
    </row>
    <row r="1133">
      <c r="A1133" s="52">
        <f>row()-1</f>
        <v/>
      </c>
      <c r="B1133" s="55" t="n"/>
      <c r="C1133" s="47" t="n"/>
      <c r="D1133" s="20" t="n"/>
      <c r="E1133" s="20" t="n"/>
      <c r="F1133" s="47" t="n"/>
      <c r="G1133" s="47" t="n"/>
      <c r="H1133" s="47" t="n"/>
      <c r="I1133" s="47" t="n"/>
      <c r="J1133" s="47" t="n"/>
      <c r="K1133" s="47" t="n"/>
      <c r="L1133" s="47" t="n"/>
    </row>
    <row r="1134">
      <c r="A1134" s="52">
        <f>row()-1</f>
        <v/>
      </c>
      <c r="B1134" s="55" t="n"/>
      <c r="C1134" s="47" t="n"/>
      <c r="D1134" s="20" t="n"/>
      <c r="E1134" s="20" t="n"/>
      <c r="F1134" s="47" t="n"/>
      <c r="G1134" s="47" t="n"/>
      <c r="H1134" s="47" t="n"/>
      <c r="I1134" s="47" t="n"/>
      <c r="J1134" s="47" t="n"/>
      <c r="K1134" s="47" t="n"/>
      <c r="L1134" s="47" t="n"/>
    </row>
    <row r="1135">
      <c r="A1135" s="52">
        <f>row()-1</f>
        <v/>
      </c>
      <c r="B1135" s="55" t="n"/>
      <c r="C1135" s="47" t="n"/>
      <c r="D1135" s="20" t="n"/>
      <c r="E1135" s="20" t="n"/>
      <c r="F1135" s="47" t="n"/>
      <c r="G1135" s="47" t="n"/>
      <c r="H1135" s="47" t="n"/>
      <c r="I1135" s="47" t="n"/>
      <c r="J1135" s="47" t="n"/>
      <c r="K1135" s="47" t="n"/>
      <c r="L1135" s="47" t="n"/>
    </row>
    <row r="1136">
      <c r="A1136" s="52">
        <f>row()-1</f>
        <v/>
      </c>
      <c r="B1136" s="55" t="n"/>
      <c r="C1136" s="47" t="n"/>
      <c r="D1136" s="20" t="n"/>
      <c r="E1136" s="20" t="n"/>
      <c r="F1136" s="47" t="n"/>
      <c r="G1136" s="47" t="n"/>
      <c r="H1136" s="47" t="n"/>
      <c r="I1136" s="47" t="n"/>
      <c r="J1136" s="47" t="n"/>
      <c r="K1136" s="47" t="n"/>
      <c r="L1136" s="47" t="n"/>
    </row>
    <row r="1137">
      <c r="A1137" s="52">
        <f>row()-1</f>
        <v/>
      </c>
      <c r="B1137" s="55" t="n"/>
      <c r="C1137" s="47" t="n"/>
      <c r="D1137" s="20" t="n"/>
      <c r="E1137" s="20" t="n"/>
      <c r="F1137" s="47" t="n"/>
      <c r="G1137" s="47" t="n"/>
      <c r="H1137" s="47" t="n"/>
      <c r="I1137" s="47" t="n"/>
      <c r="J1137" s="47" t="n"/>
      <c r="K1137" s="47" t="n"/>
      <c r="L1137" s="47" t="n"/>
    </row>
    <row r="1138">
      <c r="A1138" s="52">
        <f>row()-1</f>
        <v/>
      </c>
      <c r="B1138" s="55" t="n"/>
      <c r="C1138" s="47" t="n"/>
      <c r="D1138" s="20" t="n"/>
      <c r="E1138" s="20" t="n"/>
      <c r="F1138" s="47" t="n"/>
      <c r="G1138" s="47" t="n"/>
      <c r="H1138" s="47" t="n"/>
      <c r="I1138" s="47" t="n"/>
      <c r="J1138" s="47" t="n"/>
      <c r="K1138" s="47" t="n"/>
      <c r="L1138" s="47" t="n"/>
    </row>
    <row r="1139">
      <c r="A1139" s="52">
        <f>row()-1</f>
        <v/>
      </c>
      <c r="B1139" s="55" t="n"/>
      <c r="C1139" s="47" t="n"/>
      <c r="D1139" s="20" t="n"/>
      <c r="E1139" s="20" t="n"/>
      <c r="F1139" s="47" t="n"/>
      <c r="G1139" s="47" t="n"/>
      <c r="H1139" s="47" t="n"/>
      <c r="I1139" s="47" t="n"/>
      <c r="J1139" s="47" t="n"/>
      <c r="K1139" s="47" t="n"/>
      <c r="L1139" s="47" t="n"/>
    </row>
    <row r="1140">
      <c r="A1140" s="52">
        <f>row()-1</f>
        <v/>
      </c>
      <c r="B1140" s="55" t="n"/>
      <c r="C1140" s="47" t="n"/>
      <c r="D1140" s="20" t="n"/>
      <c r="E1140" s="20" t="n"/>
      <c r="F1140" s="47" t="n"/>
      <c r="G1140" s="47" t="n"/>
      <c r="H1140" s="47" t="n"/>
      <c r="I1140" s="47" t="n"/>
      <c r="J1140" s="47" t="n"/>
      <c r="K1140" s="47" t="n"/>
      <c r="L1140" s="47" t="n"/>
    </row>
    <row r="1141">
      <c r="A1141" s="52">
        <f>row()-1</f>
        <v/>
      </c>
      <c r="B1141" s="55" t="n"/>
      <c r="C1141" s="47" t="n"/>
      <c r="D1141" s="20" t="n"/>
      <c r="E1141" s="20" t="n"/>
      <c r="F1141" s="47" t="n"/>
      <c r="G1141" s="47" t="n"/>
      <c r="H1141" s="47" t="n"/>
      <c r="I1141" s="47" t="n"/>
      <c r="J1141" s="47" t="n"/>
      <c r="K1141" s="47" t="n"/>
      <c r="L1141" s="47" t="n"/>
    </row>
    <row r="1142">
      <c r="A1142" s="52">
        <f>row()-1</f>
        <v/>
      </c>
      <c r="B1142" s="55" t="n"/>
      <c r="C1142" s="47" t="n"/>
      <c r="D1142" s="20" t="n"/>
      <c r="E1142" s="20" t="n"/>
      <c r="F1142" s="47" t="n"/>
      <c r="G1142" s="47" t="n"/>
      <c r="H1142" s="47" t="n"/>
      <c r="I1142" s="47" t="n"/>
      <c r="J1142" s="47" t="n"/>
      <c r="K1142" s="47" t="n"/>
      <c r="L1142" s="47" t="n"/>
    </row>
    <row r="1143">
      <c r="A1143" s="52">
        <f>row()-1</f>
        <v/>
      </c>
      <c r="B1143" s="55" t="n"/>
      <c r="C1143" s="47" t="n"/>
      <c r="D1143" s="20" t="n"/>
      <c r="E1143" s="20" t="n"/>
      <c r="F1143" s="47" t="n"/>
      <c r="G1143" s="47" t="n"/>
      <c r="H1143" s="47" t="n"/>
      <c r="I1143" s="47" t="n"/>
      <c r="J1143" s="47" t="n"/>
      <c r="K1143" s="47" t="n"/>
      <c r="L1143" s="47" t="n"/>
    </row>
    <row r="1144">
      <c r="A1144" s="52">
        <f>row()-1</f>
        <v/>
      </c>
      <c r="B1144" s="55" t="n"/>
      <c r="C1144" s="47" t="n"/>
      <c r="D1144" s="20" t="n"/>
      <c r="E1144" s="20" t="n"/>
      <c r="F1144" s="47" t="n"/>
      <c r="G1144" s="47" t="n"/>
      <c r="H1144" s="47" t="n"/>
      <c r="I1144" s="47" t="n"/>
      <c r="J1144" s="47" t="n"/>
      <c r="K1144" s="47" t="n"/>
      <c r="L1144" s="47" t="n"/>
    </row>
    <row r="1145">
      <c r="A1145" s="52">
        <f>row()-1</f>
        <v/>
      </c>
      <c r="B1145" s="55" t="n"/>
      <c r="C1145" s="47" t="n"/>
      <c r="D1145" s="20" t="n"/>
      <c r="E1145" s="20" t="n"/>
      <c r="F1145" s="47" t="n"/>
      <c r="G1145" s="47" t="n"/>
      <c r="H1145" s="47" t="n"/>
      <c r="I1145" s="47" t="n"/>
      <c r="J1145" s="47" t="n"/>
      <c r="K1145" s="47" t="n"/>
      <c r="L1145" s="47" t="n"/>
    </row>
    <row r="1146">
      <c r="A1146" s="52">
        <f>row()-1</f>
        <v/>
      </c>
      <c r="B1146" s="55" t="n"/>
      <c r="C1146" s="47" t="n"/>
      <c r="D1146" s="20" t="n"/>
      <c r="E1146" s="20" t="n"/>
      <c r="F1146" s="47" t="n"/>
      <c r="G1146" s="47" t="n"/>
      <c r="H1146" s="47" t="n"/>
      <c r="I1146" s="47" t="n"/>
      <c r="J1146" s="47" t="n"/>
      <c r="K1146" s="47" t="n"/>
      <c r="L1146" s="47" t="n"/>
    </row>
    <row r="1147">
      <c r="A1147" s="52">
        <f>row()-1</f>
        <v/>
      </c>
      <c r="B1147" s="55" t="n"/>
      <c r="C1147" s="47" t="n"/>
      <c r="D1147" s="20" t="n"/>
      <c r="E1147" s="20" t="n"/>
      <c r="F1147" s="47" t="n"/>
      <c r="G1147" s="47" t="n"/>
      <c r="H1147" s="47" t="n"/>
      <c r="I1147" s="47" t="n"/>
      <c r="J1147" s="47" t="n"/>
      <c r="K1147" s="47" t="n"/>
      <c r="L1147" s="47" t="n"/>
    </row>
    <row r="1148">
      <c r="A1148" s="52">
        <f>row()-1</f>
        <v/>
      </c>
      <c r="B1148" s="55" t="n"/>
      <c r="C1148" s="47" t="n"/>
      <c r="D1148" s="20" t="n"/>
      <c r="E1148" s="20" t="n"/>
      <c r="F1148" s="47" t="n"/>
      <c r="G1148" s="47" t="n"/>
      <c r="H1148" s="47" t="n"/>
      <c r="I1148" s="47" t="n"/>
      <c r="J1148" s="47" t="n"/>
      <c r="K1148" s="47" t="n"/>
      <c r="L1148" s="47" t="n"/>
    </row>
    <row r="1149">
      <c r="A1149" s="52">
        <f>row()-1</f>
        <v/>
      </c>
      <c r="B1149" s="55" t="n"/>
      <c r="C1149" s="47" t="n"/>
      <c r="D1149" s="20" t="n"/>
      <c r="E1149" s="20" t="n"/>
      <c r="F1149" s="47" t="n"/>
      <c r="G1149" s="47" t="n"/>
      <c r="H1149" s="47" t="n"/>
      <c r="I1149" s="47" t="n"/>
      <c r="J1149" s="47" t="n"/>
      <c r="K1149" s="47" t="n"/>
      <c r="L1149" s="47" t="n"/>
    </row>
    <row r="1150">
      <c r="A1150" s="52">
        <f>row()-1</f>
        <v/>
      </c>
      <c r="B1150" s="55" t="n"/>
      <c r="C1150" s="47" t="n"/>
      <c r="D1150" s="20" t="n"/>
      <c r="E1150" s="20" t="n"/>
      <c r="F1150" s="47" t="n"/>
      <c r="G1150" s="47" t="n"/>
      <c r="H1150" s="47" t="n"/>
      <c r="I1150" s="47" t="n"/>
      <c r="J1150" s="47" t="n"/>
      <c r="K1150" s="47" t="n"/>
      <c r="L1150" s="47" t="n"/>
    </row>
    <row r="1151">
      <c r="A1151" s="52">
        <f>row()-1</f>
        <v/>
      </c>
      <c r="B1151" s="55" t="n"/>
      <c r="C1151" s="47" t="n"/>
      <c r="D1151" s="20" t="n"/>
      <c r="E1151" s="20" t="n"/>
      <c r="F1151" s="47" t="n"/>
      <c r="G1151" s="47" t="n"/>
      <c r="H1151" s="47" t="n"/>
      <c r="I1151" s="47" t="n"/>
      <c r="J1151" s="47" t="n"/>
      <c r="K1151" s="47" t="n"/>
      <c r="L1151" s="47" t="n"/>
    </row>
    <row r="1152">
      <c r="A1152" s="52">
        <f>row()-1</f>
        <v/>
      </c>
      <c r="B1152" s="55" t="n"/>
      <c r="C1152" s="47" t="n"/>
      <c r="D1152" s="20" t="n"/>
      <c r="E1152" s="20" t="n"/>
      <c r="F1152" s="47" t="n"/>
      <c r="G1152" s="47" t="n"/>
      <c r="H1152" s="47" t="n"/>
      <c r="I1152" s="47" t="n"/>
      <c r="J1152" s="47" t="n"/>
      <c r="K1152" s="47" t="n"/>
      <c r="L1152" s="47" t="n"/>
    </row>
    <row r="1153">
      <c r="A1153" s="52">
        <f>row()-1</f>
        <v/>
      </c>
      <c r="B1153" s="55" t="n"/>
      <c r="C1153" s="47" t="n"/>
      <c r="D1153" s="20" t="n"/>
      <c r="E1153" s="20" t="n"/>
      <c r="F1153" s="47" t="n"/>
      <c r="G1153" s="47" t="n"/>
      <c r="H1153" s="47" t="n"/>
      <c r="I1153" s="47" t="n"/>
      <c r="J1153" s="47" t="n"/>
      <c r="K1153" s="47" t="n"/>
      <c r="L1153" s="47" t="n"/>
    </row>
    <row r="1154">
      <c r="A1154" s="52">
        <f>row()-1</f>
        <v/>
      </c>
      <c r="B1154" s="55" t="n"/>
      <c r="C1154" s="47" t="n"/>
      <c r="D1154" s="20" t="n"/>
      <c r="E1154" s="20" t="n"/>
      <c r="F1154" s="47" t="n"/>
      <c r="G1154" s="47" t="n"/>
      <c r="H1154" s="47" t="n"/>
      <c r="I1154" s="47" t="n"/>
      <c r="J1154" s="47" t="n"/>
      <c r="K1154" s="47" t="n"/>
      <c r="L1154" s="47" t="n"/>
    </row>
    <row r="1155">
      <c r="A1155" s="52">
        <f>row()-1</f>
        <v/>
      </c>
      <c r="B1155" s="55" t="n"/>
      <c r="C1155" s="47" t="n"/>
      <c r="D1155" s="20" t="n"/>
      <c r="E1155" s="20" t="n"/>
      <c r="F1155" s="47" t="n"/>
      <c r="G1155" s="47" t="n"/>
      <c r="H1155" s="47" t="n"/>
      <c r="I1155" s="47" t="n"/>
      <c r="J1155" s="47" t="n"/>
      <c r="K1155" s="47" t="n"/>
      <c r="L1155" s="47" t="n"/>
    </row>
    <row r="1156">
      <c r="A1156" s="52">
        <f>row()-1</f>
        <v/>
      </c>
      <c r="B1156" s="55" t="n"/>
      <c r="C1156" s="47" t="n"/>
      <c r="D1156" s="20" t="n"/>
      <c r="E1156" s="20" t="n"/>
      <c r="F1156" s="47" t="n"/>
      <c r="G1156" s="47" t="n"/>
      <c r="H1156" s="47" t="n"/>
      <c r="I1156" s="47" t="n"/>
      <c r="J1156" s="47" t="n"/>
      <c r="K1156" s="47" t="n"/>
      <c r="L1156" s="47" t="n"/>
    </row>
    <row r="1157">
      <c r="A1157" s="52">
        <f>row()-1</f>
        <v/>
      </c>
      <c r="B1157" s="55" t="n"/>
      <c r="C1157" s="47" t="n"/>
      <c r="D1157" s="20" t="n"/>
      <c r="E1157" s="20" t="n"/>
      <c r="F1157" s="47" t="n"/>
      <c r="G1157" s="47" t="n"/>
      <c r="H1157" s="47" t="n"/>
      <c r="I1157" s="47" t="n"/>
      <c r="J1157" s="47" t="n"/>
      <c r="K1157" s="47" t="n"/>
      <c r="L1157" s="47" t="n"/>
    </row>
    <row r="1158">
      <c r="A1158" s="52">
        <f>row()-1</f>
        <v/>
      </c>
      <c r="B1158" s="55" t="n"/>
      <c r="C1158" s="47" t="n"/>
      <c r="D1158" s="20" t="n"/>
      <c r="E1158" s="20" t="n"/>
      <c r="F1158" s="47" t="n"/>
      <c r="G1158" s="47" t="n"/>
      <c r="H1158" s="47" t="n"/>
      <c r="I1158" s="47" t="n"/>
      <c r="J1158" s="47" t="n"/>
      <c r="K1158" s="47" t="n"/>
      <c r="L1158" s="47" t="n"/>
    </row>
    <row r="1159">
      <c r="A1159" s="52">
        <f>row()-1</f>
        <v/>
      </c>
      <c r="B1159" s="55" t="n"/>
      <c r="C1159" s="47" t="n"/>
      <c r="D1159" s="20" t="n"/>
      <c r="E1159" s="20" t="n"/>
      <c r="F1159" s="47" t="n"/>
      <c r="G1159" s="47" t="n"/>
      <c r="H1159" s="47" t="n"/>
      <c r="I1159" s="47" t="n"/>
      <c r="J1159" s="47" t="n"/>
      <c r="K1159" s="47" t="n"/>
      <c r="L1159" s="47" t="n"/>
    </row>
    <row r="1160">
      <c r="A1160" s="52">
        <f>row()-1</f>
        <v/>
      </c>
      <c r="B1160" s="55" t="n"/>
      <c r="C1160" s="47" t="n"/>
      <c r="D1160" s="20" t="n"/>
      <c r="E1160" s="20" t="n"/>
      <c r="F1160" s="47" t="n"/>
      <c r="G1160" s="47" t="n"/>
      <c r="H1160" s="47" t="n"/>
      <c r="I1160" s="47" t="n"/>
      <c r="J1160" s="47" t="n"/>
      <c r="K1160" s="47" t="n"/>
      <c r="L1160" s="47" t="n"/>
    </row>
    <row r="1161">
      <c r="A1161" s="52">
        <f>row()-1</f>
        <v/>
      </c>
      <c r="B1161" s="55" t="n"/>
      <c r="C1161" s="47" t="n"/>
      <c r="D1161" s="20" t="n"/>
      <c r="E1161" s="20" t="n"/>
      <c r="F1161" s="47" t="n"/>
      <c r="G1161" s="47" t="n"/>
      <c r="H1161" s="47" t="n"/>
      <c r="I1161" s="47" t="n"/>
      <c r="J1161" s="47" t="n"/>
      <c r="K1161" s="47" t="n"/>
      <c r="L1161" s="47" t="n"/>
    </row>
    <row r="1162">
      <c r="A1162" s="52">
        <f>row()-1</f>
        <v/>
      </c>
      <c r="B1162" s="55" t="n"/>
      <c r="C1162" s="47" t="n"/>
      <c r="D1162" s="20" t="n"/>
      <c r="E1162" s="20" t="n"/>
      <c r="F1162" s="47" t="n"/>
      <c r="G1162" s="47" t="n"/>
      <c r="H1162" s="47" t="n"/>
      <c r="I1162" s="47" t="n"/>
      <c r="J1162" s="47" t="n"/>
      <c r="K1162" s="47" t="n"/>
      <c r="L1162" s="47" t="n"/>
    </row>
    <row r="1163">
      <c r="A1163" s="52">
        <f>row()-1</f>
        <v/>
      </c>
      <c r="B1163" s="55" t="n"/>
      <c r="C1163" s="47" t="n"/>
      <c r="D1163" s="20" t="n"/>
      <c r="E1163" s="20" t="n"/>
      <c r="F1163" s="47" t="n"/>
      <c r="G1163" s="47" t="n"/>
      <c r="H1163" s="47" t="n"/>
      <c r="I1163" s="47" t="n"/>
      <c r="J1163" s="47" t="n"/>
      <c r="K1163" s="47" t="n"/>
      <c r="L1163" s="47" t="n"/>
    </row>
    <row r="1164">
      <c r="A1164" s="52">
        <f>row()-1</f>
        <v/>
      </c>
      <c r="B1164" s="55" t="n"/>
      <c r="C1164" s="47" t="n"/>
      <c r="D1164" s="20" t="n"/>
      <c r="E1164" s="20" t="n"/>
      <c r="F1164" s="47" t="n"/>
      <c r="G1164" s="47" t="n"/>
      <c r="H1164" s="47" t="n"/>
      <c r="I1164" s="47" t="n"/>
      <c r="J1164" s="47" t="n"/>
      <c r="K1164" s="47" t="n"/>
      <c r="L1164" s="47" t="n"/>
    </row>
    <row r="1165">
      <c r="A1165" s="52">
        <f>row()-1</f>
        <v/>
      </c>
      <c r="B1165" s="55" t="n"/>
      <c r="C1165" s="47" t="n"/>
      <c r="D1165" s="20" t="n"/>
      <c r="E1165" s="20" t="n"/>
      <c r="F1165" s="47" t="n"/>
      <c r="G1165" s="47" t="n"/>
      <c r="H1165" s="47" t="n"/>
      <c r="I1165" s="47" t="n"/>
      <c r="J1165" s="47" t="n"/>
      <c r="K1165" s="47" t="n"/>
      <c r="L1165" s="47" t="n"/>
    </row>
    <row r="1166">
      <c r="A1166" s="52">
        <f>row()-1</f>
        <v/>
      </c>
      <c r="B1166" s="55" t="n"/>
      <c r="C1166" s="47" t="n"/>
      <c r="D1166" s="20" t="n"/>
      <c r="E1166" s="20" t="n"/>
      <c r="F1166" s="47" t="n"/>
      <c r="G1166" s="47" t="n"/>
      <c r="H1166" s="47" t="n"/>
      <c r="I1166" s="47" t="n"/>
      <c r="J1166" s="47" t="n"/>
      <c r="K1166" s="47" t="n"/>
      <c r="L1166" s="47" t="n"/>
    </row>
    <row r="1167">
      <c r="A1167" s="52">
        <f>row()-1</f>
        <v/>
      </c>
      <c r="B1167" s="55" t="n"/>
      <c r="C1167" s="47" t="n"/>
      <c r="D1167" s="20" t="n"/>
      <c r="E1167" s="20" t="n"/>
      <c r="F1167" s="47" t="n"/>
      <c r="G1167" s="47" t="n"/>
      <c r="H1167" s="47" t="n"/>
      <c r="I1167" s="47" t="n"/>
      <c r="J1167" s="47" t="n"/>
      <c r="K1167" s="47" t="n"/>
      <c r="L1167" s="47" t="n"/>
    </row>
    <row r="1168">
      <c r="A1168" s="52">
        <f>row()-1</f>
        <v/>
      </c>
      <c r="B1168" s="55" t="n"/>
      <c r="C1168" s="47" t="n"/>
      <c r="D1168" s="20" t="n"/>
      <c r="E1168" s="20" t="n"/>
      <c r="F1168" s="47" t="n"/>
      <c r="G1168" s="47" t="n"/>
      <c r="H1168" s="47" t="n"/>
      <c r="I1168" s="47" t="n"/>
      <c r="J1168" s="47" t="n"/>
      <c r="K1168" s="47" t="n"/>
      <c r="L1168" s="47" t="n"/>
    </row>
    <row r="1169">
      <c r="A1169" s="52">
        <f>row()-1</f>
        <v/>
      </c>
      <c r="B1169" s="55" t="n"/>
      <c r="C1169" s="47" t="n"/>
      <c r="D1169" s="20" t="n"/>
      <c r="E1169" s="20" t="n"/>
      <c r="F1169" s="47" t="n"/>
      <c r="G1169" s="47" t="n"/>
      <c r="H1169" s="47" t="n"/>
      <c r="I1169" s="47" t="n"/>
      <c r="J1169" s="47" t="n"/>
      <c r="K1169" s="47" t="n"/>
      <c r="L1169" s="47" t="n"/>
    </row>
    <row r="1170">
      <c r="A1170" s="52">
        <f>row()-1</f>
        <v/>
      </c>
      <c r="B1170" s="55" t="n"/>
      <c r="C1170" s="47" t="n"/>
      <c r="D1170" s="20" t="n"/>
      <c r="E1170" s="20" t="n"/>
      <c r="F1170" s="47" t="n"/>
      <c r="G1170" s="47" t="n"/>
      <c r="H1170" s="47" t="n"/>
      <c r="I1170" s="47" t="n"/>
      <c r="J1170" s="47" t="n"/>
      <c r="K1170" s="47" t="n"/>
      <c r="L1170" s="47" t="n"/>
    </row>
    <row r="1171">
      <c r="A1171" s="52">
        <f>row()-1</f>
        <v/>
      </c>
      <c r="B1171" s="55" t="n"/>
      <c r="C1171" s="47" t="n"/>
      <c r="D1171" s="20" t="n"/>
      <c r="E1171" s="20" t="n"/>
      <c r="F1171" s="47" t="n"/>
      <c r="G1171" s="47" t="n"/>
      <c r="H1171" s="47" t="n"/>
      <c r="I1171" s="47" t="n"/>
      <c r="J1171" s="47" t="n"/>
      <c r="K1171" s="47" t="n"/>
      <c r="L1171" s="47" t="n"/>
    </row>
    <row r="1172">
      <c r="A1172" s="52">
        <f>row()-1</f>
        <v/>
      </c>
      <c r="B1172" s="55" t="n"/>
      <c r="C1172" s="47" t="n"/>
      <c r="D1172" s="20" t="n"/>
      <c r="E1172" s="20" t="n"/>
      <c r="F1172" s="47" t="n"/>
      <c r="G1172" s="47" t="n"/>
      <c r="H1172" s="47" t="n"/>
      <c r="I1172" s="47" t="n"/>
      <c r="J1172" s="47" t="n"/>
      <c r="K1172" s="47" t="n"/>
      <c r="L1172" s="47" t="n"/>
    </row>
    <row r="1173">
      <c r="A1173" s="52">
        <f>row()-1</f>
        <v/>
      </c>
      <c r="B1173" s="55" t="n"/>
      <c r="C1173" s="47" t="n"/>
      <c r="D1173" s="20" t="n"/>
      <c r="E1173" s="20" t="n"/>
      <c r="F1173" s="47" t="n"/>
      <c r="G1173" s="47" t="n"/>
      <c r="H1173" s="47" t="n"/>
      <c r="I1173" s="47" t="n"/>
      <c r="J1173" s="47" t="n"/>
      <c r="K1173" s="47" t="n"/>
      <c r="L1173" s="47" t="n"/>
    </row>
    <row r="1174">
      <c r="A1174" s="52">
        <f>row()-1</f>
        <v/>
      </c>
      <c r="B1174" s="55" t="n"/>
      <c r="C1174" s="47" t="n"/>
      <c r="D1174" s="20" t="n"/>
      <c r="E1174" s="20" t="n"/>
      <c r="F1174" s="47" t="n"/>
      <c r="G1174" s="47" t="n"/>
      <c r="H1174" s="47" t="n"/>
      <c r="I1174" s="47" t="n"/>
      <c r="J1174" s="47" t="n"/>
      <c r="K1174" s="47" t="n"/>
      <c r="L1174" s="47" t="n"/>
    </row>
    <row r="1175">
      <c r="A1175" s="52">
        <f>row()-1</f>
        <v/>
      </c>
      <c r="B1175" s="55" t="n"/>
      <c r="C1175" s="47" t="n"/>
      <c r="D1175" s="20" t="n"/>
      <c r="E1175" s="20" t="n"/>
      <c r="F1175" s="47" t="n"/>
      <c r="G1175" s="47" t="n"/>
      <c r="H1175" s="47" t="n"/>
      <c r="I1175" s="47" t="n"/>
      <c r="J1175" s="47" t="n"/>
      <c r="K1175" s="47" t="n"/>
      <c r="L1175" s="47" t="n"/>
    </row>
    <row r="1176">
      <c r="A1176" s="52">
        <f>row()-1</f>
        <v/>
      </c>
      <c r="B1176" s="55" t="n"/>
      <c r="C1176" s="47" t="n"/>
      <c r="D1176" s="20" t="n"/>
      <c r="E1176" s="20" t="n"/>
      <c r="F1176" s="47" t="n"/>
      <c r="G1176" s="47" t="n"/>
      <c r="H1176" s="47" t="n"/>
      <c r="I1176" s="47" t="n"/>
      <c r="J1176" s="47" t="n"/>
      <c r="K1176" s="47" t="n"/>
      <c r="L1176" s="47" t="n"/>
    </row>
    <row r="1177">
      <c r="A1177" s="52">
        <f>row()-1</f>
        <v/>
      </c>
      <c r="B1177" s="55" t="n"/>
      <c r="C1177" s="47" t="n"/>
      <c r="D1177" s="20" t="n"/>
      <c r="E1177" s="20" t="n"/>
      <c r="F1177" s="47" t="n"/>
      <c r="G1177" s="47" t="n"/>
      <c r="H1177" s="47" t="n"/>
      <c r="I1177" s="47" t="n"/>
      <c r="J1177" s="47" t="n"/>
      <c r="K1177" s="47" t="n"/>
      <c r="L1177" s="47" t="n"/>
    </row>
    <row r="1178">
      <c r="A1178" s="52">
        <f>row()-1</f>
        <v/>
      </c>
      <c r="B1178" s="55" t="n"/>
      <c r="C1178" s="47" t="n"/>
      <c r="D1178" s="20" t="n"/>
      <c r="E1178" s="20" t="n"/>
      <c r="F1178" s="47" t="n"/>
      <c r="G1178" s="47" t="n"/>
      <c r="H1178" s="47" t="n"/>
      <c r="I1178" s="47" t="n"/>
      <c r="J1178" s="47" t="n"/>
      <c r="K1178" s="47" t="n"/>
      <c r="L1178" s="47" t="n"/>
    </row>
    <row r="1179">
      <c r="A1179" s="52">
        <f>row()-1</f>
        <v/>
      </c>
      <c r="B1179" s="55" t="n"/>
      <c r="C1179" s="47" t="n"/>
      <c r="D1179" s="20" t="n"/>
      <c r="E1179" s="20" t="n"/>
      <c r="F1179" s="47" t="n"/>
      <c r="G1179" s="47" t="n"/>
      <c r="H1179" s="47" t="n"/>
      <c r="I1179" s="47" t="n"/>
      <c r="J1179" s="47" t="n"/>
      <c r="K1179" s="47" t="n"/>
      <c r="L1179" s="47" t="n"/>
    </row>
    <row r="1180">
      <c r="A1180" s="52">
        <f>row()-1</f>
        <v/>
      </c>
      <c r="B1180" s="55" t="n"/>
      <c r="C1180" s="47" t="n"/>
      <c r="D1180" s="20" t="n"/>
      <c r="E1180" s="20" t="n"/>
      <c r="F1180" s="47" t="n"/>
      <c r="G1180" s="47" t="n"/>
      <c r="H1180" s="47" t="n"/>
      <c r="I1180" s="47" t="n"/>
      <c r="J1180" s="47" t="n"/>
      <c r="K1180" s="47" t="n"/>
      <c r="L1180" s="47" t="n"/>
    </row>
    <row r="1181">
      <c r="A1181" s="52">
        <f>row()-1</f>
        <v/>
      </c>
      <c r="B1181" s="55" t="n"/>
      <c r="C1181" s="47" t="n"/>
      <c r="D1181" s="20" t="n"/>
      <c r="E1181" s="20" t="n"/>
      <c r="F1181" s="47" t="n"/>
      <c r="G1181" s="47" t="n"/>
      <c r="H1181" s="47" t="n"/>
      <c r="I1181" s="47" t="n"/>
      <c r="J1181" s="47" t="n"/>
      <c r="K1181" s="47" t="n"/>
      <c r="L1181" s="47" t="n"/>
    </row>
    <row r="1182">
      <c r="A1182" s="52">
        <f>row()-1</f>
        <v/>
      </c>
      <c r="B1182" s="55" t="n"/>
      <c r="C1182" s="47" t="n"/>
      <c r="D1182" s="20" t="n"/>
      <c r="E1182" s="20" t="n"/>
      <c r="F1182" s="47" t="n"/>
      <c r="G1182" s="47" t="n"/>
      <c r="H1182" s="47" t="n"/>
      <c r="I1182" s="47" t="n"/>
      <c r="J1182" s="47" t="n"/>
      <c r="K1182" s="47" t="n"/>
      <c r="L1182" s="47" t="n"/>
    </row>
    <row r="1183">
      <c r="A1183" s="52">
        <f>row()-1</f>
        <v/>
      </c>
      <c r="B1183" s="55" t="n"/>
      <c r="C1183" s="47" t="n"/>
      <c r="D1183" s="20" t="n"/>
      <c r="E1183" s="20" t="n"/>
      <c r="F1183" s="47" t="n"/>
      <c r="G1183" s="47" t="n"/>
      <c r="H1183" s="47" t="n"/>
      <c r="I1183" s="47" t="n"/>
      <c r="J1183" s="47" t="n"/>
      <c r="K1183" s="47" t="n"/>
      <c r="L1183" s="47" t="n"/>
    </row>
    <row r="1184">
      <c r="A1184" s="52">
        <f>row()-1</f>
        <v/>
      </c>
      <c r="B1184" s="55" t="n"/>
      <c r="C1184" s="47" t="n"/>
      <c r="D1184" s="20" t="n"/>
      <c r="E1184" s="20" t="n"/>
      <c r="F1184" s="47" t="n"/>
      <c r="G1184" s="47" t="n"/>
      <c r="H1184" s="47" t="n"/>
      <c r="I1184" s="47" t="n"/>
      <c r="J1184" s="47" t="n"/>
      <c r="K1184" s="47" t="n"/>
      <c r="L1184" s="47" t="n"/>
    </row>
    <row r="1185">
      <c r="A1185" s="52">
        <f>row()-1</f>
        <v/>
      </c>
      <c r="B1185" s="55" t="n"/>
      <c r="C1185" s="47" t="n"/>
      <c r="D1185" s="20" t="n"/>
      <c r="E1185" s="20" t="n"/>
      <c r="F1185" s="47" t="n"/>
      <c r="G1185" s="47" t="n"/>
      <c r="H1185" s="47" t="n"/>
      <c r="I1185" s="47" t="n"/>
      <c r="J1185" s="47" t="n"/>
      <c r="K1185" s="47" t="n"/>
      <c r="L1185" s="47" t="n"/>
    </row>
    <row r="1186">
      <c r="A1186" s="52">
        <f>row()-1</f>
        <v/>
      </c>
      <c r="B1186" s="55" t="n"/>
      <c r="C1186" s="47" t="n"/>
      <c r="D1186" s="20" t="n"/>
      <c r="E1186" s="20" t="n"/>
      <c r="F1186" s="47" t="n"/>
      <c r="G1186" s="47" t="n"/>
      <c r="H1186" s="47" t="n"/>
      <c r="I1186" s="47" t="n"/>
      <c r="J1186" s="47" t="n"/>
      <c r="K1186" s="47" t="n"/>
      <c r="L1186" s="47" t="n"/>
    </row>
    <row r="1187">
      <c r="A1187" s="52">
        <f>row()-1</f>
        <v/>
      </c>
      <c r="B1187" s="55" t="n"/>
      <c r="C1187" s="47" t="n"/>
      <c r="D1187" s="20" t="n"/>
      <c r="E1187" s="20" t="n"/>
      <c r="F1187" s="47" t="n"/>
      <c r="G1187" s="47" t="n"/>
      <c r="H1187" s="47" t="n"/>
      <c r="I1187" s="47" t="n"/>
      <c r="J1187" s="47" t="n"/>
      <c r="K1187" s="47" t="n"/>
      <c r="L1187" s="47" t="n"/>
    </row>
    <row r="1188">
      <c r="A1188" s="52">
        <f>row()-1</f>
        <v/>
      </c>
      <c r="B1188" s="55" t="n"/>
      <c r="C1188" s="47" t="n"/>
      <c r="D1188" s="20" t="n"/>
      <c r="E1188" s="20" t="n"/>
      <c r="F1188" s="47" t="n"/>
      <c r="G1188" s="47" t="n"/>
      <c r="H1188" s="47" t="n"/>
      <c r="I1188" s="47" t="n"/>
      <c r="J1188" s="47" t="n"/>
      <c r="K1188" s="47" t="n"/>
      <c r="L1188" s="47" t="n"/>
    </row>
    <row r="1189">
      <c r="A1189" s="52">
        <f>row()-1</f>
        <v/>
      </c>
      <c r="B1189" s="55" t="n"/>
      <c r="C1189" s="47" t="n"/>
      <c r="D1189" s="20" t="n"/>
      <c r="E1189" s="20" t="n"/>
      <c r="F1189" s="47" t="n"/>
      <c r="G1189" s="47" t="n"/>
      <c r="H1189" s="47" t="n"/>
      <c r="I1189" s="47" t="n"/>
      <c r="J1189" s="47" t="n"/>
      <c r="K1189" s="47" t="n"/>
      <c r="L1189" s="47" t="n"/>
    </row>
    <row r="1190">
      <c r="A1190" s="52">
        <f>row()-1</f>
        <v/>
      </c>
      <c r="B1190" s="55" t="n"/>
      <c r="C1190" s="47" t="n"/>
      <c r="D1190" s="20" t="n"/>
      <c r="E1190" s="20" t="n"/>
      <c r="F1190" s="47" t="n"/>
      <c r="G1190" s="47" t="n"/>
      <c r="H1190" s="47" t="n"/>
      <c r="I1190" s="47" t="n"/>
      <c r="J1190" s="47" t="n"/>
      <c r="K1190" s="47" t="n"/>
      <c r="L1190" s="47" t="n"/>
    </row>
    <row r="1191">
      <c r="A1191" s="52">
        <f>row()-1</f>
        <v/>
      </c>
      <c r="B1191" s="55" t="n"/>
      <c r="C1191" s="47" t="n"/>
      <c r="D1191" s="20" t="n"/>
      <c r="E1191" s="20" t="n"/>
      <c r="F1191" s="47" t="n"/>
      <c r="G1191" s="47" t="n"/>
      <c r="H1191" s="47" t="n"/>
      <c r="I1191" s="47" t="n"/>
      <c r="J1191" s="47" t="n"/>
      <c r="K1191" s="47" t="n"/>
      <c r="L1191" s="47" t="n"/>
    </row>
    <row r="1192">
      <c r="A1192" s="52">
        <f>row()-1</f>
        <v/>
      </c>
      <c r="B1192" s="55" t="n"/>
      <c r="C1192" s="47" t="n"/>
      <c r="D1192" s="20" t="n"/>
      <c r="E1192" s="20" t="n"/>
      <c r="F1192" s="47" t="n"/>
      <c r="G1192" s="47" t="n"/>
      <c r="H1192" s="47" t="n"/>
      <c r="I1192" s="47" t="n"/>
      <c r="J1192" s="47" t="n"/>
      <c r="K1192" s="47" t="n"/>
      <c r="L1192" s="47" t="n"/>
    </row>
    <row r="1193">
      <c r="A1193" s="52">
        <f>row()-1</f>
        <v/>
      </c>
      <c r="B1193" s="55" t="n"/>
      <c r="C1193" s="47" t="n"/>
      <c r="D1193" s="20" t="n"/>
      <c r="E1193" s="20" t="n"/>
      <c r="F1193" s="47" t="n"/>
      <c r="G1193" s="47" t="n"/>
      <c r="H1193" s="47" t="n"/>
      <c r="I1193" s="47" t="n"/>
      <c r="J1193" s="47" t="n"/>
      <c r="K1193" s="47" t="n"/>
      <c r="L1193" s="47" t="n"/>
    </row>
    <row r="1194">
      <c r="A1194" s="52">
        <f>row()-1</f>
        <v/>
      </c>
      <c r="B1194" s="55" t="n"/>
      <c r="C1194" s="47" t="n"/>
      <c r="D1194" s="20" t="n"/>
      <c r="E1194" s="20" t="n"/>
      <c r="F1194" s="47" t="n"/>
      <c r="G1194" s="47" t="n"/>
      <c r="H1194" s="47" t="n"/>
      <c r="I1194" s="47" t="n"/>
      <c r="J1194" s="47" t="n"/>
      <c r="K1194" s="47" t="n"/>
      <c r="L1194" s="47" t="n"/>
    </row>
    <row r="1195">
      <c r="A1195" s="52">
        <f>row()-1</f>
        <v/>
      </c>
      <c r="B1195" s="55" t="n"/>
      <c r="C1195" s="47" t="n"/>
      <c r="D1195" s="20" t="n"/>
      <c r="E1195" s="20" t="n"/>
      <c r="F1195" s="47" t="n"/>
      <c r="G1195" s="47" t="n"/>
      <c r="H1195" s="47" t="n"/>
      <c r="I1195" s="47" t="n"/>
      <c r="J1195" s="47" t="n"/>
      <c r="K1195" s="47" t="n"/>
      <c r="L1195" s="47" t="n"/>
    </row>
    <row r="1196">
      <c r="A1196" s="52">
        <f>row()-1</f>
        <v/>
      </c>
      <c r="B1196" s="55" t="n"/>
      <c r="C1196" s="47" t="n"/>
      <c r="D1196" s="20" t="n"/>
      <c r="E1196" s="20" t="n"/>
      <c r="F1196" s="47" t="n"/>
      <c r="G1196" s="47" t="n"/>
      <c r="H1196" s="47" t="n"/>
      <c r="I1196" s="47" t="n"/>
      <c r="J1196" s="47" t="n"/>
      <c r="K1196" s="47" t="n"/>
      <c r="L1196" s="47" t="n"/>
    </row>
    <row r="1197">
      <c r="A1197" s="52">
        <f>row()-1</f>
        <v/>
      </c>
      <c r="B1197" s="55" t="n"/>
      <c r="C1197" s="47" t="n"/>
      <c r="D1197" s="20" t="n"/>
      <c r="E1197" s="20" t="n"/>
      <c r="F1197" s="47" t="n"/>
      <c r="G1197" s="47" t="n"/>
      <c r="H1197" s="47" t="n"/>
      <c r="I1197" s="47" t="n"/>
      <c r="J1197" s="47" t="n"/>
      <c r="K1197" s="47" t="n"/>
      <c r="L1197" s="47" t="n"/>
    </row>
    <row r="1198">
      <c r="A1198" s="52">
        <f>row()-1</f>
        <v/>
      </c>
      <c r="B1198" s="55" t="n"/>
      <c r="C1198" s="47" t="n"/>
      <c r="D1198" s="20" t="n"/>
      <c r="E1198" s="20" t="n"/>
      <c r="F1198" s="47" t="n"/>
      <c r="G1198" s="47" t="n"/>
      <c r="H1198" s="47" t="n"/>
      <c r="I1198" s="47" t="n"/>
      <c r="J1198" s="47" t="n"/>
      <c r="K1198" s="47" t="n"/>
      <c r="L1198" s="47" t="n"/>
    </row>
    <row r="1199">
      <c r="A1199" s="52">
        <f>row()-1</f>
        <v/>
      </c>
      <c r="B1199" s="55" t="n"/>
      <c r="C1199" s="47" t="n"/>
      <c r="D1199" s="20" t="n"/>
      <c r="E1199" s="20" t="n"/>
      <c r="F1199" s="47" t="n"/>
      <c r="G1199" s="47" t="n"/>
      <c r="H1199" s="47" t="n"/>
      <c r="I1199" s="47" t="n"/>
      <c r="J1199" s="47" t="n"/>
      <c r="K1199" s="47" t="n"/>
      <c r="L1199" s="47" t="n"/>
    </row>
    <row r="1200">
      <c r="A1200" s="52">
        <f>row()-1</f>
        <v/>
      </c>
      <c r="B1200" s="55" t="n"/>
      <c r="C1200" s="47" t="n"/>
      <c r="D1200" s="20" t="n"/>
      <c r="E1200" s="20" t="n"/>
      <c r="F1200" s="47" t="n"/>
      <c r="G1200" s="47" t="n"/>
      <c r="H1200" s="47" t="n"/>
      <c r="I1200" s="47" t="n"/>
      <c r="J1200" s="47" t="n"/>
      <c r="K1200" s="47" t="n"/>
      <c r="L1200" s="47" t="n"/>
    </row>
    <row r="1201">
      <c r="A1201" s="52">
        <f>row()-1</f>
        <v/>
      </c>
      <c r="B1201" s="55" t="n"/>
      <c r="C1201" s="47" t="n"/>
      <c r="D1201" s="20" t="n"/>
      <c r="E1201" s="20" t="n"/>
      <c r="F1201" s="47" t="n"/>
      <c r="G1201" s="47" t="n"/>
      <c r="H1201" s="47" t="n"/>
      <c r="I1201" s="47" t="n"/>
      <c r="J1201" s="47" t="n"/>
      <c r="K1201" s="47" t="n"/>
      <c r="L1201" s="47" t="n"/>
    </row>
    <row r="1202">
      <c r="A1202" s="52">
        <f>row()-1</f>
        <v/>
      </c>
      <c r="B1202" s="55" t="n"/>
      <c r="C1202" s="47" t="n"/>
      <c r="D1202" s="20" t="n"/>
      <c r="E1202" s="20" t="n"/>
      <c r="F1202" s="47" t="n"/>
      <c r="G1202" s="47" t="n"/>
      <c r="H1202" s="47" t="n"/>
      <c r="I1202" s="47" t="n"/>
      <c r="J1202" s="47" t="n"/>
      <c r="K1202" s="47" t="n"/>
      <c r="L1202" s="47" t="n"/>
    </row>
    <row r="1203">
      <c r="A1203" s="52">
        <f>row()-1</f>
        <v/>
      </c>
      <c r="B1203" s="55" t="n"/>
      <c r="C1203" s="47" t="n"/>
      <c r="D1203" s="20" t="n"/>
      <c r="E1203" s="20" t="n"/>
      <c r="F1203" s="47" t="n"/>
      <c r="G1203" s="47" t="n"/>
      <c r="H1203" s="47" t="n"/>
      <c r="I1203" s="47" t="n"/>
      <c r="J1203" s="47" t="n"/>
      <c r="K1203" s="47" t="n"/>
      <c r="L1203" s="47" t="n"/>
    </row>
    <row r="1204">
      <c r="A1204" s="52">
        <f>row()-1</f>
        <v/>
      </c>
      <c r="B1204" s="55" t="n"/>
      <c r="C1204" s="47" t="n"/>
      <c r="D1204" s="20" t="n"/>
      <c r="E1204" s="20" t="n"/>
      <c r="F1204" s="47" t="n"/>
      <c r="G1204" s="47" t="n"/>
      <c r="H1204" s="47" t="n"/>
      <c r="I1204" s="47" t="n"/>
      <c r="J1204" s="47" t="n"/>
      <c r="K1204" s="47" t="n"/>
      <c r="L1204" s="47" t="n"/>
    </row>
    <row r="1205">
      <c r="A1205" s="52">
        <f>row()-1</f>
        <v/>
      </c>
      <c r="B1205" s="55" t="n"/>
      <c r="C1205" s="47" t="n"/>
      <c r="D1205" s="20" t="n"/>
      <c r="E1205" s="20" t="n"/>
      <c r="F1205" s="47" t="n"/>
      <c r="G1205" s="47" t="n"/>
      <c r="H1205" s="47" t="n"/>
      <c r="I1205" s="47" t="n"/>
      <c r="J1205" s="47" t="n"/>
      <c r="K1205" s="47" t="n"/>
      <c r="L1205" s="47" t="n"/>
    </row>
    <row r="1206">
      <c r="A1206" s="52">
        <f>row()-1</f>
        <v/>
      </c>
      <c r="B1206" s="55" t="n"/>
      <c r="C1206" s="47" t="n"/>
      <c r="D1206" s="20" t="n"/>
      <c r="E1206" s="20" t="n"/>
      <c r="F1206" s="47" t="n"/>
      <c r="G1206" s="47" t="n"/>
      <c r="H1206" s="47" t="n"/>
      <c r="I1206" s="47" t="n"/>
      <c r="J1206" s="47" t="n"/>
      <c r="K1206" s="47" t="n"/>
      <c r="L1206" s="47" t="n"/>
    </row>
    <row r="1207">
      <c r="A1207" s="52">
        <f>row()-1</f>
        <v/>
      </c>
      <c r="B1207" s="55" t="n"/>
      <c r="C1207" s="47" t="n"/>
      <c r="D1207" s="20" t="n"/>
      <c r="E1207" s="20" t="n"/>
      <c r="F1207" s="47" t="n"/>
      <c r="G1207" s="47" t="n"/>
      <c r="H1207" s="47" t="n"/>
      <c r="I1207" s="47" t="n"/>
      <c r="J1207" s="47" t="n"/>
      <c r="K1207" s="47" t="n"/>
      <c r="L1207" s="47" t="n"/>
    </row>
    <row r="1208">
      <c r="A1208" s="52">
        <f>row()-1</f>
        <v/>
      </c>
      <c r="B1208" s="55" t="n"/>
      <c r="C1208" s="47" t="n"/>
      <c r="D1208" s="20" t="n"/>
      <c r="E1208" s="20" t="n"/>
      <c r="F1208" s="47" t="n"/>
      <c r="G1208" s="47" t="n"/>
      <c r="H1208" s="47" t="n"/>
      <c r="I1208" s="47" t="n"/>
      <c r="J1208" s="47" t="n"/>
      <c r="K1208" s="47" t="n"/>
      <c r="L1208" s="47" t="n"/>
    </row>
    <row r="1209">
      <c r="A1209" s="52">
        <f>row()-1</f>
        <v/>
      </c>
      <c r="B1209" s="55" t="n"/>
      <c r="C1209" s="47" t="n"/>
      <c r="D1209" s="20" t="n"/>
      <c r="E1209" s="20" t="n"/>
      <c r="F1209" s="47" t="n"/>
      <c r="G1209" s="47" t="n"/>
      <c r="H1209" s="47" t="n"/>
      <c r="I1209" s="47" t="n"/>
      <c r="J1209" s="47" t="n"/>
      <c r="K1209" s="47" t="n"/>
      <c r="L1209" s="47" t="n"/>
    </row>
    <row r="1210">
      <c r="A1210" s="52">
        <f>row()-1</f>
        <v/>
      </c>
      <c r="B1210" s="55" t="n"/>
      <c r="C1210" s="47" t="n"/>
      <c r="D1210" s="20" t="n"/>
      <c r="E1210" s="20" t="n"/>
      <c r="F1210" s="47" t="n"/>
      <c r="G1210" s="47" t="n"/>
      <c r="H1210" s="47" t="n"/>
      <c r="I1210" s="47" t="n"/>
      <c r="J1210" s="47" t="n"/>
      <c r="K1210" s="47" t="n"/>
      <c r="L1210" s="47" t="n"/>
    </row>
    <row r="1211">
      <c r="A1211" s="52">
        <f>row()-1</f>
        <v/>
      </c>
      <c r="B1211" s="55" t="n"/>
      <c r="C1211" s="47" t="n"/>
      <c r="D1211" s="20" t="n"/>
      <c r="E1211" s="20" t="n"/>
      <c r="F1211" s="47" t="n"/>
      <c r="G1211" s="47" t="n"/>
      <c r="H1211" s="47" t="n"/>
      <c r="I1211" s="47" t="n"/>
      <c r="J1211" s="47" t="n"/>
      <c r="K1211" s="47" t="n"/>
      <c r="L1211" s="47" t="n"/>
    </row>
    <row r="1212">
      <c r="A1212" s="52">
        <f>row()-1</f>
        <v/>
      </c>
      <c r="B1212" s="55" t="n"/>
      <c r="C1212" s="47" t="n"/>
      <c r="D1212" s="20" t="n"/>
      <c r="E1212" s="20" t="n"/>
      <c r="F1212" s="47" t="n"/>
      <c r="G1212" s="47" t="n"/>
      <c r="H1212" s="47" t="n"/>
      <c r="I1212" s="47" t="n"/>
      <c r="J1212" s="47" t="n"/>
      <c r="K1212" s="47" t="n"/>
      <c r="L1212" s="47" t="n"/>
    </row>
    <row r="1213">
      <c r="A1213" s="52">
        <f>row()-1</f>
        <v/>
      </c>
      <c r="B1213" s="55" t="n"/>
      <c r="C1213" s="47" t="n"/>
      <c r="D1213" s="20" t="n"/>
      <c r="E1213" s="20" t="n"/>
      <c r="F1213" s="47" t="n"/>
      <c r="G1213" s="47" t="n"/>
      <c r="H1213" s="47" t="n"/>
      <c r="I1213" s="47" t="n"/>
      <c r="J1213" s="47" t="n"/>
      <c r="K1213" s="47" t="n"/>
      <c r="L1213" s="47" t="n"/>
    </row>
    <row r="1214">
      <c r="A1214" s="52">
        <f>row()-1</f>
        <v/>
      </c>
      <c r="B1214" s="55" t="n"/>
      <c r="C1214" s="47" t="n"/>
      <c r="D1214" s="20" t="n"/>
      <c r="E1214" s="20" t="n"/>
      <c r="F1214" s="47" t="n"/>
      <c r="G1214" s="47" t="n"/>
      <c r="H1214" s="47" t="n"/>
      <c r="I1214" s="47" t="n"/>
      <c r="J1214" s="47" t="n"/>
      <c r="K1214" s="47" t="n"/>
      <c r="L1214" s="47" t="n"/>
    </row>
    <row r="1215">
      <c r="A1215" s="52">
        <f>row()-1</f>
        <v/>
      </c>
      <c r="B1215" s="55" t="n"/>
      <c r="C1215" s="47" t="n"/>
      <c r="D1215" s="20" t="n"/>
      <c r="E1215" s="20" t="n"/>
      <c r="F1215" s="47" t="n"/>
      <c r="G1215" s="47" t="n"/>
      <c r="H1215" s="47" t="n"/>
      <c r="I1215" s="47" t="n"/>
      <c r="J1215" s="47" t="n"/>
      <c r="K1215" s="47" t="n"/>
      <c r="L1215" s="47" t="n"/>
    </row>
    <row r="1216">
      <c r="A1216" s="52">
        <f>row()-1</f>
        <v/>
      </c>
      <c r="B1216" s="55" t="n"/>
      <c r="C1216" s="47" t="n"/>
      <c r="D1216" s="20" t="n"/>
      <c r="E1216" s="20" t="n"/>
      <c r="F1216" s="47" t="n"/>
      <c r="G1216" s="47" t="n"/>
      <c r="H1216" s="47" t="n"/>
      <c r="I1216" s="47" t="n"/>
      <c r="J1216" s="47" t="n"/>
      <c r="K1216" s="47" t="n"/>
      <c r="L1216" s="47" t="n"/>
    </row>
    <row r="1217">
      <c r="A1217" s="52">
        <f>row()-1</f>
        <v/>
      </c>
      <c r="B1217" s="55" t="n"/>
      <c r="C1217" s="47" t="n"/>
      <c r="D1217" s="20" t="n"/>
      <c r="E1217" s="20" t="n"/>
      <c r="F1217" s="47" t="n"/>
      <c r="G1217" s="47" t="n"/>
      <c r="H1217" s="47" t="n"/>
      <c r="I1217" s="47" t="n"/>
      <c r="J1217" s="47" t="n"/>
      <c r="K1217" s="47" t="n"/>
      <c r="L1217" s="47" t="n"/>
    </row>
    <row r="1218">
      <c r="A1218" s="52">
        <f>row()-1</f>
        <v/>
      </c>
      <c r="B1218" s="55" t="n"/>
      <c r="C1218" s="47" t="n"/>
      <c r="D1218" s="20" t="n"/>
      <c r="E1218" s="20" t="n"/>
      <c r="F1218" s="47" t="n"/>
      <c r="G1218" s="47" t="n"/>
      <c r="H1218" s="47" t="n"/>
      <c r="I1218" s="47" t="n"/>
      <c r="J1218" s="47" t="n"/>
      <c r="K1218" s="47" t="n"/>
      <c r="L1218" s="47" t="n"/>
    </row>
    <row r="1219">
      <c r="A1219" s="52">
        <f>row()-1</f>
        <v/>
      </c>
      <c r="B1219" s="55" t="n"/>
      <c r="C1219" s="47" t="n"/>
      <c r="D1219" s="20" t="n"/>
      <c r="E1219" s="20" t="n"/>
      <c r="F1219" s="47" t="n"/>
      <c r="G1219" s="47" t="n"/>
      <c r="H1219" s="47" t="n"/>
      <c r="I1219" s="47" t="n"/>
      <c r="J1219" s="47" t="n"/>
      <c r="K1219" s="47" t="n"/>
      <c r="L1219" s="47" t="n"/>
    </row>
    <row r="1220">
      <c r="A1220" s="52">
        <f>row()-1</f>
        <v/>
      </c>
      <c r="B1220" s="55" t="n"/>
      <c r="C1220" s="47" t="n"/>
      <c r="D1220" s="20" t="n"/>
      <c r="E1220" s="20" t="n"/>
      <c r="F1220" s="47" t="n"/>
      <c r="G1220" s="47" t="n"/>
      <c r="H1220" s="47" t="n"/>
      <c r="I1220" s="47" t="n"/>
      <c r="J1220" s="47" t="n"/>
      <c r="K1220" s="47" t="n"/>
      <c r="L1220" s="47" t="n"/>
    </row>
    <row r="1221">
      <c r="A1221" s="52">
        <f>row()-1</f>
        <v/>
      </c>
      <c r="B1221" s="55" t="n"/>
      <c r="C1221" s="47" t="n"/>
      <c r="D1221" s="20" t="n"/>
      <c r="E1221" s="20" t="n"/>
      <c r="F1221" s="47" t="n"/>
      <c r="G1221" s="47" t="n"/>
      <c r="H1221" s="47" t="n"/>
      <c r="I1221" s="47" t="n"/>
      <c r="J1221" s="47" t="n"/>
      <c r="K1221" s="47" t="n"/>
      <c r="L1221" s="47" t="n"/>
    </row>
    <row r="1222">
      <c r="A1222" s="52">
        <f>row()-1</f>
        <v/>
      </c>
      <c r="B1222" s="55" t="n"/>
      <c r="C1222" s="47" t="n"/>
      <c r="D1222" s="20" t="n"/>
      <c r="E1222" s="20" t="n"/>
      <c r="F1222" s="47" t="n"/>
      <c r="G1222" s="47" t="n"/>
      <c r="H1222" s="47" t="n"/>
      <c r="I1222" s="47" t="n"/>
      <c r="J1222" s="47" t="n"/>
      <c r="K1222" s="47" t="n"/>
      <c r="L1222" s="47" t="n"/>
    </row>
    <row r="1223">
      <c r="A1223" s="52">
        <f>row()-1</f>
        <v/>
      </c>
      <c r="B1223" s="55" t="n"/>
      <c r="C1223" s="47" t="n"/>
      <c r="D1223" s="20" t="n"/>
      <c r="E1223" s="20" t="n"/>
      <c r="F1223" s="47" t="n"/>
      <c r="G1223" s="47" t="n"/>
      <c r="H1223" s="47" t="n"/>
      <c r="I1223" s="47" t="n"/>
      <c r="J1223" s="47" t="n"/>
      <c r="K1223" s="47" t="n"/>
      <c r="L1223" s="47" t="n"/>
    </row>
    <row r="1224">
      <c r="A1224" s="52">
        <f>row()-1</f>
        <v/>
      </c>
      <c r="B1224" s="55" t="n"/>
      <c r="C1224" s="47" t="n"/>
      <c r="D1224" s="20" t="n"/>
      <c r="E1224" s="20" t="n"/>
      <c r="F1224" s="47" t="n"/>
      <c r="G1224" s="47" t="n"/>
      <c r="H1224" s="47" t="n"/>
      <c r="I1224" s="47" t="n"/>
      <c r="J1224" s="47" t="n"/>
      <c r="K1224" s="47" t="n"/>
      <c r="L1224" s="47" t="n"/>
    </row>
    <row r="1225">
      <c r="A1225" s="52">
        <f>row()-1</f>
        <v/>
      </c>
      <c r="B1225" s="55" t="n"/>
      <c r="C1225" s="47" t="n"/>
      <c r="D1225" s="20" t="n"/>
      <c r="E1225" s="20" t="n"/>
      <c r="F1225" s="47" t="n"/>
      <c r="G1225" s="47" t="n"/>
      <c r="H1225" s="47" t="n"/>
      <c r="I1225" s="47" t="n"/>
      <c r="J1225" s="47" t="n"/>
      <c r="K1225" s="47" t="n"/>
      <c r="L1225" s="47" t="n"/>
    </row>
    <row r="1226">
      <c r="A1226" s="52">
        <f>row()-1</f>
        <v/>
      </c>
      <c r="B1226" s="55" t="n"/>
      <c r="C1226" s="47" t="n"/>
      <c r="D1226" s="20" t="n"/>
      <c r="E1226" s="20" t="n"/>
      <c r="F1226" s="47" t="n"/>
      <c r="G1226" s="47" t="n"/>
      <c r="H1226" s="47" t="n"/>
      <c r="I1226" s="47" t="n"/>
      <c r="J1226" s="47" t="n"/>
      <c r="K1226" s="47" t="n"/>
      <c r="L1226" s="47" t="n"/>
    </row>
    <row r="1227">
      <c r="A1227" s="52">
        <f>row()-1</f>
        <v/>
      </c>
      <c r="B1227" s="55" t="n"/>
      <c r="C1227" s="47" t="n"/>
      <c r="D1227" s="20" t="n"/>
      <c r="E1227" s="20" t="n"/>
      <c r="F1227" s="47" t="n"/>
      <c r="G1227" s="47" t="n"/>
      <c r="H1227" s="47" t="n"/>
      <c r="I1227" s="47" t="n"/>
      <c r="J1227" s="47" t="n"/>
      <c r="K1227" s="47" t="n"/>
      <c r="L1227" s="47" t="n"/>
    </row>
    <row r="1228">
      <c r="A1228" s="52">
        <f>row()-1</f>
        <v/>
      </c>
      <c r="B1228" s="55" t="n"/>
      <c r="C1228" s="47" t="n"/>
      <c r="D1228" s="20" t="n"/>
      <c r="E1228" s="20" t="n"/>
      <c r="F1228" s="47" t="n"/>
      <c r="G1228" s="47" t="n"/>
      <c r="H1228" s="47" t="n"/>
      <c r="I1228" s="47" t="n"/>
      <c r="J1228" s="47" t="n"/>
      <c r="K1228" s="47" t="n"/>
      <c r="L1228" s="47" t="n"/>
    </row>
    <row r="1229">
      <c r="A1229" s="52">
        <f>row()-1</f>
        <v/>
      </c>
      <c r="B1229" s="55" t="n"/>
      <c r="C1229" s="47" t="n"/>
      <c r="D1229" s="20" t="n"/>
      <c r="E1229" s="20" t="n"/>
      <c r="F1229" s="47" t="n"/>
      <c r="G1229" s="47" t="n"/>
      <c r="H1229" s="47" t="n"/>
      <c r="I1229" s="47" t="n"/>
      <c r="J1229" s="47" t="n"/>
      <c r="K1229" s="47" t="n"/>
      <c r="L1229" s="47" t="n"/>
    </row>
    <row r="1230">
      <c r="A1230" s="52">
        <f>row()-1</f>
        <v/>
      </c>
      <c r="B1230" s="55" t="n"/>
      <c r="C1230" s="47" t="n"/>
      <c r="D1230" s="20" t="n"/>
      <c r="E1230" s="20" t="n"/>
      <c r="F1230" s="47" t="n"/>
      <c r="G1230" s="47" t="n"/>
      <c r="H1230" s="47" t="n"/>
      <c r="I1230" s="47" t="n"/>
      <c r="J1230" s="47" t="n"/>
      <c r="K1230" s="47" t="n"/>
      <c r="L1230" s="47" t="n"/>
    </row>
    <row r="1231">
      <c r="A1231" s="52">
        <f>row()-1</f>
        <v/>
      </c>
      <c r="B1231" s="55" t="n"/>
      <c r="C1231" s="47" t="n"/>
      <c r="D1231" s="20" t="n"/>
      <c r="E1231" s="20" t="n"/>
      <c r="F1231" s="47" t="n"/>
      <c r="G1231" s="47" t="n"/>
      <c r="H1231" s="47" t="n"/>
      <c r="I1231" s="47" t="n"/>
      <c r="J1231" s="47" t="n"/>
      <c r="K1231" s="47" t="n"/>
      <c r="L1231" s="47" t="n"/>
    </row>
    <row r="1232">
      <c r="A1232" s="52">
        <f>row()-1</f>
        <v/>
      </c>
      <c r="B1232" s="55" t="n"/>
      <c r="C1232" s="47" t="n"/>
      <c r="D1232" s="20" t="n"/>
      <c r="E1232" s="20" t="n"/>
      <c r="F1232" s="47" t="n"/>
      <c r="G1232" s="47" t="n"/>
      <c r="H1232" s="47" t="n"/>
      <c r="I1232" s="47" t="n"/>
      <c r="J1232" s="47" t="n"/>
      <c r="K1232" s="47" t="n"/>
      <c r="L1232" s="47" t="n"/>
    </row>
    <row r="1233">
      <c r="A1233" s="52">
        <f>row()-1</f>
        <v/>
      </c>
      <c r="B1233" s="55" t="n"/>
      <c r="C1233" s="47" t="n"/>
      <c r="D1233" s="20" t="n"/>
      <c r="E1233" s="20" t="n"/>
      <c r="F1233" s="47" t="n"/>
      <c r="G1233" s="47" t="n"/>
      <c r="H1233" s="47" t="n"/>
      <c r="I1233" s="47" t="n"/>
      <c r="J1233" s="47" t="n"/>
      <c r="K1233" s="47" t="n"/>
      <c r="L1233" s="47" t="n"/>
    </row>
    <row r="1234">
      <c r="A1234" s="52">
        <f>row()-1</f>
        <v/>
      </c>
      <c r="B1234" s="55" t="n"/>
      <c r="C1234" s="47" t="n"/>
      <c r="D1234" s="20" t="n"/>
      <c r="E1234" s="20" t="n"/>
      <c r="F1234" s="47" t="n"/>
      <c r="G1234" s="47" t="n"/>
      <c r="H1234" s="47" t="n"/>
      <c r="I1234" s="47" t="n"/>
      <c r="J1234" s="47" t="n"/>
      <c r="K1234" s="47" t="n"/>
      <c r="L1234" s="47" t="n"/>
    </row>
    <row r="1235">
      <c r="A1235" s="52">
        <f>row()-1</f>
        <v/>
      </c>
      <c r="B1235" s="55" t="n"/>
      <c r="C1235" s="47" t="n"/>
      <c r="D1235" s="20" t="n"/>
      <c r="E1235" s="20" t="n"/>
      <c r="F1235" s="47" t="n"/>
      <c r="G1235" s="47" t="n"/>
      <c r="H1235" s="47" t="n"/>
      <c r="I1235" s="47" t="n"/>
      <c r="J1235" s="47" t="n"/>
      <c r="K1235" s="47" t="n"/>
      <c r="L1235" s="47" t="n"/>
    </row>
    <row r="1236">
      <c r="A1236" s="52">
        <f>row()-1</f>
        <v/>
      </c>
      <c r="B1236" s="55" t="n"/>
      <c r="C1236" s="47" t="n"/>
      <c r="D1236" s="20" t="n"/>
      <c r="E1236" s="20" t="n"/>
      <c r="F1236" s="47" t="n"/>
      <c r="G1236" s="47" t="n"/>
      <c r="H1236" s="47" t="n"/>
      <c r="I1236" s="47" t="n"/>
      <c r="J1236" s="47" t="n"/>
      <c r="K1236" s="47" t="n"/>
      <c r="L1236" s="47" t="n"/>
    </row>
    <row r="1237">
      <c r="A1237" s="52">
        <f>row()-1</f>
        <v/>
      </c>
      <c r="B1237" s="55" t="n"/>
      <c r="C1237" s="47" t="n"/>
      <c r="D1237" s="20" t="n"/>
      <c r="E1237" s="20" t="n"/>
      <c r="F1237" s="47" t="n"/>
      <c r="G1237" s="47" t="n"/>
      <c r="H1237" s="47" t="n"/>
      <c r="I1237" s="47" t="n"/>
      <c r="J1237" s="47" t="n"/>
      <c r="K1237" s="47" t="n"/>
      <c r="L1237" s="47" t="n"/>
    </row>
    <row r="1238">
      <c r="A1238" s="52">
        <f>row()-1</f>
        <v/>
      </c>
      <c r="B1238" s="55" t="n"/>
      <c r="C1238" s="47" t="n"/>
      <c r="D1238" s="20" t="n"/>
      <c r="E1238" s="20" t="n"/>
      <c r="F1238" s="47" t="n"/>
      <c r="G1238" s="47" t="n"/>
      <c r="H1238" s="47" t="n"/>
      <c r="I1238" s="47" t="n"/>
      <c r="J1238" s="47" t="n"/>
      <c r="K1238" s="47" t="n"/>
      <c r="L1238" s="47" t="n"/>
    </row>
    <row r="1239">
      <c r="A1239" s="52">
        <f>row()-1</f>
        <v/>
      </c>
      <c r="B1239" s="55" t="n"/>
      <c r="C1239" s="47" t="n"/>
      <c r="D1239" s="20" t="n"/>
      <c r="E1239" s="20" t="n"/>
      <c r="F1239" s="47" t="n"/>
      <c r="G1239" s="47" t="n"/>
      <c r="H1239" s="47" t="n"/>
      <c r="I1239" s="47" t="n"/>
      <c r="J1239" s="47" t="n"/>
      <c r="K1239" s="47" t="n"/>
      <c r="L1239" s="47" t="n"/>
    </row>
    <row r="1240">
      <c r="A1240" s="52">
        <f>row()-1</f>
        <v/>
      </c>
      <c r="B1240" s="55" t="n"/>
      <c r="C1240" s="47" t="n"/>
      <c r="D1240" s="20" t="n"/>
      <c r="E1240" s="20" t="n"/>
      <c r="F1240" s="47" t="n"/>
      <c r="G1240" s="47" t="n"/>
      <c r="H1240" s="47" t="n"/>
      <c r="I1240" s="47" t="n"/>
      <c r="J1240" s="47" t="n"/>
      <c r="K1240" s="47" t="n"/>
      <c r="L1240" s="47" t="n"/>
    </row>
    <row r="1241">
      <c r="A1241" s="52">
        <f>row()-1</f>
        <v/>
      </c>
      <c r="B1241" s="55" t="n"/>
      <c r="C1241" s="47" t="n"/>
      <c r="D1241" s="20" t="n"/>
      <c r="E1241" s="20" t="n"/>
      <c r="F1241" s="47" t="n"/>
      <c r="G1241" s="47" t="n"/>
      <c r="H1241" s="47" t="n"/>
      <c r="I1241" s="47" t="n"/>
      <c r="J1241" s="47" t="n"/>
      <c r="K1241" s="47" t="n"/>
      <c r="L1241" s="47" t="n"/>
    </row>
    <row r="1242">
      <c r="A1242" s="52">
        <f>row()-1</f>
        <v/>
      </c>
      <c r="B1242" s="55" t="n"/>
      <c r="C1242" s="47" t="n"/>
      <c r="D1242" s="20" t="n"/>
      <c r="E1242" s="20" t="n"/>
      <c r="F1242" s="47" t="n"/>
      <c r="G1242" s="47" t="n"/>
      <c r="H1242" s="47" t="n"/>
      <c r="I1242" s="47" t="n"/>
      <c r="J1242" s="47" t="n"/>
      <c r="K1242" s="47" t="n"/>
      <c r="L1242" s="47" t="n"/>
    </row>
    <row r="1243">
      <c r="A1243" s="52">
        <f>row()-1</f>
        <v/>
      </c>
      <c r="B1243" s="55" t="n"/>
      <c r="C1243" s="47" t="n"/>
      <c r="D1243" s="20" t="n"/>
      <c r="E1243" s="20" t="n"/>
      <c r="F1243" s="47" t="n"/>
      <c r="G1243" s="47" t="n"/>
      <c r="H1243" s="47" t="n"/>
      <c r="I1243" s="47" t="n"/>
      <c r="J1243" s="47" t="n"/>
      <c r="K1243" s="47" t="n"/>
      <c r="L1243" s="47" t="n"/>
    </row>
    <row r="1244">
      <c r="A1244" s="52">
        <f>row()-1</f>
        <v/>
      </c>
      <c r="B1244" s="55" t="n"/>
      <c r="C1244" s="47" t="n"/>
      <c r="D1244" s="20" t="n"/>
      <c r="E1244" s="20" t="n"/>
      <c r="F1244" s="47" t="n"/>
      <c r="G1244" s="47" t="n"/>
      <c r="H1244" s="47" t="n"/>
      <c r="I1244" s="47" t="n"/>
      <c r="J1244" s="47" t="n"/>
      <c r="K1244" s="47" t="n"/>
      <c r="L1244" s="47" t="n"/>
    </row>
    <row r="1245">
      <c r="A1245" s="52">
        <f>row()-1</f>
        <v/>
      </c>
      <c r="B1245" s="55" t="n"/>
      <c r="C1245" s="47" t="n"/>
      <c r="D1245" s="20" t="n"/>
      <c r="E1245" s="20" t="n"/>
      <c r="F1245" s="47" t="n"/>
      <c r="G1245" s="47" t="n"/>
      <c r="H1245" s="47" t="n"/>
      <c r="I1245" s="47" t="n"/>
      <c r="J1245" s="47" t="n"/>
      <c r="K1245" s="47" t="n"/>
      <c r="L1245" s="47" t="n"/>
    </row>
    <row r="1246">
      <c r="A1246" s="52">
        <f>row()-1</f>
        <v/>
      </c>
      <c r="B1246" s="55" t="n"/>
      <c r="C1246" s="47" t="n"/>
      <c r="D1246" s="20" t="n"/>
      <c r="E1246" s="20" t="n"/>
      <c r="F1246" s="47" t="n"/>
      <c r="G1246" s="47" t="n"/>
      <c r="H1246" s="47" t="n"/>
      <c r="I1246" s="47" t="n"/>
      <c r="J1246" s="47" t="n"/>
      <c r="K1246" s="47" t="n"/>
      <c r="L1246" s="47" t="n"/>
    </row>
    <row r="1247">
      <c r="A1247" s="52">
        <f>row()-1</f>
        <v/>
      </c>
      <c r="B1247" s="55" t="n"/>
      <c r="C1247" s="47" t="n"/>
      <c r="D1247" s="20" t="n"/>
      <c r="E1247" s="20" t="n"/>
      <c r="F1247" s="47" t="n"/>
      <c r="G1247" s="47" t="n"/>
      <c r="H1247" s="47" t="n"/>
      <c r="I1247" s="47" t="n"/>
      <c r="J1247" s="47" t="n"/>
      <c r="K1247" s="47" t="n"/>
      <c r="L1247" s="47" t="n"/>
    </row>
    <row r="1248">
      <c r="A1248" s="52">
        <f>row()-1</f>
        <v/>
      </c>
      <c r="B1248" s="55" t="n"/>
      <c r="C1248" s="47" t="n"/>
      <c r="D1248" s="20" t="n"/>
      <c r="E1248" s="20" t="n"/>
      <c r="F1248" s="47" t="n"/>
      <c r="G1248" s="47" t="n"/>
      <c r="H1248" s="47" t="n"/>
      <c r="I1248" s="47" t="n"/>
      <c r="J1248" s="47" t="n"/>
      <c r="K1248" s="47" t="n"/>
      <c r="L1248" s="47" t="n"/>
    </row>
    <row r="1249">
      <c r="A1249" s="52">
        <f>row()-1</f>
        <v/>
      </c>
      <c r="B1249" s="55" t="n"/>
      <c r="C1249" s="47" t="n"/>
      <c r="D1249" s="20" t="n"/>
      <c r="E1249" s="20" t="n"/>
      <c r="F1249" s="47" t="n"/>
      <c r="G1249" s="47" t="n"/>
      <c r="H1249" s="47" t="n"/>
      <c r="I1249" s="47" t="n"/>
      <c r="J1249" s="47" t="n"/>
      <c r="K1249" s="47" t="n"/>
      <c r="L1249" s="47" t="n"/>
    </row>
    <row r="1250">
      <c r="A1250" s="52">
        <f>row()-1</f>
        <v/>
      </c>
      <c r="B1250" s="55" t="n"/>
      <c r="C1250" s="47" t="n"/>
      <c r="D1250" s="20" t="n"/>
      <c r="E1250" s="20" t="n"/>
      <c r="F1250" s="47" t="n"/>
      <c r="G1250" s="47" t="n"/>
      <c r="H1250" s="47" t="n"/>
      <c r="I1250" s="47" t="n"/>
      <c r="J1250" s="47" t="n"/>
      <c r="K1250" s="47" t="n"/>
      <c r="L1250" s="47" t="n"/>
    </row>
    <row r="1251">
      <c r="A1251" s="52">
        <f>row()-1</f>
        <v/>
      </c>
      <c r="B1251" s="55" t="n"/>
      <c r="C1251" s="47" t="n"/>
      <c r="D1251" s="20" t="n"/>
      <c r="E1251" s="20" t="n"/>
      <c r="F1251" s="47" t="n"/>
      <c r="G1251" s="47" t="n"/>
      <c r="H1251" s="47" t="n"/>
      <c r="I1251" s="47" t="n"/>
      <c r="J1251" s="47" t="n"/>
      <c r="K1251" s="47" t="n"/>
      <c r="L1251" s="47" t="n"/>
    </row>
    <row r="1252">
      <c r="A1252" s="52">
        <f>row()-1</f>
        <v/>
      </c>
      <c r="B1252" s="55" t="n"/>
      <c r="C1252" s="47" t="n"/>
      <c r="D1252" s="20" t="n"/>
      <c r="E1252" s="20" t="n"/>
      <c r="F1252" s="47" t="n"/>
      <c r="G1252" s="47" t="n"/>
      <c r="H1252" s="47" t="n"/>
      <c r="I1252" s="47" t="n"/>
      <c r="J1252" s="47" t="n"/>
      <c r="K1252" s="47" t="n"/>
      <c r="L1252" s="47" t="n"/>
    </row>
    <row r="1253">
      <c r="A1253" s="52">
        <f>row()-1</f>
        <v/>
      </c>
      <c r="B1253" s="55" t="n"/>
      <c r="C1253" s="47" t="n"/>
      <c r="D1253" s="20" t="n"/>
      <c r="E1253" s="20" t="n"/>
      <c r="F1253" s="47" t="n"/>
      <c r="G1253" s="47" t="n"/>
      <c r="H1253" s="47" t="n"/>
      <c r="I1253" s="47" t="n"/>
      <c r="J1253" s="47" t="n"/>
      <c r="K1253" s="47" t="n"/>
      <c r="L1253" s="47" t="n"/>
    </row>
    <row r="1254">
      <c r="A1254" s="52">
        <f>row()-1</f>
        <v/>
      </c>
      <c r="B1254" s="55" t="n"/>
      <c r="C1254" s="47" t="n"/>
      <c r="D1254" s="20" t="n"/>
      <c r="E1254" s="20" t="n"/>
      <c r="F1254" s="47" t="n"/>
      <c r="G1254" s="47" t="n"/>
      <c r="H1254" s="47" t="n"/>
      <c r="I1254" s="47" t="n"/>
      <c r="J1254" s="47" t="n"/>
      <c r="K1254" s="47" t="n"/>
      <c r="L1254" s="47" t="n"/>
    </row>
    <row r="1255">
      <c r="A1255" s="52">
        <f>row()-1</f>
        <v/>
      </c>
      <c r="B1255" s="55" t="n"/>
      <c r="C1255" s="47" t="n"/>
      <c r="D1255" s="20" t="n"/>
      <c r="E1255" s="20" t="n"/>
      <c r="F1255" s="47" t="n"/>
      <c r="G1255" s="47" t="n"/>
      <c r="H1255" s="47" t="n"/>
      <c r="I1255" s="47" t="n"/>
      <c r="J1255" s="47" t="n"/>
      <c r="K1255" s="47" t="n"/>
      <c r="L1255" s="47" t="n"/>
    </row>
    <row r="1256">
      <c r="A1256" s="52">
        <f>row()-1</f>
        <v/>
      </c>
      <c r="B1256" s="55" t="n"/>
      <c r="C1256" s="47" t="n"/>
      <c r="D1256" s="20" t="n"/>
      <c r="E1256" s="20" t="n"/>
      <c r="F1256" s="47" t="n"/>
      <c r="G1256" s="47" t="n"/>
      <c r="H1256" s="47" t="n"/>
      <c r="I1256" s="47" t="n"/>
      <c r="J1256" s="47" t="n"/>
      <c r="K1256" s="47" t="n"/>
      <c r="L1256" s="47" t="n"/>
    </row>
    <row r="1257">
      <c r="A1257" s="52">
        <f>row()-1</f>
        <v/>
      </c>
      <c r="B1257" s="55" t="n"/>
      <c r="C1257" s="47" t="n"/>
      <c r="D1257" s="20" t="n"/>
      <c r="E1257" s="20" t="n"/>
      <c r="F1257" s="47" t="n"/>
      <c r="G1257" s="47" t="n"/>
      <c r="H1257" s="47" t="n"/>
      <c r="I1257" s="47" t="n"/>
      <c r="J1257" s="47" t="n"/>
      <c r="K1257" s="47" t="n"/>
      <c r="L1257" s="47" t="n"/>
    </row>
    <row r="1258">
      <c r="A1258" s="52">
        <f>row()-1</f>
        <v/>
      </c>
      <c r="B1258" s="55" t="n"/>
      <c r="C1258" s="47" t="n"/>
      <c r="D1258" s="20" t="n"/>
      <c r="E1258" s="20" t="n"/>
      <c r="F1258" s="47" t="n"/>
      <c r="G1258" s="47" t="n"/>
      <c r="H1258" s="47" t="n"/>
      <c r="I1258" s="47" t="n"/>
      <c r="J1258" s="47" t="n"/>
      <c r="K1258" s="47" t="n"/>
      <c r="L1258" s="47" t="n"/>
    </row>
    <row r="1259">
      <c r="A1259" s="52">
        <f>row()-1</f>
        <v/>
      </c>
      <c r="B1259" s="55" t="n"/>
      <c r="C1259" s="47" t="n"/>
      <c r="D1259" s="20" t="n"/>
      <c r="E1259" s="20" t="n"/>
      <c r="F1259" s="47" t="n"/>
      <c r="G1259" s="47" t="n"/>
      <c r="H1259" s="47" t="n"/>
      <c r="I1259" s="47" t="n"/>
      <c r="J1259" s="47" t="n"/>
      <c r="K1259" s="47" t="n"/>
      <c r="L1259" s="47" t="n"/>
    </row>
    <row r="1260">
      <c r="A1260" s="52">
        <f>row()-1</f>
        <v/>
      </c>
      <c r="B1260" s="55" t="n"/>
      <c r="C1260" s="47" t="n"/>
      <c r="D1260" s="20" t="n"/>
      <c r="E1260" s="20" t="n"/>
      <c r="F1260" s="47" t="n"/>
      <c r="G1260" s="47" t="n"/>
      <c r="H1260" s="47" t="n"/>
      <c r="I1260" s="47" t="n"/>
      <c r="J1260" s="47" t="n"/>
      <c r="K1260" s="47" t="n"/>
      <c r="L1260" s="47" t="n"/>
    </row>
    <row r="1261">
      <c r="A1261" s="52">
        <f>row()-1</f>
        <v/>
      </c>
      <c r="B1261" s="55" t="n"/>
      <c r="C1261" s="47" t="n"/>
      <c r="D1261" s="20" t="n"/>
      <c r="E1261" s="20" t="n"/>
      <c r="F1261" s="47" t="n"/>
      <c r="G1261" s="47" t="n"/>
      <c r="H1261" s="47" t="n"/>
      <c r="I1261" s="47" t="n"/>
      <c r="J1261" s="47" t="n"/>
      <c r="K1261" s="47" t="n"/>
      <c r="L1261" s="47" t="n"/>
    </row>
    <row r="1262">
      <c r="A1262" s="52">
        <f>row()-1</f>
        <v/>
      </c>
      <c r="B1262" s="55" t="n"/>
      <c r="C1262" s="47" t="n"/>
      <c r="D1262" s="20" t="n"/>
      <c r="E1262" s="20" t="n"/>
      <c r="F1262" s="47" t="n"/>
      <c r="G1262" s="47" t="n"/>
      <c r="H1262" s="47" t="n"/>
      <c r="I1262" s="47" t="n"/>
      <c r="J1262" s="47" t="n"/>
      <c r="K1262" s="47" t="n"/>
      <c r="L1262" s="47" t="n"/>
    </row>
    <row r="1263">
      <c r="A1263" s="52">
        <f>row()-1</f>
        <v/>
      </c>
      <c r="B1263" s="55" t="n"/>
      <c r="C1263" s="47" t="n"/>
      <c r="D1263" s="20" t="n"/>
      <c r="E1263" s="20" t="n"/>
      <c r="F1263" s="47" t="n"/>
      <c r="G1263" s="47" t="n"/>
      <c r="H1263" s="47" t="n"/>
      <c r="I1263" s="47" t="n"/>
      <c r="J1263" s="47" t="n"/>
      <c r="K1263" s="47" t="n"/>
      <c r="L1263" s="47" t="n"/>
    </row>
    <row r="1264">
      <c r="A1264" s="52">
        <f>row()-1</f>
        <v/>
      </c>
      <c r="B1264" s="55" t="n"/>
      <c r="C1264" s="47" t="n"/>
      <c r="D1264" s="20" t="n"/>
      <c r="E1264" s="20" t="n"/>
      <c r="F1264" s="47" t="n"/>
      <c r="G1264" s="47" t="n"/>
      <c r="H1264" s="47" t="n"/>
      <c r="I1264" s="47" t="n"/>
      <c r="J1264" s="47" t="n"/>
      <c r="K1264" s="47" t="n"/>
      <c r="L1264" s="47" t="n"/>
    </row>
    <row r="1265">
      <c r="A1265" s="52">
        <f>row()-1</f>
        <v/>
      </c>
      <c r="B1265" s="55" t="n"/>
      <c r="C1265" s="47" t="n"/>
      <c r="D1265" s="20" t="n"/>
      <c r="E1265" s="20" t="n"/>
      <c r="F1265" s="47" t="n"/>
      <c r="G1265" s="47" t="n"/>
      <c r="H1265" s="47" t="n"/>
      <c r="I1265" s="47" t="n"/>
      <c r="J1265" s="47" t="n"/>
      <c r="K1265" s="47" t="n"/>
      <c r="L1265" s="47" t="n"/>
    </row>
    <row r="1266">
      <c r="A1266" s="52">
        <f>row()-1</f>
        <v/>
      </c>
      <c r="B1266" s="55" t="n"/>
      <c r="C1266" s="47" t="n"/>
      <c r="D1266" s="20" t="n"/>
      <c r="E1266" s="20" t="n"/>
      <c r="F1266" s="47" t="n"/>
      <c r="G1266" s="47" t="n"/>
      <c r="H1266" s="47" t="n"/>
      <c r="I1266" s="47" t="n"/>
      <c r="J1266" s="47" t="n"/>
      <c r="K1266" s="47" t="n"/>
      <c r="L1266" s="47" t="n"/>
    </row>
    <row r="1267">
      <c r="A1267" s="52">
        <f>row()-1</f>
        <v/>
      </c>
      <c r="B1267" s="55" t="n"/>
      <c r="C1267" s="47" t="n"/>
      <c r="D1267" s="20" t="n"/>
      <c r="E1267" s="20" t="n"/>
      <c r="F1267" s="47" t="n"/>
      <c r="G1267" s="47" t="n"/>
      <c r="H1267" s="47" t="n"/>
      <c r="I1267" s="47" t="n"/>
      <c r="J1267" s="47" t="n"/>
      <c r="K1267" s="47" t="n"/>
      <c r="L1267" s="47" t="n"/>
    </row>
    <row r="1268">
      <c r="A1268" s="52">
        <f>row()-1</f>
        <v/>
      </c>
      <c r="B1268" s="55" t="n"/>
      <c r="C1268" s="47" t="n"/>
      <c r="D1268" s="20" t="n"/>
      <c r="E1268" s="20" t="n"/>
      <c r="F1268" s="47" t="n"/>
      <c r="G1268" s="47" t="n"/>
      <c r="H1268" s="47" t="n"/>
      <c r="I1268" s="47" t="n"/>
      <c r="J1268" s="47" t="n"/>
      <c r="K1268" s="47" t="n"/>
      <c r="L1268" s="47" t="n"/>
    </row>
    <row r="1269">
      <c r="A1269" s="52">
        <f>row()-1</f>
        <v/>
      </c>
      <c r="B1269" s="55" t="n"/>
      <c r="C1269" s="47" t="n"/>
      <c r="D1269" s="20" t="n"/>
      <c r="E1269" s="20" t="n"/>
      <c r="F1269" s="47" t="n"/>
      <c r="G1269" s="47" t="n"/>
      <c r="H1269" s="47" t="n"/>
      <c r="I1269" s="47" t="n"/>
      <c r="J1269" s="47" t="n"/>
      <c r="K1269" s="47" t="n"/>
      <c r="L1269" s="47" t="n"/>
    </row>
    <row r="1270">
      <c r="A1270" s="52">
        <f>row()-1</f>
        <v/>
      </c>
      <c r="B1270" s="55" t="n"/>
      <c r="C1270" s="47" t="n"/>
      <c r="D1270" s="20" t="n"/>
      <c r="E1270" s="20" t="n"/>
      <c r="F1270" s="47" t="n"/>
      <c r="G1270" s="47" t="n"/>
      <c r="H1270" s="47" t="n"/>
      <c r="I1270" s="47" t="n"/>
      <c r="J1270" s="47" t="n"/>
      <c r="K1270" s="47" t="n"/>
      <c r="L1270" s="47" t="n"/>
    </row>
    <row r="1271">
      <c r="A1271" s="52">
        <f>row()-1</f>
        <v/>
      </c>
      <c r="B1271" s="55" t="n"/>
      <c r="C1271" s="47" t="n"/>
      <c r="D1271" s="20" t="n"/>
      <c r="E1271" s="20" t="n"/>
      <c r="F1271" s="47" t="n"/>
      <c r="G1271" s="47" t="n"/>
      <c r="H1271" s="47" t="n"/>
      <c r="I1271" s="47" t="n"/>
      <c r="J1271" s="47" t="n"/>
      <c r="K1271" s="47" t="n"/>
      <c r="L1271" s="47" t="n"/>
    </row>
    <row r="1272">
      <c r="A1272" s="52">
        <f>row()-1</f>
        <v/>
      </c>
      <c r="B1272" s="55" t="n"/>
      <c r="C1272" s="47" t="n"/>
      <c r="D1272" s="20" t="n"/>
      <c r="E1272" s="20" t="n"/>
      <c r="F1272" s="47" t="n"/>
      <c r="G1272" s="47" t="n"/>
      <c r="H1272" s="47" t="n"/>
      <c r="I1272" s="47" t="n"/>
      <c r="J1272" s="47" t="n"/>
      <c r="K1272" s="47" t="n"/>
      <c r="L1272" s="47" t="n"/>
    </row>
    <row r="1273">
      <c r="A1273" s="52">
        <f>row()-1</f>
        <v/>
      </c>
      <c r="B1273" s="55" t="n"/>
      <c r="C1273" s="47" t="n"/>
      <c r="D1273" s="20" t="n"/>
      <c r="E1273" s="20" t="n"/>
      <c r="F1273" s="47" t="n"/>
      <c r="G1273" s="47" t="n"/>
      <c r="H1273" s="47" t="n"/>
      <c r="I1273" s="47" t="n"/>
      <c r="J1273" s="47" t="n"/>
      <c r="K1273" s="47" t="n"/>
      <c r="L1273" s="47" t="n"/>
    </row>
    <row r="1274">
      <c r="A1274" s="52">
        <f>row()-1</f>
        <v/>
      </c>
      <c r="B1274" s="55" t="n"/>
      <c r="C1274" s="47" t="n"/>
      <c r="D1274" s="20" t="n"/>
      <c r="E1274" s="20" t="n"/>
      <c r="F1274" s="47" t="n"/>
      <c r="G1274" s="47" t="n"/>
      <c r="H1274" s="47" t="n"/>
      <c r="I1274" s="47" t="n"/>
      <c r="J1274" s="47" t="n"/>
      <c r="K1274" s="47" t="n"/>
      <c r="L1274" s="47" t="n"/>
    </row>
    <row r="1275">
      <c r="A1275" s="52">
        <f>row()-1</f>
        <v/>
      </c>
      <c r="B1275" s="55" t="n"/>
      <c r="C1275" s="47" t="n"/>
      <c r="D1275" s="20" t="n"/>
      <c r="E1275" s="20" t="n"/>
      <c r="F1275" s="47" t="n"/>
      <c r="G1275" s="47" t="n"/>
      <c r="H1275" s="47" t="n"/>
      <c r="I1275" s="47" t="n"/>
      <c r="J1275" s="47" t="n"/>
      <c r="K1275" s="47" t="n"/>
      <c r="L1275" s="47" t="n"/>
    </row>
    <row r="1276">
      <c r="A1276" s="52">
        <f>row()-1</f>
        <v/>
      </c>
      <c r="B1276" s="55" t="n"/>
      <c r="C1276" s="47" t="n"/>
      <c r="D1276" s="20" t="n"/>
      <c r="E1276" s="20" t="n"/>
      <c r="F1276" s="47" t="n"/>
      <c r="G1276" s="47" t="n"/>
      <c r="H1276" s="47" t="n"/>
      <c r="I1276" s="47" t="n"/>
      <c r="J1276" s="47" t="n"/>
      <c r="K1276" s="47" t="n"/>
      <c r="L1276" s="47" t="n"/>
    </row>
    <row r="1277">
      <c r="A1277" s="52">
        <f>row()-1</f>
        <v/>
      </c>
      <c r="B1277" s="55" t="n"/>
      <c r="C1277" s="47" t="n"/>
      <c r="D1277" s="20" t="n"/>
      <c r="E1277" s="20" t="n"/>
      <c r="F1277" s="47" t="n"/>
      <c r="G1277" s="47" t="n"/>
      <c r="H1277" s="47" t="n"/>
      <c r="I1277" s="47" t="n"/>
      <c r="J1277" s="47" t="n"/>
      <c r="K1277" s="47" t="n"/>
      <c r="L1277" s="47" t="n"/>
    </row>
    <row r="1278">
      <c r="A1278" s="52">
        <f>row()-1</f>
        <v/>
      </c>
      <c r="B1278" s="55" t="n"/>
      <c r="C1278" s="47" t="n"/>
      <c r="D1278" s="20" t="n"/>
      <c r="E1278" s="20" t="n"/>
      <c r="F1278" s="47" t="n"/>
      <c r="G1278" s="47" t="n"/>
      <c r="H1278" s="47" t="n"/>
      <c r="I1278" s="47" t="n"/>
      <c r="J1278" s="47" t="n"/>
      <c r="K1278" s="47" t="n"/>
      <c r="L1278" s="47" t="n"/>
    </row>
    <row r="1279">
      <c r="A1279" s="52">
        <f>row()-1</f>
        <v/>
      </c>
      <c r="B1279" s="55" t="n"/>
      <c r="C1279" s="47" t="n"/>
      <c r="D1279" s="20" t="n"/>
      <c r="E1279" s="20" t="n"/>
      <c r="F1279" s="47" t="n"/>
      <c r="G1279" s="47" t="n"/>
      <c r="H1279" s="47" t="n"/>
      <c r="I1279" s="47" t="n"/>
      <c r="J1279" s="47" t="n"/>
      <c r="K1279" s="47" t="n"/>
      <c r="L1279" s="47" t="n"/>
    </row>
    <row r="1280">
      <c r="A1280" s="52">
        <f>row()-1</f>
        <v/>
      </c>
      <c r="B1280" s="55" t="n"/>
      <c r="C1280" s="47" t="n"/>
      <c r="D1280" s="20" t="n"/>
      <c r="E1280" s="20" t="n"/>
      <c r="F1280" s="47" t="n"/>
      <c r="G1280" s="47" t="n"/>
      <c r="H1280" s="47" t="n"/>
      <c r="I1280" s="47" t="n"/>
      <c r="J1280" s="47" t="n"/>
      <c r="K1280" s="47" t="n"/>
      <c r="L1280" s="47" t="n"/>
    </row>
    <row r="1281">
      <c r="A1281" s="52">
        <f>row()-1</f>
        <v/>
      </c>
      <c r="B1281" s="55" t="n"/>
      <c r="C1281" s="47" t="n"/>
      <c r="D1281" s="20" t="n"/>
      <c r="E1281" s="20" t="n"/>
      <c r="F1281" s="47" t="n"/>
      <c r="G1281" s="47" t="n"/>
      <c r="H1281" s="47" t="n"/>
      <c r="I1281" s="47" t="n"/>
      <c r="J1281" s="47" t="n"/>
      <c r="K1281" s="47" t="n"/>
      <c r="L1281" s="47" t="n"/>
    </row>
    <row r="1282">
      <c r="A1282" s="52">
        <f>row()-1</f>
        <v/>
      </c>
      <c r="B1282" s="55" t="n"/>
      <c r="C1282" s="47" t="n"/>
      <c r="D1282" s="20" t="n"/>
      <c r="E1282" s="20" t="n"/>
      <c r="F1282" s="47" t="n"/>
      <c r="G1282" s="47" t="n"/>
      <c r="H1282" s="47" t="n"/>
      <c r="I1282" s="47" t="n"/>
      <c r="J1282" s="47" t="n"/>
      <c r="K1282" s="47" t="n"/>
      <c r="L1282" s="47" t="n"/>
    </row>
    <row r="1283">
      <c r="A1283" s="52">
        <f>row()-1</f>
        <v/>
      </c>
      <c r="B1283" s="55" t="n"/>
      <c r="C1283" s="47" t="n"/>
      <c r="D1283" s="20" t="n"/>
      <c r="E1283" s="20" t="n"/>
      <c r="F1283" s="47" t="n"/>
      <c r="G1283" s="47" t="n"/>
      <c r="H1283" s="47" t="n"/>
      <c r="I1283" s="47" t="n"/>
      <c r="J1283" s="47" t="n"/>
      <c r="K1283" s="47" t="n"/>
      <c r="L1283" s="47" t="n"/>
    </row>
    <row r="1284">
      <c r="A1284" s="52">
        <f>row()-1</f>
        <v/>
      </c>
      <c r="B1284" s="55" t="n"/>
      <c r="C1284" s="47" t="n"/>
      <c r="D1284" s="20" t="n"/>
      <c r="E1284" s="20" t="n"/>
      <c r="F1284" s="47" t="n"/>
      <c r="G1284" s="47" t="n"/>
      <c r="H1284" s="47" t="n"/>
      <c r="I1284" s="47" t="n"/>
      <c r="J1284" s="47" t="n"/>
      <c r="K1284" s="47" t="n"/>
      <c r="L1284" s="47" t="n"/>
    </row>
    <row r="1285">
      <c r="A1285" s="52">
        <f>row()-1</f>
        <v/>
      </c>
      <c r="B1285" s="55" t="n"/>
      <c r="C1285" s="47" t="n"/>
      <c r="D1285" s="20" t="n"/>
      <c r="E1285" s="20" t="n"/>
      <c r="F1285" s="47" t="n"/>
      <c r="G1285" s="47" t="n"/>
      <c r="H1285" s="47" t="n"/>
      <c r="I1285" s="47" t="n"/>
      <c r="J1285" s="47" t="n"/>
      <c r="K1285" s="47" t="n"/>
      <c r="L1285" s="47" t="n"/>
    </row>
    <row r="1286">
      <c r="A1286" s="52">
        <f>row()-1</f>
        <v/>
      </c>
      <c r="B1286" s="55" t="n"/>
      <c r="C1286" s="47" t="n"/>
      <c r="D1286" s="20" t="n"/>
      <c r="E1286" s="20" t="n"/>
      <c r="F1286" s="47" t="n"/>
      <c r="G1286" s="47" t="n"/>
      <c r="H1286" s="47" t="n"/>
      <c r="I1286" s="47" t="n"/>
      <c r="J1286" s="47" t="n"/>
      <c r="K1286" s="47" t="n"/>
      <c r="L1286" s="47" t="n"/>
    </row>
    <row r="1287">
      <c r="A1287" s="52">
        <f>row()-1</f>
        <v/>
      </c>
      <c r="B1287" s="55" t="n"/>
      <c r="C1287" s="47" t="n"/>
      <c r="D1287" s="20" t="n"/>
      <c r="E1287" s="20" t="n"/>
      <c r="F1287" s="47" t="n"/>
      <c r="G1287" s="47" t="n"/>
      <c r="H1287" s="47" t="n"/>
      <c r="I1287" s="47" t="n"/>
      <c r="J1287" s="47" t="n"/>
      <c r="K1287" s="47" t="n"/>
      <c r="L1287" s="47" t="n"/>
    </row>
    <row r="1288">
      <c r="A1288" s="52">
        <f>row()-1</f>
        <v/>
      </c>
      <c r="B1288" s="55" t="n"/>
      <c r="C1288" s="47" t="n"/>
      <c r="D1288" s="20" t="n"/>
      <c r="E1288" s="20" t="n"/>
      <c r="F1288" s="47" t="n"/>
      <c r="G1288" s="47" t="n"/>
      <c r="H1288" s="47" t="n"/>
      <c r="I1288" s="47" t="n"/>
      <c r="J1288" s="47" t="n"/>
      <c r="K1288" s="47" t="n"/>
      <c r="L1288" s="47" t="n"/>
    </row>
    <row r="1289">
      <c r="A1289" s="52">
        <f>row()-1</f>
        <v/>
      </c>
      <c r="B1289" s="55" t="n"/>
      <c r="C1289" s="47" t="n"/>
      <c r="D1289" s="20" t="n"/>
      <c r="E1289" s="20" t="n"/>
      <c r="F1289" s="47" t="n"/>
      <c r="G1289" s="47" t="n"/>
      <c r="H1289" s="47" t="n"/>
      <c r="I1289" s="47" t="n"/>
      <c r="J1289" s="47" t="n"/>
      <c r="K1289" s="47" t="n"/>
      <c r="L1289" s="47" t="n"/>
    </row>
    <row r="1290">
      <c r="A1290" s="52">
        <f>row()-1</f>
        <v/>
      </c>
      <c r="B1290" s="55" t="n"/>
      <c r="C1290" s="47" t="n"/>
      <c r="D1290" s="20" t="n"/>
      <c r="E1290" s="20" t="n"/>
      <c r="F1290" s="47" t="n"/>
      <c r="G1290" s="47" t="n"/>
      <c r="H1290" s="47" t="n"/>
      <c r="I1290" s="47" t="n"/>
      <c r="J1290" s="47" t="n"/>
      <c r="K1290" s="47" t="n"/>
      <c r="L1290" s="47" t="n"/>
    </row>
    <row r="1291">
      <c r="A1291" s="52">
        <f>row()-1</f>
        <v/>
      </c>
      <c r="B1291" s="55" t="n"/>
      <c r="C1291" s="47" t="n"/>
      <c r="D1291" s="20" t="n"/>
      <c r="E1291" s="20" t="n"/>
      <c r="F1291" s="47" t="n"/>
      <c r="G1291" s="47" t="n"/>
      <c r="H1291" s="47" t="n"/>
      <c r="I1291" s="47" t="n"/>
      <c r="J1291" s="47" t="n"/>
      <c r="K1291" s="47" t="n"/>
      <c r="L1291" s="47" t="n"/>
    </row>
    <row r="1292">
      <c r="A1292" s="52">
        <f>row()-1</f>
        <v/>
      </c>
      <c r="B1292" s="55" t="n"/>
      <c r="C1292" s="47" t="n"/>
      <c r="D1292" s="20" t="n"/>
      <c r="E1292" s="20" t="n"/>
      <c r="F1292" s="47" t="n"/>
      <c r="G1292" s="47" t="n"/>
      <c r="H1292" s="47" t="n"/>
      <c r="I1292" s="47" t="n"/>
      <c r="J1292" s="47" t="n"/>
      <c r="K1292" s="47" t="n"/>
      <c r="L1292" s="47" t="n"/>
    </row>
    <row r="1293">
      <c r="A1293" s="52">
        <f>row()-1</f>
        <v/>
      </c>
      <c r="B1293" s="55" t="n"/>
      <c r="C1293" s="47" t="n"/>
      <c r="D1293" s="20" t="n"/>
      <c r="E1293" s="20" t="n"/>
      <c r="F1293" s="47" t="n"/>
      <c r="G1293" s="47" t="n"/>
      <c r="H1293" s="47" t="n"/>
      <c r="I1293" s="47" t="n"/>
      <c r="J1293" s="47" t="n"/>
      <c r="K1293" s="47" t="n"/>
      <c r="L1293" s="47" t="n"/>
    </row>
    <row r="1294">
      <c r="A1294" s="52">
        <f>row()-1</f>
        <v/>
      </c>
      <c r="B1294" s="55" t="n"/>
      <c r="C1294" s="47" t="n"/>
      <c r="D1294" s="20" t="n"/>
      <c r="E1294" s="20" t="n"/>
      <c r="F1294" s="47" t="n"/>
      <c r="G1294" s="47" t="n"/>
      <c r="H1294" s="47" t="n"/>
      <c r="I1294" s="47" t="n"/>
      <c r="J1294" s="47" t="n"/>
      <c r="K1294" s="47" t="n"/>
      <c r="L1294" s="47" t="n"/>
    </row>
    <row r="1295">
      <c r="A1295" s="52">
        <f>row()-1</f>
        <v/>
      </c>
      <c r="B1295" s="55" t="n"/>
      <c r="C1295" s="47" t="n"/>
      <c r="D1295" s="20" t="n"/>
      <c r="E1295" s="20" t="n"/>
      <c r="F1295" s="47" t="n"/>
      <c r="G1295" s="47" t="n"/>
      <c r="H1295" s="47" t="n"/>
      <c r="I1295" s="47" t="n"/>
      <c r="J1295" s="47" t="n"/>
      <c r="K1295" s="47" t="n"/>
      <c r="L1295" s="47" t="n"/>
    </row>
    <row r="1296">
      <c r="A1296" s="52">
        <f>row()-1</f>
        <v/>
      </c>
      <c r="B1296" s="55" t="n"/>
      <c r="C1296" s="47" t="n"/>
      <c r="D1296" s="20" t="n"/>
      <c r="E1296" s="20" t="n"/>
      <c r="F1296" s="47" t="n"/>
      <c r="G1296" s="47" t="n"/>
      <c r="H1296" s="47" t="n"/>
      <c r="I1296" s="47" t="n"/>
      <c r="J1296" s="47" t="n"/>
      <c r="K1296" s="47" t="n"/>
      <c r="L1296" s="47" t="n"/>
    </row>
    <row r="1297">
      <c r="A1297" s="52">
        <f>row()-1</f>
        <v/>
      </c>
      <c r="B1297" s="55" t="n"/>
      <c r="C1297" s="47" t="n"/>
      <c r="D1297" s="20" t="n"/>
      <c r="E1297" s="20" t="n"/>
      <c r="F1297" s="47" t="n"/>
      <c r="G1297" s="47" t="n"/>
      <c r="H1297" s="47" t="n"/>
      <c r="I1297" s="47" t="n"/>
      <c r="J1297" s="47" t="n"/>
      <c r="K1297" s="47" t="n"/>
      <c r="L1297" s="47" t="n"/>
    </row>
    <row r="1298">
      <c r="A1298" s="52">
        <f>row()-1</f>
        <v/>
      </c>
      <c r="B1298" s="55" t="n"/>
      <c r="C1298" s="47" t="n"/>
      <c r="D1298" s="20" t="n"/>
      <c r="E1298" s="20" t="n"/>
      <c r="F1298" s="47" t="n"/>
      <c r="G1298" s="47" t="n"/>
      <c r="H1298" s="47" t="n"/>
      <c r="I1298" s="47" t="n"/>
      <c r="J1298" s="47" t="n"/>
      <c r="K1298" s="47" t="n"/>
      <c r="L1298" s="47" t="n"/>
    </row>
    <row r="1299">
      <c r="A1299" s="52">
        <f>row()-1</f>
        <v/>
      </c>
      <c r="B1299" s="55" t="n"/>
      <c r="C1299" s="47" t="n"/>
      <c r="D1299" s="20" t="n"/>
      <c r="E1299" s="20" t="n"/>
      <c r="F1299" s="47" t="n"/>
      <c r="G1299" s="47" t="n"/>
      <c r="H1299" s="47" t="n"/>
      <c r="I1299" s="47" t="n"/>
      <c r="J1299" s="47" t="n"/>
      <c r="K1299" s="47" t="n"/>
      <c r="L1299" s="47" t="n"/>
    </row>
    <row r="1300">
      <c r="A1300" s="52">
        <f>row()-1</f>
        <v/>
      </c>
      <c r="B1300" s="55" t="n"/>
      <c r="C1300" s="47" t="n"/>
      <c r="D1300" s="20" t="n"/>
      <c r="E1300" s="20" t="n"/>
      <c r="F1300" s="47" t="n"/>
      <c r="G1300" s="47" t="n"/>
      <c r="H1300" s="47" t="n"/>
      <c r="I1300" s="47" t="n"/>
      <c r="J1300" s="47" t="n"/>
      <c r="K1300" s="47" t="n"/>
      <c r="L1300" s="47" t="n"/>
    </row>
    <row r="1301">
      <c r="A1301" s="52">
        <f>row()-1</f>
        <v/>
      </c>
      <c r="B1301" s="55" t="n"/>
      <c r="C1301" s="47" t="n"/>
      <c r="D1301" s="20" t="n"/>
      <c r="E1301" s="20" t="n"/>
      <c r="F1301" s="47" t="n"/>
      <c r="G1301" s="47" t="n"/>
      <c r="H1301" s="47" t="n"/>
      <c r="I1301" s="47" t="n"/>
      <c r="J1301" s="47" t="n"/>
      <c r="K1301" s="47" t="n"/>
      <c r="L1301" s="47" t="n"/>
    </row>
    <row r="1302">
      <c r="A1302" s="52">
        <f>row()-1</f>
        <v/>
      </c>
      <c r="B1302" s="55" t="n"/>
      <c r="C1302" s="47" t="n"/>
      <c r="D1302" s="20" t="n"/>
      <c r="E1302" s="20" t="n"/>
      <c r="F1302" s="47" t="n"/>
      <c r="G1302" s="47" t="n"/>
      <c r="H1302" s="47" t="n"/>
      <c r="I1302" s="47" t="n"/>
      <c r="J1302" s="47" t="n"/>
      <c r="K1302" s="47" t="n"/>
      <c r="L1302" s="47" t="n"/>
    </row>
    <row r="1303">
      <c r="A1303" s="52">
        <f>row()-1</f>
        <v/>
      </c>
      <c r="B1303" s="55" t="n"/>
      <c r="C1303" s="47" t="n"/>
      <c r="D1303" s="20" t="n"/>
      <c r="E1303" s="20" t="n"/>
      <c r="F1303" s="47" t="n"/>
      <c r="G1303" s="47" t="n"/>
      <c r="H1303" s="47" t="n"/>
      <c r="I1303" s="47" t="n"/>
      <c r="J1303" s="47" t="n"/>
      <c r="K1303" s="47" t="n"/>
      <c r="L1303" s="47" t="n"/>
    </row>
    <row r="1304">
      <c r="A1304" s="52">
        <f>row()-1</f>
        <v/>
      </c>
      <c r="B1304" s="55" t="n"/>
      <c r="C1304" s="47" t="n"/>
      <c r="D1304" s="20" t="n"/>
      <c r="E1304" s="20" t="n"/>
      <c r="F1304" s="47" t="n"/>
      <c r="G1304" s="47" t="n"/>
      <c r="H1304" s="47" t="n"/>
      <c r="I1304" s="47" t="n"/>
      <c r="J1304" s="47" t="n"/>
      <c r="K1304" s="47" t="n"/>
      <c r="L1304" s="47" t="n"/>
    </row>
    <row r="1305">
      <c r="A1305" s="52">
        <f>row()-1</f>
        <v/>
      </c>
      <c r="B1305" s="55" t="n"/>
      <c r="C1305" s="47" t="n"/>
      <c r="D1305" s="20" t="n"/>
      <c r="E1305" s="20" t="n"/>
      <c r="F1305" s="47" t="n"/>
      <c r="G1305" s="47" t="n"/>
      <c r="H1305" s="47" t="n"/>
      <c r="I1305" s="47" t="n"/>
      <c r="J1305" s="47" t="n"/>
      <c r="K1305" s="47" t="n"/>
      <c r="L1305" s="47" t="n"/>
    </row>
    <row r="1306">
      <c r="A1306" s="52">
        <f>row()-1</f>
        <v/>
      </c>
      <c r="B1306" s="55" t="n"/>
      <c r="C1306" s="47" t="n"/>
      <c r="D1306" s="20" t="n"/>
      <c r="E1306" s="20" t="n"/>
      <c r="F1306" s="47" t="n"/>
      <c r="G1306" s="47" t="n"/>
      <c r="H1306" s="47" t="n"/>
      <c r="I1306" s="47" t="n"/>
      <c r="J1306" s="47" t="n"/>
      <c r="K1306" s="47" t="n"/>
      <c r="L1306" s="47" t="n"/>
    </row>
    <row r="1307">
      <c r="A1307" s="52">
        <f>row()-1</f>
        <v/>
      </c>
      <c r="B1307" s="55" t="n"/>
      <c r="C1307" s="47" t="n"/>
      <c r="D1307" s="20" t="n"/>
      <c r="E1307" s="20" t="n"/>
      <c r="F1307" s="47" t="n"/>
      <c r="G1307" s="47" t="n"/>
      <c r="H1307" s="47" t="n"/>
      <c r="I1307" s="47" t="n"/>
      <c r="J1307" s="47" t="n"/>
      <c r="K1307" s="47" t="n"/>
      <c r="L1307" s="47" t="n"/>
    </row>
    <row r="1308">
      <c r="A1308" s="52">
        <f>row()-1</f>
        <v/>
      </c>
      <c r="B1308" s="55" t="n"/>
      <c r="C1308" s="47" t="n"/>
      <c r="D1308" s="20" t="n"/>
      <c r="E1308" s="20" t="n"/>
      <c r="F1308" s="47" t="n"/>
      <c r="G1308" s="47" t="n"/>
      <c r="H1308" s="47" t="n"/>
      <c r="I1308" s="47" t="n"/>
      <c r="J1308" s="47" t="n"/>
      <c r="K1308" s="47" t="n"/>
      <c r="L1308" s="47" t="n"/>
    </row>
    <row r="1309">
      <c r="A1309" s="52">
        <f>row()-1</f>
        <v/>
      </c>
      <c r="B1309" s="55" t="n"/>
      <c r="C1309" s="47" t="n"/>
      <c r="D1309" s="20" t="n"/>
      <c r="E1309" s="20" t="n"/>
      <c r="F1309" s="47" t="n"/>
      <c r="G1309" s="47" t="n"/>
      <c r="H1309" s="47" t="n"/>
      <c r="I1309" s="47" t="n"/>
      <c r="J1309" s="47" t="n"/>
      <c r="K1309" s="47" t="n"/>
      <c r="L1309" s="47" t="n"/>
    </row>
    <row r="1310">
      <c r="A1310" s="52">
        <f>row()-1</f>
        <v/>
      </c>
      <c r="B1310" s="55" t="n"/>
      <c r="C1310" s="47" t="n"/>
      <c r="D1310" s="20" t="n"/>
      <c r="E1310" s="20" t="n"/>
      <c r="F1310" s="47" t="n"/>
      <c r="G1310" s="47" t="n"/>
      <c r="H1310" s="47" t="n"/>
      <c r="I1310" s="47" t="n"/>
      <c r="J1310" s="47" t="n"/>
      <c r="K1310" s="47" t="n"/>
      <c r="L1310" s="47" t="n"/>
    </row>
    <row r="1311">
      <c r="A1311" s="52">
        <f>row()-1</f>
        <v/>
      </c>
      <c r="B1311" s="55" t="n"/>
      <c r="C1311" s="47" t="n"/>
      <c r="D1311" s="20" t="n"/>
      <c r="E1311" s="20" t="n"/>
      <c r="F1311" s="47" t="n"/>
      <c r="G1311" s="47" t="n"/>
      <c r="H1311" s="47" t="n"/>
      <c r="I1311" s="47" t="n"/>
      <c r="J1311" s="47" t="n"/>
      <c r="K1311" s="47" t="n"/>
      <c r="L1311" s="47" t="n"/>
    </row>
    <row r="1312">
      <c r="A1312" s="52">
        <f>row()-1</f>
        <v/>
      </c>
      <c r="B1312" s="55" t="n"/>
      <c r="C1312" s="47" t="n"/>
      <c r="D1312" s="20" t="n"/>
      <c r="E1312" s="20" t="n"/>
      <c r="F1312" s="47" t="n"/>
      <c r="G1312" s="47" t="n"/>
      <c r="H1312" s="47" t="n"/>
      <c r="I1312" s="47" t="n"/>
      <c r="J1312" s="47" t="n"/>
      <c r="K1312" s="47" t="n"/>
      <c r="L1312" s="47" t="n"/>
    </row>
    <row r="1313">
      <c r="A1313" s="52">
        <f>row()-1</f>
        <v/>
      </c>
      <c r="B1313" s="55" t="n"/>
      <c r="C1313" s="47" t="n"/>
      <c r="D1313" s="20" t="n"/>
      <c r="E1313" s="20" t="n"/>
      <c r="F1313" s="47" t="n"/>
      <c r="G1313" s="47" t="n"/>
      <c r="H1313" s="47" t="n"/>
      <c r="I1313" s="47" t="n"/>
      <c r="J1313" s="47" t="n"/>
      <c r="K1313" s="47" t="n"/>
      <c r="L1313" s="47" t="n"/>
    </row>
    <row r="1314">
      <c r="A1314" s="52">
        <f>row()-1</f>
        <v/>
      </c>
      <c r="B1314" s="55" t="n"/>
      <c r="C1314" s="47" t="n"/>
      <c r="D1314" s="20" t="n"/>
      <c r="E1314" s="20" t="n"/>
      <c r="F1314" s="47" t="n"/>
      <c r="G1314" s="47" t="n"/>
      <c r="H1314" s="47" t="n"/>
      <c r="I1314" s="47" t="n"/>
      <c r="J1314" s="47" t="n"/>
      <c r="K1314" s="47" t="n"/>
      <c r="L1314" s="47" t="n"/>
    </row>
    <row r="1315">
      <c r="A1315" s="52">
        <f>row()-1</f>
        <v/>
      </c>
      <c r="B1315" s="55" t="n"/>
      <c r="C1315" s="47" t="n"/>
      <c r="D1315" s="20" t="n"/>
      <c r="E1315" s="20" t="n"/>
      <c r="F1315" s="47" t="n"/>
      <c r="G1315" s="47" t="n"/>
      <c r="H1315" s="47" t="n"/>
      <c r="I1315" s="47" t="n"/>
      <c r="J1315" s="47" t="n"/>
      <c r="K1315" s="47" t="n"/>
      <c r="L1315" s="47" t="n"/>
    </row>
    <row r="1316">
      <c r="A1316" s="52">
        <f>row()-1</f>
        <v/>
      </c>
      <c r="B1316" s="55" t="n"/>
      <c r="C1316" s="47" t="n"/>
      <c r="D1316" s="20" t="n"/>
      <c r="E1316" s="20" t="n"/>
      <c r="F1316" s="47" t="n"/>
      <c r="G1316" s="47" t="n"/>
      <c r="H1316" s="47" t="n"/>
      <c r="I1316" s="47" t="n"/>
      <c r="J1316" s="47" t="n"/>
      <c r="K1316" s="47" t="n"/>
      <c r="L1316" s="47" t="n"/>
    </row>
    <row r="1317">
      <c r="A1317" s="52">
        <f>row()-1</f>
        <v/>
      </c>
      <c r="B1317" s="55" t="n"/>
      <c r="C1317" s="47" t="n"/>
      <c r="D1317" s="20" t="n"/>
      <c r="E1317" s="20" t="n"/>
      <c r="F1317" s="47" t="n"/>
      <c r="G1317" s="47" t="n"/>
      <c r="H1317" s="47" t="n"/>
      <c r="I1317" s="47" t="n"/>
      <c r="J1317" s="47" t="n"/>
      <c r="K1317" s="47" t="n"/>
      <c r="L1317" s="47" t="n"/>
    </row>
    <row r="1318">
      <c r="A1318" s="52">
        <f>row()-1</f>
        <v/>
      </c>
      <c r="B1318" s="55" t="n"/>
      <c r="C1318" s="47" t="n"/>
      <c r="D1318" s="20" t="n"/>
      <c r="E1318" s="20" t="n"/>
      <c r="F1318" s="47" t="n"/>
      <c r="G1318" s="47" t="n"/>
      <c r="H1318" s="47" t="n"/>
      <c r="I1318" s="47" t="n"/>
      <c r="J1318" s="47" t="n"/>
      <c r="K1318" s="47" t="n"/>
      <c r="L1318" s="47" t="n"/>
    </row>
    <row r="1319">
      <c r="A1319" s="52">
        <f>row()-1</f>
        <v/>
      </c>
      <c r="B1319" s="55" t="n"/>
      <c r="C1319" s="47" t="n"/>
      <c r="D1319" s="20" t="n"/>
      <c r="E1319" s="20" t="n"/>
      <c r="F1319" s="47" t="n"/>
      <c r="G1319" s="47" t="n"/>
      <c r="H1319" s="47" t="n"/>
      <c r="I1319" s="47" t="n"/>
      <c r="J1319" s="47" t="n"/>
      <c r="K1319" s="47" t="n"/>
      <c r="L1319" s="47" t="n"/>
    </row>
    <row r="1320">
      <c r="A1320" s="52">
        <f>row()-1</f>
        <v/>
      </c>
      <c r="B1320" s="55" t="n"/>
      <c r="C1320" s="47" t="n"/>
      <c r="D1320" s="20" t="n"/>
      <c r="E1320" s="20" t="n"/>
      <c r="F1320" s="47" t="n"/>
      <c r="G1320" s="47" t="n"/>
      <c r="H1320" s="47" t="n"/>
      <c r="I1320" s="47" t="n"/>
      <c r="J1320" s="47" t="n"/>
      <c r="K1320" s="47" t="n"/>
      <c r="L1320" s="47" t="n"/>
    </row>
    <row r="1321">
      <c r="A1321" s="52">
        <f>row()-1</f>
        <v/>
      </c>
      <c r="B1321" s="55" t="n"/>
      <c r="C1321" s="47" t="n"/>
      <c r="D1321" s="20" t="n"/>
      <c r="E1321" s="20" t="n"/>
      <c r="F1321" s="47" t="n"/>
      <c r="G1321" s="47" t="n"/>
      <c r="H1321" s="47" t="n"/>
      <c r="I1321" s="47" t="n"/>
      <c r="J1321" s="47" t="n"/>
      <c r="K1321" s="47" t="n"/>
      <c r="L1321" s="47" t="n"/>
    </row>
    <row r="1322">
      <c r="A1322" s="52">
        <f>row()-1</f>
        <v/>
      </c>
      <c r="B1322" s="55" t="n"/>
      <c r="C1322" s="47" t="n"/>
      <c r="D1322" s="20" t="n"/>
      <c r="E1322" s="20" t="n"/>
      <c r="F1322" s="47" t="n"/>
      <c r="G1322" s="47" t="n"/>
      <c r="H1322" s="47" t="n"/>
      <c r="I1322" s="47" t="n"/>
      <c r="J1322" s="47" t="n"/>
      <c r="K1322" s="47" t="n"/>
      <c r="L1322" s="47" t="n"/>
    </row>
    <row r="1323">
      <c r="A1323" s="52">
        <f>row()-1</f>
        <v/>
      </c>
      <c r="B1323" s="55" t="n"/>
      <c r="C1323" s="47" t="n"/>
      <c r="D1323" s="20" t="n"/>
      <c r="E1323" s="20" t="n"/>
      <c r="F1323" s="47" t="n"/>
      <c r="G1323" s="47" t="n"/>
      <c r="H1323" s="47" t="n"/>
      <c r="I1323" s="47" t="n"/>
      <c r="J1323" s="47" t="n"/>
      <c r="K1323" s="47" t="n"/>
      <c r="L1323" s="47" t="n"/>
    </row>
    <row r="1324">
      <c r="A1324" s="52">
        <f>row()-1</f>
        <v/>
      </c>
      <c r="B1324" s="55" t="n"/>
      <c r="C1324" s="47" t="n"/>
      <c r="D1324" s="20" t="n"/>
      <c r="E1324" s="20" t="n"/>
      <c r="F1324" s="47" t="n"/>
      <c r="G1324" s="47" t="n"/>
      <c r="H1324" s="47" t="n"/>
      <c r="I1324" s="47" t="n"/>
      <c r="J1324" s="47" t="n"/>
      <c r="K1324" s="47" t="n"/>
      <c r="L1324" s="47" t="n"/>
    </row>
    <row r="1325">
      <c r="A1325" s="52">
        <f>row()-1</f>
        <v/>
      </c>
      <c r="B1325" s="55" t="n"/>
      <c r="C1325" s="47" t="n"/>
      <c r="D1325" s="20" t="n"/>
      <c r="E1325" s="20" t="n"/>
      <c r="F1325" s="47" t="n"/>
      <c r="G1325" s="47" t="n"/>
      <c r="H1325" s="47" t="n"/>
      <c r="I1325" s="47" t="n"/>
      <c r="J1325" s="47" t="n"/>
      <c r="K1325" s="47" t="n"/>
      <c r="L1325" s="47" t="n"/>
    </row>
    <row r="1326">
      <c r="A1326" s="52">
        <f>row()-1</f>
        <v/>
      </c>
      <c r="B1326" s="55" t="n"/>
      <c r="C1326" s="47" t="n"/>
      <c r="D1326" s="20" t="n"/>
      <c r="E1326" s="20" t="n"/>
      <c r="F1326" s="47" t="n"/>
      <c r="G1326" s="47" t="n"/>
      <c r="H1326" s="47" t="n"/>
      <c r="I1326" s="47" t="n"/>
      <c r="J1326" s="47" t="n"/>
      <c r="K1326" s="47" t="n"/>
      <c r="L1326" s="47" t="n"/>
    </row>
    <row r="1327">
      <c r="A1327" s="52">
        <f>row()-1</f>
        <v/>
      </c>
      <c r="B1327" s="55" t="n"/>
      <c r="C1327" s="47" t="n"/>
      <c r="D1327" s="20" t="n"/>
      <c r="E1327" s="20" t="n"/>
      <c r="F1327" s="47" t="n"/>
      <c r="G1327" s="47" t="n"/>
      <c r="H1327" s="47" t="n"/>
      <c r="I1327" s="47" t="n"/>
      <c r="J1327" s="47" t="n"/>
      <c r="K1327" s="47" t="n"/>
      <c r="L1327" s="47" t="n"/>
    </row>
    <row r="1328">
      <c r="A1328" s="52">
        <f>row()-1</f>
        <v/>
      </c>
      <c r="B1328" s="55" t="n"/>
      <c r="C1328" s="47" t="n"/>
      <c r="D1328" s="20" t="n"/>
      <c r="E1328" s="20" t="n"/>
      <c r="F1328" s="47" t="n"/>
      <c r="G1328" s="47" t="n"/>
      <c r="H1328" s="47" t="n"/>
      <c r="I1328" s="47" t="n"/>
      <c r="J1328" s="47" t="n"/>
      <c r="K1328" s="47" t="n"/>
      <c r="L1328" s="47" t="n"/>
    </row>
    <row r="1329">
      <c r="A1329" s="52">
        <f>row()-1</f>
        <v/>
      </c>
      <c r="B1329" s="55" t="n"/>
      <c r="C1329" s="47" t="n"/>
      <c r="D1329" s="20" t="n"/>
      <c r="E1329" s="20" t="n"/>
      <c r="F1329" s="47" t="n"/>
      <c r="G1329" s="47" t="n"/>
      <c r="H1329" s="47" t="n"/>
      <c r="I1329" s="47" t="n"/>
      <c r="J1329" s="47" t="n"/>
      <c r="K1329" s="47" t="n"/>
      <c r="L1329" s="47" t="n"/>
    </row>
    <row r="1330">
      <c r="A1330" s="52">
        <f>row()-1</f>
        <v/>
      </c>
      <c r="B1330" s="55" t="n"/>
      <c r="C1330" s="47" t="n"/>
      <c r="D1330" s="20" t="n"/>
      <c r="E1330" s="20" t="n"/>
      <c r="F1330" s="47" t="n"/>
      <c r="G1330" s="47" t="n"/>
      <c r="H1330" s="47" t="n"/>
      <c r="I1330" s="47" t="n"/>
      <c r="J1330" s="47" t="n"/>
      <c r="K1330" s="47" t="n"/>
      <c r="L1330" s="47" t="n"/>
    </row>
    <row r="1331">
      <c r="A1331" s="52">
        <f>row()-1</f>
        <v/>
      </c>
      <c r="B1331" s="55" t="n"/>
      <c r="C1331" s="47" t="n"/>
      <c r="D1331" s="20" t="n"/>
      <c r="E1331" s="20" t="n"/>
      <c r="F1331" s="47" t="n"/>
      <c r="G1331" s="47" t="n"/>
      <c r="H1331" s="47" t="n"/>
      <c r="I1331" s="47" t="n"/>
      <c r="J1331" s="47" t="n"/>
      <c r="K1331" s="47" t="n"/>
      <c r="L1331" s="47" t="n"/>
    </row>
    <row r="1332">
      <c r="A1332" s="52">
        <f>row()-1</f>
        <v/>
      </c>
      <c r="B1332" s="55" t="n"/>
      <c r="C1332" s="47" t="n"/>
      <c r="D1332" s="20" t="n"/>
      <c r="E1332" s="20" t="n"/>
      <c r="F1332" s="47" t="n"/>
      <c r="G1332" s="47" t="n"/>
      <c r="H1332" s="47" t="n"/>
      <c r="I1332" s="47" t="n"/>
      <c r="J1332" s="47" t="n"/>
      <c r="K1332" s="47" t="n"/>
      <c r="L1332" s="47" t="n"/>
    </row>
    <row r="1333">
      <c r="A1333" s="52">
        <f>row()-1</f>
        <v/>
      </c>
      <c r="B1333" s="55" t="n"/>
      <c r="C1333" s="47" t="n"/>
      <c r="D1333" s="20" t="n"/>
      <c r="E1333" s="20" t="n"/>
      <c r="F1333" s="47" t="n"/>
      <c r="G1333" s="47" t="n"/>
      <c r="H1333" s="47" t="n"/>
      <c r="I1333" s="47" t="n"/>
      <c r="J1333" s="47" t="n"/>
      <c r="K1333" s="47" t="n"/>
      <c r="L1333" s="47" t="n"/>
    </row>
    <row r="1334">
      <c r="A1334" s="52">
        <f>row()-1</f>
        <v/>
      </c>
      <c r="B1334" s="55" t="n"/>
      <c r="C1334" s="47" t="n"/>
      <c r="D1334" s="20" t="n"/>
      <c r="E1334" s="20" t="n"/>
      <c r="F1334" s="47" t="n"/>
      <c r="G1334" s="47" t="n"/>
      <c r="H1334" s="47" t="n"/>
      <c r="I1334" s="47" t="n"/>
      <c r="J1334" s="47" t="n"/>
      <c r="K1334" s="47" t="n"/>
      <c r="L1334" s="47" t="n"/>
    </row>
    <row r="1335">
      <c r="A1335" s="52">
        <f>row()-1</f>
        <v/>
      </c>
      <c r="B1335" s="55" t="n"/>
      <c r="C1335" s="47" t="n"/>
      <c r="D1335" s="20" t="n"/>
      <c r="E1335" s="20" t="n"/>
      <c r="F1335" s="47" t="n"/>
      <c r="G1335" s="47" t="n"/>
      <c r="H1335" s="47" t="n"/>
      <c r="I1335" s="47" t="n"/>
      <c r="J1335" s="47" t="n"/>
      <c r="K1335" s="47" t="n"/>
      <c r="L1335" s="47" t="n"/>
    </row>
    <row r="1336">
      <c r="A1336" s="52">
        <f>row()-1</f>
        <v/>
      </c>
      <c r="B1336" s="55" t="n"/>
      <c r="C1336" s="47" t="n"/>
      <c r="D1336" s="20" t="n"/>
      <c r="E1336" s="20" t="n"/>
      <c r="F1336" s="47" t="n"/>
      <c r="G1336" s="47" t="n"/>
      <c r="H1336" s="47" t="n"/>
      <c r="I1336" s="47" t="n"/>
      <c r="J1336" s="47" t="n"/>
      <c r="K1336" s="47" t="n"/>
      <c r="L1336" s="47" t="n"/>
    </row>
    <row r="1337">
      <c r="A1337" s="52">
        <f>row()-1</f>
        <v/>
      </c>
      <c r="B1337" s="55" t="n"/>
      <c r="C1337" s="47" t="n"/>
      <c r="D1337" s="20" t="n"/>
      <c r="E1337" s="20" t="n"/>
      <c r="F1337" s="47" t="n"/>
      <c r="G1337" s="47" t="n"/>
      <c r="H1337" s="47" t="n"/>
      <c r="I1337" s="47" t="n"/>
      <c r="J1337" s="47" t="n"/>
      <c r="K1337" s="47" t="n"/>
      <c r="L1337" s="47" t="n"/>
    </row>
    <row r="1338">
      <c r="A1338" s="52">
        <f>row()-1</f>
        <v/>
      </c>
      <c r="B1338" s="55" t="n"/>
      <c r="C1338" s="47" t="n"/>
      <c r="D1338" s="20" t="n"/>
      <c r="E1338" s="20" t="n"/>
      <c r="F1338" s="47" t="n"/>
      <c r="G1338" s="47" t="n"/>
      <c r="H1338" s="47" t="n"/>
      <c r="I1338" s="47" t="n"/>
      <c r="J1338" s="47" t="n"/>
      <c r="K1338" s="47" t="n"/>
      <c r="L1338" s="47" t="n"/>
    </row>
    <row r="1339">
      <c r="A1339" s="52">
        <f>row()-1</f>
        <v/>
      </c>
      <c r="B1339" s="55" t="n"/>
      <c r="C1339" s="47" t="n"/>
      <c r="D1339" s="20" t="n"/>
      <c r="E1339" s="20" t="n"/>
      <c r="F1339" s="47" t="n"/>
      <c r="G1339" s="47" t="n"/>
      <c r="H1339" s="47" t="n"/>
      <c r="I1339" s="47" t="n"/>
      <c r="J1339" s="47" t="n"/>
      <c r="K1339" s="47" t="n"/>
      <c r="L1339" s="47" t="n"/>
    </row>
    <row r="1340">
      <c r="A1340" s="52">
        <f>row()-1</f>
        <v/>
      </c>
      <c r="B1340" s="55" t="n"/>
      <c r="C1340" s="47" t="n"/>
      <c r="D1340" s="20" t="n"/>
      <c r="E1340" s="20" t="n"/>
      <c r="F1340" s="47" t="n"/>
      <c r="G1340" s="47" t="n"/>
      <c r="H1340" s="47" t="n"/>
      <c r="I1340" s="47" t="n"/>
      <c r="J1340" s="47" t="n"/>
      <c r="K1340" s="47" t="n"/>
      <c r="L1340" s="47" t="n"/>
    </row>
    <row r="1341">
      <c r="A1341" s="52">
        <f>row()-1</f>
        <v/>
      </c>
      <c r="B1341" s="55" t="n"/>
      <c r="C1341" s="47" t="n"/>
      <c r="D1341" s="20" t="n"/>
      <c r="E1341" s="20" t="n"/>
      <c r="F1341" s="47" t="n"/>
      <c r="G1341" s="47" t="n"/>
      <c r="H1341" s="47" t="n"/>
      <c r="I1341" s="47" t="n"/>
      <c r="J1341" s="47" t="n"/>
      <c r="K1341" s="47" t="n"/>
      <c r="L1341" s="47" t="n"/>
    </row>
    <row r="1342">
      <c r="A1342" s="52">
        <f>row()-1</f>
        <v/>
      </c>
      <c r="B1342" s="55" t="n"/>
      <c r="C1342" s="47" t="n"/>
      <c r="D1342" s="20" t="n"/>
      <c r="E1342" s="20" t="n"/>
      <c r="F1342" s="47" t="n"/>
      <c r="G1342" s="47" t="n"/>
      <c r="H1342" s="47" t="n"/>
      <c r="I1342" s="47" t="n"/>
      <c r="J1342" s="47" t="n"/>
      <c r="K1342" s="47" t="n"/>
      <c r="L1342" s="47" t="n"/>
    </row>
    <row r="1343">
      <c r="A1343" s="52">
        <f>row()-1</f>
        <v/>
      </c>
      <c r="B1343" s="55" t="n"/>
      <c r="C1343" s="47" t="n"/>
      <c r="D1343" s="20" t="n"/>
      <c r="E1343" s="20" t="n"/>
      <c r="F1343" s="47" t="n"/>
      <c r="G1343" s="47" t="n"/>
      <c r="H1343" s="47" t="n"/>
      <c r="I1343" s="47" t="n"/>
      <c r="J1343" s="47" t="n"/>
      <c r="K1343" s="47" t="n"/>
      <c r="L1343" s="47" t="n"/>
    </row>
    <row r="1344">
      <c r="A1344" s="52">
        <f>row()-1</f>
        <v/>
      </c>
      <c r="B1344" s="55" t="n"/>
      <c r="C1344" s="47" t="n"/>
      <c r="D1344" s="20" t="n"/>
      <c r="E1344" s="20" t="n"/>
      <c r="F1344" s="47" t="n"/>
      <c r="G1344" s="47" t="n"/>
      <c r="H1344" s="47" t="n"/>
      <c r="I1344" s="47" t="n"/>
      <c r="J1344" s="47" t="n"/>
      <c r="K1344" s="47" t="n"/>
      <c r="L1344" s="47" t="n"/>
    </row>
    <row r="1345">
      <c r="A1345" s="52">
        <f>row()-1</f>
        <v/>
      </c>
      <c r="B1345" s="55" t="n"/>
      <c r="C1345" s="47" t="n"/>
      <c r="D1345" s="20" t="n"/>
      <c r="E1345" s="20" t="n"/>
      <c r="F1345" s="47" t="n"/>
      <c r="G1345" s="47" t="n"/>
      <c r="H1345" s="47" t="n"/>
      <c r="I1345" s="47" t="n"/>
      <c r="J1345" s="47" t="n"/>
      <c r="K1345" s="47" t="n"/>
      <c r="L1345" s="47" t="n"/>
    </row>
    <row r="1346">
      <c r="A1346" s="52">
        <f>row()-1</f>
        <v/>
      </c>
      <c r="B1346" s="55" t="n"/>
      <c r="C1346" s="47" t="n"/>
      <c r="D1346" s="20" t="n"/>
      <c r="E1346" s="20" t="n"/>
      <c r="F1346" s="47" t="n"/>
      <c r="G1346" s="47" t="n"/>
      <c r="H1346" s="47" t="n"/>
      <c r="I1346" s="47" t="n"/>
      <c r="J1346" s="47" t="n"/>
      <c r="K1346" s="47" t="n"/>
      <c r="L1346" s="47" t="n"/>
    </row>
    <row r="1347">
      <c r="A1347" s="52">
        <f>row()-1</f>
        <v/>
      </c>
      <c r="B1347" s="55" t="n"/>
      <c r="C1347" s="47" t="n"/>
      <c r="D1347" s="20" t="n"/>
      <c r="E1347" s="20" t="n"/>
      <c r="F1347" s="47" t="n"/>
      <c r="G1347" s="47" t="n"/>
      <c r="H1347" s="47" t="n"/>
      <c r="I1347" s="47" t="n"/>
      <c r="J1347" s="47" t="n"/>
      <c r="K1347" s="47" t="n"/>
      <c r="L1347" s="47" t="n"/>
    </row>
    <row r="1348">
      <c r="A1348" s="52">
        <f>row()-1</f>
        <v/>
      </c>
      <c r="B1348" s="55" t="n"/>
      <c r="C1348" s="47" t="n"/>
      <c r="D1348" s="20" t="n"/>
      <c r="E1348" s="20" t="n"/>
      <c r="F1348" s="47" t="n"/>
      <c r="G1348" s="47" t="n"/>
      <c r="H1348" s="47" t="n"/>
      <c r="I1348" s="47" t="n"/>
      <c r="J1348" s="47" t="n"/>
      <c r="K1348" s="47" t="n"/>
      <c r="L1348" s="47" t="n"/>
    </row>
    <row r="1349">
      <c r="A1349" s="52">
        <f>row()-1</f>
        <v/>
      </c>
      <c r="B1349" s="55" t="n"/>
      <c r="C1349" s="47" t="n"/>
      <c r="D1349" s="20" t="n"/>
      <c r="E1349" s="20" t="n"/>
      <c r="F1349" s="47" t="n"/>
      <c r="G1349" s="47" t="n"/>
      <c r="H1349" s="47" t="n"/>
      <c r="I1349" s="47" t="n"/>
      <c r="J1349" s="47" t="n"/>
      <c r="K1349" s="47" t="n"/>
      <c r="L1349" s="47" t="n"/>
    </row>
    <row r="1350">
      <c r="A1350" s="52">
        <f>row()-1</f>
        <v/>
      </c>
      <c r="B1350" s="55" t="n"/>
      <c r="C1350" s="47" t="n"/>
      <c r="D1350" s="20" t="n"/>
      <c r="E1350" s="20" t="n"/>
      <c r="F1350" s="47" t="n"/>
      <c r="G1350" s="47" t="n"/>
      <c r="H1350" s="47" t="n"/>
      <c r="I1350" s="47" t="n"/>
      <c r="J1350" s="47" t="n"/>
      <c r="K1350" s="47" t="n"/>
      <c r="L1350" s="47" t="n"/>
    </row>
    <row r="1351">
      <c r="A1351" s="52">
        <f>row()-1</f>
        <v/>
      </c>
      <c r="B1351" s="55" t="n"/>
      <c r="C1351" s="47" t="n"/>
      <c r="D1351" s="20" t="n"/>
      <c r="E1351" s="20" t="n"/>
      <c r="F1351" s="47" t="n"/>
      <c r="G1351" s="47" t="n"/>
      <c r="H1351" s="47" t="n"/>
      <c r="I1351" s="47" t="n"/>
      <c r="J1351" s="47" t="n"/>
      <c r="K1351" s="47" t="n"/>
      <c r="L1351" s="47" t="n"/>
    </row>
    <row r="1352">
      <c r="A1352" s="52">
        <f>row()-1</f>
        <v/>
      </c>
      <c r="B1352" s="55" t="n"/>
      <c r="C1352" s="47" t="n"/>
      <c r="D1352" s="20" t="n"/>
      <c r="E1352" s="20" t="n"/>
      <c r="F1352" s="47" t="n"/>
      <c r="G1352" s="47" t="n"/>
      <c r="H1352" s="47" t="n"/>
      <c r="I1352" s="47" t="n"/>
      <c r="J1352" s="47" t="n"/>
      <c r="K1352" s="47" t="n"/>
      <c r="L1352" s="47" t="n"/>
    </row>
    <row r="1353">
      <c r="A1353" s="52">
        <f>row()-1</f>
        <v/>
      </c>
      <c r="B1353" s="55" t="n"/>
      <c r="C1353" s="47" t="n"/>
      <c r="D1353" s="20" t="n"/>
      <c r="E1353" s="20" t="n"/>
      <c r="F1353" s="47" t="n"/>
      <c r="G1353" s="47" t="n"/>
      <c r="H1353" s="47" t="n"/>
      <c r="I1353" s="47" t="n"/>
      <c r="J1353" s="47" t="n"/>
      <c r="K1353" s="47" t="n"/>
      <c r="L1353" s="47" t="n"/>
    </row>
    <row r="1354">
      <c r="A1354" s="52">
        <f>row()-1</f>
        <v/>
      </c>
      <c r="B1354" s="55" t="n"/>
      <c r="C1354" s="47" t="n"/>
      <c r="D1354" s="20" t="n"/>
      <c r="E1354" s="20" t="n"/>
      <c r="F1354" s="47" t="n"/>
      <c r="G1354" s="47" t="n"/>
      <c r="H1354" s="47" t="n"/>
      <c r="I1354" s="47" t="n"/>
      <c r="J1354" s="47" t="n"/>
      <c r="K1354" s="47" t="n"/>
      <c r="L1354" s="47" t="n"/>
    </row>
    <row r="1355">
      <c r="A1355" s="52">
        <f>row()-1</f>
        <v/>
      </c>
      <c r="B1355" s="55" t="n"/>
      <c r="C1355" s="47" t="n"/>
      <c r="D1355" s="20" t="n"/>
      <c r="E1355" s="20" t="n"/>
      <c r="F1355" s="47" t="n"/>
      <c r="G1355" s="47" t="n"/>
      <c r="H1355" s="47" t="n"/>
      <c r="I1355" s="47" t="n"/>
      <c r="J1355" s="47" t="n"/>
      <c r="K1355" s="47" t="n"/>
      <c r="L1355" s="47" t="n"/>
    </row>
    <row r="1356">
      <c r="A1356" s="52">
        <f>row()-1</f>
        <v/>
      </c>
      <c r="B1356" s="55" t="n"/>
      <c r="C1356" s="47" t="n"/>
      <c r="D1356" s="20" t="n"/>
      <c r="E1356" s="20" t="n"/>
      <c r="F1356" s="47" t="n"/>
      <c r="G1356" s="47" t="n"/>
      <c r="H1356" s="47" t="n"/>
      <c r="I1356" s="47" t="n"/>
      <c r="J1356" s="47" t="n"/>
      <c r="K1356" s="47" t="n"/>
      <c r="L1356" s="47" t="n"/>
    </row>
    <row r="1357">
      <c r="A1357" s="52">
        <f>row()-1</f>
        <v/>
      </c>
      <c r="B1357" s="55" t="n"/>
      <c r="C1357" s="47" t="n"/>
      <c r="D1357" s="20" t="n"/>
      <c r="E1357" s="20" t="n"/>
      <c r="F1357" s="47" t="n"/>
      <c r="G1357" s="47" t="n"/>
      <c r="H1357" s="47" t="n"/>
      <c r="I1357" s="47" t="n"/>
      <c r="J1357" s="47" t="n"/>
      <c r="K1357" s="47" t="n"/>
      <c r="L1357" s="47" t="n"/>
    </row>
    <row r="1358">
      <c r="A1358" s="52">
        <f>row()-1</f>
        <v/>
      </c>
      <c r="B1358" s="55" t="n"/>
      <c r="C1358" s="47" t="n"/>
      <c r="D1358" s="20" t="n"/>
      <c r="E1358" s="20" t="n"/>
      <c r="F1358" s="47" t="n"/>
      <c r="G1358" s="47" t="n"/>
      <c r="H1358" s="47" t="n"/>
      <c r="I1358" s="47" t="n"/>
      <c r="J1358" s="47" t="n"/>
      <c r="K1358" s="47" t="n"/>
      <c r="L1358" s="47" t="n"/>
    </row>
    <row r="1359">
      <c r="A1359" s="52">
        <f>row()-1</f>
        <v/>
      </c>
      <c r="B1359" s="55" t="n"/>
      <c r="C1359" s="47" t="n"/>
      <c r="D1359" s="20" t="n"/>
      <c r="E1359" s="20" t="n"/>
      <c r="F1359" s="47" t="n"/>
      <c r="G1359" s="47" t="n"/>
      <c r="H1359" s="47" t="n"/>
      <c r="I1359" s="47" t="n"/>
      <c r="J1359" s="47" t="n"/>
      <c r="K1359" s="47" t="n"/>
      <c r="L1359" s="47" t="n"/>
    </row>
    <row r="1360">
      <c r="A1360" s="52">
        <f>row()-1</f>
        <v/>
      </c>
      <c r="B1360" s="55" t="n"/>
      <c r="C1360" s="47" t="n"/>
      <c r="D1360" s="20" t="n"/>
      <c r="E1360" s="20" t="n"/>
      <c r="F1360" s="47" t="n"/>
      <c r="G1360" s="47" t="n"/>
      <c r="H1360" s="47" t="n"/>
      <c r="I1360" s="47" t="n"/>
      <c r="J1360" s="47" t="n"/>
      <c r="K1360" s="47" t="n"/>
      <c r="L1360" s="47" t="n"/>
    </row>
    <row r="1361">
      <c r="A1361" s="52">
        <f>row()-1</f>
        <v/>
      </c>
      <c r="B1361" s="55" t="n"/>
      <c r="C1361" s="47" t="n"/>
      <c r="D1361" s="20" t="n"/>
      <c r="E1361" s="20" t="n"/>
      <c r="F1361" s="47" t="n"/>
      <c r="G1361" s="47" t="n"/>
      <c r="H1361" s="47" t="n"/>
      <c r="I1361" s="47" t="n"/>
      <c r="J1361" s="47" t="n"/>
      <c r="K1361" s="47" t="n"/>
      <c r="L1361" s="47" t="n"/>
    </row>
    <row r="1362">
      <c r="A1362" s="52">
        <f>row()-1</f>
        <v/>
      </c>
      <c r="B1362" s="55" t="n"/>
      <c r="C1362" s="47" t="n"/>
      <c r="D1362" s="20" t="n"/>
      <c r="E1362" s="20" t="n"/>
      <c r="F1362" s="47" t="n"/>
      <c r="G1362" s="47" t="n"/>
      <c r="H1362" s="47" t="n"/>
      <c r="I1362" s="47" t="n"/>
      <c r="J1362" s="47" t="n"/>
      <c r="K1362" s="47" t="n"/>
      <c r="L1362" s="47" t="n"/>
    </row>
    <row r="1363">
      <c r="A1363" s="52">
        <f>row()-1</f>
        <v/>
      </c>
      <c r="B1363" s="55" t="n"/>
      <c r="C1363" s="47" t="n"/>
      <c r="D1363" s="20" t="n"/>
      <c r="E1363" s="20" t="n"/>
      <c r="F1363" s="47" t="n"/>
      <c r="G1363" s="47" t="n"/>
      <c r="H1363" s="47" t="n"/>
      <c r="I1363" s="47" t="n"/>
      <c r="J1363" s="47" t="n"/>
      <c r="K1363" s="47" t="n"/>
      <c r="L1363" s="47" t="n"/>
    </row>
    <row r="1364">
      <c r="A1364" s="52">
        <f>row()-1</f>
        <v/>
      </c>
      <c r="B1364" s="55" t="n"/>
      <c r="C1364" s="47" t="n"/>
      <c r="D1364" s="20" t="n"/>
      <c r="E1364" s="20" t="n"/>
      <c r="F1364" s="47" t="n"/>
      <c r="G1364" s="47" t="n"/>
      <c r="H1364" s="47" t="n"/>
      <c r="I1364" s="47" t="n"/>
      <c r="J1364" s="47" t="n"/>
      <c r="K1364" s="47" t="n"/>
      <c r="L1364" s="47" t="n"/>
    </row>
    <row r="1365">
      <c r="A1365" s="52">
        <f>row()-1</f>
        <v/>
      </c>
      <c r="B1365" s="55" t="n"/>
      <c r="C1365" s="47" t="n"/>
      <c r="D1365" s="20" t="n"/>
      <c r="E1365" s="20" t="n"/>
      <c r="F1365" s="47" t="n"/>
      <c r="G1365" s="47" t="n"/>
      <c r="H1365" s="47" t="n"/>
      <c r="I1365" s="47" t="n"/>
      <c r="J1365" s="47" t="n"/>
      <c r="K1365" s="47" t="n"/>
      <c r="L1365" s="47" t="n"/>
    </row>
    <row r="1366">
      <c r="A1366" s="52">
        <f>row()-1</f>
        <v/>
      </c>
      <c r="B1366" s="55" t="n"/>
      <c r="C1366" s="47" t="n"/>
      <c r="D1366" s="20" t="n"/>
      <c r="E1366" s="20" t="n"/>
      <c r="F1366" s="47" t="n"/>
      <c r="G1366" s="47" t="n"/>
      <c r="H1366" s="47" t="n"/>
      <c r="I1366" s="47" t="n"/>
      <c r="J1366" s="47" t="n"/>
      <c r="K1366" s="47" t="n"/>
      <c r="L1366" s="47" t="n"/>
    </row>
    <row r="1367">
      <c r="A1367" s="52">
        <f>row()-1</f>
        <v/>
      </c>
      <c r="B1367" s="55" t="n"/>
      <c r="C1367" s="47" t="n"/>
      <c r="D1367" s="20" t="n"/>
      <c r="E1367" s="20" t="n"/>
      <c r="F1367" s="47" t="n"/>
      <c r="G1367" s="47" t="n"/>
      <c r="H1367" s="47" t="n"/>
      <c r="I1367" s="47" t="n"/>
      <c r="J1367" s="47" t="n"/>
      <c r="K1367" s="47" t="n"/>
      <c r="L1367" s="47" t="n"/>
    </row>
    <row r="1368">
      <c r="A1368" s="52">
        <f>row()-1</f>
        <v/>
      </c>
      <c r="B1368" s="55" t="n"/>
      <c r="C1368" s="47" t="n"/>
      <c r="D1368" s="20" t="n"/>
      <c r="E1368" s="20" t="n"/>
      <c r="F1368" s="47" t="n"/>
      <c r="G1368" s="47" t="n"/>
      <c r="H1368" s="47" t="n"/>
      <c r="I1368" s="47" t="n"/>
      <c r="J1368" s="47" t="n"/>
      <c r="K1368" s="47" t="n"/>
      <c r="L1368" s="47" t="n"/>
    </row>
    <row r="1369">
      <c r="A1369" s="52">
        <f>row()-1</f>
        <v/>
      </c>
      <c r="B1369" s="55" t="n"/>
      <c r="C1369" s="47" t="n"/>
      <c r="D1369" s="20" t="n"/>
      <c r="E1369" s="20" t="n"/>
      <c r="F1369" s="47" t="n"/>
      <c r="G1369" s="47" t="n"/>
      <c r="H1369" s="47" t="n"/>
      <c r="I1369" s="47" t="n"/>
      <c r="J1369" s="47" t="n"/>
      <c r="K1369" s="47" t="n"/>
      <c r="L1369" s="47" t="n"/>
    </row>
    <row r="1370">
      <c r="A1370" s="52">
        <f>row()-1</f>
        <v/>
      </c>
      <c r="B1370" s="55" t="n"/>
      <c r="C1370" s="47" t="n"/>
      <c r="D1370" s="20" t="n"/>
      <c r="E1370" s="20" t="n"/>
      <c r="F1370" s="47" t="n"/>
      <c r="G1370" s="47" t="n"/>
      <c r="H1370" s="47" t="n"/>
      <c r="I1370" s="47" t="n"/>
      <c r="J1370" s="47" t="n"/>
      <c r="K1370" s="47" t="n"/>
      <c r="L1370" s="47" t="n"/>
    </row>
    <row r="1371">
      <c r="A1371" s="52">
        <f>row()-1</f>
        <v/>
      </c>
      <c r="B1371" s="55" t="n"/>
      <c r="C1371" s="47" t="n"/>
      <c r="D1371" s="20" t="n"/>
      <c r="E1371" s="20" t="n"/>
      <c r="F1371" s="47" t="n"/>
      <c r="G1371" s="47" t="n"/>
      <c r="H1371" s="47" t="n"/>
      <c r="I1371" s="47" t="n"/>
      <c r="J1371" s="47" t="n"/>
      <c r="K1371" s="47" t="n"/>
      <c r="L1371" s="47" t="n"/>
    </row>
    <row r="1372">
      <c r="A1372" s="52">
        <f>row()-1</f>
        <v/>
      </c>
      <c r="B1372" s="55" t="n"/>
      <c r="C1372" s="47" t="n"/>
      <c r="D1372" s="20" t="n"/>
      <c r="E1372" s="20" t="n"/>
      <c r="F1372" s="47" t="n"/>
      <c r="G1372" s="47" t="n"/>
      <c r="H1372" s="47" t="n"/>
      <c r="I1372" s="47" t="n"/>
      <c r="J1372" s="47" t="n"/>
      <c r="K1372" s="47" t="n"/>
      <c r="L1372" s="47" t="n"/>
    </row>
    <row r="1373">
      <c r="A1373" s="52">
        <f>row()-1</f>
        <v/>
      </c>
      <c r="B1373" s="55" t="n"/>
      <c r="C1373" s="47" t="n"/>
      <c r="D1373" s="20" t="n"/>
      <c r="E1373" s="20" t="n"/>
      <c r="F1373" s="47" t="n"/>
      <c r="G1373" s="47" t="n"/>
      <c r="H1373" s="47" t="n"/>
      <c r="I1373" s="47" t="n"/>
      <c r="J1373" s="47" t="n"/>
      <c r="K1373" s="47" t="n"/>
      <c r="L1373" s="47" t="n"/>
    </row>
    <row r="1374">
      <c r="A1374" s="52">
        <f>row()-1</f>
        <v/>
      </c>
      <c r="B1374" s="55" t="n"/>
      <c r="C1374" s="47" t="n"/>
      <c r="D1374" s="20" t="n"/>
      <c r="E1374" s="20" t="n"/>
      <c r="F1374" s="47" t="n"/>
      <c r="G1374" s="47" t="n"/>
      <c r="H1374" s="47" t="n"/>
      <c r="I1374" s="47" t="n"/>
      <c r="J1374" s="47" t="n"/>
      <c r="K1374" s="47" t="n"/>
      <c r="L1374" s="47" t="n"/>
    </row>
    <row r="1375">
      <c r="A1375" s="52">
        <f>row()-1</f>
        <v/>
      </c>
      <c r="B1375" s="55" t="n"/>
      <c r="C1375" s="47" t="n"/>
      <c r="D1375" s="20" t="n"/>
      <c r="E1375" s="20" t="n"/>
      <c r="F1375" s="47" t="n"/>
      <c r="G1375" s="47" t="n"/>
      <c r="H1375" s="47" t="n"/>
      <c r="I1375" s="47" t="n"/>
      <c r="J1375" s="47" t="n"/>
      <c r="K1375" s="47" t="n"/>
      <c r="L1375" s="47" t="n"/>
    </row>
    <row r="1376">
      <c r="A1376" s="52">
        <f>row()-1</f>
        <v/>
      </c>
      <c r="B1376" s="55" t="n"/>
      <c r="C1376" s="47" t="n"/>
      <c r="D1376" s="20" t="n"/>
      <c r="E1376" s="20" t="n"/>
      <c r="F1376" s="47" t="n"/>
      <c r="G1376" s="47" t="n"/>
      <c r="H1376" s="47" t="n"/>
      <c r="I1376" s="47" t="n"/>
      <c r="J1376" s="47" t="n"/>
      <c r="K1376" s="47" t="n"/>
      <c r="L1376" s="47" t="n"/>
    </row>
    <row r="1377">
      <c r="A1377" s="52">
        <f>row()-1</f>
        <v/>
      </c>
      <c r="B1377" s="55" t="n"/>
      <c r="C1377" s="47" t="n"/>
      <c r="D1377" s="20" t="n"/>
      <c r="E1377" s="20" t="n"/>
      <c r="F1377" s="47" t="n"/>
      <c r="G1377" s="47" t="n"/>
      <c r="H1377" s="47" t="n"/>
      <c r="I1377" s="47" t="n"/>
      <c r="J1377" s="47" t="n"/>
      <c r="K1377" s="47" t="n"/>
      <c r="L1377" s="47" t="n"/>
    </row>
    <row r="1378">
      <c r="A1378" s="52">
        <f>row()-1</f>
        <v/>
      </c>
      <c r="B1378" s="55" t="n"/>
      <c r="C1378" s="47" t="n"/>
      <c r="D1378" s="20" t="n"/>
      <c r="E1378" s="20" t="n"/>
      <c r="F1378" s="47" t="n"/>
      <c r="G1378" s="47" t="n"/>
      <c r="H1378" s="47" t="n"/>
      <c r="I1378" s="47" t="n"/>
      <c r="J1378" s="47" t="n"/>
      <c r="K1378" s="47" t="n"/>
      <c r="L1378" s="47" t="n"/>
    </row>
    <row r="1379">
      <c r="A1379" s="52">
        <f>row()-1</f>
        <v/>
      </c>
      <c r="B1379" s="55" t="n"/>
      <c r="C1379" s="47" t="n"/>
      <c r="D1379" s="20" t="n"/>
      <c r="E1379" s="20" t="n"/>
      <c r="F1379" s="47" t="n"/>
      <c r="G1379" s="47" t="n"/>
      <c r="H1379" s="47" t="n"/>
      <c r="I1379" s="47" t="n"/>
      <c r="J1379" s="47" t="n"/>
      <c r="K1379" s="47" t="n"/>
      <c r="L1379" s="47" t="n"/>
    </row>
    <row r="1380">
      <c r="A1380" s="52">
        <f>row()-1</f>
        <v/>
      </c>
      <c r="B1380" s="55" t="n"/>
      <c r="C1380" s="47" t="n"/>
      <c r="D1380" s="20" t="n"/>
      <c r="E1380" s="20" t="n"/>
      <c r="F1380" s="47" t="n"/>
      <c r="G1380" s="47" t="n"/>
      <c r="H1380" s="47" t="n"/>
      <c r="I1380" s="47" t="n"/>
      <c r="J1380" s="47" t="n"/>
      <c r="K1380" s="47" t="n"/>
      <c r="L1380" s="47" t="n"/>
    </row>
    <row r="1381">
      <c r="A1381" s="52">
        <f>row()-1</f>
        <v/>
      </c>
      <c r="B1381" s="55" t="n"/>
      <c r="C1381" s="47" t="n"/>
      <c r="D1381" s="20" t="n"/>
      <c r="E1381" s="20" t="n"/>
      <c r="F1381" s="47" t="n"/>
      <c r="G1381" s="47" t="n"/>
      <c r="H1381" s="47" t="n"/>
      <c r="I1381" s="47" t="n"/>
      <c r="J1381" s="47" t="n"/>
      <c r="K1381" s="47" t="n"/>
      <c r="L1381" s="47" t="n"/>
    </row>
    <row r="1382">
      <c r="A1382" s="52">
        <f>row()-1</f>
        <v/>
      </c>
      <c r="B1382" s="55" t="n"/>
      <c r="C1382" s="47" t="n"/>
      <c r="D1382" s="20" t="n"/>
      <c r="E1382" s="20" t="n"/>
      <c r="F1382" s="47" t="n"/>
      <c r="G1382" s="47" t="n"/>
      <c r="H1382" s="47" t="n"/>
      <c r="I1382" s="47" t="n"/>
      <c r="J1382" s="47" t="n"/>
      <c r="K1382" s="47" t="n"/>
      <c r="L1382" s="47" t="n"/>
    </row>
    <row r="1383">
      <c r="A1383" s="52">
        <f>row()-1</f>
        <v/>
      </c>
      <c r="B1383" s="55" t="n"/>
      <c r="C1383" s="47" t="n"/>
      <c r="D1383" s="20" t="n"/>
      <c r="E1383" s="20" t="n"/>
      <c r="F1383" s="47" t="n"/>
      <c r="G1383" s="47" t="n"/>
      <c r="H1383" s="47" t="n"/>
      <c r="I1383" s="47" t="n"/>
      <c r="J1383" s="47" t="n"/>
      <c r="K1383" s="47" t="n"/>
      <c r="L1383" s="47" t="n"/>
    </row>
    <row r="1384">
      <c r="A1384" s="52">
        <f>row()-1</f>
        <v/>
      </c>
      <c r="B1384" s="55" t="n"/>
      <c r="C1384" s="47" t="n"/>
      <c r="D1384" s="20" t="n"/>
      <c r="E1384" s="20" t="n"/>
      <c r="F1384" s="47" t="n"/>
      <c r="G1384" s="47" t="n"/>
      <c r="H1384" s="47" t="n"/>
      <c r="I1384" s="47" t="n"/>
      <c r="J1384" s="47" t="n"/>
      <c r="K1384" s="47" t="n"/>
      <c r="L1384" s="47" t="n"/>
    </row>
    <row r="1385">
      <c r="A1385" s="52">
        <f>row()-1</f>
        <v/>
      </c>
      <c r="B1385" s="55" t="n"/>
      <c r="C1385" s="47" t="n"/>
      <c r="D1385" s="20" t="n"/>
      <c r="E1385" s="20" t="n"/>
      <c r="F1385" s="47" t="n"/>
      <c r="G1385" s="47" t="n"/>
      <c r="H1385" s="47" t="n"/>
      <c r="I1385" s="47" t="n"/>
      <c r="J1385" s="47" t="n"/>
      <c r="K1385" s="47" t="n"/>
      <c r="L1385" s="47" t="n"/>
    </row>
    <row r="1386">
      <c r="A1386" s="52">
        <f>row()-1</f>
        <v/>
      </c>
      <c r="B1386" s="55" t="n"/>
      <c r="C1386" s="47" t="n"/>
      <c r="D1386" s="20" t="n"/>
      <c r="E1386" s="20" t="n"/>
      <c r="F1386" s="47" t="n"/>
      <c r="G1386" s="47" t="n"/>
      <c r="H1386" s="47" t="n"/>
      <c r="I1386" s="47" t="n"/>
      <c r="J1386" s="47" t="n"/>
      <c r="K1386" s="47" t="n"/>
      <c r="L1386" s="47" t="n"/>
    </row>
    <row r="1387">
      <c r="A1387" s="52">
        <f>row()-1</f>
        <v/>
      </c>
      <c r="B1387" s="55" t="n"/>
      <c r="C1387" s="47" t="n"/>
      <c r="D1387" s="20" t="n"/>
      <c r="E1387" s="20" t="n"/>
      <c r="F1387" s="47" t="n"/>
      <c r="G1387" s="47" t="n"/>
      <c r="H1387" s="47" t="n"/>
      <c r="I1387" s="47" t="n"/>
      <c r="J1387" s="47" t="n"/>
      <c r="K1387" s="47" t="n"/>
      <c r="L1387" s="47" t="n"/>
    </row>
    <row r="1388">
      <c r="A1388" s="52">
        <f>row()-1</f>
        <v/>
      </c>
      <c r="B1388" s="55" t="n"/>
      <c r="C1388" s="47" t="n"/>
      <c r="D1388" s="20" t="n"/>
      <c r="E1388" s="20" t="n"/>
      <c r="F1388" s="47" t="n"/>
      <c r="G1388" s="47" t="n"/>
      <c r="H1388" s="47" t="n"/>
      <c r="I1388" s="47" t="n"/>
      <c r="J1388" s="47" t="n"/>
      <c r="K1388" s="47" t="n"/>
      <c r="L1388" s="47" t="n"/>
    </row>
    <row r="1389">
      <c r="A1389" s="52">
        <f>row()-1</f>
        <v/>
      </c>
      <c r="B1389" s="55" t="n"/>
      <c r="C1389" s="47" t="n"/>
      <c r="D1389" s="20" t="n"/>
      <c r="E1389" s="20" t="n"/>
      <c r="F1389" s="47" t="n"/>
      <c r="G1389" s="47" t="n"/>
      <c r="H1389" s="47" t="n"/>
      <c r="I1389" s="47" t="n"/>
      <c r="J1389" s="47" t="n"/>
      <c r="K1389" s="47" t="n"/>
      <c r="L1389" s="47" t="n"/>
    </row>
    <row r="1390">
      <c r="A1390" s="52">
        <f>row()-1</f>
        <v/>
      </c>
      <c r="B1390" s="55" t="n"/>
      <c r="C1390" s="47" t="n"/>
      <c r="D1390" s="20" t="n"/>
      <c r="E1390" s="20" t="n"/>
      <c r="F1390" s="47" t="n"/>
      <c r="G1390" s="47" t="n"/>
      <c r="H1390" s="47" t="n"/>
      <c r="I1390" s="47" t="n"/>
      <c r="J1390" s="47" t="n"/>
      <c r="K1390" s="47" t="n"/>
      <c r="L1390" s="47" t="n"/>
    </row>
    <row r="1391">
      <c r="A1391" s="52">
        <f>row()-1</f>
        <v/>
      </c>
      <c r="B1391" s="55" t="n"/>
      <c r="C1391" s="47" t="n"/>
      <c r="D1391" s="20" t="n"/>
      <c r="E1391" s="20" t="n"/>
      <c r="F1391" s="47" t="n"/>
      <c r="G1391" s="47" t="n"/>
      <c r="H1391" s="47" t="n"/>
      <c r="I1391" s="47" t="n"/>
      <c r="J1391" s="47" t="n"/>
      <c r="K1391" s="47" t="n"/>
      <c r="L1391" s="47" t="n"/>
    </row>
    <row r="1392">
      <c r="A1392" s="52">
        <f>row()-1</f>
        <v/>
      </c>
      <c r="B1392" s="55" t="n"/>
      <c r="C1392" s="47" t="n"/>
      <c r="D1392" s="20" t="n"/>
      <c r="E1392" s="20" t="n"/>
      <c r="F1392" s="47" t="n"/>
      <c r="G1392" s="47" t="n"/>
      <c r="H1392" s="47" t="n"/>
      <c r="I1392" s="47" t="n"/>
      <c r="J1392" s="47" t="n"/>
      <c r="K1392" s="47" t="n"/>
      <c r="L1392" s="47" t="n"/>
    </row>
    <row r="1393">
      <c r="A1393" s="52">
        <f>row()-1</f>
        <v/>
      </c>
      <c r="B1393" s="55" t="n"/>
      <c r="C1393" s="47" t="n"/>
      <c r="D1393" s="20" t="n"/>
      <c r="E1393" s="20" t="n"/>
      <c r="F1393" s="47" t="n"/>
      <c r="G1393" s="47" t="n"/>
      <c r="H1393" s="47" t="n"/>
      <c r="I1393" s="47" t="n"/>
      <c r="J1393" s="47" t="n"/>
      <c r="K1393" s="47" t="n"/>
      <c r="L1393" s="47" t="n"/>
    </row>
    <row r="1394">
      <c r="A1394" s="52">
        <f>row()-1</f>
        <v/>
      </c>
      <c r="B1394" s="55" t="n"/>
      <c r="C1394" s="47" t="n"/>
      <c r="D1394" s="20" t="n"/>
      <c r="E1394" s="20" t="n"/>
      <c r="F1394" s="47" t="n"/>
      <c r="G1394" s="47" t="n"/>
      <c r="H1394" s="47" t="n"/>
      <c r="I1394" s="47" t="n"/>
      <c r="J1394" s="47" t="n"/>
      <c r="K1394" s="47" t="n"/>
      <c r="L1394" s="47" t="n"/>
    </row>
    <row r="1395">
      <c r="A1395" s="52">
        <f>row()-1</f>
        <v/>
      </c>
      <c r="B1395" s="55" t="n"/>
      <c r="C1395" s="47" t="n"/>
      <c r="D1395" s="20" t="n"/>
      <c r="E1395" s="20" t="n"/>
      <c r="F1395" s="47" t="n"/>
      <c r="G1395" s="47" t="n"/>
      <c r="H1395" s="47" t="n"/>
      <c r="I1395" s="47" t="n"/>
      <c r="J1395" s="47" t="n"/>
      <c r="K1395" s="47" t="n"/>
      <c r="L1395" s="47" t="n"/>
    </row>
    <row r="1396">
      <c r="A1396" s="52">
        <f>row()-1</f>
        <v/>
      </c>
      <c r="B1396" s="55" t="n"/>
      <c r="C1396" s="47" t="n"/>
      <c r="D1396" s="20" t="n"/>
      <c r="E1396" s="20" t="n"/>
      <c r="F1396" s="47" t="n"/>
      <c r="G1396" s="47" t="n"/>
      <c r="H1396" s="47" t="n"/>
      <c r="I1396" s="47" t="n"/>
      <c r="J1396" s="47" t="n"/>
      <c r="K1396" s="47" t="n"/>
      <c r="L1396" s="47" t="n"/>
    </row>
    <row r="1397">
      <c r="A1397" s="52">
        <f>row()-1</f>
        <v/>
      </c>
      <c r="B1397" s="55" t="n"/>
      <c r="C1397" s="47" t="n"/>
      <c r="D1397" s="20" t="n"/>
      <c r="E1397" s="20" t="n"/>
      <c r="F1397" s="47" t="n"/>
      <c r="G1397" s="47" t="n"/>
      <c r="H1397" s="47" t="n"/>
      <c r="I1397" s="47" t="n"/>
      <c r="J1397" s="47" t="n"/>
      <c r="K1397" s="47" t="n"/>
      <c r="L1397" s="47" t="n"/>
    </row>
    <row r="1398">
      <c r="A1398" s="52">
        <f>row()-1</f>
        <v/>
      </c>
      <c r="B1398" s="55" t="n"/>
      <c r="C1398" s="47" t="n"/>
      <c r="D1398" s="20" t="n"/>
      <c r="E1398" s="20" t="n"/>
      <c r="F1398" s="47" t="n"/>
      <c r="G1398" s="47" t="n"/>
      <c r="H1398" s="47" t="n"/>
      <c r="I1398" s="47" t="n"/>
      <c r="J1398" s="47" t="n"/>
      <c r="K1398" s="47" t="n"/>
      <c r="L1398" s="47" t="n"/>
    </row>
    <row r="1399">
      <c r="A1399" s="52">
        <f>row()-1</f>
        <v/>
      </c>
      <c r="B1399" s="55" t="n"/>
      <c r="C1399" s="47" t="n"/>
      <c r="D1399" s="20" t="n"/>
      <c r="E1399" s="20" t="n"/>
      <c r="F1399" s="47" t="n"/>
      <c r="G1399" s="47" t="n"/>
      <c r="H1399" s="47" t="n"/>
      <c r="I1399" s="47" t="n"/>
      <c r="J1399" s="47" t="n"/>
      <c r="K1399" s="47" t="n"/>
      <c r="L1399" s="47" t="n"/>
    </row>
    <row r="1400">
      <c r="A1400" s="52">
        <f>row()-1</f>
        <v/>
      </c>
      <c r="B1400" s="55" t="n"/>
      <c r="C1400" s="47" t="n"/>
      <c r="D1400" s="20" t="n"/>
      <c r="E1400" s="20" t="n"/>
      <c r="F1400" s="47" t="n"/>
      <c r="G1400" s="47" t="n"/>
      <c r="H1400" s="47" t="n"/>
      <c r="I1400" s="47" t="n"/>
      <c r="J1400" s="47" t="n"/>
      <c r="K1400" s="47" t="n"/>
      <c r="L1400" s="47" t="n"/>
    </row>
    <row r="1401">
      <c r="A1401" s="52">
        <f>row()-1</f>
        <v/>
      </c>
      <c r="B1401" s="55" t="n"/>
      <c r="C1401" s="47" t="n"/>
      <c r="D1401" s="20" t="n"/>
      <c r="E1401" s="20" t="n"/>
      <c r="F1401" s="47" t="n"/>
      <c r="G1401" s="47" t="n"/>
      <c r="H1401" s="47" t="n"/>
      <c r="I1401" s="47" t="n"/>
      <c r="J1401" s="47" t="n"/>
      <c r="K1401" s="47" t="n"/>
      <c r="L1401" s="47" t="n"/>
    </row>
    <row r="1402">
      <c r="A1402" s="52">
        <f>row()-1</f>
        <v/>
      </c>
      <c r="B1402" s="55" t="n"/>
      <c r="C1402" s="47" t="n"/>
      <c r="D1402" s="20" t="n"/>
      <c r="E1402" s="20" t="n"/>
      <c r="F1402" s="47" t="n"/>
      <c r="G1402" s="47" t="n"/>
      <c r="H1402" s="47" t="n"/>
      <c r="I1402" s="47" t="n"/>
      <c r="J1402" s="47" t="n"/>
      <c r="K1402" s="47" t="n"/>
      <c r="L1402" s="47" t="n"/>
    </row>
    <row r="1403">
      <c r="A1403" s="52">
        <f>row()-1</f>
        <v/>
      </c>
      <c r="B1403" s="55" t="n"/>
      <c r="C1403" s="47" t="n"/>
      <c r="D1403" s="20" t="n"/>
      <c r="E1403" s="20" t="n"/>
      <c r="F1403" s="47" t="n"/>
      <c r="G1403" s="47" t="n"/>
      <c r="H1403" s="47" t="n"/>
      <c r="I1403" s="47" t="n"/>
      <c r="J1403" s="47" t="n"/>
      <c r="K1403" s="47" t="n"/>
      <c r="L1403" s="47" t="n"/>
    </row>
    <row r="1404">
      <c r="A1404" s="52">
        <f>row()-1</f>
        <v/>
      </c>
      <c r="B1404" s="55" t="n"/>
      <c r="C1404" s="47" t="n"/>
      <c r="D1404" s="20" t="n"/>
      <c r="E1404" s="20" t="n"/>
      <c r="F1404" s="47" t="n"/>
      <c r="G1404" s="47" t="n"/>
      <c r="H1404" s="47" t="n"/>
      <c r="I1404" s="47" t="n"/>
      <c r="J1404" s="47" t="n"/>
      <c r="K1404" s="47" t="n"/>
      <c r="L1404" s="47" t="n"/>
    </row>
    <row r="1405">
      <c r="A1405" s="52">
        <f>row()-1</f>
        <v/>
      </c>
      <c r="B1405" s="55" t="n"/>
      <c r="C1405" s="47" t="n"/>
      <c r="D1405" s="20" t="n"/>
      <c r="E1405" s="20" t="n"/>
      <c r="F1405" s="47" t="n"/>
      <c r="G1405" s="47" t="n"/>
      <c r="H1405" s="47" t="n"/>
      <c r="I1405" s="47" t="n"/>
      <c r="J1405" s="47" t="n"/>
      <c r="K1405" s="47" t="n"/>
      <c r="L1405" s="47" t="n"/>
    </row>
    <row r="1406">
      <c r="A1406" s="52">
        <f>row()-1</f>
        <v/>
      </c>
      <c r="B1406" s="55" t="n"/>
      <c r="C1406" s="47" t="n"/>
      <c r="D1406" s="20" t="n"/>
      <c r="E1406" s="20" t="n"/>
      <c r="F1406" s="47" t="n"/>
      <c r="G1406" s="47" t="n"/>
      <c r="H1406" s="47" t="n"/>
      <c r="I1406" s="47" t="n"/>
      <c r="J1406" s="47" t="n"/>
      <c r="K1406" s="47" t="n"/>
      <c r="L1406" s="47" t="n"/>
    </row>
    <row r="1407">
      <c r="A1407" s="52">
        <f>row()-1</f>
        <v/>
      </c>
      <c r="B1407" s="55" t="n"/>
      <c r="C1407" s="47" t="n"/>
      <c r="D1407" s="20" t="n"/>
      <c r="E1407" s="20" t="n"/>
      <c r="F1407" s="47" t="n"/>
      <c r="G1407" s="47" t="n"/>
      <c r="H1407" s="47" t="n"/>
      <c r="I1407" s="47" t="n"/>
      <c r="J1407" s="47" t="n"/>
      <c r="K1407" s="47" t="n"/>
      <c r="L1407" s="47" t="n"/>
    </row>
    <row r="1408">
      <c r="A1408" s="52">
        <f>row()-1</f>
        <v/>
      </c>
      <c r="B1408" s="55" t="n"/>
      <c r="C1408" s="47" t="n"/>
      <c r="D1408" s="20" t="n"/>
      <c r="E1408" s="20" t="n"/>
      <c r="F1408" s="47" t="n"/>
      <c r="G1408" s="47" t="n"/>
      <c r="H1408" s="47" t="n"/>
      <c r="I1408" s="47" t="n"/>
      <c r="J1408" s="47" t="n"/>
      <c r="K1408" s="47" t="n"/>
      <c r="L1408" s="47" t="n"/>
    </row>
    <row r="1409">
      <c r="A1409" s="52">
        <f>row()-1</f>
        <v/>
      </c>
      <c r="B1409" s="55" t="n"/>
      <c r="C1409" s="47" t="n"/>
      <c r="D1409" s="20" t="n"/>
      <c r="E1409" s="20" t="n"/>
      <c r="F1409" s="47" t="n"/>
      <c r="G1409" s="47" t="n"/>
      <c r="H1409" s="47" t="n"/>
      <c r="I1409" s="47" t="n"/>
      <c r="J1409" s="47" t="n"/>
      <c r="K1409" s="47" t="n"/>
      <c r="L1409" s="47" t="n"/>
    </row>
    <row r="1410">
      <c r="A1410" s="52">
        <f>row()-1</f>
        <v/>
      </c>
      <c r="B1410" s="55" t="n"/>
      <c r="C1410" s="47" t="n"/>
      <c r="D1410" s="20" t="n"/>
      <c r="E1410" s="20" t="n"/>
      <c r="F1410" s="47" t="n"/>
      <c r="G1410" s="47" t="n"/>
      <c r="H1410" s="47" t="n"/>
      <c r="I1410" s="47" t="n"/>
      <c r="J1410" s="47" t="n"/>
      <c r="K1410" s="47" t="n"/>
      <c r="L1410" s="47" t="n"/>
    </row>
    <row r="1411">
      <c r="A1411" s="52">
        <f>row()-1</f>
        <v/>
      </c>
      <c r="B1411" s="55" t="n"/>
      <c r="C1411" s="47" t="n"/>
      <c r="D1411" s="20" t="n"/>
      <c r="E1411" s="20" t="n"/>
      <c r="F1411" s="47" t="n"/>
      <c r="G1411" s="47" t="n"/>
      <c r="H1411" s="47" t="n"/>
      <c r="I1411" s="47" t="n"/>
      <c r="J1411" s="47" t="n"/>
      <c r="K1411" s="47" t="n"/>
      <c r="L1411" s="47" t="n"/>
    </row>
    <row r="1412">
      <c r="A1412" s="52">
        <f>row()-1</f>
        <v/>
      </c>
      <c r="B1412" s="55" t="n"/>
      <c r="C1412" s="47" t="n"/>
      <c r="D1412" s="20" t="n"/>
      <c r="E1412" s="20" t="n"/>
      <c r="F1412" s="47" t="n"/>
      <c r="G1412" s="47" t="n"/>
      <c r="H1412" s="47" t="n"/>
      <c r="I1412" s="47" t="n"/>
      <c r="J1412" s="47" t="n"/>
      <c r="K1412" s="47" t="n"/>
      <c r="L1412" s="47" t="n"/>
    </row>
    <row r="1413">
      <c r="A1413" s="52">
        <f>row()-1</f>
        <v/>
      </c>
      <c r="B1413" s="55" t="n"/>
      <c r="C1413" s="47" t="n"/>
      <c r="D1413" s="20" t="n"/>
      <c r="E1413" s="20" t="n"/>
      <c r="F1413" s="47" t="n"/>
      <c r="G1413" s="47" t="n"/>
      <c r="H1413" s="47" t="n"/>
      <c r="I1413" s="47" t="n"/>
      <c r="J1413" s="47" t="n"/>
      <c r="K1413" s="47" t="n"/>
      <c r="L1413" s="47" t="n"/>
    </row>
    <row r="1414">
      <c r="A1414" s="52">
        <f>row()-1</f>
        <v/>
      </c>
      <c r="B1414" s="55" t="n"/>
      <c r="C1414" s="47" t="n"/>
      <c r="D1414" s="20" t="n"/>
      <c r="E1414" s="20" t="n"/>
      <c r="F1414" s="47" t="n"/>
      <c r="G1414" s="47" t="n"/>
      <c r="H1414" s="47" t="n"/>
      <c r="I1414" s="47" t="n"/>
      <c r="J1414" s="47" t="n"/>
      <c r="K1414" s="47" t="n"/>
      <c r="L1414" s="47" t="n"/>
    </row>
    <row r="1415">
      <c r="A1415" s="52">
        <f>row()-1</f>
        <v/>
      </c>
      <c r="B1415" s="55" t="n"/>
      <c r="C1415" s="47" t="n"/>
      <c r="D1415" s="20" t="n"/>
      <c r="E1415" s="20" t="n"/>
      <c r="F1415" s="47" t="n"/>
      <c r="G1415" s="47" t="n"/>
      <c r="H1415" s="47" t="n"/>
      <c r="I1415" s="47" t="n"/>
      <c r="J1415" s="47" t="n"/>
      <c r="K1415" s="47" t="n"/>
      <c r="L1415" s="47" t="n"/>
    </row>
    <row r="1416">
      <c r="A1416" s="52">
        <f>row()-1</f>
        <v/>
      </c>
      <c r="B1416" s="55" t="n"/>
      <c r="C1416" s="47" t="n"/>
      <c r="D1416" s="20" t="n"/>
      <c r="E1416" s="20" t="n"/>
      <c r="F1416" s="47" t="n"/>
      <c r="G1416" s="47" t="n"/>
      <c r="H1416" s="47" t="n"/>
      <c r="I1416" s="47" t="n"/>
      <c r="J1416" s="47" t="n"/>
      <c r="K1416" s="47" t="n"/>
      <c r="L1416" s="47" t="n"/>
    </row>
    <row r="1417">
      <c r="A1417" s="52">
        <f>row()-1</f>
        <v/>
      </c>
      <c r="B1417" s="55" t="n"/>
      <c r="C1417" s="47" t="n"/>
      <c r="D1417" s="20" t="n"/>
      <c r="E1417" s="20" t="n"/>
      <c r="F1417" s="47" t="n"/>
      <c r="G1417" s="47" t="n"/>
      <c r="H1417" s="47" t="n"/>
      <c r="I1417" s="47" t="n"/>
      <c r="J1417" s="47" t="n"/>
      <c r="K1417" s="47" t="n"/>
      <c r="L1417" s="47" t="n"/>
    </row>
    <row r="1418">
      <c r="A1418" s="52">
        <f>row()-1</f>
        <v/>
      </c>
      <c r="B1418" s="55" t="n"/>
      <c r="C1418" s="47" t="n"/>
      <c r="D1418" s="20" t="n"/>
      <c r="E1418" s="20" t="n"/>
      <c r="F1418" s="47" t="n"/>
      <c r="G1418" s="47" t="n"/>
      <c r="H1418" s="47" t="n"/>
      <c r="I1418" s="47" t="n"/>
      <c r="J1418" s="47" t="n"/>
      <c r="K1418" s="47" t="n"/>
      <c r="L1418" s="47" t="n"/>
    </row>
    <row r="1419">
      <c r="A1419" s="52">
        <f>row()-1</f>
        <v/>
      </c>
      <c r="B1419" s="55" t="n"/>
      <c r="C1419" s="47" t="n"/>
      <c r="D1419" s="20" t="n"/>
      <c r="E1419" s="20" t="n"/>
      <c r="F1419" s="47" t="n"/>
      <c r="G1419" s="47" t="n"/>
      <c r="H1419" s="47" t="n"/>
      <c r="I1419" s="47" t="n"/>
      <c r="J1419" s="47" t="n"/>
      <c r="K1419" s="47" t="n"/>
      <c r="L1419" s="47" t="n"/>
    </row>
    <row r="1420">
      <c r="A1420" s="52">
        <f>row()-1</f>
        <v/>
      </c>
      <c r="B1420" s="55" t="n"/>
      <c r="C1420" s="47" t="n"/>
      <c r="D1420" s="20" t="n"/>
      <c r="E1420" s="20" t="n"/>
      <c r="F1420" s="47" t="n"/>
      <c r="G1420" s="47" t="n"/>
      <c r="H1420" s="47" t="n"/>
      <c r="I1420" s="47" t="n"/>
      <c r="J1420" s="47" t="n"/>
      <c r="K1420" s="47" t="n"/>
      <c r="L1420" s="47" t="n"/>
    </row>
    <row r="1421">
      <c r="A1421" s="52">
        <f>row()-1</f>
        <v/>
      </c>
      <c r="B1421" s="55" t="n"/>
      <c r="C1421" s="47" t="n"/>
      <c r="D1421" s="20" t="n"/>
      <c r="E1421" s="20" t="n"/>
      <c r="F1421" s="47" t="n"/>
      <c r="G1421" s="47" t="n"/>
      <c r="H1421" s="47" t="n"/>
      <c r="I1421" s="47" t="n"/>
      <c r="J1421" s="47" t="n"/>
      <c r="K1421" s="47" t="n"/>
      <c r="L1421" s="47" t="n"/>
    </row>
    <row r="1422">
      <c r="A1422" s="52">
        <f>row()-1</f>
        <v/>
      </c>
      <c r="B1422" s="55" t="n"/>
      <c r="C1422" s="47" t="n"/>
      <c r="D1422" s="20" t="n"/>
      <c r="E1422" s="20" t="n"/>
      <c r="F1422" s="47" t="n"/>
      <c r="G1422" s="47" t="n"/>
      <c r="H1422" s="47" t="n"/>
      <c r="I1422" s="47" t="n"/>
      <c r="J1422" s="47" t="n"/>
      <c r="K1422" s="47" t="n"/>
      <c r="L1422" s="47" t="n"/>
    </row>
    <row r="1423">
      <c r="A1423" s="52">
        <f>row()-1</f>
        <v/>
      </c>
      <c r="B1423" s="55" t="n"/>
      <c r="C1423" s="47" t="n"/>
      <c r="D1423" s="20" t="n"/>
      <c r="E1423" s="20" t="n"/>
      <c r="F1423" s="47" t="n"/>
      <c r="G1423" s="47" t="n"/>
      <c r="H1423" s="47" t="n"/>
      <c r="I1423" s="47" t="n"/>
      <c r="J1423" s="47" t="n"/>
      <c r="K1423" s="47" t="n"/>
      <c r="L1423" s="47" t="n"/>
    </row>
    <row r="1424">
      <c r="A1424" s="52">
        <f>row()-1</f>
        <v/>
      </c>
      <c r="B1424" s="55" t="n"/>
      <c r="C1424" s="47" t="n"/>
      <c r="D1424" s="20" t="n"/>
      <c r="E1424" s="20" t="n"/>
      <c r="F1424" s="47" t="n"/>
      <c r="G1424" s="47" t="n"/>
      <c r="H1424" s="47" t="n"/>
      <c r="I1424" s="47" t="n"/>
      <c r="J1424" s="47" t="n"/>
      <c r="K1424" s="47" t="n"/>
      <c r="L1424" s="47" t="n"/>
    </row>
    <row r="1425">
      <c r="A1425" s="52">
        <f>row()-1</f>
        <v/>
      </c>
      <c r="B1425" s="55" t="n"/>
      <c r="C1425" s="47" t="n"/>
      <c r="D1425" s="20" t="n"/>
      <c r="E1425" s="20" t="n"/>
      <c r="F1425" s="47" t="n"/>
      <c r="G1425" s="47" t="n"/>
      <c r="H1425" s="47" t="n"/>
      <c r="I1425" s="47" t="n"/>
      <c r="J1425" s="47" t="n"/>
      <c r="K1425" s="47" t="n"/>
      <c r="L1425" s="47" t="n"/>
    </row>
    <row r="1426">
      <c r="A1426" s="52">
        <f>row()-1</f>
        <v/>
      </c>
      <c r="B1426" s="55" t="n"/>
      <c r="C1426" s="47" t="n"/>
      <c r="D1426" s="20" t="n"/>
      <c r="E1426" s="20" t="n"/>
      <c r="F1426" s="47" t="n"/>
      <c r="G1426" s="47" t="n"/>
      <c r="H1426" s="47" t="n"/>
      <c r="I1426" s="47" t="n"/>
      <c r="J1426" s="47" t="n"/>
      <c r="K1426" s="47" t="n"/>
      <c r="L1426" s="47" t="n"/>
    </row>
    <row r="1427">
      <c r="A1427" s="52">
        <f>row()-1</f>
        <v/>
      </c>
      <c r="B1427" s="55" t="n"/>
      <c r="C1427" s="47" t="n"/>
      <c r="D1427" s="20" t="n"/>
      <c r="E1427" s="20" t="n"/>
      <c r="F1427" s="47" t="n"/>
      <c r="G1427" s="47" t="n"/>
      <c r="H1427" s="47" t="n"/>
      <c r="I1427" s="47" t="n"/>
      <c r="J1427" s="47" t="n"/>
      <c r="K1427" s="47" t="n"/>
      <c r="L1427" s="47" t="n"/>
    </row>
    <row r="1428">
      <c r="A1428" s="52">
        <f>row()-1</f>
        <v/>
      </c>
      <c r="B1428" s="55" t="n"/>
      <c r="C1428" s="47" t="n"/>
      <c r="D1428" s="20" t="n"/>
      <c r="E1428" s="20" t="n"/>
      <c r="F1428" s="47" t="n"/>
      <c r="G1428" s="47" t="n"/>
      <c r="H1428" s="47" t="n"/>
      <c r="I1428" s="47" t="n"/>
      <c r="J1428" s="47" t="n"/>
      <c r="K1428" s="47" t="n"/>
      <c r="L1428" s="47" t="n"/>
    </row>
    <row r="1429">
      <c r="A1429" s="52">
        <f>row()-1</f>
        <v/>
      </c>
      <c r="B1429" s="55" t="n"/>
      <c r="C1429" s="47" t="n"/>
      <c r="D1429" s="20" t="n"/>
      <c r="E1429" s="20" t="n"/>
      <c r="F1429" s="47" t="n"/>
      <c r="G1429" s="47" t="n"/>
      <c r="H1429" s="47" t="n"/>
      <c r="I1429" s="47" t="n"/>
      <c r="J1429" s="47" t="n"/>
      <c r="K1429" s="47" t="n"/>
      <c r="L1429" s="47" t="n"/>
    </row>
    <row r="1430">
      <c r="A1430" s="52">
        <f>row()-1</f>
        <v/>
      </c>
      <c r="B1430" s="55" t="n"/>
      <c r="C1430" s="47" t="n"/>
      <c r="D1430" s="20" t="n"/>
      <c r="E1430" s="20" t="n"/>
      <c r="F1430" s="47" t="n"/>
      <c r="G1430" s="47" t="n"/>
      <c r="H1430" s="47" t="n"/>
      <c r="I1430" s="47" t="n"/>
      <c r="J1430" s="47" t="n"/>
      <c r="K1430" s="47" t="n"/>
      <c r="L1430" s="47" t="n"/>
    </row>
    <row r="1431">
      <c r="A1431" s="52">
        <f>row()-1</f>
        <v/>
      </c>
      <c r="B1431" s="55" t="n"/>
      <c r="C1431" s="47" t="n"/>
      <c r="D1431" s="20" t="n"/>
      <c r="E1431" s="20" t="n"/>
      <c r="F1431" s="47" t="n"/>
      <c r="G1431" s="47" t="n"/>
      <c r="H1431" s="47" t="n"/>
      <c r="I1431" s="47" t="n"/>
      <c r="J1431" s="47" t="n"/>
      <c r="K1431" s="47" t="n"/>
      <c r="L1431" s="47" t="n"/>
    </row>
    <row r="1432">
      <c r="A1432" s="52">
        <f>row()-1</f>
        <v/>
      </c>
      <c r="B1432" s="55" t="n"/>
      <c r="C1432" s="47" t="n"/>
      <c r="D1432" s="20" t="n"/>
      <c r="E1432" s="20" t="n"/>
      <c r="F1432" s="47" t="n"/>
      <c r="G1432" s="47" t="n"/>
      <c r="H1432" s="47" t="n"/>
      <c r="I1432" s="47" t="n"/>
      <c r="J1432" s="47" t="n"/>
      <c r="K1432" s="47" t="n"/>
      <c r="L1432" s="47" t="n"/>
    </row>
    <row r="1433">
      <c r="A1433" s="52">
        <f>row()-1</f>
        <v/>
      </c>
      <c r="B1433" s="55" t="n"/>
      <c r="C1433" s="47" t="n"/>
      <c r="D1433" s="20" t="n"/>
      <c r="E1433" s="20" t="n"/>
      <c r="F1433" s="47" t="n"/>
      <c r="G1433" s="47" t="n"/>
      <c r="H1433" s="47" t="n"/>
      <c r="I1433" s="47" t="n"/>
      <c r="J1433" s="47" t="n"/>
      <c r="K1433" s="47" t="n"/>
      <c r="L1433" s="47" t="n"/>
    </row>
    <row r="1434">
      <c r="A1434" s="52">
        <f>row()-1</f>
        <v/>
      </c>
      <c r="B1434" s="55" t="n"/>
      <c r="C1434" s="47" t="n"/>
      <c r="D1434" s="20" t="n"/>
      <c r="E1434" s="20" t="n"/>
      <c r="F1434" s="47" t="n"/>
      <c r="G1434" s="47" t="n"/>
      <c r="H1434" s="47" t="n"/>
      <c r="I1434" s="47" t="n"/>
      <c r="J1434" s="47" t="n"/>
      <c r="K1434" s="47" t="n"/>
      <c r="L1434" s="47" t="n"/>
    </row>
    <row r="1435">
      <c r="A1435" s="52">
        <f>row()-1</f>
        <v/>
      </c>
      <c r="B1435" s="55" t="n"/>
      <c r="C1435" s="47" t="n"/>
      <c r="D1435" s="20" t="n"/>
      <c r="E1435" s="20" t="n"/>
      <c r="F1435" s="47" t="n"/>
      <c r="G1435" s="47" t="n"/>
      <c r="H1435" s="47" t="n"/>
      <c r="I1435" s="47" t="n"/>
      <c r="J1435" s="47" t="n"/>
      <c r="K1435" s="47" t="n"/>
      <c r="L1435" s="47" t="n"/>
    </row>
    <row r="1436">
      <c r="A1436" s="52">
        <f>row()-1</f>
        <v/>
      </c>
      <c r="B1436" s="55" t="n"/>
      <c r="C1436" s="47" t="n"/>
      <c r="D1436" s="20" t="n"/>
      <c r="E1436" s="20" t="n"/>
      <c r="F1436" s="47" t="n"/>
      <c r="G1436" s="47" t="n"/>
      <c r="H1436" s="47" t="n"/>
      <c r="I1436" s="47" t="n"/>
      <c r="J1436" s="47" t="n"/>
      <c r="K1436" s="47" t="n"/>
      <c r="L1436" s="47" t="n"/>
    </row>
    <row r="1437">
      <c r="A1437" s="52">
        <f>row()-1</f>
        <v/>
      </c>
      <c r="B1437" s="55" t="n"/>
      <c r="C1437" s="47" t="n"/>
      <c r="D1437" s="20" t="n"/>
      <c r="E1437" s="20" t="n"/>
      <c r="F1437" s="47" t="n"/>
      <c r="G1437" s="47" t="n"/>
      <c r="H1437" s="47" t="n"/>
      <c r="I1437" s="47" t="n"/>
      <c r="J1437" s="47" t="n"/>
      <c r="K1437" s="47" t="n"/>
      <c r="L1437" s="47" t="n"/>
    </row>
    <row r="1438">
      <c r="A1438" s="52">
        <f>row()-1</f>
        <v/>
      </c>
      <c r="B1438" s="55" t="n"/>
      <c r="C1438" s="47" t="n"/>
      <c r="D1438" s="20" t="n"/>
      <c r="E1438" s="20" t="n"/>
      <c r="F1438" s="47" t="n"/>
      <c r="G1438" s="47" t="n"/>
      <c r="H1438" s="47" t="n"/>
      <c r="I1438" s="47" t="n"/>
      <c r="J1438" s="47" t="n"/>
      <c r="K1438" s="47" t="n"/>
      <c r="L1438" s="47" t="n"/>
    </row>
    <row r="1439">
      <c r="A1439" s="52">
        <f>row()-1</f>
        <v/>
      </c>
      <c r="B1439" s="55" t="n"/>
      <c r="C1439" s="47" t="n"/>
      <c r="D1439" s="20" t="n"/>
      <c r="E1439" s="20" t="n"/>
      <c r="F1439" s="47" t="n"/>
      <c r="G1439" s="47" t="n"/>
      <c r="H1439" s="47" t="n"/>
      <c r="I1439" s="47" t="n"/>
      <c r="J1439" s="47" t="n"/>
      <c r="K1439" s="47" t="n"/>
      <c r="L1439" s="47" t="n"/>
    </row>
    <row r="1440">
      <c r="A1440" s="52">
        <f>row()-1</f>
        <v/>
      </c>
      <c r="B1440" s="55" t="n"/>
      <c r="C1440" s="47" t="n"/>
      <c r="D1440" s="20" t="n"/>
      <c r="E1440" s="20" t="n"/>
      <c r="F1440" s="47" t="n"/>
      <c r="G1440" s="47" t="n"/>
      <c r="H1440" s="47" t="n"/>
      <c r="I1440" s="47" t="n"/>
      <c r="J1440" s="47" t="n"/>
      <c r="K1440" s="47" t="n"/>
      <c r="L1440" s="47" t="n"/>
    </row>
    <row r="1441">
      <c r="A1441" s="52">
        <f>row()-1</f>
        <v/>
      </c>
      <c r="B1441" s="55" t="n"/>
      <c r="C1441" s="47" t="n"/>
      <c r="D1441" s="20" t="n"/>
      <c r="E1441" s="20" t="n"/>
      <c r="F1441" s="47" t="n"/>
      <c r="G1441" s="47" t="n"/>
      <c r="H1441" s="47" t="n"/>
      <c r="I1441" s="47" t="n"/>
      <c r="J1441" s="47" t="n"/>
      <c r="K1441" s="47" t="n"/>
      <c r="L1441" s="47" t="n"/>
    </row>
    <row r="1442">
      <c r="A1442" s="52">
        <f>row()-1</f>
        <v/>
      </c>
      <c r="B1442" s="55" t="n"/>
      <c r="C1442" s="47" t="n"/>
      <c r="D1442" s="20" t="n"/>
      <c r="E1442" s="20" t="n"/>
      <c r="F1442" s="47" t="n"/>
      <c r="G1442" s="47" t="n"/>
      <c r="H1442" s="47" t="n"/>
      <c r="I1442" s="47" t="n"/>
      <c r="J1442" s="47" t="n"/>
      <c r="K1442" s="47" t="n"/>
      <c r="L1442" s="47" t="n"/>
    </row>
  </sheetData>
  <autoFilter ref="$A$1:$K$1442"/>
  <dataValidations count="3">
    <dataValidation sqref="G2:G1442" showDropDown="0" showInputMessage="0" showErrorMessage="1" allowBlank="1" type="list">
      <formula1>"WEB,人材,HR Tech,M&amp;A,クリニック,コールセンター,リアルエステート,BPO,Dリーグ"</formula1>
    </dataValidation>
    <dataValidation sqref="H2:H1442" showDropDown="0" showInputMessage="0" showErrorMessage="1" allowBlank="1" type="list">
      <formula1>"新卒,中途・第二新卒,顧問登録,フリーランス,派遣,障碍者,その他"</formula1>
    </dataValidation>
    <dataValidation sqref="F2:F1442" showDropDown="0" showInputMessage="0" showErrorMessage="1" allowBlank="1" type="list">
      <formula1>"法人,求職者"</formula1>
    </dataValidation>
  </dataValidations>
  <hyperlinks>
    <hyperlink xmlns:r="http://schemas.openxmlformats.org/officeDocument/2006/relationships" ref="C2" r:id="rId1"/>
    <hyperlink xmlns:r="http://schemas.openxmlformats.org/officeDocument/2006/relationships" ref="I2" r:id="rId2"/>
    <hyperlink xmlns:r="http://schemas.openxmlformats.org/officeDocument/2006/relationships" ref="J2" r:id="rId3"/>
    <hyperlink xmlns:r="http://schemas.openxmlformats.org/officeDocument/2006/relationships" ref="C3" r:id="rId4"/>
    <hyperlink xmlns:r="http://schemas.openxmlformats.org/officeDocument/2006/relationships" ref="I3" r:id="rId5"/>
    <hyperlink xmlns:r="http://schemas.openxmlformats.org/officeDocument/2006/relationships" ref="J3" r:id="rId6"/>
    <hyperlink xmlns:r="http://schemas.openxmlformats.org/officeDocument/2006/relationships" ref="C4" r:id="rId7"/>
    <hyperlink xmlns:r="http://schemas.openxmlformats.org/officeDocument/2006/relationships" ref="I4" r:id="rId8"/>
    <hyperlink xmlns:r="http://schemas.openxmlformats.org/officeDocument/2006/relationships" ref="J4" r:id="rId9"/>
    <hyperlink xmlns:r="http://schemas.openxmlformats.org/officeDocument/2006/relationships" ref="C5" r:id="rId10"/>
    <hyperlink xmlns:r="http://schemas.openxmlformats.org/officeDocument/2006/relationships" ref="I5" r:id="rId11"/>
    <hyperlink xmlns:r="http://schemas.openxmlformats.org/officeDocument/2006/relationships" ref="J5" r:id="rId12"/>
    <hyperlink xmlns:r="http://schemas.openxmlformats.org/officeDocument/2006/relationships" ref="C6" r:id="rId13"/>
    <hyperlink xmlns:r="http://schemas.openxmlformats.org/officeDocument/2006/relationships" ref="I6" r:id="rId14"/>
    <hyperlink xmlns:r="http://schemas.openxmlformats.org/officeDocument/2006/relationships" ref="J6" r:id="rId15"/>
    <hyperlink xmlns:r="http://schemas.openxmlformats.org/officeDocument/2006/relationships" ref="C7" r:id="rId16"/>
    <hyperlink xmlns:r="http://schemas.openxmlformats.org/officeDocument/2006/relationships" ref="I7" r:id="rId17"/>
    <hyperlink xmlns:r="http://schemas.openxmlformats.org/officeDocument/2006/relationships" ref="J7" r:id="rId18"/>
    <hyperlink xmlns:r="http://schemas.openxmlformats.org/officeDocument/2006/relationships" ref="C8" r:id="rId19"/>
    <hyperlink xmlns:r="http://schemas.openxmlformats.org/officeDocument/2006/relationships" ref="I8" r:id="rId20"/>
    <hyperlink xmlns:r="http://schemas.openxmlformats.org/officeDocument/2006/relationships" ref="J8" r:id="rId21"/>
    <hyperlink xmlns:r="http://schemas.openxmlformats.org/officeDocument/2006/relationships" ref="C9" r:id="rId22"/>
    <hyperlink xmlns:r="http://schemas.openxmlformats.org/officeDocument/2006/relationships" ref="I9" r:id="rId23"/>
    <hyperlink xmlns:r="http://schemas.openxmlformats.org/officeDocument/2006/relationships" ref="J9" r:id="rId24"/>
    <hyperlink xmlns:r="http://schemas.openxmlformats.org/officeDocument/2006/relationships" ref="C10" r:id="rId25"/>
    <hyperlink xmlns:r="http://schemas.openxmlformats.org/officeDocument/2006/relationships" ref="I10" r:id="rId26"/>
    <hyperlink xmlns:r="http://schemas.openxmlformats.org/officeDocument/2006/relationships" ref="J10" r:id="rId27"/>
    <hyperlink xmlns:r="http://schemas.openxmlformats.org/officeDocument/2006/relationships" ref="C11" r:id="rId28"/>
    <hyperlink xmlns:r="http://schemas.openxmlformats.org/officeDocument/2006/relationships" ref="I11" r:id="rId29"/>
    <hyperlink xmlns:r="http://schemas.openxmlformats.org/officeDocument/2006/relationships" ref="J11" r:id="rId30"/>
    <hyperlink xmlns:r="http://schemas.openxmlformats.org/officeDocument/2006/relationships" ref="C12" r:id="rId31"/>
    <hyperlink xmlns:r="http://schemas.openxmlformats.org/officeDocument/2006/relationships" ref="I12" r:id="rId32"/>
    <hyperlink xmlns:r="http://schemas.openxmlformats.org/officeDocument/2006/relationships" ref="J12" r:id="rId33"/>
    <hyperlink xmlns:r="http://schemas.openxmlformats.org/officeDocument/2006/relationships" ref="C13" r:id="rId34"/>
    <hyperlink xmlns:r="http://schemas.openxmlformats.org/officeDocument/2006/relationships" ref="I13" r:id="rId35"/>
    <hyperlink xmlns:r="http://schemas.openxmlformats.org/officeDocument/2006/relationships" ref="J13" r:id="rId36"/>
    <hyperlink xmlns:r="http://schemas.openxmlformats.org/officeDocument/2006/relationships" ref="C14" r:id="rId37"/>
    <hyperlink xmlns:r="http://schemas.openxmlformats.org/officeDocument/2006/relationships" ref="I14" r:id="rId38"/>
    <hyperlink xmlns:r="http://schemas.openxmlformats.org/officeDocument/2006/relationships" ref="J14" r:id="rId39"/>
    <hyperlink xmlns:r="http://schemas.openxmlformats.org/officeDocument/2006/relationships" ref="C15" r:id="rId40"/>
    <hyperlink xmlns:r="http://schemas.openxmlformats.org/officeDocument/2006/relationships" ref="I15" r:id="rId41"/>
    <hyperlink xmlns:r="http://schemas.openxmlformats.org/officeDocument/2006/relationships" ref="J15" r:id="rId42"/>
    <hyperlink xmlns:r="http://schemas.openxmlformats.org/officeDocument/2006/relationships" ref="C16" r:id="rId43"/>
    <hyperlink xmlns:r="http://schemas.openxmlformats.org/officeDocument/2006/relationships" ref="I16" r:id="rId44"/>
    <hyperlink xmlns:r="http://schemas.openxmlformats.org/officeDocument/2006/relationships" ref="J16" r:id="rId45"/>
    <hyperlink xmlns:r="http://schemas.openxmlformats.org/officeDocument/2006/relationships" ref="C17" r:id="rId46"/>
    <hyperlink xmlns:r="http://schemas.openxmlformats.org/officeDocument/2006/relationships" ref="I17" r:id="rId47"/>
    <hyperlink xmlns:r="http://schemas.openxmlformats.org/officeDocument/2006/relationships" ref="J17" r:id="rId48"/>
    <hyperlink xmlns:r="http://schemas.openxmlformats.org/officeDocument/2006/relationships" ref="C18" r:id="rId49"/>
    <hyperlink xmlns:r="http://schemas.openxmlformats.org/officeDocument/2006/relationships" ref="I18" r:id="rId50"/>
    <hyperlink xmlns:r="http://schemas.openxmlformats.org/officeDocument/2006/relationships" ref="J18" r:id="rId51"/>
    <hyperlink xmlns:r="http://schemas.openxmlformats.org/officeDocument/2006/relationships" ref="C19" r:id="rId52"/>
    <hyperlink xmlns:r="http://schemas.openxmlformats.org/officeDocument/2006/relationships" ref="I19" r:id="rId53"/>
    <hyperlink xmlns:r="http://schemas.openxmlformats.org/officeDocument/2006/relationships" ref="J19" r:id="rId54"/>
    <hyperlink xmlns:r="http://schemas.openxmlformats.org/officeDocument/2006/relationships" ref="C20" r:id="rId55"/>
    <hyperlink xmlns:r="http://schemas.openxmlformats.org/officeDocument/2006/relationships" ref="I20" r:id="rId56"/>
    <hyperlink xmlns:r="http://schemas.openxmlformats.org/officeDocument/2006/relationships" ref="J20" r:id="rId57"/>
    <hyperlink xmlns:r="http://schemas.openxmlformats.org/officeDocument/2006/relationships" ref="C21" r:id="rId58"/>
    <hyperlink xmlns:r="http://schemas.openxmlformats.org/officeDocument/2006/relationships" ref="I21" r:id="rId59"/>
    <hyperlink xmlns:r="http://schemas.openxmlformats.org/officeDocument/2006/relationships" ref="J21" r:id="rId60"/>
    <hyperlink xmlns:r="http://schemas.openxmlformats.org/officeDocument/2006/relationships" ref="C22" r:id="rId61"/>
    <hyperlink xmlns:r="http://schemas.openxmlformats.org/officeDocument/2006/relationships" ref="I22" r:id="rId62"/>
    <hyperlink xmlns:r="http://schemas.openxmlformats.org/officeDocument/2006/relationships" ref="J22" r:id="rId63"/>
    <hyperlink xmlns:r="http://schemas.openxmlformats.org/officeDocument/2006/relationships" ref="C23" r:id="rId64"/>
    <hyperlink xmlns:r="http://schemas.openxmlformats.org/officeDocument/2006/relationships" ref="I23" r:id="rId65"/>
    <hyperlink xmlns:r="http://schemas.openxmlformats.org/officeDocument/2006/relationships" ref="J23" r:id="rId66"/>
    <hyperlink xmlns:r="http://schemas.openxmlformats.org/officeDocument/2006/relationships" ref="C24" r:id="rId67"/>
    <hyperlink xmlns:r="http://schemas.openxmlformats.org/officeDocument/2006/relationships" ref="I24" r:id="rId68"/>
    <hyperlink xmlns:r="http://schemas.openxmlformats.org/officeDocument/2006/relationships" ref="J24" r:id="rId69"/>
    <hyperlink xmlns:r="http://schemas.openxmlformats.org/officeDocument/2006/relationships" ref="C25" r:id="rId70"/>
    <hyperlink xmlns:r="http://schemas.openxmlformats.org/officeDocument/2006/relationships" ref="I25" r:id="rId71"/>
    <hyperlink xmlns:r="http://schemas.openxmlformats.org/officeDocument/2006/relationships" ref="J25" r:id="rId72"/>
    <hyperlink xmlns:r="http://schemas.openxmlformats.org/officeDocument/2006/relationships" ref="C26" r:id="rId73"/>
    <hyperlink xmlns:r="http://schemas.openxmlformats.org/officeDocument/2006/relationships" ref="I26" r:id="rId74"/>
    <hyperlink xmlns:r="http://schemas.openxmlformats.org/officeDocument/2006/relationships" ref="J26" r:id="rId75"/>
    <hyperlink xmlns:r="http://schemas.openxmlformats.org/officeDocument/2006/relationships" ref="C27" r:id="rId76"/>
    <hyperlink xmlns:r="http://schemas.openxmlformats.org/officeDocument/2006/relationships" ref="I27" r:id="rId77"/>
    <hyperlink xmlns:r="http://schemas.openxmlformats.org/officeDocument/2006/relationships" ref="J27" r:id="rId78"/>
    <hyperlink xmlns:r="http://schemas.openxmlformats.org/officeDocument/2006/relationships" ref="C28" r:id="rId79"/>
    <hyperlink xmlns:r="http://schemas.openxmlformats.org/officeDocument/2006/relationships" ref="I28" r:id="rId80"/>
    <hyperlink xmlns:r="http://schemas.openxmlformats.org/officeDocument/2006/relationships" ref="J28" r:id="rId81"/>
    <hyperlink xmlns:r="http://schemas.openxmlformats.org/officeDocument/2006/relationships" ref="C29" r:id="rId82"/>
    <hyperlink xmlns:r="http://schemas.openxmlformats.org/officeDocument/2006/relationships" ref="I29" r:id="rId83"/>
    <hyperlink xmlns:r="http://schemas.openxmlformats.org/officeDocument/2006/relationships" ref="J29" r:id="rId84"/>
    <hyperlink xmlns:r="http://schemas.openxmlformats.org/officeDocument/2006/relationships" ref="C30" r:id="rId85"/>
    <hyperlink xmlns:r="http://schemas.openxmlformats.org/officeDocument/2006/relationships" ref="I30" r:id="rId86"/>
    <hyperlink xmlns:r="http://schemas.openxmlformats.org/officeDocument/2006/relationships" ref="J30" r:id="rId87"/>
    <hyperlink xmlns:r="http://schemas.openxmlformats.org/officeDocument/2006/relationships" ref="C31" r:id="rId88"/>
    <hyperlink xmlns:r="http://schemas.openxmlformats.org/officeDocument/2006/relationships" ref="I31" r:id="rId89"/>
    <hyperlink xmlns:r="http://schemas.openxmlformats.org/officeDocument/2006/relationships" ref="J31" r:id="rId90"/>
    <hyperlink xmlns:r="http://schemas.openxmlformats.org/officeDocument/2006/relationships" ref="C32" r:id="rId91"/>
    <hyperlink xmlns:r="http://schemas.openxmlformats.org/officeDocument/2006/relationships" ref="I32" r:id="rId92"/>
    <hyperlink xmlns:r="http://schemas.openxmlformats.org/officeDocument/2006/relationships" ref="J32" r:id="rId93"/>
    <hyperlink xmlns:r="http://schemas.openxmlformats.org/officeDocument/2006/relationships" ref="C33" r:id="rId94"/>
    <hyperlink xmlns:r="http://schemas.openxmlformats.org/officeDocument/2006/relationships" ref="I33" r:id="rId95"/>
    <hyperlink xmlns:r="http://schemas.openxmlformats.org/officeDocument/2006/relationships" ref="J33" r:id="rId96"/>
    <hyperlink xmlns:r="http://schemas.openxmlformats.org/officeDocument/2006/relationships" ref="C34" r:id="rId97"/>
    <hyperlink xmlns:r="http://schemas.openxmlformats.org/officeDocument/2006/relationships" ref="I34" r:id="rId98"/>
    <hyperlink xmlns:r="http://schemas.openxmlformats.org/officeDocument/2006/relationships" ref="J34" r:id="rId99"/>
    <hyperlink xmlns:r="http://schemas.openxmlformats.org/officeDocument/2006/relationships" ref="C35" r:id="rId100"/>
    <hyperlink xmlns:r="http://schemas.openxmlformats.org/officeDocument/2006/relationships" ref="I35" r:id="rId101"/>
    <hyperlink xmlns:r="http://schemas.openxmlformats.org/officeDocument/2006/relationships" ref="J35" r:id="rId102"/>
    <hyperlink xmlns:r="http://schemas.openxmlformats.org/officeDocument/2006/relationships" ref="C36" r:id="rId103"/>
    <hyperlink xmlns:r="http://schemas.openxmlformats.org/officeDocument/2006/relationships" ref="I36" r:id="rId104"/>
    <hyperlink xmlns:r="http://schemas.openxmlformats.org/officeDocument/2006/relationships" ref="J36" r:id="rId105"/>
    <hyperlink xmlns:r="http://schemas.openxmlformats.org/officeDocument/2006/relationships" ref="C37" r:id="rId106"/>
    <hyperlink xmlns:r="http://schemas.openxmlformats.org/officeDocument/2006/relationships" ref="I37" r:id="rId107"/>
    <hyperlink xmlns:r="http://schemas.openxmlformats.org/officeDocument/2006/relationships" ref="J37" r:id="rId108"/>
    <hyperlink xmlns:r="http://schemas.openxmlformats.org/officeDocument/2006/relationships" ref="C38" r:id="rId109"/>
    <hyperlink xmlns:r="http://schemas.openxmlformats.org/officeDocument/2006/relationships" ref="I38" r:id="rId110"/>
    <hyperlink xmlns:r="http://schemas.openxmlformats.org/officeDocument/2006/relationships" ref="J38" r:id="rId111"/>
    <hyperlink xmlns:r="http://schemas.openxmlformats.org/officeDocument/2006/relationships" ref="C39" r:id="rId112"/>
    <hyperlink xmlns:r="http://schemas.openxmlformats.org/officeDocument/2006/relationships" ref="I39" r:id="rId113"/>
    <hyperlink xmlns:r="http://schemas.openxmlformats.org/officeDocument/2006/relationships" ref="J39" r:id="rId114"/>
    <hyperlink xmlns:r="http://schemas.openxmlformats.org/officeDocument/2006/relationships" ref="C40" r:id="rId115"/>
    <hyperlink xmlns:r="http://schemas.openxmlformats.org/officeDocument/2006/relationships" ref="I40" r:id="rId116"/>
    <hyperlink xmlns:r="http://schemas.openxmlformats.org/officeDocument/2006/relationships" ref="J40" r:id="rId117"/>
    <hyperlink xmlns:r="http://schemas.openxmlformats.org/officeDocument/2006/relationships" ref="C41" r:id="rId118"/>
    <hyperlink xmlns:r="http://schemas.openxmlformats.org/officeDocument/2006/relationships" ref="I41" r:id="rId119"/>
    <hyperlink xmlns:r="http://schemas.openxmlformats.org/officeDocument/2006/relationships" ref="J41" r:id="rId120"/>
    <hyperlink xmlns:r="http://schemas.openxmlformats.org/officeDocument/2006/relationships" ref="C42" r:id="rId121"/>
    <hyperlink xmlns:r="http://schemas.openxmlformats.org/officeDocument/2006/relationships" ref="I42" r:id="rId122"/>
    <hyperlink xmlns:r="http://schemas.openxmlformats.org/officeDocument/2006/relationships" ref="J42" r:id="rId123"/>
    <hyperlink xmlns:r="http://schemas.openxmlformats.org/officeDocument/2006/relationships" ref="C43" r:id="rId124"/>
    <hyperlink xmlns:r="http://schemas.openxmlformats.org/officeDocument/2006/relationships" ref="I43" r:id="rId125"/>
    <hyperlink xmlns:r="http://schemas.openxmlformats.org/officeDocument/2006/relationships" ref="J43" r:id="rId126"/>
    <hyperlink xmlns:r="http://schemas.openxmlformats.org/officeDocument/2006/relationships" ref="C44" r:id="rId127"/>
    <hyperlink xmlns:r="http://schemas.openxmlformats.org/officeDocument/2006/relationships" ref="I44" r:id="rId128"/>
    <hyperlink xmlns:r="http://schemas.openxmlformats.org/officeDocument/2006/relationships" ref="J44" r:id="rId129"/>
    <hyperlink xmlns:r="http://schemas.openxmlformats.org/officeDocument/2006/relationships" ref="C45" r:id="rId130"/>
    <hyperlink xmlns:r="http://schemas.openxmlformats.org/officeDocument/2006/relationships" ref="I45" r:id="rId131"/>
    <hyperlink xmlns:r="http://schemas.openxmlformats.org/officeDocument/2006/relationships" ref="J45" r:id="rId132"/>
    <hyperlink xmlns:r="http://schemas.openxmlformats.org/officeDocument/2006/relationships" ref="C46" r:id="rId133"/>
    <hyperlink xmlns:r="http://schemas.openxmlformats.org/officeDocument/2006/relationships" ref="I46" r:id="rId134"/>
    <hyperlink xmlns:r="http://schemas.openxmlformats.org/officeDocument/2006/relationships" ref="J46" r:id="rId135"/>
    <hyperlink xmlns:r="http://schemas.openxmlformats.org/officeDocument/2006/relationships" ref="C47" r:id="rId136"/>
    <hyperlink xmlns:r="http://schemas.openxmlformats.org/officeDocument/2006/relationships" ref="I47" r:id="rId137"/>
    <hyperlink xmlns:r="http://schemas.openxmlformats.org/officeDocument/2006/relationships" ref="J47" r:id="rId138"/>
    <hyperlink xmlns:r="http://schemas.openxmlformats.org/officeDocument/2006/relationships" ref="C48" r:id="rId139"/>
    <hyperlink xmlns:r="http://schemas.openxmlformats.org/officeDocument/2006/relationships" ref="I48" r:id="rId140"/>
    <hyperlink xmlns:r="http://schemas.openxmlformats.org/officeDocument/2006/relationships" ref="J48" r:id="rId141"/>
    <hyperlink xmlns:r="http://schemas.openxmlformats.org/officeDocument/2006/relationships" ref="C49" r:id="rId142"/>
    <hyperlink xmlns:r="http://schemas.openxmlformats.org/officeDocument/2006/relationships" ref="C50" r:id="rId143"/>
    <hyperlink xmlns:r="http://schemas.openxmlformats.org/officeDocument/2006/relationships" ref="I50" r:id="rId144"/>
    <hyperlink xmlns:r="http://schemas.openxmlformats.org/officeDocument/2006/relationships" ref="J50" r:id="rId145"/>
    <hyperlink xmlns:r="http://schemas.openxmlformats.org/officeDocument/2006/relationships" ref="C51" r:id="rId146"/>
    <hyperlink xmlns:r="http://schemas.openxmlformats.org/officeDocument/2006/relationships" ref="I51" r:id="rId147"/>
    <hyperlink xmlns:r="http://schemas.openxmlformats.org/officeDocument/2006/relationships" ref="J51" r:id="rId148"/>
    <hyperlink xmlns:r="http://schemas.openxmlformats.org/officeDocument/2006/relationships" ref="C52" r:id="rId149"/>
    <hyperlink xmlns:r="http://schemas.openxmlformats.org/officeDocument/2006/relationships" ref="I52" r:id="rId150"/>
    <hyperlink xmlns:r="http://schemas.openxmlformats.org/officeDocument/2006/relationships" ref="J52" r:id="rId151"/>
    <hyperlink xmlns:r="http://schemas.openxmlformats.org/officeDocument/2006/relationships" ref="C53" r:id="rId152"/>
    <hyperlink xmlns:r="http://schemas.openxmlformats.org/officeDocument/2006/relationships" ref="I53" r:id="rId153"/>
    <hyperlink xmlns:r="http://schemas.openxmlformats.org/officeDocument/2006/relationships" ref="J53" r:id="rId154"/>
    <hyperlink xmlns:r="http://schemas.openxmlformats.org/officeDocument/2006/relationships" ref="C54" r:id="rId155"/>
    <hyperlink xmlns:r="http://schemas.openxmlformats.org/officeDocument/2006/relationships" ref="I54" r:id="rId156"/>
    <hyperlink xmlns:r="http://schemas.openxmlformats.org/officeDocument/2006/relationships" ref="J54" r:id="rId157"/>
    <hyperlink xmlns:r="http://schemas.openxmlformats.org/officeDocument/2006/relationships" ref="C55" r:id="rId158"/>
    <hyperlink xmlns:r="http://schemas.openxmlformats.org/officeDocument/2006/relationships" ref="I55" r:id="rId159"/>
    <hyperlink xmlns:r="http://schemas.openxmlformats.org/officeDocument/2006/relationships" ref="J55" r:id="rId160"/>
    <hyperlink xmlns:r="http://schemas.openxmlformats.org/officeDocument/2006/relationships" ref="C56" r:id="rId161"/>
    <hyperlink xmlns:r="http://schemas.openxmlformats.org/officeDocument/2006/relationships" ref="I56" r:id="rId162"/>
    <hyperlink xmlns:r="http://schemas.openxmlformats.org/officeDocument/2006/relationships" ref="J56" r:id="rId163"/>
    <hyperlink xmlns:r="http://schemas.openxmlformats.org/officeDocument/2006/relationships" ref="C57" r:id="rId164"/>
    <hyperlink xmlns:r="http://schemas.openxmlformats.org/officeDocument/2006/relationships" ref="I57" r:id="rId165"/>
    <hyperlink xmlns:r="http://schemas.openxmlformats.org/officeDocument/2006/relationships" ref="J57" r:id="rId166"/>
    <hyperlink xmlns:r="http://schemas.openxmlformats.org/officeDocument/2006/relationships" ref="C58" r:id="rId167"/>
    <hyperlink xmlns:r="http://schemas.openxmlformats.org/officeDocument/2006/relationships" ref="I58" r:id="rId168"/>
    <hyperlink xmlns:r="http://schemas.openxmlformats.org/officeDocument/2006/relationships" ref="J58" r:id="rId169"/>
    <hyperlink xmlns:r="http://schemas.openxmlformats.org/officeDocument/2006/relationships" ref="C59" r:id="rId170"/>
    <hyperlink xmlns:r="http://schemas.openxmlformats.org/officeDocument/2006/relationships" ref="I59" r:id="rId171"/>
    <hyperlink xmlns:r="http://schemas.openxmlformats.org/officeDocument/2006/relationships" ref="J59" r:id="rId172"/>
    <hyperlink xmlns:r="http://schemas.openxmlformats.org/officeDocument/2006/relationships" ref="C60" r:id="rId173"/>
    <hyperlink xmlns:r="http://schemas.openxmlformats.org/officeDocument/2006/relationships" ref="I60" r:id="rId174"/>
    <hyperlink xmlns:r="http://schemas.openxmlformats.org/officeDocument/2006/relationships" ref="J60" r:id="rId175"/>
    <hyperlink xmlns:r="http://schemas.openxmlformats.org/officeDocument/2006/relationships" ref="C61" r:id="rId176"/>
    <hyperlink xmlns:r="http://schemas.openxmlformats.org/officeDocument/2006/relationships" ref="I61" r:id="rId177"/>
    <hyperlink xmlns:r="http://schemas.openxmlformats.org/officeDocument/2006/relationships" ref="J61" r:id="rId178"/>
    <hyperlink xmlns:r="http://schemas.openxmlformats.org/officeDocument/2006/relationships" ref="C62" r:id="rId179"/>
    <hyperlink xmlns:r="http://schemas.openxmlformats.org/officeDocument/2006/relationships" ref="I62" r:id="rId180"/>
    <hyperlink xmlns:r="http://schemas.openxmlformats.org/officeDocument/2006/relationships" ref="J62" r:id="rId181"/>
    <hyperlink xmlns:r="http://schemas.openxmlformats.org/officeDocument/2006/relationships" ref="C63" r:id="rId182"/>
    <hyperlink xmlns:r="http://schemas.openxmlformats.org/officeDocument/2006/relationships" ref="I63" r:id="rId183"/>
    <hyperlink xmlns:r="http://schemas.openxmlformats.org/officeDocument/2006/relationships" ref="J63" r:id="rId184"/>
    <hyperlink xmlns:r="http://schemas.openxmlformats.org/officeDocument/2006/relationships" ref="C64" r:id="rId185"/>
    <hyperlink xmlns:r="http://schemas.openxmlformats.org/officeDocument/2006/relationships" ref="I64" r:id="rId186"/>
    <hyperlink xmlns:r="http://schemas.openxmlformats.org/officeDocument/2006/relationships" ref="J64" r:id="rId187"/>
    <hyperlink xmlns:r="http://schemas.openxmlformats.org/officeDocument/2006/relationships" ref="C65" r:id="rId188"/>
    <hyperlink xmlns:r="http://schemas.openxmlformats.org/officeDocument/2006/relationships" ref="I65" r:id="rId189"/>
    <hyperlink xmlns:r="http://schemas.openxmlformats.org/officeDocument/2006/relationships" ref="J65" r:id="rId190"/>
    <hyperlink xmlns:r="http://schemas.openxmlformats.org/officeDocument/2006/relationships" ref="C66" r:id="rId191"/>
    <hyperlink xmlns:r="http://schemas.openxmlformats.org/officeDocument/2006/relationships" ref="C67" r:id="rId192"/>
    <hyperlink xmlns:r="http://schemas.openxmlformats.org/officeDocument/2006/relationships" ref="I67" r:id="rId193"/>
    <hyperlink xmlns:r="http://schemas.openxmlformats.org/officeDocument/2006/relationships" ref="J67" r:id="rId194"/>
    <hyperlink xmlns:r="http://schemas.openxmlformats.org/officeDocument/2006/relationships" ref="C68" r:id="rId195"/>
    <hyperlink xmlns:r="http://schemas.openxmlformats.org/officeDocument/2006/relationships" ref="I68" r:id="rId196"/>
    <hyperlink xmlns:r="http://schemas.openxmlformats.org/officeDocument/2006/relationships" ref="J68" r:id="rId197"/>
    <hyperlink xmlns:r="http://schemas.openxmlformats.org/officeDocument/2006/relationships" ref="C69" r:id="rId198"/>
    <hyperlink xmlns:r="http://schemas.openxmlformats.org/officeDocument/2006/relationships" ref="I69" r:id="rId199"/>
    <hyperlink xmlns:r="http://schemas.openxmlformats.org/officeDocument/2006/relationships" ref="J69" r:id="rId200"/>
    <hyperlink xmlns:r="http://schemas.openxmlformats.org/officeDocument/2006/relationships" ref="C70" r:id="rId201"/>
    <hyperlink xmlns:r="http://schemas.openxmlformats.org/officeDocument/2006/relationships" ref="I70" r:id="rId202"/>
    <hyperlink xmlns:r="http://schemas.openxmlformats.org/officeDocument/2006/relationships" ref="J70" r:id="rId203"/>
    <hyperlink xmlns:r="http://schemas.openxmlformats.org/officeDocument/2006/relationships" ref="C71" r:id="rId204"/>
    <hyperlink xmlns:r="http://schemas.openxmlformats.org/officeDocument/2006/relationships" ref="I71" r:id="rId205"/>
    <hyperlink xmlns:r="http://schemas.openxmlformats.org/officeDocument/2006/relationships" ref="J71" r:id="rId206"/>
    <hyperlink xmlns:r="http://schemas.openxmlformats.org/officeDocument/2006/relationships" ref="C72" r:id="rId207"/>
    <hyperlink xmlns:r="http://schemas.openxmlformats.org/officeDocument/2006/relationships" ref="I72" r:id="rId208"/>
    <hyperlink xmlns:r="http://schemas.openxmlformats.org/officeDocument/2006/relationships" ref="J72" r:id="rId209"/>
    <hyperlink xmlns:r="http://schemas.openxmlformats.org/officeDocument/2006/relationships" ref="C73" r:id="rId210"/>
    <hyperlink xmlns:r="http://schemas.openxmlformats.org/officeDocument/2006/relationships" ref="I73" r:id="rId211"/>
    <hyperlink xmlns:r="http://schemas.openxmlformats.org/officeDocument/2006/relationships" ref="J73" r:id="rId212"/>
    <hyperlink xmlns:r="http://schemas.openxmlformats.org/officeDocument/2006/relationships" ref="C74" r:id="rId213"/>
    <hyperlink xmlns:r="http://schemas.openxmlformats.org/officeDocument/2006/relationships" ref="I74" r:id="rId214"/>
    <hyperlink xmlns:r="http://schemas.openxmlformats.org/officeDocument/2006/relationships" ref="J74" r:id="rId215"/>
    <hyperlink xmlns:r="http://schemas.openxmlformats.org/officeDocument/2006/relationships" ref="C75" r:id="rId216"/>
    <hyperlink xmlns:r="http://schemas.openxmlformats.org/officeDocument/2006/relationships" ref="I75" r:id="rId217"/>
    <hyperlink xmlns:r="http://schemas.openxmlformats.org/officeDocument/2006/relationships" ref="J75" r:id="rId218"/>
    <hyperlink xmlns:r="http://schemas.openxmlformats.org/officeDocument/2006/relationships" ref="C76" r:id="rId219"/>
    <hyperlink xmlns:r="http://schemas.openxmlformats.org/officeDocument/2006/relationships" ref="I76" r:id="rId220"/>
    <hyperlink xmlns:r="http://schemas.openxmlformats.org/officeDocument/2006/relationships" ref="J76" r:id="rId221"/>
    <hyperlink xmlns:r="http://schemas.openxmlformats.org/officeDocument/2006/relationships" ref="C77" r:id="rId222"/>
    <hyperlink xmlns:r="http://schemas.openxmlformats.org/officeDocument/2006/relationships" ref="I77" r:id="rId223"/>
    <hyperlink xmlns:r="http://schemas.openxmlformats.org/officeDocument/2006/relationships" ref="J77" r:id="rId224"/>
    <hyperlink xmlns:r="http://schemas.openxmlformats.org/officeDocument/2006/relationships" ref="C78" r:id="rId225"/>
    <hyperlink xmlns:r="http://schemas.openxmlformats.org/officeDocument/2006/relationships" ref="I78" r:id="rId226"/>
    <hyperlink xmlns:r="http://schemas.openxmlformats.org/officeDocument/2006/relationships" ref="J78" r:id="rId227"/>
    <hyperlink xmlns:r="http://schemas.openxmlformats.org/officeDocument/2006/relationships" ref="C79" r:id="rId228"/>
    <hyperlink xmlns:r="http://schemas.openxmlformats.org/officeDocument/2006/relationships" ref="I79" r:id="rId229"/>
    <hyperlink xmlns:r="http://schemas.openxmlformats.org/officeDocument/2006/relationships" ref="J79" r:id="rId230"/>
    <hyperlink xmlns:r="http://schemas.openxmlformats.org/officeDocument/2006/relationships" ref="C80" r:id="rId231"/>
    <hyperlink xmlns:r="http://schemas.openxmlformats.org/officeDocument/2006/relationships" ref="I80" r:id="rId232"/>
    <hyperlink xmlns:r="http://schemas.openxmlformats.org/officeDocument/2006/relationships" ref="J80" r:id="rId233"/>
    <hyperlink xmlns:r="http://schemas.openxmlformats.org/officeDocument/2006/relationships" ref="C81" r:id="rId234"/>
    <hyperlink xmlns:r="http://schemas.openxmlformats.org/officeDocument/2006/relationships" ref="I81" r:id="rId235"/>
    <hyperlink xmlns:r="http://schemas.openxmlformats.org/officeDocument/2006/relationships" ref="J81" r:id="rId236"/>
    <hyperlink xmlns:r="http://schemas.openxmlformats.org/officeDocument/2006/relationships" ref="C82" r:id="rId237"/>
    <hyperlink xmlns:r="http://schemas.openxmlformats.org/officeDocument/2006/relationships" ref="I82" r:id="rId238"/>
    <hyperlink xmlns:r="http://schemas.openxmlformats.org/officeDocument/2006/relationships" ref="J82" r:id="rId239"/>
    <hyperlink xmlns:r="http://schemas.openxmlformats.org/officeDocument/2006/relationships" ref="C83" r:id="rId240"/>
    <hyperlink xmlns:r="http://schemas.openxmlformats.org/officeDocument/2006/relationships" ref="I83" r:id="rId241"/>
    <hyperlink xmlns:r="http://schemas.openxmlformats.org/officeDocument/2006/relationships" ref="J83" r:id="rId242"/>
    <hyperlink xmlns:r="http://schemas.openxmlformats.org/officeDocument/2006/relationships" ref="C84" r:id="rId243"/>
    <hyperlink xmlns:r="http://schemas.openxmlformats.org/officeDocument/2006/relationships" ref="I84" r:id="rId244"/>
    <hyperlink xmlns:r="http://schemas.openxmlformats.org/officeDocument/2006/relationships" ref="J84" r:id="rId245"/>
    <hyperlink xmlns:r="http://schemas.openxmlformats.org/officeDocument/2006/relationships" ref="C85" r:id="rId246"/>
    <hyperlink xmlns:r="http://schemas.openxmlformats.org/officeDocument/2006/relationships" ref="I85" r:id="rId247"/>
    <hyperlink xmlns:r="http://schemas.openxmlformats.org/officeDocument/2006/relationships" ref="J85" r:id="rId248"/>
    <hyperlink xmlns:r="http://schemas.openxmlformats.org/officeDocument/2006/relationships" ref="C86" r:id="rId249"/>
    <hyperlink xmlns:r="http://schemas.openxmlformats.org/officeDocument/2006/relationships" ref="I86" r:id="rId250"/>
    <hyperlink xmlns:r="http://schemas.openxmlformats.org/officeDocument/2006/relationships" ref="J86" r:id="rId251"/>
    <hyperlink xmlns:r="http://schemas.openxmlformats.org/officeDocument/2006/relationships" ref="C87" r:id="rId252"/>
    <hyperlink xmlns:r="http://schemas.openxmlformats.org/officeDocument/2006/relationships" ref="I87" r:id="rId253"/>
    <hyperlink xmlns:r="http://schemas.openxmlformats.org/officeDocument/2006/relationships" ref="J87" r:id="rId254"/>
    <hyperlink xmlns:r="http://schemas.openxmlformats.org/officeDocument/2006/relationships" ref="C88" r:id="rId255"/>
    <hyperlink xmlns:r="http://schemas.openxmlformats.org/officeDocument/2006/relationships" ref="I88" r:id="rId256"/>
    <hyperlink xmlns:r="http://schemas.openxmlformats.org/officeDocument/2006/relationships" ref="J88" r:id="rId257"/>
    <hyperlink xmlns:r="http://schemas.openxmlformats.org/officeDocument/2006/relationships" ref="C89" r:id="rId258"/>
    <hyperlink xmlns:r="http://schemas.openxmlformats.org/officeDocument/2006/relationships" ref="I89" r:id="rId259"/>
    <hyperlink xmlns:r="http://schemas.openxmlformats.org/officeDocument/2006/relationships" ref="J89" r:id="rId260"/>
    <hyperlink xmlns:r="http://schemas.openxmlformats.org/officeDocument/2006/relationships" ref="C90" r:id="rId261"/>
    <hyperlink xmlns:r="http://schemas.openxmlformats.org/officeDocument/2006/relationships" ref="I90" r:id="rId262"/>
    <hyperlink xmlns:r="http://schemas.openxmlformats.org/officeDocument/2006/relationships" ref="J90" r:id="rId263"/>
    <hyperlink xmlns:r="http://schemas.openxmlformats.org/officeDocument/2006/relationships" ref="C91" r:id="rId264"/>
    <hyperlink xmlns:r="http://schemas.openxmlformats.org/officeDocument/2006/relationships" ref="I91" r:id="rId265"/>
    <hyperlink xmlns:r="http://schemas.openxmlformats.org/officeDocument/2006/relationships" ref="J91" r:id="rId266"/>
    <hyperlink xmlns:r="http://schemas.openxmlformats.org/officeDocument/2006/relationships" ref="C92" r:id="rId267"/>
    <hyperlink xmlns:r="http://schemas.openxmlformats.org/officeDocument/2006/relationships" ref="C93" r:id="rId268"/>
    <hyperlink xmlns:r="http://schemas.openxmlformats.org/officeDocument/2006/relationships" ref="I93" r:id="rId269"/>
    <hyperlink xmlns:r="http://schemas.openxmlformats.org/officeDocument/2006/relationships" ref="J93" r:id="rId270"/>
    <hyperlink xmlns:r="http://schemas.openxmlformats.org/officeDocument/2006/relationships" ref="C94" r:id="rId271"/>
    <hyperlink xmlns:r="http://schemas.openxmlformats.org/officeDocument/2006/relationships" ref="I94" r:id="rId272"/>
    <hyperlink xmlns:r="http://schemas.openxmlformats.org/officeDocument/2006/relationships" ref="J94" r:id="rId273"/>
    <hyperlink xmlns:r="http://schemas.openxmlformats.org/officeDocument/2006/relationships" ref="C95" r:id="rId274"/>
    <hyperlink xmlns:r="http://schemas.openxmlformats.org/officeDocument/2006/relationships" ref="I95" r:id="rId275"/>
    <hyperlink xmlns:r="http://schemas.openxmlformats.org/officeDocument/2006/relationships" ref="J95" r:id="rId276"/>
    <hyperlink xmlns:r="http://schemas.openxmlformats.org/officeDocument/2006/relationships" ref="C96" r:id="rId277"/>
    <hyperlink xmlns:r="http://schemas.openxmlformats.org/officeDocument/2006/relationships" ref="I96" r:id="rId278"/>
    <hyperlink xmlns:r="http://schemas.openxmlformats.org/officeDocument/2006/relationships" ref="J96" r:id="rId279"/>
    <hyperlink xmlns:r="http://schemas.openxmlformats.org/officeDocument/2006/relationships" ref="C97" r:id="rId280"/>
    <hyperlink xmlns:r="http://schemas.openxmlformats.org/officeDocument/2006/relationships" ref="I97" r:id="rId281"/>
    <hyperlink xmlns:r="http://schemas.openxmlformats.org/officeDocument/2006/relationships" ref="J97" r:id="rId282"/>
    <hyperlink xmlns:r="http://schemas.openxmlformats.org/officeDocument/2006/relationships" ref="C98" r:id="rId283"/>
    <hyperlink xmlns:r="http://schemas.openxmlformats.org/officeDocument/2006/relationships" ref="I98" r:id="rId284"/>
    <hyperlink xmlns:r="http://schemas.openxmlformats.org/officeDocument/2006/relationships" ref="J98" r:id="rId285"/>
    <hyperlink xmlns:r="http://schemas.openxmlformats.org/officeDocument/2006/relationships" ref="C99" r:id="rId286"/>
    <hyperlink xmlns:r="http://schemas.openxmlformats.org/officeDocument/2006/relationships" ref="J99" r:id="rId287"/>
    <hyperlink xmlns:r="http://schemas.openxmlformats.org/officeDocument/2006/relationships" ref="C100" r:id="rId288"/>
    <hyperlink xmlns:r="http://schemas.openxmlformats.org/officeDocument/2006/relationships" ref="I100" r:id="rId289"/>
    <hyperlink xmlns:r="http://schemas.openxmlformats.org/officeDocument/2006/relationships" ref="J100" r:id="rId290"/>
    <hyperlink xmlns:r="http://schemas.openxmlformats.org/officeDocument/2006/relationships" ref="C101" r:id="rId291"/>
    <hyperlink xmlns:r="http://schemas.openxmlformats.org/officeDocument/2006/relationships" ref="I101" r:id="rId292"/>
    <hyperlink xmlns:r="http://schemas.openxmlformats.org/officeDocument/2006/relationships" ref="J101" r:id="rId293"/>
    <hyperlink xmlns:r="http://schemas.openxmlformats.org/officeDocument/2006/relationships" ref="C102" r:id="rId294"/>
    <hyperlink xmlns:r="http://schemas.openxmlformats.org/officeDocument/2006/relationships" ref="I102" r:id="rId295"/>
    <hyperlink xmlns:r="http://schemas.openxmlformats.org/officeDocument/2006/relationships" ref="J102" r:id="rId296"/>
    <hyperlink xmlns:r="http://schemas.openxmlformats.org/officeDocument/2006/relationships" ref="C103" r:id="rId297"/>
    <hyperlink xmlns:r="http://schemas.openxmlformats.org/officeDocument/2006/relationships" ref="I103" r:id="rId298"/>
    <hyperlink xmlns:r="http://schemas.openxmlformats.org/officeDocument/2006/relationships" ref="J103" r:id="rId299"/>
    <hyperlink xmlns:r="http://schemas.openxmlformats.org/officeDocument/2006/relationships" ref="C104" r:id="rId300"/>
    <hyperlink xmlns:r="http://schemas.openxmlformats.org/officeDocument/2006/relationships" ref="I104" r:id="rId301"/>
    <hyperlink xmlns:r="http://schemas.openxmlformats.org/officeDocument/2006/relationships" ref="J104" r:id="rId302"/>
    <hyperlink xmlns:r="http://schemas.openxmlformats.org/officeDocument/2006/relationships" ref="C105" r:id="rId303"/>
    <hyperlink xmlns:r="http://schemas.openxmlformats.org/officeDocument/2006/relationships" ref="I105" r:id="rId304"/>
    <hyperlink xmlns:r="http://schemas.openxmlformats.org/officeDocument/2006/relationships" ref="J105" r:id="rId305"/>
    <hyperlink xmlns:r="http://schemas.openxmlformats.org/officeDocument/2006/relationships" ref="C106" r:id="rId306"/>
    <hyperlink xmlns:r="http://schemas.openxmlformats.org/officeDocument/2006/relationships" ref="I106" r:id="rId307"/>
    <hyperlink xmlns:r="http://schemas.openxmlformats.org/officeDocument/2006/relationships" ref="J106" r:id="rId308"/>
    <hyperlink xmlns:r="http://schemas.openxmlformats.org/officeDocument/2006/relationships" ref="C107" r:id="rId309"/>
    <hyperlink xmlns:r="http://schemas.openxmlformats.org/officeDocument/2006/relationships" ref="I107" r:id="rId310"/>
    <hyperlink xmlns:r="http://schemas.openxmlformats.org/officeDocument/2006/relationships" ref="J107" r:id="rId311"/>
    <hyperlink xmlns:r="http://schemas.openxmlformats.org/officeDocument/2006/relationships" ref="C108" r:id="rId312"/>
    <hyperlink xmlns:r="http://schemas.openxmlformats.org/officeDocument/2006/relationships" ref="I108" r:id="rId313"/>
    <hyperlink xmlns:r="http://schemas.openxmlformats.org/officeDocument/2006/relationships" ref="J108" r:id="rId314"/>
    <hyperlink xmlns:r="http://schemas.openxmlformats.org/officeDocument/2006/relationships" ref="C109" r:id="rId315"/>
    <hyperlink xmlns:r="http://schemas.openxmlformats.org/officeDocument/2006/relationships" ref="I109" r:id="rId316"/>
    <hyperlink xmlns:r="http://schemas.openxmlformats.org/officeDocument/2006/relationships" ref="J109" r:id="rId317"/>
    <hyperlink xmlns:r="http://schemas.openxmlformats.org/officeDocument/2006/relationships" ref="C110" r:id="rId318"/>
    <hyperlink xmlns:r="http://schemas.openxmlformats.org/officeDocument/2006/relationships" ref="I110" r:id="rId319"/>
    <hyperlink xmlns:r="http://schemas.openxmlformats.org/officeDocument/2006/relationships" ref="J110" r:id="rId320"/>
    <hyperlink xmlns:r="http://schemas.openxmlformats.org/officeDocument/2006/relationships" ref="C111" r:id="rId321"/>
    <hyperlink xmlns:r="http://schemas.openxmlformats.org/officeDocument/2006/relationships" ref="I111" r:id="rId322"/>
    <hyperlink xmlns:r="http://schemas.openxmlformats.org/officeDocument/2006/relationships" ref="J111" r:id="rId323"/>
    <hyperlink xmlns:r="http://schemas.openxmlformats.org/officeDocument/2006/relationships" ref="C112" r:id="rId324"/>
    <hyperlink xmlns:r="http://schemas.openxmlformats.org/officeDocument/2006/relationships" ref="I112" r:id="rId325"/>
    <hyperlink xmlns:r="http://schemas.openxmlformats.org/officeDocument/2006/relationships" ref="J112" r:id="rId326"/>
    <hyperlink xmlns:r="http://schemas.openxmlformats.org/officeDocument/2006/relationships" ref="C113" r:id="rId327"/>
    <hyperlink xmlns:r="http://schemas.openxmlformats.org/officeDocument/2006/relationships" ref="I113" r:id="rId328"/>
    <hyperlink xmlns:r="http://schemas.openxmlformats.org/officeDocument/2006/relationships" ref="J113" r:id="rId329"/>
    <hyperlink xmlns:r="http://schemas.openxmlformats.org/officeDocument/2006/relationships" ref="C114" r:id="rId330"/>
    <hyperlink xmlns:r="http://schemas.openxmlformats.org/officeDocument/2006/relationships" ref="I114" r:id="rId331"/>
    <hyperlink xmlns:r="http://schemas.openxmlformats.org/officeDocument/2006/relationships" ref="J114" r:id="rId332"/>
    <hyperlink xmlns:r="http://schemas.openxmlformats.org/officeDocument/2006/relationships" ref="C115" r:id="rId333"/>
    <hyperlink xmlns:r="http://schemas.openxmlformats.org/officeDocument/2006/relationships" ref="I115" r:id="rId334"/>
    <hyperlink xmlns:r="http://schemas.openxmlformats.org/officeDocument/2006/relationships" ref="J115" r:id="rId335"/>
    <hyperlink xmlns:r="http://schemas.openxmlformats.org/officeDocument/2006/relationships" ref="C116" r:id="rId336"/>
    <hyperlink xmlns:r="http://schemas.openxmlformats.org/officeDocument/2006/relationships" ref="I116" r:id="rId337"/>
    <hyperlink xmlns:r="http://schemas.openxmlformats.org/officeDocument/2006/relationships" ref="J116" r:id="rId338"/>
    <hyperlink xmlns:r="http://schemas.openxmlformats.org/officeDocument/2006/relationships" ref="C117" r:id="rId339"/>
    <hyperlink xmlns:r="http://schemas.openxmlformats.org/officeDocument/2006/relationships" ref="I117" r:id="rId340"/>
    <hyperlink xmlns:r="http://schemas.openxmlformats.org/officeDocument/2006/relationships" ref="J117" r:id="rId341"/>
    <hyperlink xmlns:r="http://schemas.openxmlformats.org/officeDocument/2006/relationships" ref="C118" r:id="rId342"/>
    <hyperlink xmlns:r="http://schemas.openxmlformats.org/officeDocument/2006/relationships" ref="I118" r:id="rId343"/>
    <hyperlink xmlns:r="http://schemas.openxmlformats.org/officeDocument/2006/relationships" ref="J118" r:id="rId344"/>
    <hyperlink xmlns:r="http://schemas.openxmlformats.org/officeDocument/2006/relationships" ref="C119" r:id="rId345"/>
    <hyperlink xmlns:r="http://schemas.openxmlformats.org/officeDocument/2006/relationships" ref="I119" r:id="rId346"/>
    <hyperlink xmlns:r="http://schemas.openxmlformats.org/officeDocument/2006/relationships" ref="J119" r:id="rId347"/>
    <hyperlink xmlns:r="http://schemas.openxmlformats.org/officeDocument/2006/relationships" ref="C120" r:id="rId348"/>
    <hyperlink xmlns:r="http://schemas.openxmlformats.org/officeDocument/2006/relationships" ref="I120" r:id="rId349"/>
    <hyperlink xmlns:r="http://schemas.openxmlformats.org/officeDocument/2006/relationships" ref="J120" r:id="rId350"/>
    <hyperlink xmlns:r="http://schemas.openxmlformats.org/officeDocument/2006/relationships" ref="C121" r:id="rId351"/>
    <hyperlink xmlns:r="http://schemas.openxmlformats.org/officeDocument/2006/relationships" ref="I121" r:id="rId352"/>
    <hyperlink xmlns:r="http://schemas.openxmlformats.org/officeDocument/2006/relationships" ref="J121" r:id="rId353"/>
    <hyperlink xmlns:r="http://schemas.openxmlformats.org/officeDocument/2006/relationships" ref="C122" r:id="rId354"/>
    <hyperlink xmlns:r="http://schemas.openxmlformats.org/officeDocument/2006/relationships" ref="I122" r:id="rId355"/>
    <hyperlink xmlns:r="http://schemas.openxmlformats.org/officeDocument/2006/relationships" ref="J122" r:id="rId356"/>
    <hyperlink xmlns:r="http://schemas.openxmlformats.org/officeDocument/2006/relationships" ref="C123" r:id="rId357"/>
    <hyperlink xmlns:r="http://schemas.openxmlformats.org/officeDocument/2006/relationships" ref="I123" r:id="rId358"/>
    <hyperlink xmlns:r="http://schemas.openxmlformats.org/officeDocument/2006/relationships" ref="J123" r:id="rId359"/>
    <hyperlink xmlns:r="http://schemas.openxmlformats.org/officeDocument/2006/relationships" ref="C124" r:id="rId360"/>
    <hyperlink xmlns:r="http://schemas.openxmlformats.org/officeDocument/2006/relationships" ref="I124" r:id="rId361"/>
    <hyperlink xmlns:r="http://schemas.openxmlformats.org/officeDocument/2006/relationships" ref="J124" r:id="rId362"/>
    <hyperlink xmlns:r="http://schemas.openxmlformats.org/officeDocument/2006/relationships" ref="C125" r:id="rId363"/>
    <hyperlink xmlns:r="http://schemas.openxmlformats.org/officeDocument/2006/relationships" ref="I125" r:id="rId364"/>
    <hyperlink xmlns:r="http://schemas.openxmlformats.org/officeDocument/2006/relationships" ref="J125" r:id="rId365"/>
    <hyperlink xmlns:r="http://schemas.openxmlformats.org/officeDocument/2006/relationships" ref="C126" r:id="rId366"/>
    <hyperlink xmlns:r="http://schemas.openxmlformats.org/officeDocument/2006/relationships" ref="I126" r:id="rId367"/>
    <hyperlink xmlns:r="http://schemas.openxmlformats.org/officeDocument/2006/relationships" ref="J126" r:id="rId368"/>
    <hyperlink xmlns:r="http://schemas.openxmlformats.org/officeDocument/2006/relationships" ref="C127" r:id="rId369"/>
    <hyperlink xmlns:r="http://schemas.openxmlformats.org/officeDocument/2006/relationships" ref="I127" r:id="rId370"/>
    <hyperlink xmlns:r="http://schemas.openxmlformats.org/officeDocument/2006/relationships" ref="J127" r:id="rId371"/>
    <hyperlink xmlns:r="http://schemas.openxmlformats.org/officeDocument/2006/relationships" ref="C128" r:id="rId372"/>
    <hyperlink xmlns:r="http://schemas.openxmlformats.org/officeDocument/2006/relationships" ref="I128" r:id="rId373"/>
    <hyperlink xmlns:r="http://schemas.openxmlformats.org/officeDocument/2006/relationships" ref="J128" r:id="rId374"/>
    <hyperlink xmlns:r="http://schemas.openxmlformats.org/officeDocument/2006/relationships" ref="C129" r:id="rId375"/>
    <hyperlink xmlns:r="http://schemas.openxmlformats.org/officeDocument/2006/relationships" ref="I129" r:id="rId376"/>
    <hyperlink xmlns:r="http://schemas.openxmlformats.org/officeDocument/2006/relationships" ref="J129" r:id="rId377"/>
    <hyperlink xmlns:r="http://schemas.openxmlformats.org/officeDocument/2006/relationships" ref="C130" r:id="rId378"/>
    <hyperlink xmlns:r="http://schemas.openxmlformats.org/officeDocument/2006/relationships" ref="I130" r:id="rId379"/>
    <hyperlink xmlns:r="http://schemas.openxmlformats.org/officeDocument/2006/relationships" ref="J130" r:id="rId380"/>
    <hyperlink xmlns:r="http://schemas.openxmlformats.org/officeDocument/2006/relationships" ref="C131" r:id="rId381"/>
    <hyperlink xmlns:r="http://schemas.openxmlformats.org/officeDocument/2006/relationships" ref="I131" r:id="rId382"/>
    <hyperlink xmlns:r="http://schemas.openxmlformats.org/officeDocument/2006/relationships" ref="J131" r:id="rId383"/>
    <hyperlink xmlns:r="http://schemas.openxmlformats.org/officeDocument/2006/relationships" ref="C132" r:id="rId384"/>
    <hyperlink xmlns:r="http://schemas.openxmlformats.org/officeDocument/2006/relationships" ref="I132" r:id="rId385"/>
    <hyperlink xmlns:r="http://schemas.openxmlformats.org/officeDocument/2006/relationships" ref="J132" r:id="rId386"/>
    <hyperlink xmlns:r="http://schemas.openxmlformats.org/officeDocument/2006/relationships" ref="C133" r:id="rId387"/>
    <hyperlink xmlns:r="http://schemas.openxmlformats.org/officeDocument/2006/relationships" ref="I133" r:id="rId388"/>
    <hyperlink xmlns:r="http://schemas.openxmlformats.org/officeDocument/2006/relationships" ref="J133" r:id="rId389"/>
    <hyperlink xmlns:r="http://schemas.openxmlformats.org/officeDocument/2006/relationships" ref="C134" r:id="rId390"/>
    <hyperlink xmlns:r="http://schemas.openxmlformats.org/officeDocument/2006/relationships" ref="I134" r:id="rId391"/>
    <hyperlink xmlns:r="http://schemas.openxmlformats.org/officeDocument/2006/relationships" ref="J134" r:id="rId392"/>
    <hyperlink xmlns:r="http://schemas.openxmlformats.org/officeDocument/2006/relationships" ref="C135" r:id="rId393"/>
    <hyperlink xmlns:r="http://schemas.openxmlformats.org/officeDocument/2006/relationships" ref="I135" r:id="rId394"/>
    <hyperlink xmlns:r="http://schemas.openxmlformats.org/officeDocument/2006/relationships" ref="J135" r:id="rId395"/>
    <hyperlink xmlns:r="http://schemas.openxmlformats.org/officeDocument/2006/relationships" ref="C136" r:id="rId396"/>
    <hyperlink xmlns:r="http://schemas.openxmlformats.org/officeDocument/2006/relationships" ref="I136" r:id="rId397"/>
    <hyperlink xmlns:r="http://schemas.openxmlformats.org/officeDocument/2006/relationships" ref="J136" r:id="rId398"/>
    <hyperlink xmlns:r="http://schemas.openxmlformats.org/officeDocument/2006/relationships" ref="C137" r:id="rId399"/>
    <hyperlink xmlns:r="http://schemas.openxmlformats.org/officeDocument/2006/relationships" ref="I137" r:id="rId400"/>
    <hyperlink xmlns:r="http://schemas.openxmlformats.org/officeDocument/2006/relationships" ref="J137" r:id="rId401"/>
    <hyperlink xmlns:r="http://schemas.openxmlformats.org/officeDocument/2006/relationships" ref="C138" r:id="rId402"/>
    <hyperlink xmlns:r="http://schemas.openxmlformats.org/officeDocument/2006/relationships" ref="I138" r:id="rId403"/>
    <hyperlink xmlns:r="http://schemas.openxmlformats.org/officeDocument/2006/relationships" ref="J138" r:id="rId404"/>
    <hyperlink xmlns:r="http://schemas.openxmlformats.org/officeDocument/2006/relationships" ref="C139" r:id="rId405"/>
    <hyperlink xmlns:r="http://schemas.openxmlformats.org/officeDocument/2006/relationships" ref="I139" r:id="rId406"/>
    <hyperlink xmlns:r="http://schemas.openxmlformats.org/officeDocument/2006/relationships" ref="J139" r:id="rId407"/>
    <hyperlink xmlns:r="http://schemas.openxmlformats.org/officeDocument/2006/relationships" ref="C140" r:id="rId408"/>
    <hyperlink xmlns:r="http://schemas.openxmlformats.org/officeDocument/2006/relationships" ref="I140" r:id="rId409"/>
    <hyperlink xmlns:r="http://schemas.openxmlformats.org/officeDocument/2006/relationships" ref="J140" r:id="rId410"/>
    <hyperlink xmlns:r="http://schemas.openxmlformats.org/officeDocument/2006/relationships" ref="C141" r:id="rId411"/>
    <hyperlink xmlns:r="http://schemas.openxmlformats.org/officeDocument/2006/relationships" ref="I141" r:id="rId412"/>
    <hyperlink xmlns:r="http://schemas.openxmlformats.org/officeDocument/2006/relationships" ref="J141" r:id="rId413"/>
    <hyperlink xmlns:r="http://schemas.openxmlformats.org/officeDocument/2006/relationships" ref="C142" r:id="rId414"/>
    <hyperlink xmlns:r="http://schemas.openxmlformats.org/officeDocument/2006/relationships" ref="I142" r:id="rId415"/>
    <hyperlink xmlns:r="http://schemas.openxmlformats.org/officeDocument/2006/relationships" ref="J142" r:id="rId416"/>
    <hyperlink xmlns:r="http://schemas.openxmlformats.org/officeDocument/2006/relationships" ref="C143" r:id="rId417"/>
    <hyperlink xmlns:r="http://schemas.openxmlformats.org/officeDocument/2006/relationships" ref="I143" r:id="rId418"/>
    <hyperlink xmlns:r="http://schemas.openxmlformats.org/officeDocument/2006/relationships" ref="J143" r:id="rId419"/>
    <hyperlink xmlns:r="http://schemas.openxmlformats.org/officeDocument/2006/relationships" ref="C144" r:id="rId420"/>
    <hyperlink xmlns:r="http://schemas.openxmlformats.org/officeDocument/2006/relationships" ref="I144" r:id="rId421"/>
    <hyperlink xmlns:r="http://schemas.openxmlformats.org/officeDocument/2006/relationships" ref="J144" r:id="rId422"/>
    <hyperlink xmlns:r="http://schemas.openxmlformats.org/officeDocument/2006/relationships" ref="C145" r:id="rId423"/>
    <hyperlink xmlns:r="http://schemas.openxmlformats.org/officeDocument/2006/relationships" ref="I145" r:id="rId424"/>
    <hyperlink xmlns:r="http://schemas.openxmlformats.org/officeDocument/2006/relationships" ref="J145" r:id="rId425"/>
    <hyperlink xmlns:r="http://schemas.openxmlformats.org/officeDocument/2006/relationships" ref="C146" r:id="rId426"/>
    <hyperlink xmlns:r="http://schemas.openxmlformats.org/officeDocument/2006/relationships" ref="I146" r:id="rId427"/>
    <hyperlink xmlns:r="http://schemas.openxmlformats.org/officeDocument/2006/relationships" ref="J146" r:id="rId428"/>
    <hyperlink xmlns:r="http://schemas.openxmlformats.org/officeDocument/2006/relationships" ref="C147" r:id="rId429"/>
    <hyperlink xmlns:r="http://schemas.openxmlformats.org/officeDocument/2006/relationships" ref="I147" r:id="rId430"/>
    <hyperlink xmlns:r="http://schemas.openxmlformats.org/officeDocument/2006/relationships" ref="J147" r:id="rId431"/>
    <hyperlink xmlns:r="http://schemas.openxmlformats.org/officeDocument/2006/relationships" ref="C148" r:id="rId432"/>
    <hyperlink xmlns:r="http://schemas.openxmlformats.org/officeDocument/2006/relationships" ref="I148" r:id="rId433"/>
    <hyperlink xmlns:r="http://schemas.openxmlformats.org/officeDocument/2006/relationships" ref="J148" r:id="rId434"/>
    <hyperlink xmlns:r="http://schemas.openxmlformats.org/officeDocument/2006/relationships" ref="C149" r:id="rId435"/>
    <hyperlink xmlns:r="http://schemas.openxmlformats.org/officeDocument/2006/relationships" ref="I149" r:id="rId436"/>
    <hyperlink xmlns:r="http://schemas.openxmlformats.org/officeDocument/2006/relationships" ref="J149" r:id="rId437"/>
    <hyperlink xmlns:r="http://schemas.openxmlformats.org/officeDocument/2006/relationships" ref="C150" r:id="rId438"/>
    <hyperlink xmlns:r="http://schemas.openxmlformats.org/officeDocument/2006/relationships" ref="I150" r:id="rId439"/>
    <hyperlink xmlns:r="http://schemas.openxmlformats.org/officeDocument/2006/relationships" ref="J150" r:id="rId440"/>
    <hyperlink xmlns:r="http://schemas.openxmlformats.org/officeDocument/2006/relationships" ref="C151" r:id="rId441"/>
    <hyperlink xmlns:r="http://schemas.openxmlformats.org/officeDocument/2006/relationships" ref="I151" r:id="rId442"/>
    <hyperlink xmlns:r="http://schemas.openxmlformats.org/officeDocument/2006/relationships" ref="J151" r:id="rId443"/>
    <hyperlink xmlns:r="http://schemas.openxmlformats.org/officeDocument/2006/relationships" ref="C152" r:id="rId444"/>
    <hyperlink xmlns:r="http://schemas.openxmlformats.org/officeDocument/2006/relationships" ref="I152" r:id="rId445"/>
    <hyperlink xmlns:r="http://schemas.openxmlformats.org/officeDocument/2006/relationships" ref="J152" r:id="rId446"/>
    <hyperlink xmlns:r="http://schemas.openxmlformats.org/officeDocument/2006/relationships" ref="C153" r:id="rId447"/>
    <hyperlink xmlns:r="http://schemas.openxmlformats.org/officeDocument/2006/relationships" ref="I153" r:id="rId448"/>
    <hyperlink xmlns:r="http://schemas.openxmlformats.org/officeDocument/2006/relationships" ref="J153" r:id="rId449"/>
    <hyperlink xmlns:r="http://schemas.openxmlformats.org/officeDocument/2006/relationships" ref="C154" r:id="rId450"/>
    <hyperlink xmlns:r="http://schemas.openxmlformats.org/officeDocument/2006/relationships" ref="I154" r:id="rId451"/>
    <hyperlink xmlns:r="http://schemas.openxmlformats.org/officeDocument/2006/relationships" ref="J154" r:id="rId452"/>
    <hyperlink xmlns:r="http://schemas.openxmlformats.org/officeDocument/2006/relationships" ref="C155" r:id="rId453"/>
    <hyperlink xmlns:r="http://schemas.openxmlformats.org/officeDocument/2006/relationships" ref="I155" r:id="rId454"/>
    <hyperlink xmlns:r="http://schemas.openxmlformats.org/officeDocument/2006/relationships" ref="J155" r:id="rId455"/>
    <hyperlink xmlns:r="http://schemas.openxmlformats.org/officeDocument/2006/relationships" ref="C156" r:id="rId456"/>
    <hyperlink xmlns:r="http://schemas.openxmlformats.org/officeDocument/2006/relationships" ref="I156" r:id="rId457"/>
    <hyperlink xmlns:r="http://schemas.openxmlformats.org/officeDocument/2006/relationships" ref="J156" r:id="rId458"/>
    <hyperlink xmlns:r="http://schemas.openxmlformats.org/officeDocument/2006/relationships" ref="C157" r:id="rId459"/>
    <hyperlink xmlns:r="http://schemas.openxmlformats.org/officeDocument/2006/relationships" ref="I157" r:id="rId460"/>
    <hyperlink xmlns:r="http://schemas.openxmlformats.org/officeDocument/2006/relationships" ref="J157" r:id="rId461"/>
    <hyperlink xmlns:r="http://schemas.openxmlformats.org/officeDocument/2006/relationships" ref="C158" r:id="rId462"/>
    <hyperlink xmlns:r="http://schemas.openxmlformats.org/officeDocument/2006/relationships" ref="I158" r:id="rId463"/>
    <hyperlink xmlns:r="http://schemas.openxmlformats.org/officeDocument/2006/relationships" ref="J158" r:id="rId464"/>
    <hyperlink xmlns:r="http://schemas.openxmlformats.org/officeDocument/2006/relationships" ref="C159" r:id="rId465"/>
    <hyperlink xmlns:r="http://schemas.openxmlformats.org/officeDocument/2006/relationships" ref="I159" r:id="rId466"/>
    <hyperlink xmlns:r="http://schemas.openxmlformats.org/officeDocument/2006/relationships" ref="J159" r:id="rId467"/>
    <hyperlink xmlns:r="http://schemas.openxmlformats.org/officeDocument/2006/relationships" ref="C160" r:id="rId468"/>
    <hyperlink xmlns:r="http://schemas.openxmlformats.org/officeDocument/2006/relationships" ref="I160" r:id="rId469"/>
    <hyperlink xmlns:r="http://schemas.openxmlformats.org/officeDocument/2006/relationships" ref="J160" r:id="rId470"/>
    <hyperlink xmlns:r="http://schemas.openxmlformats.org/officeDocument/2006/relationships" ref="C161" r:id="rId471"/>
    <hyperlink xmlns:r="http://schemas.openxmlformats.org/officeDocument/2006/relationships" ref="I161" r:id="rId472"/>
    <hyperlink xmlns:r="http://schemas.openxmlformats.org/officeDocument/2006/relationships" ref="J161" r:id="rId473"/>
    <hyperlink xmlns:r="http://schemas.openxmlformats.org/officeDocument/2006/relationships" ref="C162" r:id="rId474"/>
    <hyperlink xmlns:r="http://schemas.openxmlformats.org/officeDocument/2006/relationships" ref="I162" r:id="rId475"/>
    <hyperlink xmlns:r="http://schemas.openxmlformats.org/officeDocument/2006/relationships" ref="J162" r:id="rId476"/>
    <hyperlink xmlns:r="http://schemas.openxmlformats.org/officeDocument/2006/relationships" ref="C163" r:id="rId477"/>
    <hyperlink xmlns:r="http://schemas.openxmlformats.org/officeDocument/2006/relationships" ref="I163" r:id="rId478"/>
    <hyperlink xmlns:r="http://schemas.openxmlformats.org/officeDocument/2006/relationships" ref="J163" r:id="rId479"/>
    <hyperlink xmlns:r="http://schemas.openxmlformats.org/officeDocument/2006/relationships" ref="C164" r:id="rId480"/>
    <hyperlink xmlns:r="http://schemas.openxmlformats.org/officeDocument/2006/relationships" ref="I164" r:id="rId481"/>
    <hyperlink xmlns:r="http://schemas.openxmlformats.org/officeDocument/2006/relationships" ref="J164" r:id="rId482"/>
    <hyperlink xmlns:r="http://schemas.openxmlformats.org/officeDocument/2006/relationships" ref="C165" r:id="rId483"/>
    <hyperlink xmlns:r="http://schemas.openxmlformats.org/officeDocument/2006/relationships" ref="I165" r:id="rId484"/>
    <hyperlink xmlns:r="http://schemas.openxmlformats.org/officeDocument/2006/relationships" ref="J165" r:id="rId485"/>
    <hyperlink xmlns:r="http://schemas.openxmlformats.org/officeDocument/2006/relationships" ref="C166" r:id="rId486"/>
    <hyperlink xmlns:r="http://schemas.openxmlformats.org/officeDocument/2006/relationships" ref="I166" r:id="rId487"/>
    <hyperlink xmlns:r="http://schemas.openxmlformats.org/officeDocument/2006/relationships" ref="J166" r:id="rId488"/>
    <hyperlink xmlns:r="http://schemas.openxmlformats.org/officeDocument/2006/relationships" ref="C167" r:id="rId489"/>
    <hyperlink xmlns:r="http://schemas.openxmlformats.org/officeDocument/2006/relationships" ref="I167" r:id="rId490"/>
    <hyperlink xmlns:r="http://schemas.openxmlformats.org/officeDocument/2006/relationships" ref="J167" r:id="rId491"/>
    <hyperlink xmlns:r="http://schemas.openxmlformats.org/officeDocument/2006/relationships" ref="C168" r:id="rId492"/>
    <hyperlink xmlns:r="http://schemas.openxmlformats.org/officeDocument/2006/relationships" ref="I168" r:id="rId493"/>
    <hyperlink xmlns:r="http://schemas.openxmlformats.org/officeDocument/2006/relationships" ref="J168" r:id="rId494"/>
    <hyperlink xmlns:r="http://schemas.openxmlformats.org/officeDocument/2006/relationships" ref="C169" r:id="rId495"/>
    <hyperlink xmlns:r="http://schemas.openxmlformats.org/officeDocument/2006/relationships" ref="I169" r:id="rId496"/>
    <hyperlink xmlns:r="http://schemas.openxmlformats.org/officeDocument/2006/relationships" ref="J169" r:id="rId497"/>
    <hyperlink xmlns:r="http://schemas.openxmlformats.org/officeDocument/2006/relationships" ref="C170" r:id="rId498"/>
    <hyperlink xmlns:r="http://schemas.openxmlformats.org/officeDocument/2006/relationships" ref="I170" r:id="rId499"/>
    <hyperlink xmlns:r="http://schemas.openxmlformats.org/officeDocument/2006/relationships" ref="J170" r:id="rId500"/>
    <hyperlink xmlns:r="http://schemas.openxmlformats.org/officeDocument/2006/relationships" ref="C171" r:id="rId501"/>
    <hyperlink xmlns:r="http://schemas.openxmlformats.org/officeDocument/2006/relationships" ref="I171" r:id="rId502"/>
    <hyperlink xmlns:r="http://schemas.openxmlformats.org/officeDocument/2006/relationships" ref="J171" r:id="rId503"/>
    <hyperlink xmlns:r="http://schemas.openxmlformats.org/officeDocument/2006/relationships" ref="C172" r:id="rId504"/>
    <hyperlink xmlns:r="http://schemas.openxmlformats.org/officeDocument/2006/relationships" ref="I172" r:id="rId505"/>
    <hyperlink xmlns:r="http://schemas.openxmlformats.org/officeDocument/2006/relationships" ref="J172" r:id="rId506"/>
    <hyperlink xmlns:r="http://schemas.openxmlformats.org/officeDocument/2006/relationships" ref="C173" r:id="rId507"/>
    <hyperlink xmlns:r="http://schemas.openxmlformats.org/officeDocument/2006/relationships" ref="I173" r:id="rId508"/>
    <hyperlink xmlns:r="http://schemas.openxmlformats.org/officeDocument/2006/relationships" ref="J173" r:id="rId509"/>
    <hyperlink xmlns:r="http://schemas.openxmlformats.org/officeDocument/2006/relationships" ref="C174" r:id="rId510"/>
    <hyperlink xmlns:r="http://schemas.openxmlformats.org/officeDocument/2006/relationships" ref="I174" r:id="rId511"/>
    <hyperlink xmlns:r="http://schemas.openxmlformats.org/officeDocument/2006/relationships" ref="J174" r:id="rId512"/>
    <hyperlink xmlns:r="http://schemas.openxmlformats.org/officeDocument/2006/relationships" ref="C175" r:id="rId513"/>
    <hyperlink xmlns:r="http://schemas.openxmlformats.org/officeDocument/2006/relationships" ref="I175" r:id="rId514"/>
    <hyperlink xmlns:r="http://schemas.openxmlformats.org/officeDocument/2006/relationships" ref="J175" r:id="rId515"/>
    <hyperlink xmlns:r="http://schemas.openxmlformats.org/officeDocument/2006/relationships" ref="C176" r:id="rId516"/>
    <hyperlink xmlns:r="http://schemas.openxmlformats.org/officeDocument/2006/relationships" ref="I176" r:id="rId517"/>
    <hyperlink xmlns:r="http://schemas.openxmlformats.org/officeDocument/2006/relationships" ref="J176" r:id="rId518"/>
    <hyperlink xmlns:r="http://schemas.openxmlformats.org/officeDocument/2006/relationships" ref="C177" r:id="rId519"/>
    <hyperlink xmlns:r="http://schemas.openxmlformats.org/officeDocument/2006/relationships" ref="I177" r:id="rId520"/>
    <hyperlink xmlns:r="http://schemas.openxmlformats.org/officeDocument/2006/relationships" ref="J177" r:id="rId521"/>
    <hyperlink xmlns:r="http://schemas.openxmlformats.org/officeDocument/2006/relationships" ref="C178" r:id="rId522"/>
    <hyperlink xmlns:r="http://schemas.openxmlformats.org/officeDocument/2006/relationships" ref="I178" r:id="rId523"/>
    <hyperlink xmlns:r="http://schemas.openxmlformats.org/officeDocument/2006/relationships" ref="J178" r:id="rId524"/>
    <hyperlink xmlns:r="http://schemas.openxmlformats.org/officeDocument/2006/relationships" ref="C179" r:id="rId525"/>
    <hyperlink xmlns:r="http://schemas.openxmlformats.org/officeDocument/2006/relationships" ref="I179" r:id="rId526"/>
    <hyperlink xmlns:r="http://schemas.openxmlformats.org/officeDocument/2006/relationships" ref="J179" r:id="rId527"/>
    <hyperlink xmlns:r="http://schemas.openxmlformats.org/officeDocument/2006/relationships" ref="C180" r:id="rId528"/>
    <hyperlink xmlns:r="http://schemas.openxmlformats.org/officeDocument/2006/relationships" ref="I180" r:id="rId529"/>
    <hyperlink xmlns:r="http://schemas.openxmlformats.org/officeDocument/2006/relationships" ref="J180" r:id="rId530"/>
    <hyperlink xmlns:r="http://schemas.openxmlformats.org/officeDocument/2006/relationships" ref="C181" r:id="rId531"/>
    <hyperlink xmlns:r="http://schemas.openxmlformats.org/officeDocument/2006/relationships" ref="I181" r:id="rId532"/>
    <hyperlink xmlns:r="http://schemas.openxmlformats.org/officeDocument/2006/relationships" ref="J181" r:id="rId533"/>
    <hyperlink xmlns:r="http://schemas.openxmlformats.org/officeDocument/2006/relationships" ref="C182" r:id="rId534"/>
    <hyperlink xmlns:r="http://schemas.openxmlformats.org/officeDocument/2006/relationships" ref="I182" r:id="rId535"/>
    <hyperlink xmlns:r="http://schemas.openxmlformats.org/officeDocument/2006/relationships" ref="J182" r:id="rId536"/>
    <hyperlink xmlns:r="http://schemas.openxmlformats.org/officeDocument/2006/relationships" ref="C183" r:id="rId537"/>
    <hyperlink xmlns:r="http://schemas.openxmlformats.org/officeDocument/2006/relationships" ref="I183" r:id="rId538"/>
    <hyperlink xmlns:r="http://schemas.openxmlformats.org/officeDocument/2006/relationships" ref="J183" r:id="rId539"/>
    <hyperlink xmlns:r="http://schemas.openxmlformats.org/officeDocument/2006/relationships" ref="C184" r:id="rId540"/>
    <hyperlink xmlns:r="http://schemas.openxmlformats.org/officeDocument/2006/relationships" ref="I184" r:id="rId541"/>
    <hyperlink xmlns:r="http://schemas.openxmlformats.org/officeDocument/2006/relationships" ref="J184" r:id="rId542"/>
    <hyperlink xmlns:r="http://schemas.openxmlformats.org/officeDocument/2006/relationships" ref="C185" r:id="rId543"/>
    <hyperlink xmlns:r="http://schemas.openxmlformats.org/officeDocument/2006/relationships" ref="I185" r:id="rId544"/>
    <hyperlink xmlns:r="http://schemas.openxmlformats.org/officeDocument/2006/relationships" ref="J185" r:id="rId545"/>
    <hyperlink xmlns:r="http://schemas.openxmlformats.org/officeDocument/2006/relationships" ref="C186" r:id="rId546"/>
    <hyperlink xmlns:r="http://schemas.openxmlformats.org/officeDocument/2006/relationships" ref="I186" r:id="rId547"/>
    <hyperlink xmlns:r="http://schemas.openxmlformats.org/officeDocument/2006/relationships" ref="J186" r:id="rId548"/>
    <hyperlink xmlns:r="http://schemas.openxmlformats.org/officeDocument/2006/relationships" ref="C187" r:id="rId549"/>
    <hyperlink xmlns:r="http://schemas.openxmlformats.org/officeDocument/2006/relationships" ref="I187" r:id="rId550"/>
    <hyperlink xmlns:r="http://schemas.openxmlformats.org/officeDocument/2006/relationships" ref="J187" r:id="rId551"/>
    <hyperlink xmlns:r="http://schemas.openxmlformats.org/officeDocument/2006/relationships" ref="C188" r:id="rId552"/>
    <hyperlink xmlns:r="http://schemas.openxmlformats.org/officeDocument/2006/relationships" ref="I188" r:id="rId553"/>
    <hyperlink xmlns:r="http://schemas.openxmlformats.org/officeDocument/2006/relationships" ref="J188" r:id="rId554"/>
    <hyperlink xmlns:r="http://schemas.openxmlformats.org/officeDocument/2006/relationships" ref="C189" r:id="rId555"/>
    <hyperlink xmlns:r="http://schemas.openxmlformats.org/officeDocument/2006/relationships" ref="J189" r:id="rId556"/>
    <hyperlink xmlns:r="http://schemas.openxmlformats.org/officeDocument/2006/relationships" ref="C190" r:id="rId557"/>
    <hyperlink xmlns:r="http://schemas.openxmlformats.org/officeDocument/2006/relationships" ref="I190" r:id="rId558"/>
    <hyperlink xmlns:r="http://schemas.openxmlformats.org/officeDocument/2006/relationships" ref="J190" r:id="rId559"/>
    <hyperlink xmlns:r="http://schemas.openxmlformats.org/officeDocument/2006/relationships" ref="C191" r:id="rId560"/>
    <hyperlink xmlns:r="http://schemas.openxmlformats.org/officeDocument/2006/relationships" ref="I191" r:id="rId561"/>
    <hyperlink xmlns:r="http://schemas.openxmlformats.org/officeDocument/2006/relationships" ref="J191" r:id="rId562"/>
    <hyperlink xmlns:r="http://schemas.openxmlformats.org/officeDocument/2006/relationships" ref="C192" r:id="rId563"/>
    <hyperlink xmlns:r="http://schemas.openxmlformats.org/officeDocument/2006/relationships" ref="I192" r:id="rId564"/>
    <hyperlink xmlns:r="http://schemas.openxmlformats.org/officeDocument/2006/relationships" ref="J192" r:id="rId565"/>
    <hyperlink xmlns:r="http://schemas.openxmlformats.org/officeDocument/2006/relationships" ref="C193" r:id="rId566"/>
    <hyperlink xmlns:r="http://schemas.openxmlformats.org/officeDocument/2006/relationships" ref="I193" r:id="rId567"/>
    <hyperlink xmlns:r="http://schemas.openxmlformats.org/officeDocument/2006/relationships" ref="J193" r:id="rId568"/>
    <hyperlink xmlns:r="http://schemas.openxmlformats.org/officeDocument/2006/relationships" ref="C194" r:id="rId569"/>
    <hyperlink xmlns:r="http://schemas.openxmlformats.org/officeDocument/2006/relationships" ref="I194" r:id="rId570"/>
    <hyperlink xmlns:r="http://schemas.openxmlformats.org/officeDocument/2006/relationships" ref="J194" r:id="rId571"/>
    <hyperlink xmlns:r="http://schemas.openxmlformats.org/officeDocument/2006/relationships" ref="C195" r:id="rId572"/>
    <hyperlink xmlns:r="http://schemas.openxmlformats.org/officeDocument/2006/relationships" ref="I195" r:id="rId573"/>
    <hyperlink xmlns:r="http://schemas.openxmlformats.org/officeDocument/2006/relationships" ref="J195" r:id="rId574"/>
    <hyperlink xmlns:r="http://schemas.openxmlformats.org/officeDocument/2006/relationships" ref="C196" r:id="rId575"/>
    <hyperlink xmlns:r="http://schemas.openxmlformats.org/officeDocument/2006/relationships" ref="I196" r:id="rId576"/>
    <hyperlink xmlns:r="http://schemas.openxmlformats.org/officeDocument/2006/relationships" ref="J196" r:id="rId577"/>
    <hyperlink xmlns:r="http://schemas.openxmlformats.org/officeDocument/2006/relationships" ref="C197" r:id="rId578"/>
    <hyperlink xmlns:r="http://schemas.openxmlformats.org/officeDocument/2006/relationships" ref="I197" r:id="rId579"/>
    <hyperlink xmlns:r="http://schemas.openxmlformats.org/officeDocument/2006/relationships" ref="J197" r:id="rId580"/>
    <hyperlink xmlns:r="http://schemas.openxmlformats.org/officeDocument/2006/relationships" ref="C198" r:id="rId581"/>
    <hyperlink xmlns:r="http://schemas.openxmlformats.org/officeDocument/2006/relationships" ref="I198" r:id="rId582"/>
    <hyperlink xmlns:r="http://schemas.openxmlformats.org/officeDocument/2006/relationships" ref="J198" r:id="rId583"/>
    <hyperlink xmlns:r="http://schemas.openxmlformats.org/officeDocument/2006/relationships" ref="C199" r:id="rId584"/>
    <hyperlink xmlns:r="http://schemas.openxmlformats.org/officeDocument/2006/relationships" ref="I199" r:id="rId585"/>
    <hyperlink xmlns:r="http://schemas.openxmlformats.org/officeDocument/2006/relationships" ref="J199" r:id="rId586"/>
    <hyperlink xmlns:r="http://schemas.openxmlformats.org/officeDocument/2006/relationships" ref="C200" r:id="rId587"/>
    <hyperlink xmlns:r="http://schemas.openxmlformats.org/officeDocument/2006/relationships" ref="I200" r:id="rId588"/>
    <hyperlink xmlns:r="http://schemas.openxmlformats.org/officeDocument/2006/relationships" ref="J200" r:id="rId589"/>
    <hyperlink xmlns:r="http://schemas.openxmlformats.org/officeDocument/2006/relationships" ref="C201" r:id="rId590"/>
    <hyperlink xmlns:r="http://schemas.openxmlformats.org/officeDocument/2006/relationships" ref="I201" r:id="rId591"/>
    <hyperlink xmlns:r="http://schemas.openxmlformats.org/officeDocument/2006/relationships" ref="J201" r:id="rId592"/>
    <hyperlink xmlns:r="http://schemas.openxmlformats.org/officeDocument/2006/relationships" ref="C202" r:id="rId593"/>
    <hyperlink xmlns:r="http://schemas.openxmlformats.org/officeDocument/2006/relationships" ref="I202" r:id="rId594"/>
    <hyperlink xmlns:r="http://schemas.openxmlformats.org/officeDocument/2006/relationships" ref="J202" r:id="rId595"/>
    <hyperlink xmlns:r="http://schemas.openxmlformats.org/officeDocument/2006/relationships" ref="C203" r:id="rId596"/>
    <hyperlink xmlns:r="http://schemas.openxmlformats.org/officeDocument/2006/relationships" ref="I203" r:id="rId597"/>
    <hyperlink xmlns:r="http://schemas.openxmlformats.org/officeDocument/2006/relationships" ref="J203" r:id="rId598"/>
    <hyperlink xmlns:r="http://schemas.openxmlformats.org/officeDocument/2006/relationships" ref="C204" r:id="rId599"/>
    <hyperlink xmlns:r="http://schemas.openxmlformats.org/officeDocument/2006/relationships" ref="I204" r:id="rId600"/>
    <hyperlink xmlns:r="http://schemas.openxmlformats.org/officeDocument/2006/relationships" ref="J204" r:id="rId601"/>
    <hyperlink xmlns:r="http://schemas.openxmlformats.org/officeDocument/2006/relationships" ref="C205" r:id="rId602"/>
    <hyperlink xmlns:r="http://schemas.openxmlformats.org/officeDocument/2006/relationships" ref="I205" r:id="rId603"/>
    <hyperlink xmlns:r="http://schemas.openxmlformats.org/officeDocument/2006/relationships" ref="J205" r:id="rId604"/>
    <hyperlink xmlns:r="http://schemas.openxmlformats.org/officeDocument/2006/relationships" ref="C206" r:id="rId605"/>
    <hyperlink xmlns:r="http://schemas.openxmlformats.org/officeDocument/2006/relationships" ref="I206" r:id="rId606"/>
    <hyperlink xmlns:r="http://schemas.openxmlformats.org/officeDocument/2006/relationships" ref="J206" r:id="rId607"/>
    <hyperlink xmlns:r="http://schemas.openxmlformats.org/officeDocument/2006/relationships" ref="C207" r:id="rId608"/>
    <hyperlink xmlns:r="http://schemas.openxmlformats.org/officeDocument/2006/relationships" ref="I207" r:id="rId609"/>
    <hyperlink xmlns:r="http://schemas.openxmlformats.org/officeDocument/2006/relationships" ref="J207" r:id="rId610"/>
    <hyperlink xmlns:r="http://schemas.openxmlformats.org/officeDocument/2006/relationships" ref="C208" r:id="rId611"/>
    <hyperlink xmlns:r="http://schemas.openxmlformats.org/officeDocument/2006/relationships" ref="I208" r:id="rId612"/>
    <hyperlink xmlns:r="http://schemas.openxmlformats.org/officeDocument/2006/relationships" ref="J208" r:id="rId613"/>
    <hyperlink xmlns:r="http://schemas.openxmlformats.org/officeDocument/2006/relationships" ref="C209" r:id="rId614"/>
    <hyperlink xmlns:r="http://schemas.openxmlformats.org/officeDocument/2006/relationships" ref="I209" r:id="rId615"/>
    <hyperlink xmlns:r="http://schemas.openxmlformats.org/officeDocument/2006/relationships" ref="J209" r:id="rId616"/>
    <hyperlink xmlns:r="http://schemas.openxmlformats.org/officeDocument/2006/relationships" ref="C210" r:id="rId617"/>
    <hyperlink xmlns:r="http://schemas.openxmlformats.org/officeDocument/2006/relationships" ref="I210" r:id="rId618"/>
    <hyperlink xmlns:r="http://schemas.openxmlformats.org/officeDocument/2006/relationships" ref="J210" r:id="rId619"/>
    <hyperlink xmlns:r="http://schemas.openxmlformats.org/officeDocument/2006/relationships" ref="C211" r:id="rId620"/>
    <hyperlink xmlns:r="http://schemas.openxmlformats.org/officeDocument/2006/relationships" ref="I211" r:id="rId621"/>
    <hyperlink xmlns:r="http://schemas.openxmlformats.org/officeDocument/2006/relationships" ref="J211" r:id="rId622"/>
    <hyperlink xmlns:r="http://schemas.openxmlformats.org/officeDocument/2006/relationships" ref="C212" r:id="rId623"/>
    <hyperlink xmlns:r="http://schemas.openxmlformats.org/officeDocument/2006/relationships" ref="I212" r:id="rId624"/>
    <hyperlink xmlns:r="http://schemas.openxmlformats.org/officeDocument/2006/relationships" ref="J212" r:id="rId625"/>
    <hyperlink xmlns:r="http://schemas.openxmlformats.org/officeDocument/2006/relationships" ref="C213" r:id="rId626"/>
    <hyperlink xmlns:r="http://schemas.openxmlformats.org/officeDocument/2006/relationships" ref="I213" r:id="rId627"/>
    <hyperlink xmlns:r="http://schemas.openxmlformats.org/officeDocument/2006/relationships" ref="J213" r:id="rId628"/>
    <hyperlink xmlns:r="http://schemas.openxmlformats.org/officeDocument/2006/relationships" ref="C214" r:id="rId629"/>
    <hyperlink xmlns:r="http://schemas.openxmlformats.org/officeDocument/2006/relationships" ref="I214" r:id="rId630"/>
    <hyperlink xmlns:r="http://schemas.openxmlformats.org/officeDocument/2006/relationships" ref="J214" r:id="rId631"/>
    <hyperlink xmlns:r="http://schemas.openxmlformats.org/officeDocument/2006/relationships" ref="C215" r:id="rId632"/>
    <hyperlink xmlns:r="http://schemas.openxmlformats.org/officeDocument/2006/relationships" ref="I215" r:id="rId633"/>
    <hyperlink xmlns:r="http://schemas.openxmlformats.org/officeDocument/2006/relationships" ref="J215" r:id="rId634"/>
    <hyperlink xmlns:r="http://schemas.openxmlformats.org/officeDocument/2006/relationships" ref="C216" r:id="rId635"/>
    <hyperlink xmlns:r="http://schemas.openxmlformats.org/officeDocument/2006/relationships" ref="I216" r:id="rId636"/>
    <hyperlink xmlns:r="http://schemas.openxmlformats.org/officeDocument/2006/relationships" ref="J216" r:id="rId637"/>
    <hyperlink xmlns:r="http://schemas.openxmlformats.org/officeDocument/2006/relationships" ref="C217" r:id="rId638"/>
    <hyperlink xmlns:r="http://schemas.openxmlformats.org/officeDocument/2006/relationships" ref="I217" r:id="rId639"/>
    <hyperlink xmlns:r="http://schemas.openxmlformats.org/officeDocument/2006/relationships" ref="J217" r:id="rId640"/>
    <hyperlink xmlns:r="http://schemas.openxmlformats.org/officeDocument/2006/relationships" ref="C218" r:id="rId641"/>
    <hyperlink xmlns:r="http://schemas.openxmlformats.org/officeDocument/2006/relationships" ref="I218" r:id="rId642"/>
    <hyperlink xmlns:r="http://schemas.openxmlformats.org/officeDocument/2006/relationships" ref="J218" r:id="rId643"/>
    <hyperlink xmlns:r="http://schemas.openxmlformats.org/officeDocument/2006/relationships" ref="C219" r:id="rId644"/>
    <hyperlink xmlns:r="http://schemas.openxmlformats.org/officeDocument/2006/relationships" ref="I219" r:id="rId645"/>
    <hyperlink xmlns:r="http://schemas.openxmlformats.org/officeDocument/2006/relationships" ref="J219" r:id="rId646"/>
    <hyperlink xmlns:r="http://schemas.openxmlformats.org/officeDocument/2006/relationships" ref="C220" r:id="rId647"/>
    <hyperlink xmlns:r="http://schemas.openxmlformats.org/officeDocument/2006/relationships" ref="I220" r:id="rId648"/>
    <hyperlink xmlns:r="http://schemas.openxmlformats.org/officeDocument/2006/relationships" ref="J220" r:id="rId649"/>
    <hyperlink xmlns:r="http://schemas.openxmlformats.org/officeDocument/2006/relationships" ref="C221" r:id="rId650"/>
    <hyperlink xmlns:r="http://schemas.openxmlformats.org/officeDocument/2006/relationships" ref="I221" r:id="rId651"/>
    <hyperlink xmlns:r="http://schemas.openxmlformats.org/officeDocument/2006/relationships" ref="J221" r:id="rId652"/>
    <hyperlink xmlns:r="http://schemas.openxmlformats.org/officeDocument/2006/relationships" ref="C222" r:id="rId653"/>
    <hyperlink xmlns:r="http://schemas.openxmlformats.org/officeDocument/2006/relationships" ref="I222" r:id="rId654"/>
    <hyperlink xmlns:r="http://schemas.openxmlformats.org/officeDocument/2006/relationships" ref="J222" r:id="rId655"/>
    <hyperlink xmlns:r="http://schemas.openxmlformats.org/officeDocument/2006/relationships" ref="C223" r:id="rId656"/>
    <hyperlink xmlns:r="http://schemas.openxmlformats.org/officeDocument/2006/relationships" ref="I223" r:id="rId657"/>
    <hyperlink xmlns:r="http://schemas.openxmlformats.org/officeDocument/2006/relationships" ref="J223" r:id="rId658"/>
    <hyperlink xmlns:r="http://schemas.openxmlformats.org/officeDocument/2006/relationships" ref="C224" r:id="rId659"/>
    <hyperlink xmlns:r="http://schemas.openxmlformats.org/officeDocument/2006/relationships" ref="I224" r:id="rId660"/>
    <hyperlink xmlns:r="http://schemas.openxmlformats.org/officeDocument/2006/relationships" ref="J224" r:id="rId661"/>
    <hyperlink xmlns:r="http://schemas.openxmlformats.org/officeDocument/2006/relationships" ref="C225" r:id="rId662"/>
    <hyperlink xmlns:r="http://schemas.openxmlformats.org/officeDocument/2006/relationships" ref="I225" r:id="rId663"/>
    <hyperlink xmlns:r="http://schemas.openxmlformats.org/officeDocument/2006/relationships" ref="J225" r:id="rId664"/>
    <hyperlink xmlns:r="http://schemas.openxmlformats.org/officeDocument/2006/relationships" ref="C226" r:id="rId665"/>
    <hyperlink xmlns:r="http://schemas.openxmlformats.org/officeDocument/2006/relationships" ref="I226" r:id="rId666"/>
    <hyperlink xmlns:r="http://schemas.openxmlformats.org/officeDocument/2006/relationships" ref="J226" r:id="rId667"/>
    <hyperlink xmlns:r="http://schemas.openxmlformats.org/officeDocument/2006/relationships" ref="C227" r:id="rId668"/>
    <hyperlink xmlns:r="http://schemas.openxmlformats.org/officeDocument/2006/relationships" ref="I227" r:id="rId669"/>
    <hyperlink xmlns:r="http://schemas.openxmlformats.org/officeDocument/2006/relationships" ref="J227" r:id="rId670"/>
    <hyperlink xmlns:r="http://schemas.openxmlformats.org/officeDocument/2006/relationships" ref="C228" r:id="rId671"/>
    <hyperlink xmlns:r="http://schemas.openxmlformats.org/officeDocument/2006/relationships" ref="I228" r:id="rId672"/>
    <hyperlink xmlns:r="http://schemas.openxmlformats.org/officeDocument/2006/relationships" ref="J228" r:id="rId673"/>
    <hyperlink xmlns:r="http://schemas.openxmlformats.org/officeDocument/2006/relationships" ref="C229" r:id="rId674"/>
    <hyperlink xmlns:r="http://schemas.openxmlformats.org/officeDocument/2006/relationships" ref="I229" r:id="rId675"/>
    <hyperlink xmlns:r="http://schemas.openxmlformats.org/officeDocument/2006/relationships" ref="J229" r:id="rId676"/>
    <hyperlink xmlns:r="http://schemas.openxmlformats.org/officeDocument/2006/relationships" ref="C230" r:id="rId677"/>
    <hyperlink xmlns:r="http://schemas.openxmlformats.org/officeDocument/2006/relationships" ref="I230" r:id="rId678"/>
    <hyperlink xmlns:r="http://schemas.openxmlformats.org/officeDocument/2006/relationships" ref="J230" r:id="rId679"/>
    <hyperlink xmlns:r="http://schemas.openxmlformats.org/officeDocument/2006/relationships" ref="C231" r:id="rId680"/>
    <hyperlink xmlns:r="http://schemas.openxmlformats.org/officeDocument/2006/relationships" ref="I231" r:id="rId681"/>
    <hyperlink xmlns:r="http://schemas.openxmlformats.org/officeDocument/2006/relationships" ref="J231" r:id="rId682"/>
    <hyperlink xmlns:r="http://schemas.openxmlformats.org/officeDocument/2006/relationships" ref="C232" r:id="rId683"/>
    <hyperlink xmlns:r="http://schemas.openxmlformats.org/officeDocument/2006/relationships" ref="I232" r:id="rId684"/>
    <hyperlink xmlns:r="http://schemas.openxmlformats.org/officeDocument/2006/relationships" ref="J232" r:id="rId685"/>
    <hyperlink xmlns:r="http://schemas.openxmlformats.org/officeDocument/2006/relationships" ref="C233" r:id="rId686"/>
    <hyperlink xmlns:r="http://schemas.openxmlformats.org/officeDocument/2006/relationships" ref="I233" r:id="rId687"/>
    <hyperlink xmlns:r="http://schemas.openxmlformats.org/officeDocument/2006/relationships" ref="J233" r:id="rId688"/>
    <hyperlink xmlns:r="http://schemas.openxmlformats.org/officeDocument/2006/relationships" ref="C234" r:id="rId689"/>
    <hyperlink xmlns:r="http://schemas.openxmlformats.org/officeDocument/2006/relationships" ref="I234" r:id="rId690"/>
    <hyperlink xmlns:r="http://schemas.openxmlformats.org/officeDocument/2006/relationships" ref="J234" r:id="rId691"/>
    <hyperlink xmlns:r="http://schemas.openxmlformats.org/officeDocument/2006/relationships" ref="C235" r:id="rId692"/>
    <hyperlink xmlns:r="http://schemas.openxmlformats.org/officeDocument/2006/relationships" ref="I235" r:id="rId693"/>
    <hyperlink xmlns:r="http://schemas.openxmlformats.org/officeDocument/2006/relationships" ref="J235" r:id="rId694"/>
    <hyperlink xmlns:r="http://schemas.openxmlformats.org/officeDocument/2006/relationships" ref="C236" r:id="rId695"/>
    <hyperlink xmlns:r="http://schemas.openxmlformats.org/officeDocument/2006/relationships" ref="I236" r:id="rId696"/>
    <hyperlink xmlns:r="http://schemas.openxmlformats.org/officeDocument/2006/relationships" ref="J236" r:id="rId697"/>
    <hyperlink xmlns:r="http://schemas.openxmlformats.org/officeDocument/2006/relationships" ref="C237" r:id="rId698"/>
    <hyperlink xmlns:r="http://schemas.openxmlformats.org/officeDocument/2006/relationships" ref="I237" r:id="rId699"/>
    <hyperlink xmlns:r="http://schemas.openxmlformats.org/officeDocument/2006/relationships" ref="J237" r:id="rId700"/>
    <hyperlink xmlns:r="http://schemas.openxmlformats.org/officeDocument/2006/relationships" ref="C238" r:id="rId701"/>
    <hyperlink xmlns:r="http://schemas.openxmlformats.org/officeDocument/2006/relationships" ref="I238" r:id="rId702"/>
    <hyperlink xmlns:r="http://schemas.openxmlformats.org/officeDocument/2006/relationships" ref="J238" r:id="rId703"/>
    <hyperlink xmlns:r="http://schemas.openxmlformats.org/officeDocument/2006/relationships" ref="C239" r:id="rId704"/>
    <hyperlink xmlns:r="http://schemas.openxmlformats.org/officeDocument/2006/relationships" ref="I239" r:id="rId705"/>
    <hyperlink xmlns:r="http://schemas.openxmlformats.org/officeDocument/2006/relationships" ref="J239" r:id="rId706"/>
    <hyperlink xmlns:r="http://schemas.openxmlformats.org/officeDocument/2006/relationships" ref="C240" r:id="rId707"/>
    <hyperlink xmlns:r="http://schemas.openxmlformats.org/officeDocument/2006/relationships" ref="I240" r:id="rId708"/>
    <hyperlink xmlns:r="http://schemas.openxmlformats.org/officeDocument/2006/relationships" ref="J240" r:id="rId709"/>
    <hyperlink xmlns:r="http://schemas.openxmlformats.org/officeDocument/2006/relationships" ref="C241" r:id="rId710"/>
    <hyperlink xmlns:r="http://schemas.openxmlformats.org/officeDocument/2006/relationships" ref="I241" r:id="rId711"/>
    <hyperlink xmlns:r="http://schemas.openxmlformats.org/officeDocument/2006/relationships" ref="J241" r:id="rId712"/>
    <hyperlink xmlns:r="http://schemas.openxmlformats.org/officeDocument/2006/relationships" ref="C242" r:id="rId713"/>
    <hyperlink xmlns:r="http://schemas.openxmlformats.org/officeDocument/2006/relationships" ref="I242" r:id="rId714"/>
    <hyperlink xmlns:r="http://schemas.openxmlformats.org/officeDocument/2006/relationships" ref="J242" r:id="rId715"/>
    <hyperlink xmlns:r="http://schemas.openxmlformats.org/officeDocument/2006/relationships" ref="C243" r:id="rId716"/>
    <hyperlink xmlns:r="http://schemas.openxmlformats.org/officeDocument/2006/relationships" ref="I243" r:id="rId717"/>
    <hyperlink xmlns:r="http://schemas.openxmlformats.org/officeDocument/2006/relationships" ref="J243" r:id="rId718"/>
    <hyperlink xmlns:r="http://schemas.openxmlformats.org/officeDocument/2006/relationships" ref="C244" r:id="rId719"/>
    <hyperlink xmlns:r="http://schemas.openxmlformats.org/officeDocument/2006/relationships" ref="I244" r:id="rId720"/>
    <hyperlink xmlns:r="http://schemas.openxmlformats.org/officeDocument/2006/relationships" ref="J244" r:id="rId721"/>
    <hyperlink xmlns:r="http://schemas.openxmlformats.org/officeDocument/2006/relationships" ref="C245" r:id="rId722"/>
    <hyperlink xmlns:r="http://schemas.openxmlformats.org/officeDocument/2006/relationships" ref="I245" r:id="rId723"/>
    <hyperlink xmlns:r="http://schemas.openxmlformats.org/officeDocument/2006/relationships" ref="J245" r:id="rId724"/>
    <hyperlink xmlns:r="http://schemas.openxmlformats.org/officeDocument/2006/relationships" ref="C246" r:id="rId725"/>
    <hyperlink xmlns:r="http://schemas.openxmlformats.org/officeDocument/2006/relationships" ref="I246" r:id="rId726"/>
    <hyperlink xmlns:r="http://schemas.openxmlformats.org/officeDocument/2006/relationships" ref="J246" r:id="rId727"/>
    <hyperlink xmlns:r="http://schemas.openxmlformats.org/officeDocument/2006/relationships" ref="C247" r:id="rId728"/>
    <hyperlink xmlns:r="http://schemas.openxmlformats.org/officeDocument/2006/relationships" ref="I247" r:id="rId729"/>
    <hyperlink xmlns:r="http://schemas.openxmlformats.org/officeDocument/2006/relationships" ref="J247" r:id="rId730"/>
    <hyperlink xmlns:r="http://schemas.openxmlformats.org/officeDocument/2006/relationships" ref="C248" r:id="rId731"/>
    <hyperlink xmlns:r="http://schemas.openxmlformats.org/officeDocument/2006/relationships" ref="I248" r:id="rId732"/>
    <hyperlink xmlns:r="http://schemas.openxmlformats.org/officeDocument/2006/relationships" ref="J248" r:id="rId733"/>
    <hyperlink xmlns:r="http://schemas.openxmlformats.org/officeDocument/2006/relationships" ref="C249" r:id="rId734"/>
    <hyperlink xmlns:r="http://schemas.openxmlformats.org/officeDocument/2006/relationships" ref="I249" r:id="rId735"/>
    <hyperlink xmlns:r="http://schemas.openxmlformats.org/officeDocument/2006/relationships" ref="J249" r:id="rId736"/>
    <hyperlink xmlns:r="http://schemas.openxmlformats.org/officeDocument/2006/relationships" ref="C250" r:id="rId737"/>
    <hyperlink xmlns:r="http://schemas.openxmlformats.org/officeDocument/2006/relationships" ref="I250" r:id="rId738"/>
    <hyperlink xmlns:r="http://schemas.openxmlformats.org/officeDocument/2006/relationships" ref="J250" r:id="rId739"/>
    <hyperlink xmlns:r="http://schemas.openxmlformats.org/officeDocument/2006/relationships" ref="C251" r:id="rId740"/>
    <hyperlink xmlns:r="http://schemas.openxmlformats.org/officeDocument/2006/relationships" ref="I251" r:id="rId741"/>
    <hyperlink xmlns:r="http://schemas.openxmlformats.org/officeDocument/2006/relationships" ref="J251" r:id="rId742"/>
    <hyperlink xmlns:r="http://schemas.openxmlformats.org/officeDocument/2006/relationships" ref="C252" r:id="rId743"/>
    <hyperlink xmlns:r="http://schemas.openxmlformats.org/officeDocument/2006/relationships" ref="I252" r:id="rId744"/>
    <hyperlink xmlns:r="http://schemas.openxmlformats.org/officeDocument/2006/relationships" ref="J252" r:id="rId745"/>
    <hyperlink xmlns:r="http://schemas.openxmlformats.org/officeDocument/2006/relationships" ref="C253" r:id="rId746"/>
    <hyperlink xmlns:r="http://schemas.openxmlformats.org/officeDocument/2006/relationships" ref="I253" r:id="rId747"/>
    <hyperlink xmlns:r="http://schemas.openxmlformats.org/officeDocument/2006/relationships" ref="J253" r:id="rId748"/>
    <hyperlink xmlns:r="http://schemas.openxmlformats.org/officeDocument/2006/relationships" ref="C254" r:id="rId749"/>
    <hyperlink xmlns:r="http://schemas.openxmlformats.org/officeDocument/2006/relationships" ref="I254" r:id="rId750"/>
    <hyperlink xmlns:r="http://schemas.openxmlformats.org/officeDocument/2006/relationships" ref="J254" r:id="rId751"/>
    <hyperlink xmlns:r="http://schemas.openxmlformats.org/officeDocument/2006/relationships" ref="C255" r:id="rId752"/>
    <hyperlink xmlns:r="http://schemas.openxmlformats.org/officeDocument/2006/relationships" ref="I255" r:id="rId753"/>
    <hyperlink xmlns:r="http://schemas.openxmlformats.org/officeDocument/2006/relationships" ref="J255" r:id="rId754"/>
    <hyperlink xmlns:r="http://schemas.openxmlformats.org/officeDocument/2006/relationships" ref="C256" r:id="rId755"/>
    <hyperlink xmlns:r="http://schemas.openxmlformats.org/officeDocument/2006/relationships" ref="I256" r:id="rId756"/>
    <hyperlink xmlns:r="http://schemas.openxmlformats.org/officeDocument/2006/relationships" ref="J256" r:id="rId757"/>
    <hyperlink xmlns:r="http://schemas.openxmlformats.org/officeDocument/2006/relationships" ref="C257" r:id="rId758"/>
    <hyperlink xmlns:r="http://schemas.openxmlformats.org/officeDocument/2006/relationships" ref="I257" r:id="rId759"/>
    <hyperlink xmlns:r="http://schemas.openxmlformats.org/officeDocument/2006/relationships" ref="J257" r:id="rId760"/>
    <hyperlink xmlns:r="http://schemas.openxmlformats.org/officeDocument/2006/relationships" ref="C258" r:id="rId761"/>
    <hyperlink xmlns:r="http://schemas.openxmlformats.org/officeDocument/2006/relationships" ref="I258" r:id="rId762"/>
    <hyperlink xmlns:r="http://schemas.openxmlformats.org/officeDocument/2006/relationships" ref="J258" r:id="rId763"/>
    <hyperlink xmlns:r="http://schemas.openxmlformats.org/officeDocument/2006/relationships" ref="C259" r:id="rId764"/>
    <hyperlink xmlns:r="http://schemas.openxmlformats.org/officeDocument/2006/relationships" ref="I259" r:id="rId765"/>
    <hyperlink xmlns:r="http://schemas.openxmlformats.org/officeDocument/2006/relationships" ref="J259" r:id="rId766"/>
    <hyperlink xmlns:r="http://schemas.openxmlformats.org/officeDocument/2006/relationships" ref="C260" r:id="rId767"/>
    <hyperlink xmlns:r="http://schemas.openxmlformats.org/officeDocument/2006/relationships" ref="I260" r:id="rId768"/>
    <hyperlink xmlns:r="http://schemas.openxmlformats.org/officeDocument/2006/relationships" ref="J260" r:id="rId769"/>
    <hyperlink xmlns:r="http://schemas.openxmlformats.org/officeDocument/2006/relationships" ref="C261" r:id="rId770"/>
    <hyperlink xmlns:r="http://schemas.openxmlformats.org/officeDocument/2006/relationships" ref="I261" r:id="rId771"/>
    <hyperlink xmlns:r="http://schemas.openxmlformats.org/officeDocument/2006/relationships" ref="J261" r:id="rId772"/>
    <hyperlink xmlns:r="http://schemas.openxmlformats.org/officeDocument/2006/relationships" ref="C262" r:id="rId773"/>
    <hyperlink xmlns:r="http://schemas.openxmlformats.org/officeDocument/2006/relationships" ref="J262" r:id="rId774"/>
    <hyperlink xmlns:r="http://schemas.openxmlformats.org/officeDocument/2006/relationships" ref="C263" r:id="rId775"/>
    <hyperlink xmlns:r="http://schemas.openxmlformats.org/officeDocument/2006/relationships" ref="I263" r:id="rId776"/>
    <hyperlink xmlns:r="http://schemas.openxmlformats.org/officeDocument/2006/relationships" ref="J263" r:id="rId777"/>
    <hyperlink xmlns:r="http://schemas.openxmlformats.org/officeDocument/2006/relationships" ref="C264" r:id="rId778"/>
    <hyperlink xmlns:r="http://schemas.openxmlformats.org/officeDocument/2006/relationships" ref="I264" r:id="rId779"/>
    <hyperlink xmlns:r="http://schemas.openxmlformats.org/officeDocument/2006/relationships" ref="J264" r:id="rId780"/>
    <hyperlink xmlns:r="http://schemas.openxmlformats.org/officeDocument/2006/relationships" ref="C265" r:id="rId781"/>
    <hyperlink xmlns:r="http://schemas.openxmlformats.org/officeDocument/2006/relationships" ref="I265" r:id="rId782"/>
    <hyperlink xmlns:r="http://schemas.openxmlformats.org/officeDocument/2006/relationships" ref="J265" r:id="rId783"/>
    <hyperlink xmlns:r="http://schemas.openxmlformats.org/officeDocument/2006/relationships" ref="C266" r:id="rId784"/>
    <hyperlink xmlns:r="http://schemas.openxmlformats.org/officeDocument/2006/relationships" ref="I266" r:id="rId785"/>
    <hyperlink xmlns:r="http://schemas.openxmlformats.org/officeDocument/2006/relationships" ref="J266" r:id="rId786"/>
    <hyperlink xmlns:r="http://schemas.openxmlformats.org/officeDocument/2006/relationships" ref="C267" r:id="rId787"/>
    <hyperlink xmlns:r="http://schemas.openxmlformats.org/officeDocument/2006/relationships" ref="I267" r:id="rId788"/>
    <hyperlink xmlns:r="http://schemas.openxmlformats.org/officeDocument/2006/relationships" ref="J267" r:id="rId789"/>
    <hyperlink xmlns:r="http://schemas.openxmlformats.org/officeDocument/2006/relationships" ref="C268" r:id="rId790"/>
    <hyperlink xmlns:r="http://schemas.openxmlformats.org/officeDocument/2006/relationships" ref="I268" r:id="rId791"/>
    <hyperlink xmlns:r="http://schemas.openxmlformats.org/officeDocument/2006/relationships" ref="J268" r:id="rId792"/>
    <hyperlink xmlns:r="http://schemas.openxmlformats.org/officeDocument/2006/relationships" ref="C269" r:id="rId793"/>
    <hyperlink xmlns:r="http://schemas.openxmlformats.org/officeDocument/2006/relationships" ref="I269" r:id="rId794"/>
    <hyperlink xmlns:r="http://schemas.openxmlformats.org/officeDocument/2006/relationships" ref="J269" r:id="rId795"/>
    <hyperlink xmlns:r="http://schemas.openxmlformats.org/officeDocument/2006/relationships" ref="C270" r:id="rId796"/>
    <hyperlink xmlns:r="http://schemas.openxmlformats.org/officeDocument/2006/relationships" ref="I270" r:id="rId797"/>
    <hyperlink xmlns:r="http://schemas.openxmlformats.org/officeDocument/2006/relationships" ref="J270" r:id="rId798"/>
    <hyperlink xmlns:r="http://schemas.openxmlformats.org/officeDocument/2006/relationships" ref="C271" r:id="rId799"/>
    <hyperlink xmlns:r="http://schemas.openxmlformats.org/officeDocument/2006/relationships" ref="I271" r:id="rId800"/>
    <hyperlink xmlns:r="http://schemas.openxmlformats.org/officeDocument/2006/relationships" ref="J271" r:id="rId801"/>
    <hyperlink xmlns:r="http://schemas.openxmlformats.org/officeDocument/2006/relationships" ref="C272" r:id="rId802"/>
    <hyperlink xmlns:r="http://schemas.openxmlformats.org/officeDocument/2006/relationships" ref="I272" r:id="rId803"/>
    <hyperlink xmlns:r="http://schemas.openxmlformats.org/officeDocument/2006/relationships" ref="J272" r:id="rId804"/>
    <hyperlink xmlns:r="http://schemas.openxmlformats.org/officeDocument/2006/relationships" ref="C273" r:id="rId805"/>
    <hyperlink xmlns:r="http://schemas.openxmlformats.org/officeDocument/2006/relationships" ref="I273" r:id="rId806"/>
    <hyperlink xmlns:r="http://schemas.openxmlformats.org/officeDocument/2006/relationships" ref="J273" r:id="rId807"/>
    <hyperlink xmlns:r="http://schemas.openxmlformats.org/officeDocument/2006/relationships" ref="C274" r:id="rId808"/>
    <hyperlink xmlns:r="http://schemas.openxmlformats.org/officeDocument/2006/relationships" ref="I274" r:id="rId809"/>
    <hyperlink xmlns:r="http://schemas.openxmlformats.org/officeDocument/2006/relationships" ref="J274" r:id="rId810"/>
    <hyperlink xmlns:r="http://schemas.openxmlformats.org/officeDocument/2006/relationships" ref="C275" r:id="rId811"/>
    <hyperlink xmlns:r="http://schemas.openxmlformats.org/officeDocument/2006/relationships" ref="I275" r:id="rId812"/>
    <hyperlink xmlns:r="http://schemas.openxmlformats.org/officeDocument/2006/relationships" ref="J275" r:id="rId813"/>
    <hyperlink xmlns:r="http://schemas.openxmlformats.org/officeDocument/2006/relationships" ref="C276" r:id="rId814"/>
    <hyperlink xmlns:r="http://schemas.openxmlformats.org/officeDocument/2006/relationships" ref="I276" r:id="rId815"/>
    <hyperlink xmlns:r="http://schemas.openxmlformats.org/officeDocument/2006/relationships" ref="J276" r:id="rId816"/>
    <hyperlink xmlns:r="http://schemas.openxmlformats.org/officeDocument/2006/relationships" ref="C277" r:id="rId817"/>
    <hyperlink xmlns:r="http://schemas.openxmlformats.org/officeDocument/2006/relationships" ref="I277" r:id="rId818"/>
    <hyperlink xmlns:r="http://schemas.openxmlformats.org/officeDocument/2006/relationships" ref="J277" r:id="rId819"/>
    <hyperlink xmlns:r="http://schemas.openxmlformats.org/officeDocument/2006/relationships" ref="C278" r:id="rId820"/>
    <hyperlink xmlns:r="http://schemas.openxmlformats.org/officeDocument/2006/relationships" ref="I278" r:id="rId821"/>
    <hyperlink xmlns:r="http://schemas.openxmlformats.org/officeDocument/2006/relationships" ref="J278" r:id="rId822"/>
    <hyperlink xmlns:r="http://schemas.openxmlformats.org/officeDocument/2006/relationships" ref="C279" r:id="rId823"/>
    <hyperlink xmlns:r="http://schemas.openxmlformats.org/officeDocument/2006/relationships" ref="I279" r:id="rId824"/>
    <hyperlink xmlns:r="http://schemas.openxmlformats.org/officeDocument/2006/relationships" ref="J279" r:id="rId825"/>
    <hyperlink xmlns:r="http://schemas.openxmlformats.org/officeDocument/2006/relationships" ref="C280" r:id="rId826"/>
    <hyperlink xmlns:r="http://schemas.openxmlformats.org/officeDocument/2006/relationships" ref="I280" r:id="rId827"/>
    <hyperlink xmlns:r="http://schemas.openxmlformats.org/officeDocument/2006/relationships" ref="J280" r:id="rId828"/>
    <hyperlink xmlns:r="http://schemas.openxmlformats.org/officeDocument/2006/relationships" ref="C281" r:id="rId829"/>
    <hyperlink xmlns:r="http://schemas.openxmlformats.org/officeDocument/2006/relationships" ref="I281" r:id="rId830"/>
    <hyperlink xmlns:r="http://schemas.openxmlformats.org/officeDocument/2006/relationships" ref="J281" r:id="rId831"/>
    <hyperlink xmlns:r="http://schemas.openxmlformats.org/officeDocument/2006/relationships" ref="C282" r:id="rId832"/>
    <hyperlink xmlns:r="http://schemas.openxmlformats.org/officeDocument/2006/relationships" ref="I282" r:id="rId833"/>
    <hyperlink xmlns:r="http://schemas.openxmlformats.org/officeDocument/2006/relationships" ref="J282" r:id="rId834"/>
    <hyperlink xmlns:r="http://schemas.openxmlformats.org/officeDocument/2006/relationships" ref="C283" r:id="rId835"/>
    <hyperlink xmlns:r="http://schemas.openxmlformats.org/officeDocument/2006/relationships" ref="I283" r:id="rId836"/>
    <hyperlink xmlns:r="http://schemas.openxmlformats.org/officeDocument/2006/relationships" ref="J283" r:id="rId837"/>
    <hyperlink xmlns:r="http://schemas.openxmlformats.org/officeDocument/2006/relationships" ref="C284" r:id="rId838"/>
    <hyperlink xmlns:r="http://schemas.openxmlformats.org/officeDocument/2006/relationships" ref="I284" r:id="rId839"/>
    <hyperlink xmlns:r="http://schemas.openxmlformats.org/officeDocument/2006/relationships" ref="J284" r:id="rId840"/>
    <hyperlink xmlns:r="http://schemas.openxmlformats.org/officeDocument/2006/relationships" ref="C285" r:id="rId841"/>
    <hyperlink xmlns:r="http://schemas.openxmlformats.org/officeDocument/2006/relationships" ref="I285" r:id="rId842"/>
    <hyperlink xmlns:r="http://schemas.openxmlformats.org/officeDocument/2006/relationships" ref="J285" r:id="rId843"/>
    <hyperlink xmlns:r="http://schemas.openxmlformats.org/officeDocument/2006/relationships" ref="C286" r:id="rId844"/>
    <hyperlink xmlns:r="http://schemas.openxmlformats.org/officeDocument/2006/relationships" ref="I286" r:id="rId845"/>
    <hyperlink xmlns:r="http://schemas.openxmlformats.org/officeDocument/2006/relationships" ref="J286" r:id="rId846"/>
    <hyperlink xmlns:r="http://schemas.openxmlformats.org/officeDocument/2006/relationships" ref="C287" r:id="rId847"/>
    <hyperlink xmlns:r="http://schemas.openxmlformats.org/officeDocument/2006/relationships" ref="I287" r:id="rId848"/>
    <hyperlink xmlns:r="http://schemas.openxmlformats.org/officeDocument/2006/relationships" ref="J287" r:id="rId849"/>
    <hyperlink xmlns:r="http://schemas.openxmlformats.org/officeDocument/2006/relationships" ref="C288" r:id="rId850"/>
    <hyperlink xmlns:r="http://schemas.openxmlformats.org/officeDocument/2006/relationships" ref="I288" r:id="rId851"/>
    <hyperlink xmlns:r="http://schemas.openxmlformats.org/officeDocument/2006/relationships" ref="J288" r:id="rId852"/>
    <hyperlink xmlns:r="http://schemas.openxmlformats.org/officeDocument/2006/relationships" ref="C289" r:id="rId853"/>
    <hyperlink xmlns:r="http://schemas.openxmlformats.org/officeDocument/2006/relationships" ref="I289" r:id="rId854"/>
    <hyperlink xmlns:r="http://schemas.openxmlformats.org/officeDocument/2006/relationships" ref="J289" r:id="rId855"/>
    <hyperlink xmlns:r="http://schemas.openxmlformats.org/officeDocument/2006/relationships" ref="C290" r:id="rId856"/>
    <hyperlink xmlns:r="http://schemas.openxmlformats.org/officeDocument/2006/relationships" ref="I290" r:id="rId857"/>
    <hyperlink xmlns:r="http://schemas.openxmlformats.org/officeDocument/2006/relationships" ref="J290" r:id="rId858"/>
    <hyperlink xmlns:r="http://schemas.openxmlformats.org/officeDocument/2006/relationships" ref="C291" r:id="rId859"/>
    <hyperlink xmlns:r="http://schemas.openxmlformats.org/officeDocument/2006/relationships" ref="I291" r:id="rId860"/>
    <hyperlink xmlns:r="http://schemas.openxmlformats.org/officeDocument/2006/relationships" ref="J291" r:id="rId861"/>
    <hyperlink xmlns:r="http://schemas.openxmlformats.org/officeDocument/2006/relationships" ref="C292" r:id="rId862"/>
    <hyperlink xmlns:r="http://schemas.openxmlformats.org/officeDocument/2006/relationships" ref="I292" r:id="rId863"/>
    <hyperlink xmlns:r="http://schemas.openxmlformats.org/officeDocument/2006/relationships" ref="J292" r:id="rId864"/>
    <hyperlink xmlns:r="http://schemas.openxmlformats.org/officeDocument/2006/relationships" ref="C293" r:id="rId865"/>
    <hyperlink xmlns:r="http://schemas.openxmlformats.org/officeDocument/2006/relationships" ref="I293" r:id="rId866"/>
    <hyperlink xmlns:r="http://schemas.openxmlformats.org/officeDocument/2006/relationships" ref="J293" r:id="rId867"/>
    <hyperlink xmlns:r="http://schemas.openxmlformats.org/officeDocument/2006/relationships" ref="C294" r:id="rId868"/>
    <hyperlink xmlns:r="http://schemas.openxmlformats.org/officeDocument/2006/relationships" ref="I294" r:id="rId869"/>
    <hyperlink xmlns:r="http://schemas.openxmlformats.org/officeDocument/2006/relationships" ref="J294" r:id="rId870"/>
    <hyperlink xmlns:r="http://schemas.openxmlformats.org/officeDocument/2006/relationships" ref="C295" r:id="rId871"/>
    <hyperlink xmlns:r="http://schemas.openxmlformats.org/officeDocument/2006/relationships" ref="I295" r:id="rId872"/>
    <hyperlink xmlns:r="http://schemas.openxmlformats.org/officeDocument/2006/relationships" ref="J295" r:id="rId873"/>
    <hyperlink xmlns:r="http://schemas.openxmlformats.org/officeDocument/2006/relationships" ref="C296" r:id="rId874"/>
    <hyperlink xmlns:r="http://schemas.openxmlformats.org/officeDocument/2006/relationships" ref="I296" r:id="rId875"/>
    <hyperlink xmlns:r="http://schemas.openxmlformats.org/officeDocument/2006/relationships" ref="J296" r:id="rId876"/>
    <hyperlink xmlns:r="http://schemas.openxmlformats.org/officeDocument/2006/relationships" ref="C297" r:id="rId877"/>
    <hyperlink xmlns:r="http://schemas.openxmlformats.org/officeDocument/2006/relationships" ref="I297" r:id="rId878"/>
    <hyperlink xmlns:r="http://schemas.openxmlformats.org/officeDocument/2006/relationships" ref="J297" r:id="rId879"/>
    <hyperlink xmlns:r="http://schemas.openxmlformats.org/officeDocument/2006/relationships" ref="C298" r:id="rId880"/>
    <hyperlink xmlns:r="http://schemas.openxmlformats.org/officeDocument/2006/relationships" ref="I298" r:id="rId881"/>
    <hyperlink xmlns:r="http://schemas.openxmlformats.org/officeDocument/2006/relationships" ref="J298" r:id="rId882"/>
    <hyperlink xmlns:r="http://schemas.openxmlformats.org/officeDocument/2006/relationships" ref="C299" r:id="rId883"/>
    <hyperlink xmlns:r="http://schemas.openxmlformats.org/officeDocument/2006/relationships" ref="I299" r:id="rId884"/>
    <hyperlink xmlns:r="http://schemas.openxmlformats.org/officeDocument/2006/relationships" ref="J299" r:id="rId885"/>
    <hyperlink xmlns:r="http://schemas.openxmlformats.org/officeDocument/2006/relationships" ref="C300" r:id="rId886"/>
    <hyperlink xmlns:r="http://schemas.openxmlformats.org/officeDocument/2006/relationships" ref="I300" r:id="rId887"/>
    <hyperlink xmlns:r="http://schemas.openxmlformats.org/officeDocument/2006/relationships" ref="J300" r:id="rId888"/>
    <hyperlink xmlns:r="http://schemas.openxmlformats.org/officeDocument/2006/relationships" ref="C301" r:id="rId889"/>
    <hyperlink xmlns:r="http://schemas.openxmlformats.org/officeDocument/2006/relationships" ref="I301" r:id="rId890"/>
    <hyperlink xmlns:r="http://schemas.openxmlformats.org/officeDocument/2006/relationships" ref="J301" r:id="rId891"/>
    <hyperlink xmlns:r="http://schemas.openxmlformats.org/officeDocument/2006/relationships" ref="C302" r:id="rId892"/>
    <hyperlink xmlns:r="http://schemas.openxmlformats.org/officeDocument/2006/relationships" ref="I302" r:id="rId893"/>
    <hyperlink xmlns:r="http://schemas.openxmlformats.org/officeDocument/2006/relationships" ref="J302" r:id="rId894"/>
    <hyperlink xmlns:r="http://schemas.openxmlformats.org/officeDocument/2006/relationships" ref="C303" r:id="rId895"/>
    <hyperlink xmlns:r="http://schemas.openxmlformats.org/officeDocument/2006/relationships" ref="I303" r:id="rId896"/>
    <hyperlink xmlns:r="http://schemas.openxmlformats.org/officeDocument/2006/relationships" ref="J303" r:id="rId897"/>
    <hyperlink xmlns:r="http://schemas.openxmlformats.org/officeDocument/2006/relationships" ref="C304" r:id="rId898"/>
    <hyperlink xmlns:r="http://schemas.openxmlformats.org/officeDocument/2006/relationships" ref="I304" r:id="rId899"/>
    <hyperlink xmlns:r="http://schemas.openxmlformats.org/officeDocument/2006/relationships" ref="J304" r:id="rId900"/>
    <hyperlink xmlns:r="http://schemas.openxmlformats.org/officeDocument/2006/relationships" ref="C305" r:id="rId901"/>
    <hyperlink xmlns:r="http://schemas.openxmlformats.org/officeDocument/2006/relationships" ref="I305" r:id="rId902"/>
    <hyperlink xmlns:r="http://schemas.openxmlformats.org/officeDocument/2006/relationships" ref="J305" r:id="rId903"/>
    <hyperlink xmlns:r="http://schemas.openxmlformats.org/officeDocument/2006/relationships" ref="C306" r:id="rId904"/>
    <hyperlink xmlns:r="http://schemas.openxmlformats.org/officeDocument/2006/relationships" ref="I306" r:id="rId905"/>
    <hyperlink xmlns:r="http://schemas.openxmlformats.org/officeDocument/2006/relationships" ref="J306" r:id="rId906"/>
    <hyperlink xmlns:r="http://schemas.openxmlformats.org/officeDocument/2006/relationships" ref="C307" r:id="rId907"/>
    <hyperlink xmlns:r="http://schemas.openxmlformats.org/officeDocument/2006/relationships" ref="I307" r:id="rId908"/>
    <hyperlink xmlns:r="http://schemas.openxmlformats.org/officeDocument/2006/relationships" ref="J307" r:id="rId909"/>
    <hyperlink xmlns:r="http://schemas.openxmlformats.org/officeDocument/2006/relationships" ref="C308" r:id="rId910"/>
    <hyperlink xmlns:r="http://schemas.openxmlformats.org/officeDocument/2006/relationships" ref="I308" r:id="rId911"/>
    <hyperlink xmlns:r="http://schemas.openxmlformats.org/officeDocument/2006/relationships" ref="J308" r:id="rId912"/>
    <hyperlink xmlns:r="http://schemas.openxmlformats.org/officeDocument/2006/relationships" ref="C309" r:id="rId913"/>
    <hyperlink xmlns:r="http://schemas.openxmlformats.org/officeDocument/2006/relationships" ref="I309" r:id="rId914"/>
    <hyperlink xmlns:r="http://schemas.openxmlformats.org/officeDocument/2006/relationships" ref="J309" r:id="rId915"/>
    <hyperlink xmlns:r="http://schemas.openxmlformats.org/officeDocument/2006/relationships" ref="C310" r:id="rId916"/>
    <hyperlink xmlns:r="http://schemas.openxmlformats.org/officeDocument/2006/relationships" ref="I310" r:id="rId917"/>
    <hyperlink xmlns:r="http://schemas.openxmlformats.org/officeDocument/2006/relationships" ref="J310" r:id="rId918"/>
    <hyperlink xmlns:r="http://schemas.openxmlformats.org/officeDocument/2006/relationships" ref="C311" r:id="rId919"/>
    <hyperlink xmlns:r="http://schemas.openxmlformats.org/officeDocument/2006/relationships" ref="I311" r:id="rId920"/>
    <hyperlink xmlns:r="http://schemas.openxmlformats.org/officeDocument/2006/relationships" ref="J311" r:id="rId921"/>
    <hyperlink xmlns:r="http://schemas.openxmlformats.org/officeDocument/2006/relationships" ref="C312" r:id="rId922"/>
    <hyperlink xmlns:r="http://schemas.openxmlformats.org/officeDocument/2006/relationships" ref="C313" r:id="rId923"/>
    <hyperlink xmlns:r="http://schemas.openxmlformats.org/officeDocument/2006/relationships" ref="I313" r:id="rId924"/>
    <hyperlink xmlns:r="http://schemas.openxmlformats.org/officeDocument/2006/relationships" ref="J313" r:id="rId925"/>
    <hyperlink xmlns:r="http://schemas.openxmlformats.org/officeDocument/2006/relationships" ref="C314" r:id="rId926"/>
    <hyperlink xmlns:r="http://schemas.openxmlformats.org/officeDocument/2006/relationships" ref="I314" r:id="rId927"/>
    <hyperlink xmlns:r="http://schemas.openxmlformats.org/officeDocument/2006/relationships" ref="J314" r:id="rId928"/>
    <hyperlink xmlns:r="http://schemas.openxmlformats.org/officeDocument/2006/relationships" ref="C315" r:id="rId929"/>
    <hyperlink xmlns:r="http://schemas.openxmlformats.org/officeDocument/2006/relationships" ref="I315" r:id="rId930"/>
    <hyperlink xmlns:r="http://schemas.openxmlformats.org/officeDocument/2006/relationships" ref="J315" r:id="rId931"/>
    <hyperlink xmlns:r="http://schemas.openxmlformats.org/officeDocument/2006/relationships" ref="C316" r:id="rId932"/>
    <hyperlink xmlns:r="http://schemas.openxmlformats.org/officeDocument/2006/relationships" ref="I316" r:id="rId933"/>
    <hyperlink xmlns:r="http://schemas.openxmlformats.org/officeDocument/2006/relationships" ref="J316" r:id="rId934"/>
    <hyperlink xmlns:r="http://schemas.openxmlformats.org/officeDocument/2006/relationships" ref="C317" r:id="rId935"/>
    <hyperlink xmlns:r="http://schemas.openxmlformats.org/officeDocument/2006/relationships" ref="I317" r:id="rId936"/>
    <hyperlink xmlns:r="http://schemas.openxmlformats.org/officeDocument/2006/relationships" ref="J317" r:id="rId937"/>
    <hyperlink xmlns:r="http://schemas.openxmlformats.org/officeDocument/2006/relationships" ref="C318" r:id="rId938"/>
    <hyperlink xmlns:r="http://schemas.openxmlformats.org/officeDocument/2006/relationships" ref="I318" r:id="rId939"/>
    <hyperlink xmlns:r="http://schemas.openxmlformats.org/officeDocument/2006/relationships" ref="J318" r:id="rId940"/>
    <hyperlink xmlns:r="http://schemas.openxmlformats.org/officeDocument/2006/relationships" ref="C319" r:id="rId941"/>
    <hyperlink xmlns:r="http://schemas.openxmlformats.org/officeDocument/2006/relationships" ref="I319" r:id="rId942"/>
    <hyperlink xmlns:r="http://schemas.openxmlformats.org/officeDocument/2006/relationships" ref="J319" r:id="rId943"/>
    <hyperlink xmlns:r="http://schemas.openxmlformats.org/officeDocument/2006/relationships" ref="C320" r:id="rId944"/>
    <hyperlink xmlns:r="http://schemas.openxmlformats.org/officeDocument/2006/relationships" ref="I320" r:id="rId945"/>
    <hyperlink xmlns:r="http://schemas.openxmlformats.org/officeDocument/2006/relationships" ref="J320" r:id="rId946"/>
    <hyperlink xmlns:r="http://schemas.openxmlformats.org/officeDocument/2006/relationships" ref="C321" r:id="rId947"/>
    <hyperlink xmlns:r="http://schemas.openxmlformats.org/officeDocument/2006/relationships" ref="I321" r:id="rId948"/>
    <hyperlink xmlns:r="http://schemas.openxmlformats.org/officeDocument/2006/relationships" ref="J321" r:id="rId949"/>
    <hyperlink xmlns:r="http://schemas.openxmlformats.org/officeDocument/2006/relationships" ref="C322" r:id="rId950"/>
    <hyperlink xmlns:r="http://schemas.openxmlformats.org/officeDocument/2006/relationships" ref="I322" r:id="rId951"/>
    <hyperlink xmlns:r="http://schemas.openxmlformats.org/officeDocument/2006/relationships" ref="J322" r:id="rId952"/>
    <hyperlink xmlns:r="http://schemas.openxmlformats.org/officeDocument/2006/relationships" ref="C323" r:id="rId953"/>
    <hyperlink xmlns:r="http://schemas.openxmlformats.org/officeDocument/2006/relationships" ref="I323" r:id="rId954"/>
    <hyperlink xmlns:r="http://schemas.openxmlformats.org/officeDocument/2006/relationships" ref="J323" r:id="rId955"/>
    <hyperlink xmlns:r="http://schemas.openxmlformats.org/officeDocument/2006/relationships" ref="C324" r:id="rId956"/>
    <hyperlink xmlns:r="http://schemas.openxmlformats.org/officeDocument/2006/relationships" ref="I324" r:id="rId957"/>
    <hyperlink xmlns:r="http://schemas.openxmlformats.org/officeDocument/2006/relationships" ref="J324" r:id="rId958"/>
    <hyperlink xmlns:r="http://schemas.openxmlformats.org/officeDocument/2006/relationships" ref="C325" r:id="rId959"/>
    <hyperlink xmlns:r="http://schemas.openxmlformats.org/officeDocument/2006/relationships" ref="I325" r:id="rId960"/>
    <hyperlink xmlns:r="http://schemas.openxmlformats.org/officeDocument/2006/relationships" ref="J325" r:id="rId961"/>
    <hyperlink xmlns:r="http://schemas.openxmlformats.org/officeDocument/2006/relationships" ref="C326" r:id="rId962"/>
    <hyperlink xmlns:r="http://schemas.openxmlformats.org/officeDocument/2006/relationships" ref="I326" r:id="rId963"/>
    <hyperlink xmlns:r="http://schemas.openxmlformats.org/officeDocument/2006/relationships" ref="J326" r:id="rId964"/>
    <hyperlink xmlns:r="http://schemas.openxmlformats.org/officeDocument/2006/relationships" ref="C327" r:id="rId965"/>
    <hyperlink xmlns:r="http://schemas.openxmlformats.org/officeDocument/2006/relationships" ref="I327" r:id="rId966"/>
    <hyperlink xmlns:r="http://schemas.openxmlformats.org/officeDocument/2006/relationships" ref="J327" r:id="rId967"/>
    <hyperlink xmlns:r="http://schemas.openxmlformats.org/officeDocument/2006/relationships" ref="C328" r:id="rId968"/>
    <hyperlink xmlns:r="http://schemas.openxmlformats.org/officeDocument/2006/relationships" ref="I328" r:id="rId969"/>
    <hyperlink xmlns:r="http://schemas.openxmlformats.org/officeDocument/2006/relationships" ref="J328" r:id="rId970"/>
    <hyperlink xmlns:r="http://schemas.openxmlformats.org/officeDocument/2006/relationships" ref="C329" r:id="rId971"/>
    <hyperlink xmlns:r="http://schemas.openxmlformats.org/officeDocument/2006/relationships" ref="I329" r:id="rId972"/>
    <hyperlink xmlns:r="http://schemas.openxmlformats.org/officeDocument/2006/relationships" ref="J329" r:id="rId973"/>
    <hyperlink xmlns:r="http://schemas.openxmlformats.org/officeDocument/2006/relationships" ref="C330" r:id="rId974"/>
    <hyperlink xmlns:r="http://schemas.openxmlformats.org/officeDocument/2006/relationships" ref="I330" r:id="rId975"/>
    <hyperlink xmlns:r="http://schemas.openxmlformats.org/officeDocument/2006/relationships" ref="J330" r:id="rId976"/>
    <hyperlink xmlns:r="http://schemas.openxmlformats.org/officeDocument/2006/relationships" ref="C331" r:id="rId977"/>
    <hyperlink xmlns:r="http://schemas.openxmlformats.org/officeDocument/2006/relationships" ref="I331" r:id="rId978"/>
    <hyperlink xmlns:r="http://schemas.openxmlformats.org/officeDocument/2006/relationships" ref="J331" r:id="rId979"/>
    <hyperlink xmlns:r="http://schemas.openxmlformats.org/officeDocument/2006/relationships" ref="C332" r:id="rId980"/>
    <hyperlink xmlns:r="http://schemas.openxmlformats.org/officeDocument/2006/relationships" ref="I332" r:id="rId981"/>
    <hyperlink xmlns:r="http://schemas.openxmlformats.org/officeDocument/2006/relationships" ref="J332" r:id="rId982"/>
    <hyperlink xmlns:r="http://schemas.openxmlformats.org/officeDocument/2006/relationships" ref="C333" r:id="rId983"/>
    <hyperlink xmlns:r="http://schemas.openxmlformats.org/officeDocument/2006/relationships" ref="I333" r:id="rId984"/>
    <hyperlink xmlns:r="http://schemas.openxmlformats.org/officeDocument/2006/relationships" ref="J333" r:id="rId985"/>
    <hyperlink xmlns:r="http://schemas.openxmlformats.org/officeDocument/2006/relationships" ref="C334" r:id="rId986"/>
    <hyperlink xmlns:r="http://schemas.openxmlformats.org/officeDocument/2006/relationships" ref="I334" r:id="rId987"/>
    <hyperlink xmlns:r="http://schemas.openxmlformats.org/officeDocument/2006/relationships" ref="J334" r:id="rId988"/>
    <hyperlink xmlns:r="http://schemas.openxmlformats.org/officeDocument/2006/relationships" ref="C335" r:id="rId989"/>
    <hyperlink xmlns:r="http://schemas.openxmlformats.org/officeDocument/2006/relationships" ref="I335" r:id="rId990"/>
    <hyperlink xmlns:r="http://schemas.openxmlformats.org/officeDocument/2006/relationships" ref="J335" r:id="rId991"/>
    <hyperlink xmlns:r="http://schemas.openxmlformats.org/officeDocument/2006/relationships" ref="C336" r:id="rId992"/>
    <hyperlink xmlns:r="http://schemas.openxmlformats.org/officeDocument/2006/relationships" ref="I336" r:id="rId993"/>
    <hyperlink xmlns:r="http://schemas.openxmlformats.org/officeDocument/2006/relationships" ref="J336" r:id="rId994"/>
    <hyperlink xmlns:r="http://schemas.openxmlformats.org/officeDocument/2006/relationships" ref="C337" r:id="rId995"/>
    <hyperlink xmlns:r="http://schemas.openxmlformats.org/officeDocument/2006/relationships" ref="I337" r:id="rId996"/>
    <hyperlink xmlns:r="http://schemas.openxmlformats.org/officeDocument/2006/relationships" ref="J337" r:id="rId997"/>
    <hyperlink xmlns:r="http://schemas.openxmlformats.org/officeDocument/2006/relationships" ref="C338" r:id="rId998"/>
    <hyperlink xmlns:r="http://schemas.openxmlformats.org/officeDocument/2006/relationships" ref="I338" r:id="rId999"/>
    <hyperlink xmlns:r="http://schemas.openxmlformats.org/officeDocument/2006/relationships" ref="J338" r:id="rId1000"/>
    <hyperlink xmlns:r="http://schemas.openxmlformats.org/officeDocument/2006/relationships" ref="C339" r:id="rId1001"/>
    <hyperlink xmlns:r="http://schemas.openxmlformats.org/officeDocument/2006/relationships" ref="I339" r:id="rId1002"/>
    <hyperlink xmlns:r="http://schemas.openxmlformats.org/officeDocument/2006/relationships" ref="J339" r:id="rId1003"/>
    <hyperlink xmlns:r="http://schemas.openxmlformats.org/officeDocument/2006/relationships" ref="C340" r:id="rId1004"/>
    <hyperlink xmlns:r="http://schemas.openxmlformats.org/officeDocument/2006/relationships" ref="I340" r:id="rId1005"/>
    <hyperlink xmlns:r="http://schemas.openxmlformats.org/officeDocument/2006/relationships" ref="J340" r:id="rId1006"/>
    <hyperlink xmlns:r="http://schemas.openxmlformats.org/officeDocument/2006/relationships" ref="C341" r:id="rId1007"/>
    <hyperlink xmlns:r="http://schemas.openxmlformats.org/officeDocument/2006/relationships" ref="I341" r:id="rId1008"/>
    <hyperlink xmlns:r="http://schemas.openxmlformats.org/officeDocument/2006/relationships" ref="J341" r:id="rId1009"/>
    <hyperlink xmlns:r="http://schemas.openxmlformats.org/officeDocument/2006/relationships" ref="C342" r:id="rId1010"/>
    <hyperlink xmlns:r="http://schemas.openxmlformats.org/officeDocument/2006/relationships" ref="I342" r:id="rId1011"/>
    <hyperlink xmlns:r="http://schemas.openxmlformats.org/officeDocument/2006/relationships" ref="J342" r:id="rId1012"/>
    <hyperlink xmlns:r="http://schemas.openxmlformats.org/officeDocument/2006/relationships" ref="C343" r:id="rId1013"/>
    <hyperlink xmlns:r="http://schemas.openxmlformats.org/officeDocument/2006/relationships" ref="I343" r:id="rId1014"/>
    <hyperlink xmlns:r="http://schemas.openxmlformats.org/officeDocument/2006/relationships" ref="J343" r:id="rId1015"/>
    <hyperlink xmlns:r="http://schemas.openxmlformats.org/officeDocument/2006/relationships" ref="C344" r:id="rId1016"/>
    <hyperlink xmlns:r="http://schemas.openxmlformats.org/officeDocument/2006/relationships" ref="I344" r:id="rId1017"/>
    <hyperlink xmlns:r="http://schemas.openxmlformats.org/officeDocument/2006/relationships" ref="J344" r:id="rId1018"/>
    <hyperlink xmlns:r="http://schemas.openxmlformats.org/officeDocument/2006/relationships" ref="C345" r:id="rId1019"/>
    <hyperlink xmlns:r="http://schemas.openxmlformats.org/officeDocument/2006/relationships" ref="I345" r:id="rId1020"/>
    <hyperlink xmlns:r="http://schemas.openxmlformats.org/officeDocument/2006/relationships" ref="J345" r:id="rId1021"/>
    <hyperlink xmlns:r="http://schemas.openxmlformats.org/officeDocument/2006/relationships" ref="C346" r:id="rId1022"/>
    <hyperlink xmlns:r="http://schemas.openxmlformats.org/officeDocument/2006/relationships" ref="I346" r:id="rId1023"/>
    <hyperlink xmlns:r="http://schemas.openxmlformats.org/officeDocument/2006/relationships" ref="J346" r:id="rId1024"/>
    <hyperlink xmlns:r="http://schemas.openxmlformats.org/officeDocument/2006/relationships" ref="C347" r:id="rId1025"/>
    <hyperlink xmlns:r="http://schemas.openxmlformats.org/officeDocument/2006/relationships" ref="I347" r:id="rId1026"/>
    <hyperlink xmlns:r="http://schemas.openxmlformats.org/officeDocument/2006/relationships" ref="J347" r:id="rId1027"/>
    <hyperlink xmlns:r="http://schemas.openxmlformats.org/officeDocument/2006/relationships" ref="C348" r:id="rId1028"/>
    <hyperlink xmlns:r="http://schemas.openxmlformats.org/officeDocument/2006/relationships" ref="I348" r:id="rId1029"/>
    <hyperlink xmlns:r="http://schemas.openxmlformats.org/officeDocument/2006/relationships" ref="J348" r:id="rId1030"/>
    <hyperlink xmlns:r="http://schemas.openxmlformats.org/officeDocument/2006/relationships" ref="C349" r:id="rId1031"/>
    <hyperlink xmlns:r="http://schemas.openxmlformats.org/officeDocument/2006/relationships" ref="I349" r:id="rId1032"/>
    <hyperlink xmlns:r="http://schemas.openxmlformats.org/officeDocument/2006/relationships" ref="J349" r:id="rId1033"/>
    <hyperlink xmlns:r="http://schemas.openxmlformats.org/officeDocument/2006/relationships" ref="C350" r:id="rId1034"/>
    <hyperlink xmlns:r="http://schemas.openxmlformats.org/officeDocument/2006/relationships" ref="I350" r:id="rId1035"/>
    <hyperlink xmlns:r="http://schemas.openxmlformats.org/officeDocument/2006/relationships" ref="J350" r:id="rId1036"/>
    <hyperlink xmlns:r="http://schemas.openxmlformats.org/officeDocument/2006/relationships" ref="C351" r:id="rId1037"/>
    <hyperlink xmlns:r="http://schemas.openxmlformats.org/officeDocument/2006/relationships" ref="I351" r:id="rId1038"/>
    <hyperlink xmlns:r="http://schemas.openxmlformats.org/officeDocument/2006/relationships" ref="J351" r:id="rId1039"/>
    <hyperlink xmlns:r="http://schemas.openxmlformats.org/officeDocument/2006/relationships" ref="C352" r:id="rId1040"/>
    <hyperlink xmlns:r="http://schemas.openxmlformats.org/officeDocument/2006/relationships" ref="I352" r:id="rId1041"/>
    <hyperlink xmlns:r="http://schemas.openxmlformats.org/officeDocument/2006/relationships" ref="J352" r:id="rId1042"/>
    <hyperlink xmlns:r="http://schemas.openxmlformats.org/officeDocument/2006/relationships" ref="C353" r:id="rId1043"/>
    <hyperlink xmlns:r="http://schemas.openxmlformats.org/officeDocument/2006/relationships" ref="I353" r:id="rId1044"/>
    <hyperlink xmlns:r="http://schemas.openxmlformats.org/officeDocument/2006/relationships" ref="J353" r:id="rId1045"/>
    <hyperlink xmlns:r="http://schemas.openxmlformats.org/officeDocument/2006/relationships" ref="C354" r:id="rId1046"/>
    <hyperlink xmlns:r="http://schemas.openxmlformats.org/officeDocument/2006/relationships" ref="I354" r:id="rId1047"/>
    <hyperlink xmlns:r="http://schemas.openxmlformats.org/officeDocument/2006/relationships" ref="J354" r:id="rId1048"/>
    <hyperlink xmlns:r="http://schemas.openxmlformats.org/officeDocument/2006/relationships" ref="C355" r:id="rId1049"/>
    <hyperlink xmlns:r="http://schemas.openxmlformats.org/officeDocument/2006/relationships" ref="I355" r:id="rId1050"/>
    <hyperlink xmlns:r="http://schemas.openxmlformats.org/officeDocument/2006/relationships" ref="J355" r:id="rId1051"/>
    <hyperlink xmlns:r="http://schemas.openxmlformats.org/officeDocument/2006/relationships" ref="C356" r:id="rId1052"/>
    <hyperlink xmlns:r="http://schemas.openxmlformats.org/officeDocument/2006/relationships" ref="I356" r:id="rId1053"/>
    <hyperlink xmlns:r="http://schemas.openxmlformats.org/officeDocument/2006/relationships" ref="J356" r:id="rId1054"/>
    <hyperlink xmlns:r="http://schemas.openxmlformats.org/officeDocument/2006/relationships" ref="C357" r:id="rId1055"/>
    <hyperlink xmlns:r="http://schemas.openxmlformats.org/officeDocument/2006/relationships" ref="I357" r:id="rId1056"/>
    <hyperlink xmlns:r="http://schemas.openxmlformats.org/officeDocument/2006/relationships" ref="J357" r:id="rId1057"/>
    <hyperlink xmlns:r="http://schemas.openxmlformats.org/officeDocument/2006/relationships" ref="C358" r:id="rId1058"/>
    <hyperlink xmlns:r="http://schemas.openxmlformats.org/officeDocument/2006/relationships" ref="I358" r:id="rId1059"/>
    <hyperlink xmlns:r="http://schemas.openxmlformats.org/officeDocument/2006/relationships" ref="J358" r:id="rId1060"/>
    <hyperlink xmlns:r="http://schemas.openxmlformats.org/officeDocument/2006/relationships" ref="C359" r:id="rId1061"/>
    <hyperlink xmlns:r="http://schemas.openxmlformats.org/officeDocument/2006/relationships" ref="I359" r:id="rId1062"/>
    <hyperlink xmlns:r="http://schemas.openxmlformats.org/officeDocument/2006/relationships" ref="J359" r:id="rId1063"/>
    <hyperlink xmlns:r="http://schemas.openxmlformats.org/officeDocument/2006/relationships" ref="C360" r:id="rId1064"/>
    <hyperlink xmlns:r="http://schemas.openxmlformats.org/officeDocument/2006/relationships" ref="I360" r:id="rId1065"/>
    <hyperlink xmlns:r="http://schemas.openxmlformats.org/officeDocument/2006/relationships" ref="J360" r:id="rId1066"/>
    <hyperlink xmlns:r="http://schemas.openxmlformats.org/officeDocument/2006/relationships" ref="C361" r:id="rId1067"/>
    <hyperlink xmlns:r="http://schemas.openxmlformats.org/officeDocument/2006/relationships" ref="J361" r:id="rId1068"/>
    <hyperlink xmlns:r="http://schemas.openxmlformats.org/officeDocument/2006/relationships" ref="C362" r:id="rId1069"/>
    <hyperlink xmlns:r="http://schemas.openxmlformats.org/officeDocument/2006/relationships" ref="I362" r:id="rId1070"/>
    <hyperlink xmlns:r="http://schemas.openxmlformats.org/officeDocument/2006/relationships" ref="J362" r:id="rId1071"/>
    <hyperlink xmlns:r="http://schemas.openxmlformats.org/officeDocument/2006/relationships" ref="C363" r:id="rId1072"/>
    <hyperlink xmlns:r="http://schemas.openxmlformats.org/officeDocument/2006/relationships" ref="I363" r:id="rId1073"/>
    <hyperlink xmlns:r="http://schemas.openxmlformats.org/officeDocument/2006/relationships" ref="J363" r:id="rId1074"/>
    <hyperlink xmlns:r="http://schemas.openxmlformats.org/officeDocument/2006/relationships" ref="C364" r:id="rId1075"/>
    <hyperlink xmlns:r="http://schemas.openxmlformats.org/officeDocument/2006/relationships" ref="I364" r:id="rId1076"/>
    <hyperlink xmlns:r="http://schemas.openxmlformats.org/officeDocument/2006/relationships" ref="J364" r:id="rId1077"/>
    <hyperlink xmlns:r="http://schemas.openxmlformats.org/officeDocument/2006/relationships" ref="C365" r:id="rId1078"/>
    <hyperlink xmlns:r="http://schemas.openxmlformats.org/officeDocument/2006/relationships" ref="I365" r:id="rId1079"/>
    <hyperlink xmlns:r="http://schemas.openxmlformats.org/officeDocument/2006/relationships" ref="J365" r:id="rId1080"/>
    <hyperlink xmlns:r="http://schemas.openxmlformats.org/officeDocument/2006/relationships" ref="C366" r:id="rId1081"/>
    <hyperlink xmlns:r="http://schemas.openxmlformats.org/officeDocument/2006/relationships" ref="I366" r:id="rId1082"/>
    <hyperlink xmlns:r="http://schemas.openxmlformats.org/officeDocument/2006/relationships" ref="J366" r:id="rId1083"/>
    <hyperlink xmlns:r="http://schemas.openxmlformats.org/officeDocument/2006/relationships" ref="C367" r:id="rId1084"/>
    <hyperlink xmlns:r="http://schemas.openxmlformats.org/officeDocument/2006/relationships" ref="I367" r:id="rId1085"/>
    <hyperlink xmlns:r="http://schemas.openxmlformats.org/officeDocument/2006/relationships" ref="J367" r:id="rId1086"/>
    <hyperlink xmlns:r="http://schemas.openxmlformats.org/officeDocument/2006/relationships" ref="C368" r:id="rId1087"/>
    <hyperlink xmlns:r="http://schemas.openxmlformats.org/officeDocument/2006/relationships" ref="I368" r:id="rId1088"/>
    <hyperlink xmlns:r="http://schemas.openxmlformats.org/officeDocument/2006/relationships" ref="J368" r:id="rId1089"/>
    <hyperlink xmlns:r="http://schemas.openxmlformats.org/officeDocument/2006/relationships" ref="C369" r:id="rId1090"/>
    <hyperlink xmlns:r="http://schemas.openxmlformats.org/officeDocument/2006/relationships" ref="I369" r:id="rId1091"/>
    <hyperlink xmlns:r="http://schemas.openxmlformats.org/officeDocument/2006/relationships" ref="J369" r:id="rId1092"/>
    <hyperlink xmlns:r="http://schemas.openxmlformats.org/officeDocument/2006/relationships" ref="C370" r:id="rId1093"/>
    <hyperlink xmlns:r="http://schemas.openxmlformats.org/officeDocument/2006/relationships" ref="I370" r:id="rId1094"/>
    <hyperlink xmlns:r="http://schemas.openxmlformats.org/officeDocument/2006/relationships" ref="J370" r:id="rId1095"/>
    <hyperlink xmlns:r="http://schemas.openxmlformats.org/officeDocument/2006/relationships" ref="C371" r:id="rId1096"/>
    <hyperlink xmlns:r="http://schemas.openxmlformats.org/officeDocument/2006/relationships" ref="I371" r:id="rId1097"/>
    <hyperlink xmlns:r="http://schemas.openxmlformats.org/officeDocument/2006/relationships" ref="J371" r:id="rId1098"/>
    <hyperlink xmlns:r="http://schemas.openxmlformats.org/officeDocument/2006/relationships" ref="C372" r:id="rId1099"/>
    <hyperlink xmlns:r="http://schemas.openxmlformats.org/officeDocument/2006/relationships" ref="I372" r:id="rId1100"/>
    <hyperlink xmlns:r="http://schemas.openxmlformats.org/officeDocument/2006/relationships" ref="J372" r:id="rId1101"/>
    <hyperlink xmlns:r="http://schemas.openxmlformats.org/officeDocument/2006/relationships" ref="C373" r:id="rId1102"/>
    <hyperlink xmlns:r="http://schemas.openxmlformats.org/officeDocument/2006/relationships" ref="I373" r:id="rId1103"/>
    <hyperlink xmlns:r="http://schemas.openxmlformats.org/officeDocument/2006/relationships" ref="J373" r:id="rId1104"/>
    <hyperlink xmlns:r="http://schemas.openxmlformats.org/officeDocument/2006/relationships" ref="C374" r:id="rId1105"/>
    <hyperlink xmlns:r="http://schemas.openxmlformats.org/officeDocument/2006/relationships" ref="I374" r:id="rId1106"/>
    <hyperlink xmlns:r="http://schemas.openxmlformats.org/officeDocument/2006/relationships" ref="J374" r:id="rId1107"/>
    <hyperlink xmlns:r="http://schemas.openxmlformats.org/officeDocument/2006/relationships" ref="C375" r:id="rId1108"/>
    <hyperlink xmlns:r="http://schemas.openxmlformats.org/officeDocument/2006/relationships" ref="I375" r:id="rId1109"/>
    <hyperlink xmlns:r="http://schemas.openxmlformats.org/officeDocument/2006/relationships" ref="J375" r:id="rId1110"/>
    <hyperlink xmlns:r="http://schemas.openxmlformats.org/officeDocument/2006/relationships" ref="C376" r:id="rId1111"/>
    <hyperlink xmlns:r="http://schemas.openxmlformats.org/officeDocument/2006/relationships" ref="I376" r:id="rId1112"/>
    <hyperlink xmlns:r="http://schemas.openxmlformats.org/officeDocument/2006/relationships" ref="J376" r:id="rId1113"/>
    <hyperlink xmlns:r="http://schemas.openxmlformats.org/officeDocument/2006/relationships" ref="C377" r:id="rId1114"/>
    <hyperlink xmlns:r="http://schemas.openxmlformats.org/officeDocument/2006/relationships" ref="I377" r:id="rId1115"/>
    <hyperlink xmlns:r="http://schemas.openxmlformats.org/officeDocument/2006/relationships" ref="J377" r:id="rId1116"/>
    <hyperlink xmlns:r="http://schemas.openxmlformats.org/officeDocument/2006/relationships" ref="C378" r:id="rId1117"/>
    <hyperlink xmlns:r="http://schemas.openxmlformats.org/officeDocument/2006/relationships" ref="I378" r:id="rId1118"/>
    <hyperlink xmlns:r="http://schemas.openxmlformats.org/officeDocument/2006/relationships" ref="J378" r:id="rId1119"/>
    <hyperlink xmlns:r="http://schemas.openxmlformats.org/officeDocument/2006/relationships" ref="C379" r:id="rId1120"/>
    <hyperlink xmlns:r="http://schemas.openxmlformats.org/officeDocument/2006/relationships" ref="I379" r:id="rId1121"/>
    <hyperlink xmlns:r="http://schemas.openxmlformats.org/officeDocument/2006/relationships" ref="J379" r:id="rId1122"/>
    <hyperlink xmlns:r="http://schemas.openxmlformats.org/officeDocument/2006/relationships" ref="C380" r:id="rId1123"/>
    <hyperlink xmlns:r="http://schemas.openxmlformats.org/officeDocument/2006/relationships" ref="I380" r:id="rId1124"/>
    <hyperlink xmlns:r="http://schemas.openxmlformats.org/officeDocument/2006/relationships" ref="J380" r:id="rId1125"/>
    <hyperlink xmlns:r="http://schemas.openxmlformats.org/officeDocument/2006/relationships" ref="C381" r:id="rId1126"/>
    <hyperlink xmlns:r="http://schemas.openxmlformats.org/officeDocument/2006/relationships" ref="I381" r:id="rId1127"/>
    <hyperlink xmlns:r="http://schemas.openxmlformats.org/officeDocument/2006/relationships" ref="J381" r:id="rId1128"/>
    <hyperlink xmlns:r="http://schemas.openxmlformats.org/officeDocument/2006/relationships" ref="C382" r:id="rId1129"/>
    <hyperlink xmlns:r="http://schemas.openxmlformats.org/officeDocument/2006/relationships" ref="I382" r:id="rId1130"/>
    <hyperlink xmlns:r="http://schemas.openxmlformats.org/officeDocument/2006/relationships" ref="J382" r:id="rId1131"/>
    <hyperlink xmlns:r="http://schemas.openxmlformats.org/officeDocument/2006/relationships" ref="C383" r:id="rId1132"/>
    <hyperlink xmlns:r="http://schemas.openxmlformats.org/officeDocument/2006/relationships" ref="I383" r:id="rId1133"/>
    <hyperlink xmlns:r="http://schemas.openxmlformats.org/officeDocument/2006/relationships" ref="J383" r:id="rId1134"/>
    <hyperlink xmlns:r="http://schemas.openxmlformats.org/officeDocument/2006/relationships" ref="C384" r:id="rId1135"/>
    <hyperlink xmlns:r="http://schemas.openxmlformats.org/officeDocument/2006/relationships" ref="I384" r:id="rId1136"/>
    <hyperlink xmlns:r="http://schemas.openxmlformats.org/officeDocument/2006/relationships" ref="J384" r:id="rId1137"/>
    <hyperlink xmlns:r="http://schemas.openxmlformats.org/officeDocument/2006/relationships" ref="C385" r:id="rId1138"/>
    <hyperlink xmlns:r="http://schemas.openxmlformats.org/officeDocument/2006/relationships" ref="I385" r:id="rId1139"/>
    <hyperlink xmlns:r="http://schemas.openxmlformats.org/officeDocument/2006/relationships" ref="J385" r:id="rId1140"/>
    <hyperlink xmlns:r="http://schemas.openxmlformats.org/officeDocument/2006/relationships" ref="C386" r:id="rId1141"/>
    <hyperlink xmlns:r="http://schemas.openxmlformats.org/officeDocument/2006/relationships" ref="I386" r:id="rId1142"/>
    <hyperlink xmlns:r="http://schemas.openxmlformats.org/officeDocument/2006/relationships" ref="J386" r:id="rId1143"/>
    <hyperlink xmlns:r="http://schemas.openxmlformats.org/officeDocument/2006/relationships" ref="C387" r:id="rId1144"/>
    <hyperlink xmlns:r="http://schemas.openxmlformats.org/officeDocument/2006/relationships" ref="I387" r:id="rId1145"/>
    <hyperlink xmlns:r="http://schemas.openxmlformats.org/officeDocument/2006/relationships" ref="J387" r:id="rId1146"/>
    <hyperlink xmlns:r="http://schemas.openxmlformats.org/officeDocument/2006/relationships" ref="C388" r:id="rId1147"/>
    <hyperlink xmlns:r="http://schemas.openxmlformats.org/officeDocument/2006/relationships" ref="I388" r:id="rId1148"/>
    <hyperlink xmlns:r="http://schemas.openxmlformats.org/officeDocument/2006/relationships" ref="J388" r:id="rId1149"/>
    <hyperlink xmlns:r="http://schemas.openxmlformats.org/officeDocument/2006/relationships" ref="C389" r:id="rId1150"/>
    <hyperlink xmlns:r="http://schemas.openxmlformats.org/officeDocument/2006/relationships" ref="I389" r:id="rId1151"/>
    <hyperlink xmlns:r="http://schemas.openxmlformats.org/officeDocument/2006/relationships" ref="J389" r:id="rId1152"/>
    <hyperlink xmlns:r="http://schemas.openxmlformats.org/officeDocument/2006/relationships" ref="C390" r:id="rId1153"/>
    <hyperlink xmlns:r="http://schemas.openxmlformats.org/officeDocument/2006/relationships" ref="I390" r:id="rId1154"/>
    <hyperlink xmlns:r="http://schemas.openxmlformats.org/officeDocument/2006/relationships" ref="J390" r:id="rId1155"/>
    <hyperlink xmlns:r="http://schemas.openxmlformats.org/officeDocument/2006/relationships" ref="C391" r:id="rId1156"/>
    <hyperlink xmlns:r="http://schemas.openxmlformats.org/officeDocument/2006/relationships" ref="I391" r:id="rId1157"/>
    <hyperlink xmlns:r="http://schemas.openxmlformats.org/officeDocument/2006/relationships" ref="J391" r:id="rId1158"/>
    <hyperlink xmlns:r="http://schemas.openxmlformats.org/officeDocument/2006/relationships" ref="C392" r:id="rId1159"/>
    <hyperlink xmlns:r="http://schemas.openxmlformats.org/officeDocument/2006/relationships" ref="I392" r:id="rId1160"/>
    <hyperlink xmlns:r="http://schemas.openxmlformats.org/officeDocument/2006/relationships" ref="J392" r:id="rId1161"/>
    <hyperlink xmlns:r="http://schemas.openxmlformats.org/officeDocument/2006/relationships" ref="C393" r:id="rId1162"/>
    <hyperlink xmlns:r="http://schemas.openxmlformats.org/officeDocument/2006/relationships" ref="I393" r:id="rId1163"/>
    <hyperlink xmlns:r="http://schemas.openxmlformats.org/officeDocument/2006/relationships" ref="J393" r:id="rId1164"/>
    <hyperlink xmlns:r="http://schemas.openxmlformats.org/officeDocument/2006/relationships" ref="C394" r:id="rId1165"/>
    <hyperlink xmlns:r="http://schemas.openxmlformats.org/officeDocument/2006/relationships" ref="I394" r:id="rId1166"/>
    <hyperlink xmlns:r="http://schemas.openxmlformats.org/officeDocument/2006/relationships" ref="J394" r:id="rId1167"/>
    <hyperlink xmlns:r="http://schemas.openxmlformats.org/officeDocument/2006/relationships" ref="C395" r:id="rId1168"/>
    <hyperlink xmlns:r="http://schemas.openxmlformats.org/officeDocument/2006/relationships" ref="I395" r:id="rId1169"/>
    <hyperlink xmlns:r="http://schemas.openxmlformats.org/officeDocument/2006/relationships" ref="J395" r:id="rId1170"/>
    <hyperlink xmlns:r="http://schemas.openxmlformats.org/officeDocument/2006/relationships" ref="C396" r:id="rId1171"/>
    <hyperlink xmlns:r="http://schemas.openxmlformats.org/officeDocument/2006/relationships" ref="I396" r:id="rId1172"/>
    <hyperlink xmlns:r="http://schemas.openxmlformats.org/officeDocument/2006/relationships" ref="J396" r:id="rId1173"/>
    <hyperlink xmlns:r="http://schemas.openxmlformats.org/officeDocument/2006/relationships" ref="C397" r:id="rId1174"/>
    <hyperlink xmlns:r="http://schemas.openxmlformats.org/officeDocument/2006/relationships" ref="I397" r:id="rId1175"/>
    <hyperlink xmlns:r="http://schemas.openxmlformats.org/officeDocument/2006/relationships" ref="J397" r:id="rId1176"/>
    <hyperlink xmlns:r="http://schemas.openxmlformats.org/officeDocument/2006/relationships" ref="C398" r:id="rId1177"/>
    <hyperlink xmlns:r="http://schemas.openxmlformats.org/officeDocument/2006/relationships" ref="I398" r:id="rId1178"/>
    <hyperlink xmlns:r="http://schemas.openxmlformats.org/officeDocument/2006/relationships" ref="J398" r:id="rId1179"/>
    <hyperlink xmlns:r="http://schemas.openxmlformats.org/officeDocument/2006/relationships" ref="C399" r:id="rId1180"/>
    <hyperlink xmlns:r="http://schemas.openxmlformats.org/officeDocument/2006/relationships" ref="I399" r:id="rId1181"/>
    <hyperlink xmlns:r="http://schemas.openxmlformats.org/officeDocument/2006/relationships" ref="J399" r:id="rId1182"/>
    <hyperlink xmlns:r="http://schemas.openxmlformats.org/officeDocument/2006/relationships" ref="C400" r:id="rId1183"/>
    <hyperlink xmlns:r="http://schemas.openxmlformats.org/officeDocument/2006/relationships" ref="I400" r:id="rId1184"/>
    <hyperlink xmlns:r="http://schemas.openxmlformats.org/officeDocument/2006/relationships" ref="J400" r:id="rId1185"/>
    <hyperlink xmlns:r="http://schemas.openxmlformats.org/officeDocument/2006/relationships" ref="C401" r:id="rId1186"/>
    <hyperlink xmlns:r="http://schemas.openxmlformats.org/officeDocument/2006/relationships" ref="I401" r:id="rId1187"/>
    <hyperlink xmlns:r="http://schemas.openxmlformats.org/officeDocument/2006/relationships" ref="J401" r:id="rId1188"/>
    <hyperlink xmlns:r="http://schemas.openxmlformats.org/officeDocument/2006/relationships" ref="C402" r:id="rId1189"/>
    <hyperlink xmlns:r="http://schemas.openxmlformats.org/officeDocument/2006/relationships" ref="I402" r:id="rId1190"/>
    <hyperlink xmlns:r="http://schemas.openxmlformats.org/officeDocument/2006/relationships" ref="J402" r:id="rId1191"/>
    <hyperlink xmlns:r="http://schemas.openxmlformats.org/officeDocument/2006/relationships" ref="C403" r:id="rId1192"/>
    <hyperlink xmlns:r="http://schemas.openxmlformats.org/officeDocument/2006/relationships" ref="I403" r:id="rId1193"/>
    <hyperlink xmlns:r="http://schemas.openxmlformats.org/officeDocument/2006/relationships" ref="J403" r:id="rId1194"/>
    <hyperlink xmlns:r="http://schemas.openxmlformats.org/officeDocument/2006/relationships" ref="C404" r:id="rId1195"/>
    <hyperlink xmlns:r="http://schemas.openxmlformats.org/officeDocument/2006/relationships" ref="J404" r:id="rId1196"/>
    <hyperlink xmlns:r="http://schemas.openxmlformats.org/officeDocument/2006/relationships" ref="C405" r:id="rId1197"/>
    <hyperlink xmlns:r="http://schemas.openxmlformats.org/officeDocument/2006/relationships" ref="I405" r:id="rId1198"/>
    <hyperlink xmlns:r="http://schemas.openxmlformats.org/officeDocument/2006/relationships" ref="J405" r:id="rId1199"/>
    <hyperlink xmlns:r="http://schemas.openxmlformats.org/officeDocument/2006/relationships" ref="C406" r:id="rId1200"/>
    <hyperlink xmlns:r="http://schemas.openxmlformats.org/officeDocument/2006/relationships" ref="I406" r:id="rId1201"/>
    <hyperlink xmlns:r="http://schemas.openxmlformats.org/officeDocument/2006/relationships" ref="J406" r:id="rId1202"/>
    <hyperlink xmlns:r="http://schemas.openxmlformats.org/officeDocument/2006/relationships" ref="C407" r:id="rId1203"/>
    <hyperlink xmlns:r="http://schemas.openxmlformats.org/officeDocument/2006/relationships" ref="I407" r:id="rId1204"/>
    <hyperlink xmlns:r="http://schemas.openxmlformats.org/officeDocument/2006/relationships" ref="J407" r:id="rId1205"/>
    <hyperlink xmlns:r="http://schemas.openxmlformats.org/officeDocument/2006/relationships" ref="C408" r:id="rId1206"/>
    <hyperlink xmlns:r="http://schemas.openxmlformats.org/officeDocument/2006/relationships" ref="I408" r:id="rId1207"/>
    <hyperlink xmlns:r="http://schemas.openxmlformats.org/officeDocument/2006/relationships" ref="J408" r:id="rId1208"/>
    <hyperlink xmlns:r="http://schemas.openxmlformats.org/officeDocument/2006/relationships" ref="C409" r:id="rId1209"/>
    <hyperlink xmlns:r="http://schemas.openxmlformats.org/officeDocument/2006/relationships" ref="I409" r:id="rId1210"/>
    <hyperlink xmlns:r="http://schemas.openxmlformats.org/officeDocument/2006/relationships" ref="J409" r:id="rId1211"/>
    <hyperlink xmlns:r="http://schemas.openxmlformats.org/officeDocument/2006/relationships" ref="C410" r:id="rId1212"/>
    <hyperlink xmlns:r="http://schemas.openxmlformats.org/officeDocument/2006/relationships" ref="I410" r:id="rId1213"/>
    <hyperlink xmlns:r="http://schemas.openxmlformats.org/officeDocument/2006/relationships" ref="J410" r:id="rId1214"/>
    <hyperlink xmlns:r="http://schemas.openxmlformats.org/officeDocument/2006/relationships" ref="C411" r:id="rId1215"/>
    <hyperlink xmlns:r="http://schemas.openxmlformats.org/officeDocument/2006/relationships" ref="I411" r:id="rId1216"/>
    <hyperlink xmlns:r="http://schemas.openxmlformats.org/officeDocument/2006/relationships" ref="J411" r:id="rId1217"/>
    <hyperlink xmlns:r="http://schemas.openxmlformats.org/officeDocument/2006/relationships" ref="C412" r:id="rId1218"/>
    <hyperlink xmlns:r="http://schemas.openxmlformats.org/officeDocument/2006/relationships" ref="I412" r:id="rId1219"/>
    <hyperlink xmlns:r="http://schemas.openxmlformats.org/officeDocument/2006/relationships" ref="J412" r:id="rId1220"/>
    <hyperlink xmlns:r="http://schemas.openxmlformats.org/officeDocument/2006/relationships" ref="C413" r:id="rId1221"/>
    <hyperlink xmlns:r="http://schemas.openxmlformats.org/officeDocument/2006/relationships" ref="I413" r:id="rId1222"/>
    <hyperlink xmlns:r="http://schemas.openxmlformats.org/officeDocument/2006/relationships" ref="J413" r:id="rId1223"/>
    <hyperlink xmlns:r="http://schemas.openxmlformats.org/officeDocument/2006/relationships" ref="C414" r:id="rId1224"/>
    <hyperlink xmlns:r="http://schemas.openxmlformats.org/officeDocument/2006/relationships" ref="I414" r:id="rId1225"/>
    <hyperlink xmlns:r="http://schemas.openxmlformats.org/officeDocument/2006/relationships" ref="J414" r:id="rId1226"/>
    <hyperlink xmlns:r="http://schemas.openxmlformats.org/officeDocument/2006/relationships" ref="C415" r:id="rId1227"/>
    <hyperlink xmlns:r="http://schemas.openxmlformats.org/officeDocument/2006/relationships" ref="I415" r:id="rId1228"/>
    <hyperlink xmlns:r="http://schemas.openxmlformats.org/officeDocument/2006/relationships" ref="J415" r:id="rId1229"/>
    <hyperlink xmlns:r="http://schemas.openxmlformats.org/officeDocument/2006/relationships" ref="C416" r:id="rId1230"/>
    <hyperlink xmlns:r="http://schemas.openxmlformats.org/officeDocument/2006/relationships" ref="I416" r:id="rId1231"/>
    <hyperlink xmlns:r="http://schemas.openxmlformats.org/officeDocument/2006/relationships" ref="J416" r:id="rId1232"/>
    <hyperlink xmlns:r="http://schemas.openxmlformats.org/officeDocument/2006/relationships" ref="C417" r:id="rId1233"/>
    <hyperlink xmlns:r="http://schemas.openxmlformats.org/officeDocument/2006/relationships" ref="I417" r:id="rId1234"/>
    <hyperlink xmlns:r="http://schemas.openxmlformats.org/officeDocument/2006/relationships" ref="J417" r:id="rId1235"/>
    <hyperlink xmlns:r="http://schemas.openxmlformats.org/officeDocument/2006/relationships" ref="C418" r:id="rId1236"/>
    <hyperlink xmlns:r="http://schemas.openxmlformats.org/officeDocument/2006/relationships" ref="I418" r:id="rId1237"/>
    <hyperlink xmlns:r="http://schemas.openxmlformats.org/officeDocument/2006/relationships" ref="J418" r:id="rId1238"/>
    <hyperlink xmlns:r="http://schemas.openxmlformats.org/officeDocument/2006/relationships" ref="C419" r:id="rId1239"/>
    <hyperlink xmlns:r="http://schemas.openxmlformats.org/officeDocument/2006/relationships" ref="I419" r:id="rId1240"/>
    <hyperlink xmlns:r="http://schemas.openxmlformats.org/officeDocument/2006/relationships" ref="J419" r:id="rId1241"/>
    <hyperlink xmlns:r="http://schemas.openxmlformats.org/officeDocument/2006/relationships" ref="C420" r:id="rId1242"/>
    <hyperlink xmlns:r="http://schemas.openxmlformats.org/officeDocument/2006/relationships" ref="I420" r:id="rId1243"/>
    <hyperlink xmlns:r="http://schemas.openxmlformats.org/officeDocument/2006/relationships" ref="J420" r:id="rId1244"/>
    <hyperlink xmlns:r="http://schemas.openxmlformats.org/officeDocument/2006/relationships" ref="C421" r:id="rId1245"/>
    <hyperlink xmlns:r="http://schemas.openxmlformats.org/officeDocument/2006/relationships" ref="I421" r:id="rId1246"/>
    <hyperlink xmlns:r="http://schemas.openxmlformats.org/officeDocument/2006/relationships" ref="J421" r:id="rId1247"/>
    <hyperlink xmlns:r="http://schemas.openxmlformats.org/officeDocument/2006/relationships" ref="C422" r:id="rId1248"/>
    <hyperlink xmlns:r="http://schemas.openxmlformats.org/officeDocument/2006/relationships" ref="I422" r:id="rId1249"/>
    <hyperlink xmlns:r="http://schemas.openxmlformats.org/officeDocument/2006/relationships" ref="J422" r:id="rId1250"/>
    <hyperlink xmlns:r="http://schemas.openxmlformats.org/officeDocument/2006/relationships" ref="C423" r:id="rId1251"/>
    <hyperlink xmlns:r="http://schemas.openxmlformats.org/officeDocument/2006/relationships" ref="I423" r:id="rId1252"/>
    <hyperlink xmlns:r="http://schemas.openxmlformats.org/officeDocument/2006/relationships" ref="J423" r:id="rId1253"/>
    <hyperlink xmlns:r="http://schemas.openxmlformats.org/officeDocument/2006/relationships" ref="C424" r:id="rId1254"/>
    <hyperlink xmlns:r="http://schemas.openxmlformats.org/officeDocument/2006/relationships" ref="I424" r:id="rId1255"/>
    <hyperlink xmlns:r="http://schemas.openxmlformats.org/officeDocument/2006/relationships" ref="J424" r:id="rId1256"/>
    <hyperlink xmlns:r="http://schemas.openxmlformats.org/officeDocument/2006/relationships" ref="C425" r:id="rId1257"/>
    <hyperlink xmlns:r="http://schemas.openxmlformats.org/officeDocument/2006/relationships" ref="I425" r:id="rId1258"/>
    <hyperlink xmlns:r="http://schemas.openxmlformats.org/officeDocument/2006/relationships" ref="J425" r:id="rId1259"/>
    <hyperlink xmlns:r="http://schemas.openxmlformats.org/officeDocument/2006/relationships" ref="C426" r:id="rId1260"/>
    <hyperlink xmlns:r="http://schemas.openxmlformats.org/officeDocument/2006/relationships" ref="I426" r:id="rId1261"/>
    <hyperlink xmlns:r="http://schemas.openxmlformats.org/officeDocument/2006/relationships" ref="J426" r:id="rId1262"/>
    <hyperlink xmlns:r="http://schemas.openxmlformats.org/officeDocument/2006/relationships" ref="C427" r:id="rId1263"/>
    <hyperlink xmlns:r="http://schemas.openxmlformats.org/officeDocument/2006/relationships" ref="I427" r:id="rId1264"/>
    <hyperlink xmlns:r="http://schemas.openxmlformats.org/officeDocument/2006/relationships" ref="J427" r:id="rId1265"/>
    <hyperlink xmlns:r="http://schemas.openxmlformats.org/officeDocument/2006/relationships" ref="C428" r:id="rId1266"/>
    <hyperlink xmlns:r="http://schemas.openxmlformats.org/officeDocument/2006/relationships" ref="I428" r:id="rId1267"/>
    <hyperlink xmlns:r="http://schemas.openxmlformats.org/officeDocument/2006/relationships" ref="J428" r:id="rId1268"/>
    <hyperlink xmlns:r="http://schemas.openxmlformats.org/officeDocument/2006/relationships" ref="C429" r:id="rId1269"/>
    <hyperlink xmlns:r="http://schemas.openxmlformats.org/officeDocument/2006/relationships" ref="J429" r:id="rId1270"/>
    <hyperlink xmlns:r="http://schemas.openxmlformats.org/officeDocument/2006/relationships" ref="C430" r:id="rId1271"/>
    <hyperlink xmlns:r="http://schemas.openxmlformats.org/officeDocument/2006/relationships" ref="I430" r:id="rId1272"/>
    <hyperlink xmlns:r="http://schemas.openxmlformats.org/officeDocument/2006/relationships" ref="J430" r:id="rId1273"/>
    <hyperlink xmlns:r="http://schemas.openxmlformats.org/officeDocument/2006/relationships" ref="C431" r:id="rId1274"/>
    <hyperlink xmlns:r="http://schemas.openxmlformats.org/officeDocument/2006/relationships" ref="I431" r:id="rId1275"/>
    <hyperlink xmlns:r="http://schemas.openxmlformats.org/officeDocument/2006/relationships" ref="J431" r:id="rId1276"/>
    <hyperlink xmlns:r="http://schemas.openxmlformats.org/officeDocument/2006/relationships" ref="C432" r:id="rId1277"/>
    <hyperlink xmlns:r="http://schemas.openxmlformats.org/officeDocument/2006/relationships" ref="I432" r:id="rId1278"/>
    <hyperlink xmlns:r="http://schemas.openxmlformats.org/officeDocument/2006/relationships" ref="J432" r:id="rId1279"/>
    <hyperlink xmlns:r="http://schemas.openxmlformats.org/officeDocument/2006/relationships" ref="C433" r:id="rId1280"/>
    <hyperlink xmlns:r="http://schemas.openxmlformats.org/officeDocument/2006/relationships" ref="I433" r:id="rId1281"/>
    <hyperlink xmlns:r="http://schemas.openxmlformats.org/officeDocument/2006/relationships" ref="J433" r:id="rId1282"/>
    <hyperlink xmlns:r="http://schemas.openxmlformats.org/officeDocument/2006/relationships" ref="C434" r:id="rId1283"/>
    <hyperlink xmlns:r="http://schemas.openxmlformats.org/officeDocument/2006/relationships" ref="I434" r:id="rId1284"/>
    <hyperlink xmlns:r="http://schemas.openxmlformats.org/officeDocument/2006/relationships" ref="J434" r:id="rId1285"/>
    <hyperlink xmlns:r="http://schemas.openxmlformats.org/officeDocument/2006/relationships" ref="C435" r:id="rId1286"/>
    <hyperlink xmlns:r="http://schemas.openxmlformats.org/officeDocument/2006/relationships" ref="I435" r:id="rId1287"/>
    <hyperlink xmlns:r="http://schemas.openxmlformats.org/officeDocument/2006/relationships" ref="J435" r:id="rId1288"/>
    <hyperlink xmlns:r="http://schemas.openxmlformats.org/officeDocument/2006/relationships" ref="C436" r:id="rId1289"/>
    <hyperlink xmlns:r="http://schemas.openxmlformats.org/officeDocument/2006/relationships" ref="C437" r:id="rId1290"/>
    <hyperlink xmlns:r="http://schemas.openxmlformats.org/officeDocument/2006/relationships" ref="I437" r:id="rId1291"/>
    <hyperlink xmlns:r="http://schemas.openxmlformats.org/officeDocument/2006/relationships" ref="J437" r:id="rId1292"/>
    <hyperlink xmlns:r="http://schemas.openxmlformats.org/officeDocument/2006/relationships" ref="C438" r:id="rId1293"/>
    <hyperlink xmlns:r="http://schemas.openxmlformats.org/officeDocument/2006/relationships" ref="I438" r:id="rId1294"/>
    <hyperlink xmlns:r="http://schemas.openxmlformats.org/officeDocument/2006/relationships" ref="J438" r:id="rId1295"/>
    <hyperlink xmlns:r="http://schemas.openxmlformats.org/officeDocument/2006/relationships" ref="C439" r:id="rId1296"/>
    <hyperlink xmlns:r="http://schemas.openxmlformats.org/officeDocument/2006/relationships" ref="I439" r:id="rId1297"/>
    <hyperlink xmlns:r="http://schemas.openxmlformats.org/officeDocument/2006/relationships" ref="J439" r:id="rId1298"/>
    <hyperlink xmlns:r="http://schemas.openxmlformats.org/officeDocument/2006/relationships" ref="C440" r:id="rId1299"/>
    <hyperlink xmlns:r="http://schemas.openxmlformats.org/officeDocument/2006/relationships" ref="I440" r:id="rId1300"/>
    <hyperlink xmlns:r="http://schemas.openxmlformats.org/officeDocument/2006/relationships" ref="J440" r:id="rId1301"/>
    <hyperlink xmlns:r="http://schemas.openxmlformats.org/officeDocument/2006/relationships" ref="C441" r:id="rId1302"/>
    <hyperlink xmlns:r="http://schemas.openxmlformats.org/officeDocument/2006/relationships" ref="I441" r:id="rId1303"/>
    <hyperlink xmlns:r="http://schemas.openxmlformats.org/officeDocument/2006/relationships" ref="J441" r:id="rId1304"/>
    <hyperlink xmlns:r="http://schemas.openxmlformats.org/officeDocument/2006/relationships" ref="C442" r:id="rId1305"/>
    <hyperlink xmlns:r="http://schemas.openxmlformats.org/officeDocument/2006/relationships" ref="I442" r:id="rId1306"/>
    <hyperlink xmlns:r="http://schemas.openxmlformats.org/officeDocument/2006/relationships" ref="J442" r:id="rId1307"/>
    <hyperlink xmlns:r="http://schemas.openxmlformats.org/officeDocument/2006/relationships" ref="C443" r:id="rId1308"/>
    <hyperlink xmlns:r="http://schemas.openxmlformats.org/officeDocument/2006/relationships" ref="I443" r:id="rId1309"/>
    <hyperlink xmlns:r="http://schemas.openxmlformats.org/officeDocument/2006/relationships" ref="J443" r:id="rId1310"/>
    <hyperlink xmlns:r="http://schemas.openxmlformats.org/officeDocument/2006/relationships" ref="C444" r:id="rId1311"/>
    <hyperlink xmlns:r="http://schemas.openxmlformats.org/officeDocument/2006/relationships" ref="I444" r:id="rId1312"/>
    <hyperlink xmlns:r="http://schemas.openxmlformats.org/officeDocument/2006/relationships" ref="J444" r:id="rId1313"/>
    <hyperlink xmlns:r="http://schemas.openxmlformats.org/officeDocument/2006/relationships" ref="C445" r:id="rId1314"/>
    <hyperlink xmlns:r="http://schemas.openxmlformats.org/officeDocument/2006/relationships" ref="I445" r:id="rId1315"/>
    <hyperlink xmlns:r="http://schemas.openxmlformats.org/officeDocument/2006/relationships" ref="J445" r:id="rId1316"/>
    <hyperlink xmlns:r="http://schemas.openxmlformats.org/officeDocument/2006/relationships" ref="C446" r:id="rId1317"/>
    <hyperlink xmlns:r="http://schemas.openxmlformats.org/officeDocument/2006/relationships" ref="I446" r:id="rId1318"/>
    <hyperlink xmlns:r="http://schemas.openxmlformats.org/officeDocument/2006/relationships" ref="J446" r:id="rId1319"/>
    <hyperlink xmlns:r="http://schemas.openxmlformats.org/officeDocument/2006/relationships" ref="C447" r:id="rId1320"/>
    <hyperlink xmlns:r="http://schemas.openxmlformats.org/officeDocument/2006/relationships" ref="I447" r:id="rId1321"/>
    <hyperlink xmlns:r="http://schemas.openxmlformats.org/officeDocument/2006/relationships" ref="J447" r:id="rId1322"/>
    <hyperlink xmlns:r="http://schemas.openxmlformats.org/officeDocument/2006/relationships" ref="C448" r:id="rId1323"/>
    <hyperlink xmlns:r="http://schemas.openxmlformats.org/officeDocument/2006/relationships" ref="I448" r:id="rId1324"/>
    <hyperlink xmlns:r="http://schemas.openxmlformats.org/officeDocument/2006/relationships" ref="J448" r:id="rId1325"/>
    <hyperlink xmlns:r="http://schemas.openxmlformats.org/officeDocument/2006/relationships" ref="C449" r:id="rId1326"/>
    <hyperlink xmlns:r="http://schemas.openxmlformats.org/officeDocument/2006/relationships" ref="I449" r:id="rId1327"/>
    <hyperlink xmlns:r="http://schemas.openxmlformats.org/officeDocument/2006/relationships" ref="J449" r:id="rId1328"/>
    <hyperlink xmlns:r="http://schemas.openxmlformats.org/officeDocument/2006/relationships" ref="C450" r:id="rId1329"/>
    <hyperlink xmlns:r="http://schemas.openxmlformats.org/officeDocument/2006/relationships" ref="I450" r:id="rId1330"/>
    <hyperlink xmlns:r="http://schemas.openxmlformats.org/officeDocument/2006/relationships" ref="J450" r:id="rId1331"/>
    <hyperlink xmlns:r="http://schemas.openxmlformats.org/officeDocument/2006/relationships" ref="C451" r:id="rId1332"/>
    <hyperlink xmlns:r="http://schemas.openxmlformats.org/officeDocument/2006/relationships" ref="I451" r:id="rId1333"/>
    <hyperlink xmlns:r="http://schemas.openxmlformats.org/officeDocument/2006/relationships" ref="J451" r:id="rId1334"/>
    <hyperlink xmlns:r="http://schemas.openxmlformats.org/officeDocument/2006/relationships" ref="C452" r:id="rId1335"/>
    <hyperlink xmlns:r="http://schemas.openxmlformats.org/officeDocument/2006/relationships" ref="I452" r:id="rId1336"/>
    <hyperlink xmlns:r="http://schemas.openxmlformats.org/officeDocument/2006/relationships" ref="J452" r:id="rId1337"/>
    <hyperlink xmlns:r="http://schemas.openxmlformats.org/officeDocument/2006/relationships" ref="C453" r:id="rId1338"/>
    <hyperlink xmlns:r="http://schemas.openxmlformats.org/officeDocument/2006/relationships" ref="I453" r:id="rId1339"/>
    <hyperlink xmlns:r="http://schemas.openxmlformats.org/officeDocument/2006/relationships" ref="J453" r:id="rId1340"/>
    <hyperlink xmlns:r="http://schemas.openxmlformats.org/officeDocument/2006/relationships" ref="C454" r:id="rId1341"/>
    <hyperlink xmlns:r="http://schemas.openxmlformats.org/officeDocument/2006/relationships" ref="I454" r:id="rId1342"/>
    <hyperlink xmlns:r="http://schemas.openxmlformats.org/officeDocument/2006/relationships" ref="J454" r:id="rId1343"/>
    <hyperlink xmlns:r="http://schemas.openxmlformats.org/officeDocument/2006/relationships" ref="C455" r:id="rId1344"/>
    <hyperlink xmlns:r="http://schemas.openxmlformats.org/officeDocument/2006/relationships" ref="I455" r:id="rId1345"/>
    <hyperlink xmlns:r="http://schemas.openxmlformats.org/officeDocument/2006/relationships" ref="J455" r:id="rId1346"/>
    <hyperlink xmlns:r="http://schemas.openxmlformats.org/officeDocument/2006/relationships" ref="C456" r:id="rId1347"/>
    <hyperlink xmlns:r="http://schemas.openxmlformats.org/officeDocument/2006/relationships" ref="I456" r:id="rId1348"/>
    <hyperlink xmlns:r="http://schemas.openxmlformats.org/officeDocument/2006/relationships" ref="J456" r:id="rId1349"/>
    <hyperlink xmlns:r="http://schemas.openxmlformats.org/officeDocument/2006/relationships" ref="C457" r:id="rId1350"/>
    <hyperlink xmlns:r="http://schemas.openxmlformats.org/officeDocument/2006/relationships" ref="I457" r:id="rId1351"/>
    <hyperlink xmlns:r="http://schemas.openxmlformats.org/officeDocument/2006/relationships" ref="J457" r:id="rId1352"/>
    <hyperlink xmlns:r="http://schemas.openxmlformats.org/officeDocument/2006/relationships" ref="C458" r:id="rId1353"/>
    <hyperlink xmlns:r="http://schemas.openxmlformats.org/officeDocument/2006/relationships" ref="I458" r:id="rId1354"/>
    <hyperlink xmlns:r="http://schemas.openxmlformats.org/officeDocument/2006/relationships" ref="J458" r:id="rId1355"/>
    <hyperlink xmlns:r="http://schemas.openxmlformats.org/officeDocument/2006/relationships" ref="C459" r:id="rId1356"/>
    <hyperlink xmlns:r="http://schemas.openxmlformats.org/officeDocument/2006/relationships" ref="I459" r:id="rId1357"/>
    <hyperlink xmlns:r="http://schemas.openxmlformats.org/officeDocument/2006/relationships" ref="J459" r:id="rId1358"/>
    <hyperlink xmlns:r="http://schemas.openxmlformats.org/officeDocument/2006/relationships" ref="C460" r:id="rId1359"/>
    <hyperlink xmlns:r="http://schemas.openxmlformats.org/officeDocument/2006/relationships" ref="I460" r:id="rId1360"/>
    <hyperlink xmlns:r="http://schemas.openxmlformats.org/officeDocument/2006/relationships" ref="J460" r:id="rId1361"/>
    <hyperlink xmlns:r="http://schemas.openxmlformats.org/officeDocument/2006/relationships" ref="C461" r:id="rId1362"/>
    <hyperlink xmlns:r="http://schemas.openxmlformats.org/officeDocument/2006/relationships" ref="I461" r:id="rId1363"/>
    <hyperlink xmlns:r="http://schemas.openxmlformats.org/officeDocument/2006/relationships" ref="J461" r:id="rId1364"/>
    <hyperlink xmlns:r="http://schemas.openxmlformats.org/officeDocument/2006/relationships" ref="C462" r:id="rId1365"/>
    <hyperlink xmlns:r="http://schemas.openxmlformats.org/officeDocument/2006/relationships" ref="I462" r:id="rId1366"/>
    <hyperlink xmlns:r="http://schemas.openxmlformats.org/officeDocument/2006/relationships" ref="J462" r:id="rId1367"/>
    <hyperlink xmlns:r="http://schemas.openxmlformats.org/officeDocument/2006/relationships" ref="C463" r:id="rId1368"/>
    <hyperlink xmlns:r="http://schemas.openxmlformats.org/officeDocument/2006/relationships" ref="I463" r:id="rId1369"/>
    <hyperlink xmlns:r="http://schemas.openxmlformats.org/officeDocument/2006/relationships" ref="J463" r:id="rId1370"/>
    <hyperlink xmlns:r="http://schemas.openxmlformats.org/officeDocument/2006/relationships" ref="C464" r:id="rId1371"/>
    <hyperlink xmlns:r="http://schemas.openxmlformats.org/officeDocument/2006/relationships" ref="I464" r:id="rId1372"/>
    <hyperlink xmlns:r="http://schemas.openxmlformats.org/officeDocument/2006/relationships" ref="J464" r:id="rId1373"/>
    <hyperlink xmlns:r="http://schemas.openxmlformats.org/officeDocument/2006/relationships" ref="C465" r:id="rId1374"/>
    <hyperlink xmlns:r="http://schemas.openxmlformats.org/officeDocument/2006/relationships" ref="I465" r:id="rId1375"/>
    <hyperlink xmlns:r="http://schemas.openxmlformats.org/officeDocument/2006/relationships" ref="J465" r:id="rId1376"/>
    <hyperlink xmlns:r="http://schemas.openxmlformats.org/officeDocument/2006/relationships" ref="C466" r:id="rId1377"/>
    <hyperlink xmlns:r="http://schemas.openxmlformats.org/officeDocument/2006/relationships" ref="I466" r:id="rId1378"/>
    <hyperlink xmlns:r="http://schemas.openxmlformats.org/officeDocument/2006/relationships" ref="J466" r:id="rId1379"/>
    <hyperlink xmlns:r="http://schemas.openxmlformats.org/officeDocument/2006/relationships" ref="C467" r:id="rId1380"/>
    <hyperlink xmlns:r="http://schemas.openxmlformats.org/officeDocument/2006/relationships" ref="I467" r:id="rId1381"/>
    <hyperlink xmlns:r="http://schemas.openxmlformats.org/officeDocument/2006/relationships" ref="J467" r:id="rId1382"/>
    <hyperlink xmlns:r="http://schemas.openxmlformats.org/officeDocument/2006/relationships" ref="C468" r:id="rId1383"/>
    <hyperlink xmlns:r="http://schemas.openxmlformats.org/officeDocument/2006/relationships" ref="I468" r:id="rId1384"/>
    <hyperlink xmlns:r="http://schemas.openxmlformats.org/officeDocument/2006/relationships" ref="J468" r:id="rId1385"/>
    <hyperlink xmlns:r="http://schemas.openxmlformats.org/officeDocument/2006/relationships" ref="C469" r:id="rId1386"/>
    <hyperlink xmlns:r="http://schemas.openxmlformats.org/officeDocument/2006/relationships" ref="I469" r:id="rId1387"/>
    <hyperlink xmlns:r="http://schemas.openxmlformats.org/officeDocument/2006/relationships" ref="J469" r:id="rId1388"/>
    <hyperlink xmlns:r="http://schemas.openxmlformats.org/officeDocument/2006/relationships" ref="C470" r:id="rId1389"/>
    <hyperlink xmlns:r="http://schemas.openxmlformats.org/officeDocument/2006/relationships" ref="I470" r:id="rId1390"/>
    <hyperlink xmlns:r="http://schemas.openxmlformats.org/officeDocument/2006/relationships" ref="J470" r:id="rId1391"/>
    <hyperlink xmlns:r="http://schemas.openxmlformats.org/officeDocument/2006/relationships" ref="C471" r:id="rId1392"/>
    <hyperlink xmlns:r="http://schemas.openxmlformats.org/officeDocument/2006/relationships" ref="I471" r:id="rId1393"/>
    <hyperlink xmlns:r="http://schemas.openxmlformats.org/officeDocument/2006/relationships" ref="J471" r:id="rId1394"/>
    <hyperlink xmlns:r="http://schemas.openxmlformats.org/officeDocument/2006/relationships" ref="C472" r:id="rId1395"/>
    <hyperlink xmlns:r="http://schemas.openxmlformats.org/officeDocument/2006/relationships" ref="I472" r:id="rId1396"/>
    <hyperlink xmlns:r="http://schemas.openxmlformats.org/officeDocument/2006/relationships" ref="J472" r:id="rId1397"/>
    <hyperlink xmlns:r="http://schemas.openxmlformats.org/officeDocument/2006/relationships" ref="C473" r:id="rId1398"/>
    <hyperlink xmlns:r="http://schemas.openxmlformats.org/officeDocument/2006/relationships" ref="I473" r:id="rId1399"/>
    <hyperlink xmlns:r="http://schemas.openxmlformats.org/officeDocument/2006/relationships" ref="J473" r:id="rId1400"/>
    <hyperlink xmlns:r="http://schemas.openxmlformats.org/officeDocument/2006/relationships" ref="C474" r:id="rId1401"/>
    <hyperlink xmlns:r="http://schemas.openxmlformats.org/officeDocument/2006/relationships" ref="I474" r:id="rId1402"/>
    <hyperlink xmlns:r="http://schemas.openxmlformats.org/officeDocument/2006/relationships" ref="J474" r:id="rId1403"/>
    <hyperlink xmlns:r="http://schemas.openxmlformats.org/officeDocument/2006/relationships" ref="C475" r:id="rId1404"/>
    <hyperlink xmlns:r="http://schemas.openxmlformats.org/officeDocument/2006/relationships" ref="I475" r:id="rId1405"/>
    <hyperlink xmlns:r="http://schemas.openxmlformats.org/officeDocument/2006/relationships" ref="J475" r:id="rId1406"/>
    <hyperlink xmlns:r="http://schemas.openxmlformats.org/officeDocument/2006/relationships" ref="C476" r:id="rId1407"/>
    <hyperlink xmlns:r="http://schemas.openxmlformats.org/officeDocument/2006/relationships" ref="I476" r:id="rId1408"/>
    <hyperlink xmlns:r="http://schemas.openxmlformats.org/officeDocument/2006/relationships" ref="J476" r:id="rId1409"/>
    <hyperlink xmlns:r="http://schemas.openxmlformats.org/officeDocument/2006/relationships" ref="C477" r:id="rId1410"/>
    <hyperlink xmlns:r="http://schemas.openxmlformats.org/officeDocument/2006/relationships" ref="I477" r:id="rId1411"/>
    <hyperlink xmlns:r="http://schemas.openxmlformats.org/officeDocument/2006/relationships" ref="J477" r:id="rId1412"/>
    <hyperlink xmlns:r="http://schemas.openxmlformats.org/officeDocument/2006/relationships" ref="C478" r:id="rId1413"/>
    <hyperlink xmlns:r="http://schemas.openxmlformats.org/officeDocument/2006/relationships" ref="I478" r:id="rId1414"/>
    <hyperlink xmlns:r="http://schemas.openxmlformats.org/officeDocument/2006/relationships" ref="J478" r:id="rId1415"/>
    <hyperlink xmlns:r="http://schemas.openxmlformats.org/officeDocument/2006/relationships" ref="C479" r:id="rId1416"/>
    <hyperlink xmlns:r="http://schemas.openxmlformats.org/officeDocument/2006/relationships" ref="I479" r:id="rId1417"/>
    <hyperlink xmlns:r="http://schemas.openxmlformats.org/officeDocument/2006/relationships" ref="J479" r:id="rId1418"/>
    <hyperlink xmlns:r="http://schemas.openxmlformats.org/officeDocument/2006/relationships" ref="C480" r:id="rId1419"/>
    <hyperlink xmlns:r="http://schemas.openxmlformats.org/officeDocument/2006/relationships" ref="I480" r:id="rId1420"/>
    <hyperlink xmlns:r="http://schemas.openxmlformats.org/officeDocument/2006/relationships" ref="J480" r:id="rId1421"/>
    <hyperlink xmlns:r="http://schemas.openxmlformats.org/officeDocument/2006/relationships" ref="C481" r:id="rId1422"/>
    <hyperlink xmlns:r="http://schemas.openxmlformats.org/officeDocument/2006/relationships" ref="I481" r:id="rId1423"/>
    <hyperlink xmlns:r="http://schemas.openxmlformats.org/officeDocument/2006/relationships" ref="J481" r:id="rId1424"/>
    <hyperlink xmlns:r="http://schemas.openxmlformats.org/officeDocument/2006/relationships" ref="C482" r:id="rId1425"/>
    <hyperlink xmlns:r="http://schemas.openxmlformats.org/officeDocument/2006/relationships" ref="I482" r:id="rId1426"/>
    <hyperlink xmlns:r="http://schemas.openxmlformats.org/officeDocument/2006/relationships" ref="J482" r:id="rId1427"/>
    <hyperlink xmlns:r="http://schemas.openxmlformats.org/officeDocument/2006/relationships" ref="C483" r:id="rId1428"/>
    <hyperlink xmlns:r="http://schemas.openxmlformats.org/officeDocument/2006/relationships" ref="I483" r:id="rId1429"/>
    <hyperlink xmlns:r="http://schemas.openxmlformats.org/officeDocument/2006/relationships" ref="J483" r:id="rId1430"/>
    <hyperlink xmlns:r="http://schemas.openxmlformats.org/officeDocument/2006/relationships" ref="C484" r:id="rId1431"/>
    <hyperlink xmlns:r="http://schemas.openxmlformats.org/officeDocument/2006/relationships" ref="I484" r:id="rId1432"/>
    <hyperlink xmlns:r="http://schemas.openxmlformats.org/officeDocument/2006/relationships" ref="J484" r:id="rId1433"/>
    <hyperlink xmlns:r="http://schemas.openxmlformats.org/officeDocument/2006/relationships" ref="C485" r:id="rId1434"/>
    <hyperlink xmlns:r="http://schemas.openxmlformats.org/officeDocument/2006/relationships" ref="I485" r:id="rId1435"/>
    <hyperlink xmlns:r="http://schemas.openxmlformats.org/officeDocument/2006/relationships" ref="J485" r:id="rId1436"/>
    <hyperlink xmlns:r="http://schemas.openxmlformats.org/officeDocument/2006/relationships" ref="C486" r:id="rId1437"/>
    <hyperlink xmlns:r="http://schemas.openxmlformats.org/officeDocument/2006/relationships" ref="I486" r:id="rId1438"/>
    <hyperlink xmlns:r="http://schemas.openxmlformats.org/officeDocument/2006/relationships" ref="J486" r:id="rId1439"/>
    <hyperlink xmlns:r="http://schemas.openxmlformats.org/officeDocument/2006/relationships" ref="C487" r:id="rId1440"/>
    <hyperlink xmlns:r="http://schemas.openxmlformats.org/officeDocument/2006/relationships" ref="I487" r:id="rId1441"/>
    <hyperlink xmlns:r="http://schemas.openxmlformats.org/officeDocument/2006/relationships" ref="J487" r:id="rId1442"/>
    <hyperlink xmlns:r="http://schemas.openxmlformats.org/officeDocument/2006/relationships" ref="C488" r:id="rId1443"/>
    <hyperlink xmlns:r="http://schemas.openxmlformats.org/officeDocument/2006/relationships" ref="I488" r:id="rId1444"/>
    <hyperlink xmlns:r="http://schemas.openxmlformats.org/officeDocument/2006/relationships" ref="J488" r:id="rId1445"/>
    <hyperlink xmlns:r="http://schemas.openxmlformats.org/officeDocument/2006/relationships" ref="C489" r:id="rId1446"/>
    <hyperlink xmlns:r="http://schemas.openxmlformats.org/officeDocument/2006/relationships" ref="I489" r:id="rId1447"/>
    <hyperlink xmlns:r="http://schemas.openxmlformats.org/officeDocument/2006/relationships" ref="J489" r:id="rId1448"/>
    <hyperlink xmlns:r="http://schemas.openxmlformats.org/officeDocument/2006/relationships" ref="C490" r:id="rId1449"/>
    <hyperlink xmlns:r="http://schemas.openxmlformats.org/officeDocument/2006/relationships" ref="I490" r:id="rId1450"/>
    <hyperlink xmlns:r="http://schemas.openxmlformats.org/officeDocument/2006/relationships" ref="J490" r:id="rId1451"/>
    <hyperlink xmlns:r="http://schemas.openxmlformats.org/officeDocument/2006/relationships" ref="C491" r:id="rId1452"/>
    <hyperlink xmlns:r="http://schemas.openxmlformats.org/officeDocument/2006/relationships" ref="I491" r:id="rId1453"/>
    <hyperlink xmlns:r="http://schemas.openxmlformats.org/officeDocument/2006/relationships" ref="J491" r:id="rId1454"/>
    <hyperlink xmlns:r="http://schemas.openxmlformats.org/officeDocument/2006/relationships" ref="C492" r:id="rId1455"/>
    <hyperlink xmlns:r="http://schemas.openxmlformats.org/officeDocument/2006/relationships" ref="I492" r:id="rId1456"/>
    <hyperlink xmlns:r="http://schemas.openxmlformats.org/officeDocument/2006/relationships" ref="J492" r:id="rId1457"/>
    <hyperlink xmlns:r="http://schemas.openxmlformats.org/officeDocument/2006/relationships" ref="C493" r:id="rId1458"/>
    <hyperlink xmlns:r="http://schemas.openxmlformats.org/officeDocument/2006/relationships" ref="I493" r:id="rId1459"/>
    <hyperlink xmlns:r="http://schemas.openxmlformats.org/officeDocument/2006/relationships" ref="J493" r:id="rId1460"/>
    <hyperlink xmlns:r="http://schemas.openxmlformats.org/officeDocument/2006/relationships" ref="C494" r:id="rId1461"/>
    <hyperlink xmlns:r="http://schemas.openxmlformats.org/officeDocument/2006/relationships" ref="I494" r:id="rId1462"/>
    <hyperlink xmlns:r="http://schemas.openxmlformats.org/officeDocument/2006/relationships" ref="J494" r:id="rId1463"/>
    <hyperlink xmlns:r="http://schemas.openxmlformats.org/officeDocument/2006/relationships" ref="C495" r:id="rId1464"/>
    <hyperlink xmlns:r="http://schemas.openxmlformats.org/officeDocument/2006/relationships" ref="I495" r:id="rId1465"/>
    <hyperlink xmlns:r="http://schemas.openxmlformats.org/officeDocument/2006/relationships" ref="J495" r:id="rId1466"/>
    <hyperlink xmlns:r="http://schemas.openxmlformats.org/officeDocument/2006/relationships" ref="C496" r:id="rId1467"/>
    <hyperlink xmlns:r="http://schemas.openxmlformats.org/officeDocument/2006/relationships" ref="I496" r:id="rId1468"/>
    <hyperlink xmlns:r="http://schemas.openxmlformats.org/officeDocument/2006/relationships" ref="J496" r:id="rId1469"/>
    <hyperlink xmlns:r="http://schemas.openxmlformats.org/officeDocument/2006/relationships" ref="C497" r:id="rId1470"/>
    <hyperlink xmlns:r="http://schemas.openxmlformats.org/officeDocument/2006/relationships" ref="I497" r:id="rId1471"/>
    <hyperlink xmlns:r="http://schemas.openxmlformats.org/officeDocument/2006/relationships" ref="J497" r:id="rId1472"/>
    <hyperlink xmlns:r="http://schemas.openxmlformats.org/officeDocument/2006/relationships" ref="C498" r:id="rId1473"/>
    <hyperlink xmlns:r="http://schemas.openxmlformats.org/officeDocument/2006/relationships" ref="I498" r:id="rId1474"/>
    <hyperlink xmlns:r="http://schemas.openxmlformats.org/officeDocument/2006/relationships" ref="J498" r:id="rId1475"/>
    <hyperlink xmlns:r="http://schemas.openxmlformats.org/officeDocument/2006/relationships" ref="C499" r:id="rId1476"/>
    <hyperlink xmlns:r="http://schemas.openxmlformats.org/officeDocument/2006/relationships" ref="I499" r:id="rId1477"/>
    <hyperlink xmlns:r="http://schemas.openxmlformats.org/officeDocument/2006/relationships" ref="J499" r:id="rId1478"/>
    <hyperlink xmlns:r="http://schemas.openxmlformats.org/officeDocument/2006/relationships" ref="C500" r:id="rId1479"/>
    <hyperlink xmlns:r="http://schemas.openxmlformats.org/officeDocument/2006/relationships" ref="I500" r:id="rId1480"/>
    <hyperlink xmlns:r="http://schemas.openxmlformats.org/officeDocument/2006/relationships" ref="J500" r:id="rId1481"/>
    <hyperlink xmlns:r="http://schemas.openxmlformats.org/officeDocument/2006/relationships" ref="C501" r:id="rId1482"/>
    <hyperlink xmlns:r="http://schemas.openxmlformats.org/officeDocument/2006/relationships" ref="I501" r:id="rId1483"/>
    <hyperlink xmlns:r="http://schemas.openxmlformats.org/officeDocument/2006/relationships" ref="J501" r:id="rId1484"/>
    <hyperlink xmlns:r="http://schemas.openxmlformats.org/officeDocument/2006/relationships" ref="C502" r:id="rId1485"/>
    <hyperlink xmlns:r="http://schemas.openxmlformats.org/officeDocument/2006/relationships" ref="I502" r:id="rId1486"/>
    <hyperlink xmlns:r="http://schemas.openxmlformats.org/officeDocument/2006/relationships" ref="J502" r:id="rId1487"/>
    <hyperlink xmlns:r="http://schemas.openxmlformats.org/officeDocument/2006/relationships" ref="C503" r:id="rId1488"/>
    <hyperlink xmlns:r="http://schemas.openxmlformats.org/officeDocument/2006/relationships" ref="I503" r:id="rId1489"/>
    <hyperlink xmlns:r="http://schemas.openxmlformats.org/officeDocument/2006/relationships" ref="J503" r:id="rId1490"/>
    <hyperlink xmlns:r="http://schemas.openxmlformats.org/officeDocument/2006/relationships" ref="C504" r:id="rId1491"/>
    <hyperlink xmlns:r="http://schemas.openxmlformats.org/officeDocument/2006/relationships" ref="I504" r:id="rId1492"/>
    <hyperlink xmlns:r="http://schemas.openxmlformats.org/officeDocument/2006/relationships" ref="J504" r:id="rId1493"/>
    <hyperlink xmlns:r="http://schemas.openxmlformats.org/officeDocument/2006/relationships" ref="C505" r:id="rId1494"/>
    <hyperlink xmlns:r="http://schemas.openxmlformats.org/officeDocument/2006/relationships" ref="I505" r:id="rId1495"/>
    <hyperlink xmlns:r="http://schemas.openxmlformats.org/officeDocument/2006/relationships" ref="J505" r:id="rId1496"/>
    <hyperlink xmlns:r="http://schemas.openxmlformats.org/officeDocument/2006/relationships" ref="C506" r:id="rId1497"/>
    <hyperlink xmlns:r="http://schemas.openxmlformats.org/officeDocument/2006/relationships" ref="I506" r:id="rId1498"/>
    <hyperlink xmlns:r="http://schemas.openxmlformats.org/officeDocument/2006/relationships" ref="J506" r:id="rId1499"/>
    <hyperlink xmlns:r="http://schemas.openxmlformats.org/officeDocument/2006/relationships" ref="C507" r:id="rId1500"/>
    <hyperlink xmlns:r="http://schemas.openxmlformats.org/officeDocument/2006/relationships" ref="I507" r:id="rId1501"/>
    <hyperlink xmlns:r="http://schemas.openxmlformats.org/officeDocument/2006/relationships" ref="J507" r:id="rId1502"/>
    <hyperlink xmlns:r="http://schemas.openxmlformats.org/officeDocument/2006/relationships" ref="C508" r:id="rId1503"/>
    <hyperlink xmlns:r="http://schemas.openxmlformats.org/officeDocument/2006/relationships" ref="I508" r:id="rId1504"/>
    <hyperlink xmlns:r="http://schemas.openxmlformats.org/officeDocument/2006/relationships" ref="J508" r:id="rId1505"/>
    <hyperlink xmlns:r="http://schemas.openxmlformats.org/officeDocument/2006/relationships" ref="C509" r:id="rId1506"/>
    <hyperlink xmlns:r="http://schemas.openxmlformats.org/officeDocument/2006/relationships" ref="I509" r:id="rId1507"/>
    <hyperlink xmlns:r="http://schemas.openxmlformats.org/officeDocument/2006/relationships" ref="J509" r:id="rId1508"/>
    <hyperlink xmlns:r="http://schemas.openxmlformats.org/officeDocument/2006/relationships" ref="C510" r:id="rId1509"/>
    <hyperlink xmlns:r="http://schemas.openxmlformats.org/officeDocument/2006/relationships" ref="I510" r:id="rId1510"/>
    <hyperlink xmlns:r="http://schemas.openxmlformats.org/officeDocument/2006/relationships" ref="J510" r:id="rId1511"/>
    <hyperlink xmlns:r="http://schemas.openxmlformats.org/officeDocument/2006/relationships" ref="C511" r:id="rId1512"/>
    <hyperlink xmlns:r="http://schemas.openxmlformats.org/officeDocument/2006/relationships" ref="I511" r:id="rId1513"/>
    <hyperlink xmlns:r="http://schemas.openxmlformats.org/officeDocument/2006/relationships" ref="J511" r:id="rId1514"/>
    <hyperlink xmlns:r="http://schemas.openxmlformats.org/officeDocument/2006/relationships" ref="C512" r:id="rId1515"/>
    <hyperlink xmlns:r="http://schemas.openxmlformats.org/officeDocument/2006/relationships" ref="I512" r:id="rId1516"/>
    <hyperlink xmlns:r="http://schemas.openxmlformats.org/officeDocument/2006/relationships" ref="J512" r:id="rId1517"/>
    <hyperlink xmlns:r="http://schemas.openxmlformats.org/officeDocument/2006/relationships" ref="C513" r:id="rId1518"/>
    <hyperlink xmlns:r="http://schemas.openxmlformats.org/officeDocument/2006/relationships" ref="I513" r:id="rId1519"/>
    <hyperlink xmlns:r="http://schemas.openxmlformats.org/officeDocument/2006/relationships" ref="J513" r:id="rId1520"/>
    <hyperlink xmlns:r="http://schemas.openxmlformats.org/officeDocument/2006/relationships" ref="C514" r:id="rId1521"/>
    <hyperlink xmlns:r="http://schemas.openxmlformats.org/officeDocument/2006/relationships" ref="I514" r:id="rId1522"/>
    <hyperlink xmlns:r="http://schemas.openxmlformats.org/officeDocument/2006/relationships" ref="J514" r:id="rId1523"/>
    <hyperlink xmlns:r="http://schemas.openxmlformats.org/officeDocument/2006/relationships" ref="C515" r:id="rId1524"/>
    <hyperlink xmlns:r="http://schemas.openxmlformats.org/officeDocument/2006/relationships" ref="I515" r:id="rId1525"/>
    <hyperlink xmlns:r="http://schemas.openxmlformats.org/officeDocument/2006/relationships" ref="J515" r:id="rId1526"/>
    <hyperlink xmlns:r="http://schemas.openxmlformats.org/officeDocument/2006/relationships" ref="C516" r:id="rId1527"/>
    <hyperlink xmlns:r="http://schemas.openxmlformats.org/officeDocument/2006/relationships" ref="I516" r:id="rId1528"/>
    <hyperlink xmlns:r="http://schemas.openxmlformats.org/officeDocument/2006/relationships" ref="J516" r:id="rId1529"/>
    <hyperlink xmlns:r="http://schemas.openxmlformats.org/officeDocument/2006/relationships" ref="C517" r:id="rId1530"/>
    <hyperlink xmlns:r="http://schemas.openxmlformats.org/officeDocument/2006/relationships" ref="I517" r:id="rId1531"/>
    <hyperlink xmlns:r="http://schemas.openxmlformats.org/officeDocument/2006/relationships" ref="J517" r:id="rId1532"/>
    <hyperlink xmlns:r="http://schemas.openxmlformats.org/officeDocument/2006/relationships" ref="C518" r:id="rId1533"/>
    <hyperlink xmlns:r="http://schemas.openxmlformats.org/officeDocument/2006/relationships" ref="I518" r:id="rId1534"/>
    <hyperlink xmlns:r="http://schemas.openxmlformats.org/officeDocument/2006/relationships" ref="J518" r:id="rId1535"/>
    <hyperlink xmlns:r="http://schemas.openxmlformats.org/officeDocument/2006/relationships" ref="C519" r:id="rId1536"/>
    <hyperlink xmlns:r="http://schemas.openxmlformats.org/officeDocument/2006/relationships" ref="I519" r:id="rId1537"/>
    <hyperlink xmlns:r="http://schemas.openxmlformats.org/officeDocument/2006/relationships" ref="J519" r:id="rId1538"/>
    <hyperlink xmlns:r="http://schemas.openxmlformats.org/officeDocument/2006/relationships" ref="C520" r:id="rId1539"/>
    <hyperlink xmlns:r="http://schemas.openxmlformats.org/officeDocument/2006/relationships" ref="I520" r:id="rId1540"/>
    <hyperlink xmlns:r="http://schemas.openxmlformats.org/officeDocument/2006/relationships" ref="J520" r:id="rId1541"/>
    <hyperlink xmlns:r="http://schemas.openxmlformats.org/officeDocument/2006/relationships" ref="C521" r:id="rId1542"/>
    <hyperlink xmlns:r="http://schemas.openxmlformats.org/officeDocument/2006/relationships" ref="I521" r:id="rId1543"/>
    <hyperlink xmlns:r="http://schemas.openxmlformats.org/officeDocument/2006/relationships" ref="J521" r:id="rId1544"/>
    <hyperlink xmlns:r="http://schemas.openxmlformats.org/officeDocument/2006/relationships" ref="C522" r:id="rId1545"/>
    <hyperlink xmlns:r="http://schemas.openxmlformats.org/officeDocument/2006/relationships" ref="I522" r:id="rId1546"/>
    <hyperlink xmlns:r="http://schemas.openxmlformats.org/officeDocument/2006/relationships" ref="J522" r:id="rId1547"/>
    <hyperlink xmlns:r="http://schemas.openxmlformats.org/officeDocument/2006/relationships" ref="C523" r:id="rId1548"/>
    <hyperlink xmlns:r="http://schemas.openxmlformats.org/officeDocument/2006/relationships" ref="I523" r:id="rId1549"/>
    <hyperlink xmlns:r="http://schemas.openxmlformats.org/officeDocument/2006/relationships" ref="J523" r:id="rId1550"/>
    <hyperlink xmlns:r="http://schemas.openxmlformats.org/officeDocument/2006/relationships" ref="C524" r:id="rId1551"/>
    <hyperlink xmlns:r="http://schemas.openxmlformats.org/officeDocument/2006/relationships" ref="I524" r:id="rId1552"/>
    <hyperlink xmlns:r="http://schemas.openxmlformats.org/officeDocument/2006/relationships" ref="J524" r:id="rId1553"/>
    <hyperlink xmlns:r="http://schemas.openxmlformats.org/officeDocument/2006/relationships" ref="C525" r:id="rId1554"/>
    <hyperlink xmlns:r="http://schemas.openxmlformats.org/officeDocument/2006/relationships" ref="I525" r:id="rId1555"/>
    <hyperlink xmlns:r="http://schemas.openxmlformats.org/officeDocument/2006/relationships" ref="J525" r:id="rId1556"/>
    <hyperlink xmlns:r="http://schemas.openxmlformats.org/officeDocument/2006/relationships" ref="C526" r:id="rId1557"/>
    <hyperlink xmlns:r="http://schemas.openxmlformats.org/officeDocument/2006/relationships" ref="I526" r:id="rId1558"/>
    <hyperlink xmlns:r="http://schemas.openxmlformats.org/officeDocument/2006/relationships" ref="J526" r:id="rId1559"/>
    <hyperlink xmlns:r="http://schemas.openxmlformats.org/officeDocument/2006/relationships" ref="C527" r:id="rId1560"/>
    <hyperlink xmlns:r="http://schemas.openxmlformats.org/officeDocument/2006/relationships" ref="I527" r:id="rId1561"/>
    <hyperlink xmlns:r="http://schemas.openxmlformats.org/officeDocument/2006/relationships" ref="J527" r:id="rId1562"/>
    <hyperlink xmlns:r="http://schemas.openxmlformats.org/officeDocument/2006/relationships" ref="C528" r:id="rId1563"/>
    <hyperlink xmlns:r="http://schemas.openxmlformats.org/officeDocument/2006/relationships" ref="I528" r:id="rId1564"/>
    <hyperlink xmlns:r="http://schemas.openxmlformats.org/officeDocument/2006/relationships" ref="J528" r:id="rId1565"/>
    <hyperlink xmlns:r="http://schemas.openxmlformats.org/officeDocument/2006/relationships" ref="C529" r:id="rId1566"/>
    <hyperlink xmlns:r="http://schemas.openxmlformats.org/officeDocument/2006/relationships" ref="I529" r:id="rId1567"/>
    <hyperlink xmlns:r="http://schemas.openxmlformats.org/officeDocument/2006/relationships" ref="J529" r:id="rId1568"/>
    <hyperlink xmlns:r="http://schemas.openxmlformats.org/officeDocument/2006/relationships" ref="C530" r:id="rId1569"/>
    <hyperlink xmlns:r="http://schemas.openxmlformats.org/officeDocument/2006/relationships" ref="I530" r:id="rId1570"/>
    <hyperlink xmlns:r="http://schemas.openxmlformats.org/officeDocument/2006/relationships" ref="J530" r:id="rId1571"/>
    <hyperlink xmlns:r="http://schemas.openxmlformats.org/officeDocument/2006/relationships" ref="C531" r:id="rId1572"/>
    <hyperlink xmlns:r="http://schemas.openxmlformats.org/officeDocument/2006/relationships" ref="I531" r:id="rId1573"/>
    <hyperlink xmlns:r="http://schemas.openxmlformats.org/officeDocument/2006/relationships" ref="J531" r:id="rId1574"/>
    <hyperlink xmlns:r="http://schemas.openxmlformats.org/officeDocument/2006/relationships" ref="C532" r:id="rId1575"/>
    <hyperlink xmlns:r="http://schemas.openxmlformats.org/officeDocument/2006/relationships" ref="I532" r:id="rId1576"/>
    <hyperlink xmlns:r="http://schemas.openxmlformats.org/officeDocument/2006/relationships" ref="J532" r:id="rId1577"/>
    <hyperlink xmlns:r="http://schemas.openxmlformats.org/officeDocument/2006/relationships" ref="C533" r:id="rId1578"/>
    <hyperlink xmlns:r="http://schemas.openxmlformats.org/officeDocument/2006/relationships" ref="I533" r:id="rId1579"/>
    <hyperlink xmlns:r="http://schemas.openxmlformats.org/officeDocument/2006/relationships" ref="J533" r:id="rId1580"/>
    <hyperlink xmlns:r="http://schemas.openxmlformats.org/officeDocument/2006/relationships" ref="C534" r:id="rId1581"/>
    <hyperlink xmlns:r="http://schemas.openxmlformats.org/officeDocument/2006/relationships" ref="I534" r:id="rId1582"/>
    <hyperlink xmlns:r="http://schemas.openxmlformats.org/officeDocument/2006/relationships" ref="J534" r:id="rId1583"/>
    <hyperlink xmlns:r="http://schemas.openxmlformats.org/officeDocument/2006/relationships" ref="C535" r:id="rId1584"/>
    <hyperlink xmlns:r="http://schemas.openxmlformats.org/officeDocument/2006/relationships" ref="I535" r:id="rId1585"/>
    <hyperlink xmlns:r="http://schemas.openxmlformats.org/officeDocument/2006/relationships" ref="J535" r:id="rId1586"/>
    <hyperlink xmlns:r="http://schemas.openxmlformats.org/officeDocument/2006/relationships" ref="C536" r:id="rId1587"/>
    <hyperlink xmlns:r="http://schemas.openxmlformats.org/officeDocument/2006/relationships" ref="I536" r:id="rId1588"/>
    <hyperlink xmlns:r="http://schemas.openxmlformats.org/officeDocument/2006/relationships" ref="J536" r:id="rId1589"/>
    <hyperlink xmlns:r="http://schemas.openxmlformats.org/officeDocument/2006/relationships" ref="C537" r:id="rId1590"/>
    <hyperlink xmlns:r="http://schemas.openxmlformats.org/officeDocument/2006/relationships" ref="J537" r:id="rId1591"/>
    <hyperlink xmlns:r="http://schemas.openxmlformats.org/officeDocument/2006/relationships" ref="C538" r:id="rId1592"/>
    <hyperlink xmlns:r="http://schemas.openxmlformats.org/officeDocument/2006/relationships" ref="I538" r:id="rId1593"/>
    <hyperlink xmlns:r="http://schemas.openxmlformats.org/officeDocument/2006/relationships" ref="J538" r:id="rId1594"/>
    <hyperlink xmlns:r="http://schemas.openxmlformats.org/officeDocument/2006/relationships" ref="C539" r:id="rId1595"/>
    <hyperlink xmlns:r="http://schemas.openxmlformats.org/officeDocument/2006/relationships" ref="I539" r:id="rId1596"/>
    <hyperlink xmlns:r="http://schemas.openxmlformats.org/officeDocument/2006/relationships" ref="J539" r:id="rId1597"/>
    <hyperlink xmlns:r="http://schemas.openxmlformats.org/officeDocument/2006/relationships" ref="C540" r:id="rId1598"/>
    <hyperlink xmlns:r="http://schemas.openxmlformats.org/officeDocument/2006/relationships" ref="I540" r:id="rId1599"/>
    <hyperlink xmlns:r="http://schemas.openxmlformats.org/officeDocument/2006/relationships" ref="J540" r:id="rId1600"/>
    <hyperlink xmlns:r="http://schemas.openxmlformats.org/officeDocument/2006/relationships" ref="C541" r:id="rId1601"/>
    <hyperlink xmlns:r="http://schemas.openxmlformats.org/officeDocument/2006/relationships" ref="I541" r:id="rId1602"/>
    <hyperlink xmlns:r="http://schemas.openxmlformats.org/officeDocument/2006/relationships" ref="J541" r:id="rId1603"/>
    <hyperlink xmlns:r="http://schemas.openxmlformats.org/officeDocument/2006/relationships" ref="C542" r:id="rId1604"/>
    <hyperlink xmlns:r="http://schemas.openxmlformats.org/officeDocument/2006/relationships" ref="I542" r:id="rId1605"/>
    <hyperlink xmlns:r="http://schemas.openxmlformats.org/officeDocument/2006/relationships" ref="J542" r:id="rId1606"/>
    <hyperlink xmlns:r="http://schemas.openxmlformats.org/officeDocument/2006/relationships" ref="C543" r:id="rId1607"/>
    <hyperlink xmlns:r="http://schemas.openxmlformats.org/officeDocument/2006/relationships" ref="I543" r:id="rId1608"/>
    <hyperlink xmlns:r="http://schemas.openxmlformats.org/officeDocument/2006/relationships" ref="J543" r:id="rId1609"/>
    <hyperlink xmlns:r="http://schemas.openxmlformats.org/officeDocument/2006/relationships" ref="C544" r:id="rId1610"/>
    <hyperlink xmlns:r="http://schemas.openxmlformats.org/officeDocument/2006/relationships" ref="I544" r:id="rId1611"/>
    <hyperlink xmlns:r="http://schemas.openxmlformats.org/officeDocument/2006/relationships" ref="J544" r:id="rId1612"/>
    <hyperlink xmlns:r="http://schemas.openxmlformats.org/officeDocument/2006/relationships" ref="C545" r:id="rId1613"/>
    <hyperlink xmlns:r="http://schemas.openxmlformats.org/officeDocument/2006/relationships" ref="I545" r:id="rId1614"/>
    <hyperlink xmlns:r="http://schemas.openxmlformats.org/officeDocument/2006/relationships" ref="J545" r:id="rId1615"/>
    <hyperlink xmlns:r="http://schemas.openxmlformats.org/officeDocument/2006/relationships" ref="C546" r:id="rId1616"/>
    <hyperlink xmlns:r="http://schemas.openxmlformats.org/officeDocument/2006/relationships" ref="I546" r:id="rId1617"/>
    <hyperlink xmlns:r="http://schemas.openxmlformats.org/officeDocument/2006/relationships" ref="J546" r:id="rId1618"/>
    <hyperlink xmlns:r="http://schemas.openxmlformats.org/officeDocument/2006/relationships" ref="C547" r:id="rId1619"/>
    <hyperlink xmlns:r="http://schemas.openxmlformats.org/officeDocument/2006/relationships" ref="I547" r:id="rId1620"/>
    <hyperlink xmlns:r="http://schemas.openxmlformats.org/officeDocument/2006/relationships" ref="J547" r:id="rId1621"/>
    <hyperlink xmlns:r="http://schemas.openxmlformats.org/officeDocument/2006/relationships" ref="C548" r:id="rId1622"/>
    <hyperlink xmlns:r="http://schemas.openxmlformats.org/officeDocument/2006/relationships" ref="I548" r:id="rId1623"/>
    <hyperlink xmlns:r="http://schemas.openxmlformats.org/officeDocument/2006/relationships" ref="J548" r:id="rId1624"/>
    <hyperlink xmlns:r="http://schemas.openxmlformats.org/officeDocument/2006/relationships" ref="C549" r:id="rId1625"/>
    <hyperlink xmlns:r="http://schemas.openxmlformats.org/officeDocument/2006/relationships" ref="I549" r:id="rId1626"/>
    <hyperlink xmlns:r="http://schemas.openxmlformats.org/officeDocument/2006/relationships" ref="J549" r:id="rId1627"/>
    <hyperlink xmlns:r="http://schemas.openxmlformats.org/officeDocument/2006/relationships" ref="C550" r:id="rId1628"/>
    <hyperlink xmlns:r="http://schemas.openxmlformats.org/officeDocument/2006/relationships" ref="I550" r:id="rId1629"/>
    <hyperlink xmlns:r="http://schemas.openxmlformats.org/officeDocument/2006/relationships" ref="J550" r:id="rId1630"/>
    <hyperlink xmlns:r="http://schemas.openxmlformats.org/officeDocument/2006/relationships" ref="C551" r:id="rId1631"/>
    <hyperlink xmlns:r="http://schemas.openxmlformats.org/officeDocument/2006/relationships" ref="J551" r:id="rId1632"/>
    <hyperlink xmlns:r="http://schemas.openxmlformats.org/officeDocument/2006/relationships" ref="C552" r:id="rId1633"/>
    <hyperlink xmlns:r="http://schemas.openxmlformats.org/officeDocument/2006/relationships" ref="I552" r:id="rId1634"/>
    <hyperlink xmlns:r="http://schemas.openxmlformats.org/officeDocument/2006/relationships" ref="J552" r:id="rId1635"/>
    <hyperlink xmlns:r="http://schemas.openxmlformats.org/officeDocument/2006/relationships" ref="C553" r:id="rId1636"/>
    <hyperlink xmlns:r="http://schemas.openxmlformats.org/officeDocument/2006/relationships" ref="I553" r:id="rId1637"/>
    <hyperlink xmlns:r="http://schemas.openxmlformats.org/officeDocument/2006/relationships" ref="J553" r:id="rId1638"/>
    <hyperlink xmlns:r="http://schemas.openxmlformats.org/officeDocument/2006/relationships" ref="C554" r:id="rId1639"/>
    <hyperlink xmlns:r="http://schemas.openxmlformats.org/officeDocument/2006/relationships" ref="I554" r:id="rId1640"/>
    <hyperlink xmlns:r="http://schemas.openxmlformats.org/officeDocument/2006/relationships" ref="J554" r:id="rId1641"/>
    <hyperlink xmlns:r="http://schemas.openxmlformats.org/officeDocument/2006/relationships" ref="C555" r:id="rId1642"/>
    <hyperlink xmlns:r="http://schemas.openxmlformats.org/officeDocument/2006/relationships" ref="I555" r:id="rId1643"/>
    <hyperlink xmlns:r="http://schemas.openxmlformats.org/officeDocument/2006/relationships" ref="J555" r:id="rId1644"/>
    <hyperlink xmlns:r="http://schemas.openxmlformats.org/officeDocument/2006/relationships" ref="C556" r:id="rId1645"/>
    <hyperlink xmlns:r="http://schemas.openxmlformats.org/officeDocument/2006/relationships" ref="I556" r:id="rId1646"/>
    <hyperlink xmlns:r="http://schemas.openxmlformats.org/officeDocument/2006/relationships" ref="J556" r:id="rId1647"/>
    <hyperlink xmlns:r="http://schemas.openxmlformats.org/officeDocument/2006/relationships" ref="C557" r:id="rId1648"/>
    <hyperlink xmlns:r="http://schemas.openxmlformats.org/officeDocument/2006/relationships" ref="I557" r:id="rId1649"/>
    <hyperlink xmlns:r="http://schemas.openxmlformats.org/officeDocument/2006/relationships" ref="J557" r:id="rId1650"/>
    <hyperlink xmlns:r="http://schemas.openxmlformats.org/officeDocument/2006/relationships" ref="C558" r:id="rId1651"/>
    <hyperlink xmlns:r="http://schemas.openxmlformats.org/officeDocument/2006/relationships" ref="I558" r:id="rId1652"/>
    <hyperlink xmlns:r="http://schemas.openxmlformats.org/officeDocument/2006/relationships" ref="J558" r:id="rId1653"/>
    <hyperlink xmlns:r="http://schemas.openxmlformats.org/officeDocument/2006/relationships" ref="C559" r:id="rId1654"/>
    <hyperlink xmlns:r="http://schemas.openxmlformats.org/officeDocument/2006/relationships" ref="I559" r:id="rId1655"/>
    <hyperlink xmlns:r="http://schemas.openxmlformats.org/officeDocument/2006/relationships" ref="J559" r:id="rId1656"/>
    <hyperlink xmlns:r="http://schemas.openxmlformats.org/officeDocument/2006/relationships" ref="C560" r:id="rId1657"/>
    <hyperlink xmlns:r="http://schemas.openxmlformats.org/officeDocument/2006/relationships" ref="I560" r:id="rId1658"/>
    <hyperlink xmlns:r="http://schemas.openxmlformats.org/officeDocument/2006/relationships" ref="J560" r:id="rId1659"/>
    <hyperlink xmlns:r="http://schemas.openxmlformats.org/officeDocument/2006/relationships" ref="C561" r:id="rId1660"/>
    <hyperlink xmlns:r="http://schemas.openxmlformats.org/officeDocument/2006/relationships" ref="I561" r:id="rId1661"/>
    <hyperlink xmlns:r="http://schemas.openxmlformats.org/officeDocument/2006/relationships" ref="J561" r:id="rId1662"/>
    <hyperlink xmlns:r="http://schemas.openxmlformats.org/officeDocument/2006/relationships" ref="C562" r:id="rId1663"/>
    <hyperlink xmlns:r="http://schemas.openxmlformats.org/officeDocument/2006/relationships" ref="I562" r:id="rId1664"/>
    <hyperlink xmlns:r="http://schemas.openxmlformats.org/officeDocument/2006/relationships" ref="J562" r:id="rId1665"/>
    <hyperlink xmlns:r="http://schemas.openxmlformats.org/officeDocument/2006/relationships" ref="C563" r:id="rId1666"/>
    <hyperlink xmlns:r="http://schemas.openxmlformats.org/officeDocument/2006/relationships" ref="I563" r:id="rId1667"/>
    <hyperlink xmlns:r="http://schemas.openxmlformats.org/officeDocument/2006/relationships" ref="J563" r:id="rId1668"/>
    <hyperlink xmlns:r="http://schemas.openxmlformats.org/officeDocument/2006/relationships" ref="C564" r:id="rId1669"/>
    <hyperlink xmlns:r="http://schemas.openxmlformats.org/officeDocument/2006/relationships" ref="I564" r:id="rId1670"/>
    <hyperlink xmlns:r="http://schemas.openxmlformats.org/officeDocument/2006/relationships" ref="J564" r:id="rId1671"/>
    <hyperlink xmlns:r="http://schemas.openxmlformats.org/officeDocument/2006/relationships" ref="C565" r:id="rId1672"/>
    <hyperlink xmlns:r="http://schemas.openxmlformats.org/officeDocument/2006/relationships" ref="I565" r:id="rId1673"/>
    <hyperlink xmlns:r="http://schemas.openxmlformats.org/officeDocument/2006/relationships" ref="J565" r:id="rId1674"/>
    <hyperlink xmlns:r="http://schemas.openxmlformats.org/officeDocument/2006/relationships" ref="C566" r:id="rId1675"/>
    <hyperlink xmlns:r="http://schemas.openxmlformats.org/officeDocument/2006/relationships" ref="I566" r:id="rId1676"/>
    <hyperlink xmlns:r="http://schemas.openxmlformats.org/officeDocument/2006/relationships" ref="J566" r:id="rId1677"/>
    <hyperlink xmlns:r="http://schemas.openxmlformats.org/officeDocument/2006/relationships" ref="C567" r:id="rId1678"/>
    <hyperlink xmlns:r="http://schemas.openxmlformats.org/officeDocument/2006/relationships" ref="I567" r:id="rId1679"/>
    <hyperlink xmlns:r="http://schemas.openxmlformats.org/officeDocument/2006/relationships" ref="J567" r:id="rId1680"/>
    <hyperlink xmlns:r="http://schemas.openxmlformats.org/officeDocument/2006/relationships" ref="C568" r:id="rId1681"/>
    <hyperlink xmlns:r="http://schemas.openxmlformats.org/officeDocument/2006/relationships" ref="I568" r:id="rId1682"/>
    <hyperlink xmlns:r="http://schemas.openxmlformats.org/officeDocument/2006/relationships" ref="J568" r:id="rId1683"/>
    <hyperlink xmlns:r="http://schemas.openxmlformats.org/officeDocument/2006/relationships" ref="C569" r:id="rId1684"/>
    <hyperlink xmlns:r="http://schemas.openxmlformats.org/officeDocument/2006/relationships" ref="I569" r:id="rId1685"/>
    <hyperlink xmlns:r="http://schemas.openxmlformats.org/officeDocument/2006/relationships" ref="J569" r:id="rId1686"/>
    <hyperlink xmlns:r="http://schemas.openxmlformats.org/officeDocument/2006/relationships" ref="C570" r:id="rId1687"/>
    <hyperlink xmlns:r="http://schemas.openxmlformats.org/officeDocument/2006/relationships" ref="I570" r:id="rId1688"/>
    <hyperlink xmlns:r="http://schemas.openxmlformats.org/officeDocument/2006/relationships" ref="J570" r:id="rId1689"/>
    <hyperlink xmlns:r="http://schemas.openxmlformats.org/officeDocument/2006/relationships" ref="C571" r:id="rId1690"/>
    <hyperlink xmlns:r="http://schemas.openxmlformats.org/officeDocument/2006/relationships" ref="I571" r:id="rId1691"/>
    <hyperlink xmlns:r="http://schemas.openxmlformats.org/officeDocument/2006/relationships" ref="J571" r:id="rId1692"/>
    <hyperlink xmlns:r="http://schemas.openxmlformats.org/officeDocument/2006/relationships" ref="C572" r:id="rId1693"/>
    <hyperlink xmlns:r="http://schemas.openxmlformats.org/officeDocument/2006/relationships" ref="I572" r:id="rId1694"/>
    <hyperlink xmlns:r="http://schemas.openxmlformats.org/officeDocument/2006/relationships" ref="J572" r:id="rId1695"/>
    <hyperlink xmlns:r="http://schemas.openxmlformats.org/officeDocument/2006/relationships" ref="C573" r:id="rId1696"/>
    <hyperlink xmlns:r="http://schemas.openxmlformats.org/officeDocument/2006/relationships" ref="I573" r:id="rId1697"/>
    <hyperlink xmlns:r="http://schemas.openxmlformats.org/officeDocument/2006/relationships" ref="J573" r:id="rId1698"/>
    <hyperlink xmlns:r="http://schemas.openxmlformats.org/officeDocument/2006/relationships" ref="C574" r:id="rId1699"/>
    <hyperlink xmlns:r="http://schemas.openxmlformats.org/officeDocument/2006/relationships" ref="I574" r:id="rId1700"/>
    <hyperlink xmlns:r="http://schemas.openxmlformats.org/officeDocument/2006/relationships" ref="J574" r:id="rId1701"/>
    <hyperlink xmlns:r="http://schemas.openxmlformats.org/officeDocument/2006/relationships" ref="C575" r:id="rId1702"/>
    <hyperlink xmlns:r="http://schemas.openxmlformats.org/officeDocument/2006/relationships" ref="I575" r:id="rId1703"/>
    <hyperlink xmlns:r="http://schemas.openxmlformats.org/officeDocument/2006/relationships" ref="J575" r:id="rId1704"/>
    <hyperlink xmlns:r="http://schemas.openxmlformats.org/officeDocument/2006/relationships" ref="C576" r:id="rId1705"/>
    <hyperlink xmlns:r="http://schemas.openxmlformats.org/officeDocument/2006/relationships" ref="J576" r:id="rId1706"/>
    <hyperlink xmlns:r="http://schemas.openxmlformats.org/officeDocument/2006/relationships" ref="C577" r:id="rId1707"/>
    <hyperlink xmlns:r="http://schemas.openxmlformats.org/officeDocument/2006/relationships" ref="I577" r:id="rId1708"/>
    <hyperlink xmlns:r="http://schemas.openxmlformats.org/officeDocument/2006/relationships" ref="J577" r:id="rId1709"/>
    <hyperlink xmlns:r="http://schemas.openxmlformats.org/officeDocument/2006/relationships" ref="C578" r:id="rId1710"/>
    <hyperlink xmlns:r="http://schemas.openxmlformats.org/officeDocument/2006/relationships" ref="I578" r:id="rId1711"/>
    <hyperlink xmlns:r="http://schemas.openxmlformats.org/officeDocument/2006/relationships" ref="J578" r:id="rId1712"/>
    <hyperlink xmlns:r="http://schemas.openxmlformats.org/officeDocument/2006/relationships" ref="C579" r:id="rId1713"/>
    <hyperlink xmlns:r="http://schemas.openxmlformats.org/officeDocument/2006/relationships" ref="I579" r:id="rId1714"/>
    <hyperlink xmlns:r="http://schemas.openxmlformats.org/officeDocument/2006/relationships" ref="J579" r:id="rId1715"/>
    <hyperlink xmlns:r="http://schemas.openxmlformats.org/officeDocument/2006/relationships" ref="C580" r:id="rId1716"/>
    <hyperlink xmlns:r="http://schemas.openxmlformats.org/officeDocument/2006/relationships" ref="I580" r:id="rId1717"/>
    <hyperlink xmlns:r="http://schemas.openxmlformats.org/officeDocument/2006/relationships" ref="J580" r:id="rId1718"/>
    <hyperlink xmlns:r="http://schemas.openxmlformats.org/officeDocument/2006/relationships" ref="C581" r:id="rId1719"/>
    <hyperlink xmlns:r="http://schemas.openxmlformats.org/officeDocument/2006/relationships" ref="I581" r:id="rId1720"/>
    <hyperlink xmlns:r="http://schemas.openxmlformats.org/officeDocument/2006/relationships" ref="J581" r:id="rId1721"/>
    <hyperlink xmlns:r="http://schemas.openxmlformats.org/officeDocument/2006/relationships" ref="C582" r:id="rId1722"/>
    <hyperlink xmlns:r="http://schemas.openxmlformats.org/officeDocument/2006/relationships" ref="I582" r:id="rId1723"/>
    <hyperlink xmlns:r="http://schemas.openxmlformats.org/officeDocument/2006/relationships" ref="J582" r:id="rId1724"/>
    <hyperlink xmlns:r="http://schemas.openxmlformats.org/officeDocument/2006/relationships" ref="C583" location="index-ESFJESFJtoc" r:id="rId1725"/>
    <hyperlink xmlns:r="http://schemas.openxmlformats.org/officeDocument/2006/relationships" ref="I583" r:id="rId1726"/>
    <hyperlink xmlns:r="http://schemas.openxmlformats.org/officeDocument/2006/relationships" ref="J583" r:id="rId1727"/>
    <hyperlink xmlns:r="http://schemas.openxmlformats.org/officeDocument/2006/relationships" ref="C584" r:id="rId1728"/>
    <hyperlink xmlns:r="http://schemas.openxmlformats.org/officeDocument/2006/relationships" ref="I584" r:id="rId1729"/>
    <hyperlink xmlns:r="http://schemas.openxmlformats.org/officeDocument/2006/relationships" ref="J584" r:id="rId1730"/>
    <hyperlink xmlns:r="http://schemas.openxmlformats.org/officeDocument/2006/relationships" ref="C585" r:id="rId1731"/>
    <hyperlink xmlns:r="http://schemas.openxmlformats.org/officeDocument/2006/relationships" ref="I585" r:id="rId1732"/>
    <hyperlink xmlns:r="http://schemas.openxmlformats.org/officeDocument/2006/relationships" ref="J585" r:id="rId1733"/>
    <hyperlink xmlns:r="http://schemas.openxmlformats.org/officeDocument/2006/relationships" ref="C586" r:id="rId1734"/>
    <hyperlink xmlns:r="http://schemas.openxmlformats.org/officeDocument/2006/relationships" ref="I586" r:id="rId1735"/>
    <hyperlink xmlns:r="http://schemas.openxmlformats.org/officeDocument/2006/relationships" ref="J586" r:id="rId1736"/>
    <hyperlink xmlns:r="http://schemas.openxmlformats.org/officeDocument/2006/relationships" ref="C587" r:id="rId1737"/>
    <hyperlink xmlns:r="http://schemas.openxmlformats.org/officeDocument/2006/relationships" ref="I587" r:id="rId1738"/>
    <hyperlink xmlns:r="http://schemas.openxmlformats.org/officeDocument/2006/relationships" ref="J587" r:id="rId1739"/>
    <hyperlink xmlns:r="http://schemas.openxmlformats.org/officeDocument/2006/relationships" ref="C588" r:id="rId1740"/>
    <hyperlink xmlns:r="http://schemas.openxmlformats.org/officeDocument/2006/relationships" ref="I588" r:id="rId1741"/>
    <hyperlink xmlns:r="http://schemas.openxmlformats.org/officeDocument/2006/relationships" ref="J588" r:id="rId1742"/>
    <hyperlink xmlns:r="http://schemas.openxmlformats.org/officeDocument/2006/relationships" ref="C589" r:id="rId1743"/>
    <hyperlink xmlns:r="http://schemas.openxmlformats.org/officeDocument/2006/relationships" ref="I589" r:id="rId1744"/>
    <hyperlink xmlns:r="http://schemas.openxmlformats.org/officeDocument/2006/relationships" ref="J589" r:id="rId1745"/>
    <hyperlink xmlns:r="http://schemas.openxmlformats.org/officeDocument/2006/relationships" ref="C590" r:id="rId1746"/>
    <hyperlink xmlns:r="http://schemas.openxmlformats.org/officeDocument/2006/relationships" ref="I590" r:id="rId1747"/>
    <hyperlink xmlns:r="http://schemas.openxmlformats.org/officeDocument/2006/relationships" ref="J590" r:id="rId1748"/>
    <hyperlink xmlns:r="http://schemas.openxmlformats.org/officeDocument/2006/relationships" ref="C591" r:id="rId1749"/>
    <hyperlink xmlns:r="http://schemas.openxmlformats.org/officeDocument/2006/relationships" ref="I591" r:id="rId1750"/>
    <hyperlink xmlns:r="http://schemas.openxmlformats.org/officeDocument/2006/relationships" ref="J591" r:id="rId1751"/>
    <hyperlink xmlns:r="http://schemas.openxmlformats.org/officeDocument/2006/relationships" ref="C592" r:id="rId1752"/>
    <hyperlink xmlns:r="http://schemas.openxmlformats.org/officeDocument/2006/relationships" ref="I592" r:id="rId1753"/>
    <hyperlink xmlns:r="http://schemas.openxmlformats.org/officeDocument/2006/relationships" ref="J592" r:id="rId1754"/>
    <hyperlink xmlns:r="http://schemas.openxmlformats.org/officeDocument/2006/relationships" ref="C593" r:id="rId1755"/>
    <hyperlink xmlns:r="http://schemas.openxmlformats.org/officeDocument/2006/relationships" ref="I593" r:id="rId1756"/>
    <hyperlink xmlns:r="http://schemas.openxmlformats.org/officeDocument/2006/relationships" ref="J593" r:id="rId1757"/>
    <hyperlink xmlns:r="http://schemas.openxmlformats.org/officeDocument/2006/relationships" ref="C594" r:id="rId1758"/>
    <hyperlink xmlns:r="http://schemas.openxmlformats.org/officeDocument/2006/relationships" ref="I594" r:id="rId1759"/>
    <hyperlink xmlns:r="http://schemas.openxmlformats.org/officeDocument/2006/relationships" ref="J594" r:id="rId1760"/>
    <hyperlink xmlns:r="http://schemas.openxmlformats.org/officeDocument/2006/relationships" ref="C595" r:id="rId1761"/>
    <hyperlink xmlns:r="http://schemas.openxmlformats.org/officeDocument/2006/relationships" ref="I595" r:id="rId1762"/>
    <hyperlink xmlns:r="http://schemas.openxmlformats.org/officeDocument/2006/relationships" ref="J595" r:id="rId1763"/>
    <hyperlink xmlns:r="http://schemas.openxmlformats.org/officeDocument/2006/relationships" ref="C596" r:id="rId1764"/>
    <hyperlink xmlns:r="http://schemas.openxmlformats.org/officeDocument/2006/relationships" ref="I596" r:id="rId1765"/>
    <hyperlink xmlns:r="http://schemas.openxmlformats.org/officeDocument/2006/relationships" ref="J596" r:id="rId1766"/>
    <hyperlink xmlns:r="http://schemas.openxmlformats.org/officeDocument/2006/relationships" ref="C597" r:id="rId1767"/>
    <hyperlink xmlns:r="http://schemas.openxmlformats.org/officeDocument/2006/relationships" ref="I597" r:id="rId1768"/>
    <hyperlink xmlns:r="http://schemas.openxmlformats.org/officeDocument/2006/relationships" ref="J597" r:id="rId1769"/>
    <hyperlink xmlns:r="http://schemas.openxmlformats.org/officeDocument/2006/relationships" ref="C598" r:id="rId1770"/>
    <hyperlink xmlns:r="http://schemas.openxmlformats.org/officeDocument/2006/relationships" ref="I598" r:id="rId1771"/>
    <hyperlink xmlns:r="http://schemas.openxmlformats.org/officeDocument/2006/relationships" ref="J598" r:id="rId1772"/>
    <hyperlink xmlns:r="http://schemas.openxmlformats.org/officeDocument/2006/relationships" ref="C599" r:id="rId1773"/>
    <hyperlink xmlns:r="http://schemas.openxmlformats.org/officeDocument/2006/relationships" ref="I599" r:id="rId1774"/>
    <hyperlink xmlns:r="http://schemas.openxmlformats.org/officeDocument/2006/relationships" ref="J599" r:id="rId1775"/>
    <hyperlink xmlns:r="http://schemas.openxmlformats.org/officeDocument/2006/relationships" ref="C600" r:id="rId1776"/>
    <hyperlink xmlns:r="http://schemas.openxmlformats.org/officeDocument/2006/relationships" ref="I600" r:id="rId1777"/>
    <hyperlink xmlns:r="http://schemas.openxmlformats.org/officeDocument/2006/relationships" ref="J600" r:id="rId1778"/>
    <hyperlink xmlns:r="http://schemas.openxmlformats.org/officeDocument/2006/relationships" ref="C601" r:id="rId1779"/>
    <hyperlink xmlns:r="http://schemas.openxmlformats.org/officeDocument/2006/relationships" ref="I601" r:id="rId1780"/>
    <hyperlink xmlns:r="http://schemas.openxmlformats.org/officeDocument/2006/relationships" ref="J601" r:id="rId1781"/>
    <hyperlink xmlns:r="http://schemas.openxmlformats.org/officeDocument/2006/relationships" ref="C602" r:id="rId1782"/>
    <hyperlink xmlns:r="http://schemas.openxmlformats.org/officeDocument/2006/relationships" ref="I602" r:id="rId1783"/>
    <hyperlink xmlns:r="http://schemas.openxmlformats.org/officeDocument/2006/relationships" ref="J602" r:id="rId1784"/>
    <hyperlink xmlns:r="http://schemas.openxmlformats.org/officeDocument/2006/relationships" ref="C603" r:id="rId1785"/>
    <hyperlink xmlns:r="http://schemas.openxmlformats.org/officeDocument/2006/relationships" ref="I603" r:id="rId1786"/>
    <hyperlink xmlns:r="http://schemas.openxmlformats.org/officeDocument/2006/relationships" ref="J603" r:id="rId1787"/>
    <hyperlink xmlns:r="http://schemas.openxmlformats.org/officeDocument/2006/relationships" ref="C604" r:id="rId1788"/>
    <hyperlink xmlns:r="http://schemas.openxmlformats.org/officeDocument/2006/relationships" ref="I604" r:id="rId1789"/>
    <hyperlink xmlns:r="http://schemas.openxmlformats.org/officeDocument/2006/relationships" ref="J604" r:id="rId1790"/>
    <hyperlink xmlns:r="http://schemas.openxmlformats.org/officeDocument/2006/relationships" ref="C605" r:id="rId1791"/>
    <hyperlink xmlns:r="http://schemas.openxmlformats.org/officeDocument/2006/relationships" ref="I605" r:id="rId1792"/>
    <hyperlink xmlns:r="http://schemas.openxmlformats.org/officeDocument/2006/relationships" ref="J605" r:id="rId1793"/>
    <hyperlink xmlns:r="http://schemas.openxmlformats.org/officeDocument/2006/relationships" ref="C606" r:id="rId1794"/>
    <hyperlink xmlns:r="http://schemas.openxmlformats.org/officeDocument/2006/relationships" ref="I606" r:id="rId1795"/>
    <hyperlink xmlns:r="http://schemas.openxmlformats.org/officeDocument/2006/relationships" ref="J606" r:id="rId1796"/>
    <hyperlink xmlns:r="http://schemas.openxmlformats.org/officeDocument/2006/relationships" ref="C607" r:id="rId1797"/>
    <hyperlink xmlns:r="http://schemas.openxmlformats.org/officeDocument/2006/relationships" ref="I607" r:id="rId1798"/>
    <hyperlink xmlns:r="http://schemas.openxmlformats.org/officeDocument/2006/relationships" ref="J607" r:id="rId1799"/>
    <hyperlink xmlns:r="http://schemas.openxmlformats.org/officeDocument/2006/relationships" ref="C608" r:id="rId1800"/>
    <hyperlink xmlns:r="http://schemas.openxmlformats.org/officeDocument/2006/relationships" ref="I608" r:id="rId1801"/>
    <hyperlink xmlns:r="http://schemas.openxmlformats.org/officeDocument/2006/relationships" ref="J608" r:id="rId1802"/>
    <hyperlink xmlns:r="http://schemas.openxmlformats.org/officeDocument/2006/relationships" ref="C609" r:id="rId1803"/>
    <hyperlink xmlns:r="http://schemas.openxmlformats.org/officeDocument/2006/relationships" ref="I609" r:id="rId1804"/>
    <hyperlink xmlns:r="http://schemas.openxmlformats.org/officeDocument/2006/relationships" ref="J609" r:id="rId1805"/>
    <hyperlink xmlns:r="http://schemas.openxmlformats.org/officeDocument/2006/relationships" ref="C610" r:id="rId1806"/>
    <hyperlink xmlns:r="http://schemas.openxmlformats.org/officeDocument/2006/relationships" ref="I610" r:id="rId1807"/>
    <hyperlink xmlns:r="http://schemas.openxmlformats.org/officeDocument/2006/relationships" ref="J610" r:id="rId1808"/>
    <hyperlink xmlns:r="http://schemas.openxmlformats.org/officeDocument/2006/relationships" ref="C611" r:id="rId1809"/>
    <hyperlink xmlns:r="http://schemas.openxmlformats.org/officeDocument/2006/relationships" ref="I611" r:id="rId1810"/>
    <hyperlink xmlns:r="http://schemas.openxmlformats.org/officeDocument/2006/relationships" ref="J611" r:id="rId1811"/>
    <hyperlink xmlns:r="http://schemas.openxmlformats.org/officeDocument/2006/relationships" ref="C612" r:id="rId1812"/>
    <hyperlink xmlns:r="http://schemas.openxmlformats.org/officeDocument/2006/relationships" ref="I612" r:id="rId1813"/>
    <hyperlink xmlns:r="http://schemas.openxmlformats.org/officeDocument/2006/relationships" ref="J612" r:id="rId1814"/>
    <hyperlink xmlns:r="http://schemas.openxmlformats.org/officeDocument/2006/relationships" ref="C613" r:id="rId1815"/>
    <hyperlink xmlns:r="http://schemas.openxmlformats.org/officeDocument/2006/relationships" ref="I613" r:id="rId1816"/>
    <hyperlink xmlns:r="http://schemas.openxmlformats.org/officeDocument/2006/relationships" ref="J613" r:id="rId1817"/>
    <hyperlink xmlns:r="http://schemas.openxmlformats.org/officeDocument/2006/relationships" ref="C614" r:id="rId1818"/>
    <hyperlink xmlns:r="http://schemas.openxmlformats.org/officeDocument/2006/relationships" ref="I614" r:id="rId1819"/>
    <hyperlink xmlns:r="http://schemas.openxmlformats.org/officeDocument/2006/relationships" ref="J614" r:id="rId1820"/>
    <hyperlink xmlns:r="http://schemas.openxmlformats.org/officeDocument/2006/relationships" ref="C615" location="index-16PersonalitiesINTP16PersonalitiesINTPtoc" r:id="rId1821"/>
    <hyperlink xmlns:r="http://schemas.openxmlformats.org/officeDocument/2006/relationships" ref="I615" r:id="rId1822"/>
    <hyperlink xmlns:r="http://schemas.openxmlformats.org/officeDocument/2006/relationships" ref="J615" r:id="rId1823"/>
    <hyperlink xmlns:r="http://schemas.openxmlformats.org/officeDocument/2006/relationships" ref="C616" r:id="rId1824"/>
    <hyperlink xmlns:r="http://schemas.openxmlformats.org/officeDocument/2006/relationships" ref="I616" r:id="rId1825"/>
    <hyperlink xmlns:r="http://schemas.openxmlformats.org/officeDocument/2006/relationships" ref="J616" r:id="rId1826"/>
    <hyperlink xmlns:r="http://schemas.openxmlformats.org/officeDocument/2006/relationships" ref="C617" r:id="rId1827"/>
    <hyperlink xmlns:r="http://schemas.openxmlformats.org/officeDocument/2006/relationships" ref="I617" r:id="rId1828"/>
    <hyperlink xmlns:r="http://schemas.openxmlformats.org/officeDocument/2006/relationships" ref="J617" r:id="rId1829"/>
    <hyperlink xmlns:r="http://schemas.openxmlformats.org/officeDocument/2006/relationships" ref="C618" r:id="rId1830"/>
    <hyperlink xmlns:r="http://schemas.openxmlformats.org/officeDocument/2006/relationships" ref="I618" r:id="rId1831"/>
    <hyperlink xmlns:r="http://schemas.openxmlformats.org/officeDocument/2006/relationships" ref="J618" r:id="rId1832"/>
    <hyperlink xmlns:r="http://schemas.openxmlformats.org/officeDocument/2006/relationships" ref="C619" r:id="rId1833"/>
    <hyperlink xmlns:r="http://schemas.openxmlformats.org/officeDocument/2006/relationships" ref="I619" r:id="rId1834"/>
    <hyperlink xmlns:r="http://schemas.openxmlformats.org/officeDocument/2006/relationships" ref="J619" r:id="rId1835"/>
    <hyperlink xmlns:r="http://schemas.openxmlformats.org/officeDocument/2006/relationships" ref="C620" r:id="rId1836"/>
    <hyperlink xmlns:r="http://schemas.openxmlformats.org/officeDocument/2006/relationships" ref="I620" r:id="rId1837"/>
    <hyperlink xmlns:r="http://schemas.openxmlformats.org/officeDocument/2006/relationships" ref="J620" r:id="rId1838"/>
    <hyperlink xmlns:r="http://schemas.openxmlformats.org/officeDocument/2006/relationships" ref="C621" r:id="rId1839"/>
    <hyperlink xmlns:r="http://schemas.openxmlformats.org/officeDocument/2006/relationships" ref="J621" r:id="rId1840"/>
    <hyperlink xmlns:r="http://schemas.openxmlformats.org/officeDocument/2006/relationships" ref="C622" r:id="rId1841"/>
    <hyperlink xmlns:r="http://schemas.openxmlformats.org/officeDocument/2006/relationships" ref="I622" r:id="rId1842"/>
    <hyperlink xmlns:r="http://schemas.openxmlformats.org/officeDocument/2006/relationships" ref="J622" r:id="rId1843"/>
    <hyperlink xmlns:r="http://schemas.openxmlformats.org/officeDocument/2006/relationships" ref="C623" r:id="rId1844"/>
    <hyperlink xmlns:r="http://schemas.openxmlformats.org/officeDocument/2006/relationships" ref="I623" r:id="rId1845"/>
    <hyperlink xmlns:r="http://schemas.openxmlformats.org/officeDocument/2006/relationships" ref="J623" r:id="rId1846"/>
    <hyperlink xmlns:r="http://schemas.openxmlformats.org/officeDocument/2006/relationships" ref="C624" r:id="rId1847"/>
    <hyperlink xmlns:r="http://schemas.openxmlformats.org/officeDocument/2006/relationships" ref="I624" r:id="rId1848"/>
    <hyperlink xmlns:r="http://schemas.openxmlformats.org/officeDocument/2006/relationships" ref="J624" r:id="rId1849"/>
    <hyperlink xmlns:r="http://schemas.openxmlformats.org/officeDocument/2006/relationships" ref="C625" r:id="rId1850"/>
    <hyperlink xmlns:r="http://schemas.openxmlformats.org/officeDocument/2006/relationships" ref="I625" r:id="rId1851"/>
    <hyperlink xmlns:r="http://schemas.openxmlformats.org/officeDocument/2006/relationships" ref="J625" r:id="rId1852"/>
    <hyperlink xmlns:r="http://schemas.openxmlformats.org/officeDocument/2006/relationships" ref="C626" r:id="rId1853"/>
    <hyperlink xmlns:r="http://schemas.openxmlformats.org/officeDocument/2006/relationships" ref="I626" r:id="rId1854"/>
    <hyperlink xmlns:r="http://schemas.openxmlformats.org/officeDocument/2006/relationships" ref="J626" r:id="rId1855"/>
    <hyperlink xmlns:r="http://schemas.openxmlformats.org/officeDocument/2006/relationships" ref="C627" location="index-16PersonalitiesESTJ16PersonalitiesESTJtoc" r:id="rId1856"/>
    <hyperlink xmlns:r="http://schemas.openxmlformats.org/officeDocument/2006/relationships" ref="I627" r:id="rId1857"/>
    <hyperlink xmlns:r="http://schemas.openxmlformats.org/officeDocument/2006/relationships" ref="J627" r:id="rId1858"/>
    <hyperlink xmlns:r="http://schemas.openxmlformats.org/officeDocument/2006/relationships" ref="C628" location="index-16PersonalitiesESTP16PersonalitiesESTPtoc" r:id="rId1859"/>
    <hyperlink xmlns:r="http://schemas.openxmlformats.org/officeDocument/2006/relationships" ref="I628" r:id="rId1860"/>
    <hyperlink xmlns:r="http://schemas.openxmlformats.org/officeDocument/2006/relationships" ref="J628" r:id="rId1861"/>
    <hyperlink xmlns:r="http://schemas.openxmlformats.org/officeDocument/2006/relationships" ref="C629" location="index-ESTP-2ESTP-2toc" r:id="rId1862"/>
    <hyperlink xmlns:r="http://schemas.openxmlformats.org/officeDocument/2006/relationships" ref="I629" r:id="rId1863"/>
    <hyperlink xmlns:r="http://schemas.openxmlformats.org/officeDocument/2006/relationships" ref="J629" r:id="rId1864"/>
    <hyperlink xmlns:r="http://schemas.openxmlformats.org/officeDocument/2006/relationships" ref="C630" r:id="rId1865"/>
    <hyperlink xmlns:r="http://schemas.openxmlformats.org/officeDocument/2006/relationships" ref="I630" r:id="rId1866"/>
    <hyperlink xmlns:r="http://schemas.openxmlformats.org/officeDocument/2006/relationships" ref="J630" r:id="rId1867"/>
    <hyperlink xmlns:r="http://schemas.openxmlformats.org/officeDocument/2006/relationships" ref="C631" r:id="rId1868"/>
    <hyperlink xmlns:r="http://schemas.openxmlformats.org/officeDocument/2006/relationships" ref="I631" r:id="rId1869"/>
    <hyperlink xmlns:r="http://schemas.openxmlformats.org/officeDocument/2006/relationships" ref="J631" r:id="rId1870"/>
    <hyperlink xmlns:r="http://schemas.openxmlformats.org/officeDocument/2006/relationships" ref="C632" location="index" r:id="rId1871"/>
    <hyperlink xmlns:r="http://schemas.openxmlformats.org/officeDocument/2006/relationships" ref="I632" r:id="rId1872"/>
    <hyperlink xmlns:r="http://schemas.openxmlformats.org/officeDocument/2006/relationships" ref="J632" r:id="rId1873"/>
    <hyperlink xmlns:r="http://schemas.openxmlformats.org/officeDocument/2006/relationships" ref="C633" location="index-3-23-2toc" r:id="rId1874"/>
    <hyperlink xmlns:r="http://schemas.openxmlformats.org/officeDocument/2006/relationships" ref="I633" r:id="rId1875"/>
    <hyperlink xmlns:r="http://schemas.openxmlformats.org/officeDocument/2006/relationships" ref="J633" r:id="rId1876"/>
    <hyperlink xmlns:r="http://schemas.openxmlformats.org/officeDocument/2006/relationships" ref="C634" r:id="rId1877"/>
    <hyperlink xmlns:r="http://schemas.openxmlformats.org/officeDocument/2006/relationships" ref="I634" r:id="rId1878"/>
    <hyperlink xmlns:r="http://schemas.openxmlformats.org/officeDocument/2006/relationships" ref="J634" r:id="rId1879"/>
    <hyperlink xmlns:r="http://schemas.openxmlformats.org/officeDocument/2006/relationships" ref="C635" r:id="rId1880"/>
    <hyperlink xmlns:r="http://schemas.openxmlformats.org/officeDocument/2006/relationships" ref="I635" r:id="rId1881"/>
    <hyperlink xmlns:r="http://schemas.openxmlformats.org/officeDocument/2006/relationships" ref="J635" r:id="rId1882"/>
    <hyperlink xmlns:r="http://schemas.openxmlformats.org/officeDocument/2006/relationships" ref="C636" r:id="rId1883"/>
    <hyperlink xmlns:r="http://schemas.openxmlformats.org/officeDocument/2006/relationships" ref="I636" r:id="rId1884"/>
    <hyperlink xmlns:r="http://schemas.openxmlformats.org/officeDocument/2006/relationships" ref="J636" r:id="rId1885"/>
    <hyperlink xmlns:r="http://schemas.openxmlformats.org/officeDocument/2006/relationships" ref="C637" r:id="rId1886"/>
    <hyperlink xmlns:r="http://schemas.openxmlformats.org/officeDocument/2006/relationships" ref="I637" r:id="rId1887"/>
    <hyperlink xmlns:r="http://schemas.openxmlformats.org/officeDocument/2006/relationships" ref="J637" r:id="rId1888"/>
    <hyperlink xmlns:r="http://schemas.openxmlformats.org/officeDocument/2006/relationships" ref="C638" r:id="rId1889"/>
    <hyperlink xmlns:r="http://schemas.openxmlformats.org/officeDocument/2006/relationships" ref="I638" r:id="rId1890"/>
    <hyperlink xmlns:r="http://schemas.openxmlformats.org/officeDocument/2006/relationships" ref="J638" r:id="rId1891"/>
    <hyperlink xmlns:r="http://schemas.openxmlformats.org/officeDocument/2006/relationships" ref="C639" r:id="rId1892"/>
    <hyperlink xmlns:r="http://schemas.openxmlformats.org/officeDocument/2006/relationships" ref="I639" r:id="rId1893"/>
    <hyperlink xmlns:r="http://schemas.openxmlformats.org/officeDocument/2006/relationships" ref="J639" r:id="rId1894"/>
    <hyperlink xmlns:r="http://schemas.openxmlformats.org/officeDocument/2006/relationships" ref="C640" location="index-ESFJ-5ESFJ-5toc" r:id="rId1895"/>
    <hyperlink xmlns:r="http://schemas.openxmlformats.org/officeDocument/2006/relationships" ref="I640" r:id="rId1896"/>
    <hyperlink xmlns:r="http://schemas.openxmlformats.org/officeDocument/2006/relationships" ref="J640" r:id="rId1897"/>
    <hyperlink xmlns:r="http://schemas.openxmlformats.org/officeDocument/2006/relationships" ref="C641" location="index" r:id="rId1898"/>
    <hyperlink xmlns:r="http://schemas.openxmlformats.org/officeDocument/2006/relationships" ref="I641" r:id="rId1899"/>
    <hyperlink xmlns:r="http://schemas.openxmlformats.org/officeDocument/2006/relationships" ref="J641" r:id="rId1900"/>
    <hyperlink xmlns:r="http://schemas.openxmlformats.org/officeDocument/2006/relationships" ref="C642" r:id="rId1901"/>
    <hyperlink xmlns:r="http://schemas.openxmlformats.org/officeDocument/2006/relationships" ref="I642" r:id="rId1902"/>
    <hyperlink xmlns:r="http://schemas.openxmlformats.org/officeDocument/2006/relationships" ref="J642" r:id="rId1903"/>
    <hyperlink xmlns:r="http://schemas.openxmlformats.org/officeDocument/2006/relationships" ref="C643" r:id="rId1904"/>
    <hyperlink xmlns:r="http://schemas.openxmlformats.org/officeDocument/2006/relationships" ref="I643" r:id="rId1905"/>
    <hyperlink xmlns:r="http://schemas.openxmlformats.org/officeDocument/2006/relationships" ref="J643" r:id="rId1906"/>
    <hyperlink xmlns:r="http://schemas.openxmlformats.org/officeDocument/2006/relationships" ref="C644" r:id="rId1907"/>
    <hyperlink xmlns:r="http://schemas.openxmlformats.org/officeDocument/2006/relationships" ref="I644" r:id="rId1908"/>
    <hyperlink xmlns:r="http://schemas.openxmlformats.org/officeDocument/2006/relationships" ref="J644" r:id="rId1909"/>
    <hyperlink xmlns:r="http://schemas.openxmlformats.org/officeDocument/2006/relationships" ref="C645" location="index-33toc" r:id="rId1910"/>
    <hyperlink xmlns:r="http://schemas.openxmlformats.org/officeDocument/2006/relationships" ref="I645" r:id="rId1911"/>
    <hyperlink xmlns:r="http://schemas.openxmlformats.org/officeDocument/2006/relationships" ref="J645" r:id="rId1912"/>
    <hyperlink xmlns:r="http://schemas.openxmlformats.org/officeDocument/2006/relationships" ref="C646" location="index-INFP-2INFP-2toc" r:id="rId1913"/>
    <hyperlink xmlns:r="http://schemas.openxmlformats.org/officeDocument/2006/relationships" ref="I646" r:id="rId1914"/>
    <hyperlink xmlns:r="http://schemas.openxmlformats.org/officeDocument/2006/relationships" ref="J646" r:id="rId1915"/>
    <hyperlink xmlns:r="http://schemas.openxmlformats.org/officeDocument/2006/relationships" ref="C647" location="index-INFP-7INFP-7toc" r:id="rId1916"/>
    <hyperlink xmlns:r="http://schemas.openxmlformats.org/officeDocument/2006/relationships" ref="I647" r:id="rId1917"/>
    <hyperlink xmlns:r="http://schemas.openxmlformats.org/officeDocument/2006/relationships" ref="J647" r:id="rId1918"/>
    <hyperlink xmlns:r="http://schemas.openxmlformats.org/officeDocument/2006/relationships" ref="C648" location="index-INFP16PersonalitiesINFP16Personalitiestoc" r:id="rId1919"/>
    <hyperlink xmlns:r="http://schemas.openxmlformats.org/officeDocument/2006/relationships" ref="I648" r:id="rId1920"/>
    <hyperlink xmlns:r="http://schemas.openxmlformats.org/officeDocument/2006/relationships" ref="J648" r:id="rId1921"/>
    <hyperlink xmlns:r="http://schemas.openxmlformats.org/officeDocument/2006/relationships" ref="C649" location="index-ISTJISTJtoc" r:id="rId1922"/>
    <hyperlink xmlns:r="http://schemas.openxmlformats.org/officeDocument/2006/relationships" ref="I649" r:id="rId1923"/>
    <hyperlink xmlns:r="http://schemas.openxmlformats.org/officeDocument/2006/relationships" ref="J649" r:id="rId1924"/>
    <hyperlink xmlns:r="http://schemas.openxmlformats.org/officeDocument/2006/relationships" ref="C650" r:id="rId1925"/>
    <hyperlink xmlns:r="http://schemas.openxmlformats.org/officeDocument/2006/relationships" ref="I650" r:id="rId1926"/>
    <hyperlink xmlns:r="http://schemas.openxmlformats.org/officeDocument/2006/relationships" ref="J650" r:id="rId1927"/>
    <hyperlink xmlns:r="http://schemas.openxmlformats.org/officeDocument/2006/relationships" ref="C651" r:id="rId1928"/>
    <hyperlink xmlns:r="http://schemas.openxmlformats.org/officeDocument/2006/relationships" ref="I651" r:id="rId1929"/>
    <hyperlink xmlns:r="http://schemas.openxmlformats.org/officeDocument/2006/relationships" ref="J651" r:id="rId1930"/>
    <hyperlink xmlns:r="http://schemas.openxmlformats.org/officeDocument/2006/relationships" ref="C652" r:id="rId1931"/>
    <hyperlink xmlns:r="http://schemas.openxmlformats.org/officeDocument/2006/relationships" ref="I652" r:id="rId1932"/>
    <hyperlink xmlns:r="http://schemas.openxmlformats.org/officeDocument/2006/relationships" ref="J652" r:id="rId1933"/>
    <hyperlink xmlns:r="http://schemas.openxmlformats.org/officeDocument/2006/relationships" ref="C653" r:id="rId1934"/>
    <hyperlink xmlns:r="http://schemas.openxmlformats.org/officeDocument/2006/relationships" ref="I653" r:id="rId1935"/>
    <hyperlink xmlns:r="http://schemas.openxmlformats.org/officeDocument/2006/relationships" ref="J653" r:id="rId1936"/>
    <hyperlink xmlns:r="http://schemas.openxmlformats.org/officeDocument/2006/relationships" ref="C654" r:id="rId1937"/>
    <hyperlink xmlns:r="http://schemas.openxmlformats.org/officeDocument/2006/relationships" ref="I654" r:id="rId1938"/>
    <hyperlink xmlns:r="http://schemas.openxmlformats.org/officeDocument/2006/relationships" ref="J654" r:id="rId1939"/>
    <hyperlink xmlns:r="http://schemas.openxmlformats.org/officeDocument/2006/relationships" ref="C655" r:id="rId1940"/>
    <hyperlink xmlns:r="http://schemas.openxmlformats.org/officeDocument/2006/relationships" ref="I655" r:id="rId1941"/>
    <hyperlink xmlns:r="http://schemas.openxmlformats.org/officeDocument/2006/relationships" ref="J655" r:id="rId1942"/>
    <hyperlink xmlns:r="http://schemas.openxmlformats.org/officeDocument/2006/relationships" ref="C656" r:id="rId1943"/>
    <hyperlink xmlns:r="http://schemas.openxmlformats.org/officeDocument/2006/relationships" ref="I656" r:id="rId1944"/>
    <hyperlink xmlns:r="http://schemas.openxmlformats.org/officeDocument/2006/relationships" ref="J656" r:id="rId1945"/>
    <hyperlink xmlns:r="http://schemas.openxmlformats.org/officeDocument/2006/relationships" ref="C657" r:id="rId1946"/>
    <hyperlink xmlns:r="http://schemas.openxmlformats.org/officeDocument/2006/relationships" ref="I657" r:id="rId1947"/>
    <hyperlink xmlns:r="http://schemas.openxmlformats.org/officeDocument/2006/relationships" ref="J657" r:id="rId1948"/>
    <hyperlink xmlns:r="http://schemas.openxmlformats.org/officeDocument/2006/relationships" ref="C658" r:id="rId1949"/>
    <hyperlink xmlns:r="http://schemas.openxmlformats.org/officeDocument/2006/relationships" ref="I658" r:id="rId1950"/>
    <hyperlink xmlns:r="http://schemas.openxmlformats.org/officeDocument/2006/relationships" ref="J658" r:id="rId1951"/>
    <hyperlink xmlns:r="http://schemas.openxmlformats.org/officeDocument/2006/relationships" ref="C659" r:id="rId1952"/>
    <hyperlink xmlns:r="http://schemas.openxmlformats.org/officeDocument/2006/relationships" ref="I659" r:id="rId1953"/>
    <hyperlink xmlns:r="http://schemas.openxmlformats.org/officeDocument/2006/relationships" ref="J659" r:id="rId1954"/>
    <hyperlink xmlns:r="http://schemas.openxmlformats.org/officeDocument/2006/relationships" ref="C660" r:id="rId1955"/>
    <hyperlink xmlns:r="http://schemas.openxmlformats.org/officeDocument/2006/relationships" ref="I660" r:id="rId1956"/>
    <hyperlink xmlns:r="http://schemas.openxmlformats.org/officeDocument/2006/relationships" ref="J660" r:id="rId1957"/>
    <hyperlink xmlns:r="http://schemas.openxmlformats.org/officeDocument/2006/relationships" ref="C661" r:id="rId1958"/>
    <hyperlink xmlns:r="http://schemas.openxmlformats.org/officeDocument/2006/relationships" ref="I661" r:id="rId1959"/>
    <hyperlink xmlns:r="http://schemas.openxmlformats.org/officeDocument/2006/relationships" ref="J661" r:id="rId1960"/>
    <hyperlink xmlns:r="http://schemas.openxmlformats.org/officeDocument/2006/relationships" ref="C662" r:id="rId1961"/>
    <hyperlink xmlns:r="http://schemas.openxmlformats.org/officeDocument/2006/relationships" ref="I662" r:id="rId1962"/>
    <hyperlink xmlns:r="http://schemas.openxmlformats.org/officeDocument/2006/relationships" ref="J662" r:id="rId1963"/>
    <hyperlink xmlns:r="http://schemas.openxmlformats.org/officeDocument/2006/relationships" ref="C663" location="index" r:id="rId1964"/>
    <hyperlink xmlns:r="http://schemas.openxmlformats.org/officeDocument/2006/relationships" ref="I663" r:id="rId1965"/>
    <hyperlink xmlns:r="http://schemas.openxmlformats.org/officeDocument/2006/relationships" ref="J663" r:id="rId1966"/>
    <hyperlink xmlns:r="http://schemas.openxmlformats.org/officeDocument/2006/relationships" ref="C664" location="index-2" r:id="rId1967"/>
    <hyperlink xmlns:r="http://schemas.openxmlformats.org/officeDocument/2006/relationships" ref="I664" r:id="rId1968"/>
    <hyperlink xmlns:r="http://schemas.openxmlformats.org/officeDocument/2006/relationships" ref="J664" r:id="rId1969"/>
    <hyperlink xmlns:r="http://schemas.openxmlformats.org/officeDocument/2006/relationships" ref="C665" location="index-22toc" r:id="rId1970"/>
    <hyperlink xmlns:r="http://schemas.openxmlformats.org/officeDocument/2006/relationships" ref="I665" r:id="rId1971"/>
    <hyperlink xmlns:r="http://schemas.openxmlformats.org/officeDocument/2006/relationships" ref="J665" r:id="rId1972"/>
    <hyperlink xmlns:r="http://schemas.openxmlformats.org/officeDocument/2006/relationships" ref="C666" location="index-30-730-7toc" r:id="rId1973"/>
    <hyperlink xmlns:r="http://schemas.openxmlformats.org/officeDocument/2006/relationships" ref="I666" r:id="rId1974"/>
    <hyperlink xmlns:r="http://schemas.openxmlformats.org/officeDocument/2006/relationships" ref="J666" r:id="rId1975"/>
    <hyperlink xmlns:r="http://schemas.openxmlformats.org/officeDocument/2006/relationships" ref="C667" r:id="rId1976"/>
    <hyperlink xmlns:r="http://schemas.openxmlformats.org/officeDocument/2006/relationships" ref="I667" r:id="rId1977"/>
    <hyperlink xmlns:r="http://schemas.openxmlformats.org/officeDocument/2006/relationships" ref="J667" r:id="rId1978"/>
    <hyperlink xmlns:r="http://schemas.openxmlformats.org/officeDocument/2006/relationships" ref="C668" location="index-3535toc" r:id="rId1979"/>
    <hyperlink xmlns:r="http://schemas.openxmlformats.org/officeDocument/2006/relationships" ref="I668" r:id="rId1980"/>
    <hyperlink xmlns:r="http://schemas.openxmlformats.org/officeDocument/2006/relationships" ref="J668" r:id="rId1981"/>
    <hyperlink xmlns:r="http://schemas.openxmlformats.org/officeDocument/2006/relationships" ref="C669" location="index-407407toc" r:id="rId1982"/>
    <hyperlink xmlns:r="http://schemas.openxmlformats.org/officeDocument/2006/relationships" ref="I669" r:id="rId1983"/>
    <hyperlink xmlns:r="http://schemas.openxmlformats.org/officeDocument/2006/relationships" ref="J669" r:id="rId1984"/>
    <hyperlink xmlns:r="http://schemas.openxmlformats.org/officeDocument/2006/relationships" ref="C670" location="index-40-240-2toc" r:id="rId1985"/>
    <hyperlink xmlns:r="http://schemas.openxmlformats.org/officeDocument/2006/relationships" ref="I670" r:id="rId1986"/>
    <hyperlink xmlns:r="http://schemas.openxmlformats.org/officeDocument/2006/relationships" ref="J670" r:id="rId1987"/>
    <hyperlink xmlns:r="http://schemas.openxmlformats.org/officeDocument/2006/relationships" ref="C671" location="index-4040toc" r:id="rId1988"/>
    <hyperlink xmlns:r="http://schemas.openxmlformats.org/officeDocument/2006/relationships" ref="I671" r:id="rId1989"/>
    <hyperlink xmlns:r="http://schemas.openxmlformats.org/officeDocument/2006/relationships" ref="J671" r:id="rId1990"/>
    <hyperlink xmlns:r="http://schemas.openxmlformats.org/officeDocument/2006/relationships" ref="C672" r:id="rId1991"/>
    <hyperlink xmlns:r="http://schemas.openxmlformats.org/officeDocument/2006/relationships" ref="I672" r:id="rId1992"/>
    <hyperlink xmlns:r="http://schemas.openxmlformats.org/officeDocument/2006/relationships" ref="J672" r:id="rId1993"/>
    <hyperlink xmlns:r="http://schemas.openxmlformats.org/officeDocument/2006/relationships" ref="C673" r:id="rId1994"/>
    <hyperlink xmlns:r="http://schemas.openxmlformats.org/officeDocument/2006/relationships" ref="J673" r:id="rId1995"/>
    <hyperlink xmlns:r="http://schemas.openxmlformats.org/officeDocument/2006/relationships" ref="C674" location="index-2" r:id="rId1996"/>
    <hyperlink xmlns:r="http://schemas.openxmlformats.org/officeDocument/2006/relationships" ref="I674" r:id="rId1997"/>
    <hyperlink xmlns:r="http://schemas.openxmlformats.org/officeDocument/2006/relationships" ref="J674" r:id="rId1998"/>
    <hyperlink xmlns:r="http://schemas.openxmlformats.org/officeDocument/2006/relationships" ref="C675" location="index" r:id="rId1999"/>
    <hyperlink xmlns:r="http://schemas.openxmlformats.org/officeDocument/2006/relationships" ref="I675" r:id="rId2000"/>
    <hyperlink xmlns:r="http://schemas.openxmlformats.org/officeDocument/2006/relationships" ref="J675" r:id="rId2001"/>
    <hyperlink xmlns:r="http://schemas.openxmlformats.org/officeDocument/2006/relationships" ref="C676" r:id="rId2002"/>
    <hyperlink xmlns:r="http://schemas.openxmlformats.org/officeDocument/2006/relationships" ref="I676" r:id="rId2003"/>
    <hyperlink xmlns:r="http://schemas.openxmlformats.org/officeDocument/2006/relationships" ref="J676" r:id="rId2004"/>
    <hyperlink xmlns:r="http://schemas.openxmlformats.org/officeDocument/2006/relationships" ref="C677" r:id="rId2005"/>
    <hyperlink xmlns:r="http://schemas.openxmlformats.org/officeDocument/2006/relationships" ref="I677" r:id="rId2006"/>
    <hyperlink xmlns:r="http://schemas.openxmlformats.org/officeDocument/2006/relationships" ref="J677" r:id="rId2007"/>
    <hyperlink xmlns:r="http://schemas.openxmlformats.org/officeDocument/2006/relationships" ref="C678" r:id="rId2008"/>
    <hyperlink xmlns:r="http://schemas.openxmlformats.org/officeDocument/2006/relationships" ref="I678" r:id="rId2009"/>
    <hyperlink xmlns:r="http://schemas.openxmlformats.org/officeDocument/2006/relationships" ref="J678" r:id="rId2010"/>
    <hyperlink xmlns:r="http://schemas.openxmlformats.org/officeDocument/2006/relationships" ref="C679" location="index-4" r:id="rId2011"/>
    <hyperlink xmlns:r="http://schemas.openxmlformats.org/officeDocument/2006/relationships" ref="I679" r:id="rId2012"/>
    <hyperlink xmlns:r="http://schemas.openxmlformats.org/officeDocument/2006/relationships" ref="J679" r:id="rId2013"/>
    <hyperlink xmlns:r="http://schemas.openxmlformats.org/officeDocument/2006/relationships" ref="C680" location="index" r:id="rId2014"/>
    <hyperlink xmlns:r="http://schemas.openxmlformats.org/officeDocument/2006/relationships" ref="I680" r:id="rId2015"/>
    <hyperlink xmlns:r="http://schemas.openxmlformats.org/officeDocument/2006/relationships" ref="J680" r:id="rId2016"/>
    <hyperlink xmlns:r="http://schemas.openxmlformats.org/officeDocument/2006/relationships" ref="C681" location="index-2" r:id="rId2017"/>
    <hyperlink xmlns:r="http://schemas.openxmlformats.org/officeDocument/2006/relationships" ref="I681" r:id="rId2018"/>
    <hyperlink xmlns:r="http://schemas.openxmlformats.org/officeDocument/2006/relationships" ref="J681" r:id="rId2019"/>
    <hyperlink xmlns:r="http://schemas.openxmlformats.org/officeDocument/2006/relationships" ref="C682" location="index-5-35-3toc" r:id="rId2020"/>
    <hyperlink xmlns:r="http://schemas.openxmlformats.org/officeDocument/2006/relationships" ref="I682" r:id="rId2021"/>
    <hyperlink xmlns:r="http://schemas.openxmlformats.org/officeDocument/2006/relationships" ref="J682" r:id="rId2022"/>
    <hyperlink xmlns:r="http://schemas.openxmlformats.org/officeDocument/2006/relationships" ref="C683" location="index-55toc" r:id="rId2023"/>
    <hyperlink xmlns:r="http://schemas.openxmlformats.org/officeDocument/2006/relationships" ref="I683" r:id="rId2024"/>
    <hyperlink xmlns:r="http://schemas.openxmlformats.org/officeDocument/2006/relationships" ref="J683" r:id="rId2025"/>
    <hyperlink xmlns:r="http://schemas.openxmlformats.org/officeDocument/2006/relationships" ref="C684" location="index-7" r:id="rId2026"/>
    <hyperlink xmlns:r="http://schemas.openxmlformats.org/officeDocument/2006/relationships" ref="I684" r:id="rId2027"/>
    <hyperlink xmlns:r="http://schemas.openxmlformats.org/officeDocument/2006/relationships" ref="J684" r:id="rId2028"/>
    <hyperlink xmlns:r="http://schemas.openxmlformats.org/officeDocument/2006/relationships" ref="C685" location="index" r:id="rId2029"/>
    <hyperlink xmlns:r="http://schemas.openxmlformats.org/officeDocument/2006/relationships" ref="I685" r:id="rId2030"/>
    <hyperlink xmlns:r="http://schemas.openxmlformats.org/officeDocument/2006/relationships" ref="J685" r:id="rId2031"/>
    <hyperlink xmlns:r="http://schemas.openxmlformats.org/officeDocument/2006/relationships" ref="C686" location="index-ENFP-13ENFP-13toc" r:id="rId2032"/>
    <hyperlink xmlns:r="http://schemas.openxmlformats.org/officeDocument/2006/relationships" ref="I686" r:id="rId2033"/>
    <hyperlink xmlns:r="http://schemas.openxmlformats.org/officeDocument/2006/relationships" ref="J686" r:id="rId2034"/>
    <hyperlink xmlns:r="http://schemas.openxmlformats.org/officeDocument/2006/relationships" ref="C687" location="index-ENFPENFPtoc" r:id="rId2035"/>
    <hyperlink xmlns:r="http://schemas.openxmlformats.org/officeDocument/2006/relationships" ref="I687" r:id="rId2036"/>
    <hyperlink xmlns:r="http://schemas.openxmlformats.org/officeDocument/2006/relationships" ref="J687" r:id="rId2037"/>
    <hyperlink xmlns:r="http://schemas.openxmlformats.org/officeDocument/2006/relationships" ref="C688" location="index-ENTJ-9ENTJ-9toc" r:id="rId2038"/>
    <hyperlink xmlns:r="http://schemas.openxmlformats.org/officeDocument/2006/relationships" ref="I688" r:id="rId2039"/>
    <hyperlink xmlns:r="http://schemas.openxmlformats.org/officeDocument/2006/relationships" ref="J688" r:id="rId2040"/>
    <hyperlink xmlns:r="http://schemas.openxmlformats.org/officeDocument/2006/relationships" ref="C689" location="index-ENTP-3ENTP-3toc" r:id="rId2041"/>
    <hyperlink xmlns:r="http://schemas.openxmlformats.org/officeDocument/2006/relationships" ref="I689" r:id="rId2042"/>
    <hyperlink xmlns:r="http://schemas.openxmlformats.org/officeDocument/2006/relationships" ref="J689" r:id="rId2043"/>
    <hyperlink xmlns:r="http://schemas.openxmlformats.org/officeDocument/2006/relationships" ref="C690" r:id="rId2044"/>
    <hyperlink xmlns:r="http://schemas.openxmlformats.org/officeDocument/2006/relationships" ref="I690" r:id="rId2045"/>
    <hyperlink xmlns:r="http://schemas.openxmlformats.org/officeDocument/2006/relationships" ref="J690" r:id="rId2046"/>
    <hyperlink xmlns:r="http://schemas.openxmlformats.org/officeDocument/2006/relationships" ref="C691" location="index-ESFJ-4ESFJ-4toc" r:id="rId2047"/>
    <hyperlink xmlns:r="http://schemas.openxmlformats.org/officeDocument/2006/relationships" ref="I691" r:id="rId2048"/>
    <hyperlink xmlns:r="http://schemas.openxmlformats.org/officeDocument/2006/relationships" ref="J691" r:id="rId2049"/>
    <hyperlink xmlns:r="http://schemas.openxmlformats.org/officeDocument/2006/relationships" ref="C692" location="index-ESFJ-6ESFJ-6toc" r:id="rId2050"/>
    <hyperlink xmlns:r="http://schemas.openxmlformats.org/officeDocument/2006/relationships" ref="I692" r:id="rId2051"/>
    <hyperlink xmlns:r="http://schemas.openxmlformats.org/officeDocument/2006/relationships" ref="J692" r:id="rId2052"/>
    <hyperlink xmlns:r="http://schemas.openxmlformats.org/officeDocument/2006/relationships" ref="C693" location="index-ESTJ-8ESTJ-8toc" r:id="rId2053"/>
    <hyperlink xmlns:r="http://schemas.openxmlformats.org/officeDocument/2006/relationships" ref="I693" r:id="rId2054"/>
    <hyperlink xmlns:r="http://schemas.openxmlformats.org/officeDocument/2006/relationships" ref="J693" r:id="rId2055"/>
    <hyperlink xmlns:r="http://schemas.openxmlformats.org/officeDocument/2006/relationships" ref="C694" location="index-2" r:id="rId2056"/>
    <hyperlink xmlns:r="http://schemas.openxmlformats.org/officeDocument/2006/relationships" ref="I694" r:id="rId2057"/>
    <hyperlink xmlns:r="http://schemas.openxmlformats.org/officeDocument/2006/relationships" ref="J694" r:id="rId2058"/>
    <hyperlink xmlns:r="http://schemas.openxmlformats.org/officeDocument/2006/relationships" ref="C695" r:id="rId2059"/>
    <hyperlink xmlns:r="http://schemas.openxmlformats.org/officeDocument/2006/relationships" ref="I695" r:id="rId2060"/>
    <hyperlink xmlns:r="http://schemas.openxmlformats.org/officeDocument/2006/relationships" ref="J695" r:id="rId2061"/>
    <hyperlink xmlns:r="http://schemas.openxmlformats.org/officeDocument/2006/relationships" ref="C696" location="index-2" r:id="rId2062"/>
    <hyperlink xmlns:r="http://schemas.openxmlformats.org/officeDocument/2006/relationships" ref="I696" r:id="rId2063"/>
    <hyperlink xmlns:r="http://schemas.openxmlformats.org/officeDocument/2006/relationships" ref="J696" r:id="rId2064"/>
    <hyperlink xmlns:r="http://schemas.openxmlformats.org/officeDocument/2006/relationships" ref="C697" r:id="rId2065"/>
    <hyperlink xmlns:r="http://schemas.openxmlformats.org/officeDocument/2006/relationships" ref="I697" r:id="rId2066"/>
    <hyperlink xmlns:r="http://schemas.openxmlformats.org/officeDocument/2006/relationships" ref="J697" r:id="rId2067"/>
    <hyperlink xmlns:r="http://schemas.openxmlformats.org/officeDocument/2006/relationships" ref="C698" r:id="rId2068"/>
    <hyperlink xmlns:r="http://schemas.openxmlformats.org/officeDocument/2006/relationships" ref="I698" r:id="rId2069"/>
    <hyperlink xmlns:r="http://schemas.openxmlformats.org/officeDocument/2006/relationships" ref="J698" r:id="rId2070"/>
    <hyperlink xmlns:r="http://schemas.openxmlformats.org/officeDocument/2006/relationships" ref="C699" r:id="rId2071"/>
    <hyperlink xmlns:r="http://schemas.openxmlformats.org/officeDocument/2006/relationships" ref="I699" r:id="rId2072"/>
    <hyperlink xmlns:r="http://schemas.openxmlformats.org/officeDocument/2006/relationships" ref="J699" r:id="rId2073"/>
    <hyperlink xmlns:r="http://schemas.openxmlformats.org/officeDocument/2006/relationships" ref="C700" location="index-55toc" r:id="rId2074"/>
    <hyperlink xmlns:r="http://schemas.openxmlformats.org/officeDocument/2006/relationships" ref="I700" r:id="rId2075"/>
    <hyperlink xmlns:r="http://schemas.openxmlformats.org/officeDocument/2006/relationships" ref="J700" r:id="rId2076"/>
    <hyperlink xmlns:r="http://schemas.openxmlformats.org/officeDocument/2006/relationships" ref="C701" location="index" r:id="rId2077"/>
    <hyperlink xmlns:r="http://schemas.openxmlformats.org/officeDocument/2006/relationships" ref="I701" r:id="rId2078"/>
    <hyperlink xmlns:r="http://schemas.openxmlformats.org/officeDocument/2006/relationships" ref="J701" r:id="rId2079"/>
    <hyperlink xmlns:r="http://schemas.openxmlformats.org/officeDocument/2006/relationships" ref="C702" location="index-1010toc" r:id="rId2080"/>
    <hyperlink xmlns:r="http://schemas.openxmlformats.org/officeDocument/2006/relationships" ref="I702" r:id="rId2081"/>
    <hyperlink xmlns:r="http://schemas.openxmlformats.org/officeDocument/2006/relationships" ref="J702" r:id="rId2082"/>
    <hyperlink xmlns:r="http://schemas.openxmlformats.org/officeDocument/2006/relationships" ref="C703" location="index-55toc" r:id="rId2083"/>
    <hyperlink xmlns:r="http://schemas.openxmlformats.org/officeDocument/2006/relationships" ref="I703" r:id="rId2084"/>
    <hyperlink xmlns:r="http://schemas.openxmlformats.org/officeDocument/2006/relationships" ref="J703" r:id="rId2085"/>
    <hyperlink xmlns:r="http://schemas.openxmlformats.org/officeDocument/2006/relationships" ref="C704" r:id="rId2086"/>
    <hyperlink xmlns:r="http://schemas.openxmlformats.org/officeDocument/2006/relationships" ref="I704" r:id="rId2087"/>
    <hyperlink xmlns:r="http://schemas.openxmlformats.org/officeDocument/2006/relationships" ref="J704" r:id="rId2088"/>
    <hyperlink xmlns:r="http://schemas.openxmlformats.org/officeDocument/2006/relationships" ref="C705" r:id="rId2089"/>
    <hyperlink xmlns:r="http://schemas.openxmlformats.org/officeDocument/2006/relationships" ref="I705" r:id="rId2090"/>
    <hyperlink xmlns:r="http://schemas.openxmlformats.org/officeDocument/2006/relationships" ref="J705" r:id="rId2091"/>
    <hyperlink xmlns:r="http://schemas.openxmlformats.org/officeDocument/2006/relationships" ref="C706" location="index-INFJ-8INFJ-8toc" r:id="rId2092"/>
    <hyperlink xmlns:r="http://schemas.openxmlformats.org/officeDocument/2006/relationships" ref="I706" r:id="rId2093"/>
    <hyperlink xmlns:r="http://schemas.openxmlformats.org/officeDocument/2006/relationships" ref="J706" r:id="rId2094"/>
    <hyperlink xmlns:r="http://schemas.openxmlformats.org/officeDocument/2006/relationships" ref="C707" location="index-INFJINFJtoc" r:id="rId2095"/>
    <hyperlink xmlns:r="http://schemas.openxmlformats.org/officeDocument/2006/relationships" ref="I707" r:id="rId2096"/>
    <hyperlink xmlns:r="http://schemas.openxmlformats.org/officeDocument/2006/relationships" ref="J707" r:id="rId2097"/>
    <hyperlink xmlns:r="http://schemas.openxmlformats.org/officeDocument/2006/relationships" ref="C708" location="index-INFP-10INFP-10toc" r:id="rId2098"/>
    <hyperlink xmlns:r="http://schemas.openxmlformats.org/officeDocument/2006/relationships" ref="I708" r:id="rId2099"/>
    <hyperlink xmlns:r="http://schemas.openxmlformats.org/officeDocument/2006/relationships" ref="J708" r:id="rId2100"/>
    <hyperlink xmlns:r="http://schemas.openxmlformats.org/officeDocument/2006/relationships" ref="C709" location="index-INFP-14INFP-14toc" r:id="rId2101"/>
    <hyperlink xmlns:r="http://schemas.openxmlformats.org/officeDocument/2006/relationships" ref="I709" r:id="rId2102"/>
    <hyperlink xmlns:r="http://schemas.openxmlformats.org/officeDocument/2006/relationships" ref="J709" r:id="rId2103"/>
    <hyperlink xmlns:r="http://schemas.openxmlformats.org/officeDocument/2006/relationships" ref="C710" location="index-INFP-6INFP-6toc" r:id="rId2104"/>
    <hyperlink xmlns:r="http://schemas.openxmlformats.org/officeDocument/2006/relationships" ref="I710" r:id="rId2105"/>
    <hyperlink xmlns:r="http://schemas.openxmlformats.org/officeDocument/2006/relationships" ref="J710" r:id="rId2106"/>
    <hyperlink xmlns:r="http://schemas.openxmlformats.org/officeDocument/2006/relationships" ref="C711" location="index" r:id="rId2107"/>
    <hyperlink xmlns:r="http://schemas.openxmlformats.org/officeDocument/2006/relationships" ref="I711" r:id="rId2108"/>
    <hyperlink xmlns:r="http://schemas.openxmlformats.org/officeDocument/2006/relationships" ref="J711" r:id="rId2109"/>
    <hyperlink xmlns:r="http://schemas.openxmlformats.org/officeDocument/2006/relationships" ref="C712" r:id="rId2110"/>
    <hyperlink xmlns:r="http://schemas.openxmlformats.org/officeDocument/2006/relationships" ref="I712" r:id="rId2111"/>
    <hyperlink xmlns:r="http://schemas.openxmlformats.org/officeDocument/2006/relationships" ref="J712" r:id="rId2112"/>
    <hyperlink xmlns:r="http://schemas.openxmlformats.org/officeDocument/2006/relationships" ref="C713" location="index-13" r:id="rId2113"/>
    <hyperlink xmlns:r="http://schemas.openxmlformats.org/officeDocument/2006/relationships" ref="I713" r:id="rId2114"/>
    <hyperlink xmlns:r="http://schemas.openxmlformats.org/officeDocument/2006/relationships" ref="J713" r:id="rId2115"/>
    <hyperlink xmlns:r="http://schemas.openxmlformats.org/officeDocument/2006/relationships" ref="C714" location="index-INTP-12INTP-12toc" r:id="rId2116"/>
    <hyperlink xmlns:r="http://schemas.openxmlformats.org/officeDocument/2006/relationships" ref="I714" r:id="rId2117"/>
    <hyperlink xmlns:r="http://schemas.openxmlformats.org/officeDocument/2006/relationships" ref="J714" r:id="rId2118"/>
    <hyperlink xmlns:r="http://schemas.openxmlformats.org/officeDocument/2006/relationships" ref="C715" location="index-INTP-3INTP-3toc" r:id="rId2119"/>
    <hyperlink xmlns:r="http://schemas.openxmlformats.org/officeDocument/2006/relationships" ref="I715" r:id="rId2120"/>
    <hyperlink xmlns:r="http://schemas.openxmlformats.org/officeDocument/2006/relationships" ref="J715" r:id="rId2121"/>
    <hyperlink xmlns:r="http://schemas.openxmlformats.org/officeDocument/2006/relationships" ref="C716" location="index-INTP-7INTP-7toc" r:id="rId2122"/>
    <hyperlink xmlns:r="http://schemas.openxmlformats.org/officeDocument/2006/relationships" ref="I716" r:id="rId2123"/>
    <hyperlink xmlns:r="http://schemas.openxmlformats.org/officeDocument/2006/relationships" ref="J716" r:id="rId2124"/>
    <hyperlink xmlns:r="http://schemas.openxmlformats.org/officeDocument/2006/relationships" ref="C717" location="index-INTP-8INTP-8toc" r:id="rId2125"/>
    <hyperlink xmlns:r="http://schemas.openxmlformats.org/officeDocument/2006/relationships" ref="I717" r:id="rId2126"/>
    <hyperlink xmlns:r="http://schemas.openxmlformats.org/officeDocument/2006/relationships" ref="J717" r:id="rId2127"/>
    <hyperlink xmlns:r="http://schemas.openxmlformats.org/officeDocument/2006/relationships" ref="C718" location="index-ISFJ-TISFJ-AISFJ-TISFJ-Atoc" r:id="rId2128"/>
    <hyperlink xmlns:r="http://schemas.openxmlformats.org/officeDocument/2006/relationships" ref="I718" r:id="rId2129"/>
    <hyperlink xmlns:r="http://schemas.openxmlformats.org/officeDocument/2006/relationships" ref="J718" r:id="rId2130"/>
    <hyperlink xmlns:r="http://schemas.openxmlformats.org/officeDocument/2006/relationships" ref="C719" location="index-ISTJ-13ISTJ-13toc" r:id="rId2131"/>
    <hyperlink xmlns:r="http://schemas.openxmlformats.org/officeDocument/2006/relationships" ref="I719" r:id="rId2132"/>
    <hyperlink xmlns:r="http://schemas.openxmlformats.org/officeDocument/2006/relationships" ref="J719" r:id="rId2133"/>
    <hyperlink xmlns:r="http://schemas.openxmlformats.org/officeDocument/2006/relationships" ref="C720" location="index-ISTJ-4ISTJ-4toc" r:id="rId2134"/>
    <hyperlink xmlns:r="http://schemas.openxmlformats.org/officeDocument/2006/relationships" ref="I720" r:id="rId2135"/>
    <hyperlink xmlns:r="http://schemas.openxmlformats.org/officeDocument/2006/relationships" ref="J720" r:id="rId2136"/>
    <hyperlink xmlns:r="http://schemas.openxmlformats.org/officeDocument/2006/relationships" ref="C721" location="index-ISTJ-9ISTJ-9toc" r:id="rId2137"/>
    <hyperlink xmlns:r="http://schemas.openxmlformats.org/officeDocument/2006/relationships" ref="I721" r:id="rId2138"/>
    <hyperlink xmlns:r="http://schemas.openxmlformats.org/officeDocument/2006/relationships" ref="J721" r:id="rId2139"/>
    <hyperlink xmlns:r="http://schemas.openxmlformats.org/officeDocument/2006/relationships" ref="C722" location="index-ISTP-2ISTP-2toc" r:id="rId2140"/>
    <hyperlink xmlns:r="http://schemas.openxmlformats.org/officeDocument/2006/relationships" ref="I722" r:id="rId2141"/>
    <hyperlink xmlns:r="http://schemas.openxmlformats.org/officeDocument/2006/relationships" ref="J722" r:id="rId2142"/>
    <hyperlink xmlns:r="http://schemas.openxmlformats.org/officeDocument/2006/relationships" ref="C723" location="index-ISTP-7ISTP-7toc" r:id="rId2143"/>
    <hyperlink xmlns:r="http://schemas.openxmlformats.org/officeDocument/2006/relationships" ref="I723" r:id="rId2144"/>
    <hyperlink xmlns:r="http://schemas.openxmlformats.org/officeDocument/2006/relationships" ref="J723" r:id="rId2145"/>
    <hyperlink xmlns:r="http://schemas.openxmlformats.org/officeDocument/2006/relationships" ref="C724" location="index-ISTPISTPtoc" r:id="rId2146"/>
    <hyperlink xmlns:r="http://schemas.openxmlformats.org/officeDocument/2006/relationships" ref="I724" r:id="rId2147"/>
    <hyperlink xmlns:r="http://schemas.openxmlformats.org/officeDocument/2006/relationships" ref="J724" r:id="rId2148"/>
    <hyperlink xmlns:r="http://schemas.openxmlformats.org/officeDocument/2006/relationships" ref="C725" location="index" r:id="rId2149"/>
    <hyperlink xmlns:r="http://schemas.openxmlformats.org/officeDocument/2006/relationships" ref="I725" r:id="rId2150"/>
    <hyperlink xmlns:r="http://schemas.openxmlformats.org/officeDocument/2006/relationships" ref="J725" r:id="rId2151"/>
    <hyperlink xmlns:r="http://schemas.openxmlformats.org/officeDocument/2006/relationships" ref="C726" location="index-44toc" r:id="rId2152"/>
    <hyperlink xmlns:r="http://schemas.openxmlformats.org/officeDocument/2006/relationships" ref="I726" r:id="rId2153"/>
    <hyperlink xmlns:r="http://schemas.openxmlformats.org/officeDocument/2006/relationships" ref="J726" r:id="rId2154"/>
    <hyperlink xmlns:r="http://schemas.openxmlformats.org/officeDocument/2006/relationships" ref="C727" location="index-66toc" r:id="rId2155"/>
    <hyperlink xmlns:r="http://schemas.openxmlformats.org/officeDocument/2006/relationships" ref="I727" r:id="rId2156"/>
    <hyperlink xmlns:r="http://schemas.openxmlformats.org/officeDocument/2006/relationships" ref="J727" r:id="rId2157"/>
    <hyperlink xmlns:r="http://schemas.openxmlformats.org/officeDocument/2006/relationships" ref="C728" r:id="rId2158"/>
    <hyperlink xmlns:r="http://schemas.openxmlformats.org/officeDocument/2006/relationships" ref="I728" r:id="rId2159"/>
    <hyperlink xmlns:r="http://schemas.openxmlformats.org/officeDocument/2006/relationships" ref="J728" r:id="rId2160"/>
    <hyperlink xmlns:r="http://schemas.openxmlformats.org/officeDocument/2006/relationships" ref="C729" r:id="rId2161"/>
    <hyperlink xmlns:r="http://schemas.openxmlformats.org/officeDocument/2006/relationships" ref="I729" r:id="rId2162"/>
    <hyperlink xmlns:r="http://schemas.openxmlformats.org/officeDocument/2006/relationships" ref="J729" r:id="rId2163"/>
    <hyperlink xmlns:r="http://schemas.openxmlformats.org/officeDocument/2006/relationships" ref="C730" r:id="rId2164"/>
    <hyperlink xmlns:r="http://schemas.openxmlformats.org/officeDocument/2006/relationships" ref="I730" r:id="rId2165"/>
    <hyperlink xmlns:r="http://schemas.openxmlformats.org/officeDocument/2006/relationships" ref="J730" r:id="rId2166"/>
    <hyperlink xmlns:r="http://schemas.openxmlformats.org/officeDocument/2006/relationships" ref="C731" r:id="rId2167"/>
    <hyperlink xmlns:r="http://schemas.openxmlformats.org/officeDocument/2006/relationships" ref="I731" r:id="rId2168"/>
    <hyperlink xmlns:r="http://schemas.openxmlformats.org/officeDocument/2006/relationships" ref="J731" r:id="rId2169"/>
    <hyperlink xmlns:r="http://schemas.openxmlformats.org/officeDocument/2006/relationships" ref="C732" r:id="rId2170"/>
    <hyperlink xmlns:r="http://schemas.openxmlformats.org/officeDocument/2006/relationships" ref="I732" r:id="rId2171"/>
    <hyperlink xmlns:r="http://schemas.openxmlformats.org/officeDocument/2006/relationships" ref="J732" r:id="rId2172"/>
    <hyperlink xmlns:r="http://schemas.openxmlformats.org/officeDocument/2006/relationships" ref="C733" r:id="rId2173"/>
    <hyperlink xmlns:r="http://schemas.openxmlformats.org/officeDocument/2006/relationships" ref="I733" r:id="rId2174"/>
    <hyperlink xmlns:r="http://schemas.openxmlformats.org/officeDocument/2006/relationships" ref="J733" r:id="rId2175"/>
    <hyperlink xmlns:r="http://schemas.openxmlformats.org/officeDocument/2006/relationships" ref="C734" r:id="rId2176"/>
    <hyperlink xmlns:r="http://schemas.openxmlformats.org/officeDocument/2006/relationships" ref="I734" r:id="rId2177"/>
    <hyperlink xmlns:r="http://schemas.openxmlformats.org/officeDocument/2006/relationships" ref="J734" r:id="rId2178"/>
    <hyperlink xmlns:r="http://schemas.openxmlformats.org/officeDocument/2006/relationships" ref="C735" r:id="rId2179"/>
    <hyperlink xmlns:r="http://schemas.openxmlformats.org/officeDocument/2006/relationships" ref="I735" r:id="rId2180"/>
    <hyperlink xmlns:r="http://schemas.openxmlformats.org/officeDocument/2006/relationships" ref="J735" r:id="rId2181"/>
    <hyperlink xmlns:r="http://schemas.openxmlformats.org/officeDocument/2006/relationships" ref="C736" location="index-3" r:id="rId2182"/>
    <hyperlink xmlns:r="http://schemas.openxmlformats.org/officeDocument/2006/relationships" ref="I736" r:id="rId2183"/>
    <hyperlink xmlns:r="http://schemas.openxmlformats.org/officeDocument/2006/relationships" ref="J736" r:id="rId2184"/>
    <hyperlink xmlns:r="http://schemas.openxmlformats.org/officeDocument/2006/relationships" ref="C737" location="index-4" r:id="rId2185"/>
    <hyperlink xmlns:r="http://schemas.openxmlformats.org/officeDocument/2006/relationships" ref="I737" r:id="rId2186"/>
    <hyperlink xmlns:r="http://schemas.openxmlformats.org/officeDocument/2006/relationships" ref="J737" r:id="rId2187"/>
    <hyperlink xmlns:r="http://schemas.openxmlformats.org/officeDocument/2006/relationships" ref="C738" location="index-33toc" r:id="rId2188"/>
    <hyperlink xmlns:r="http://schemas.openxmlformats.org/officeDocument/2006/relationships" ref="I738" r:id="rId2189"/>
    <hyperlink xmlns:r="http://schemas.openxmlformats.org/officeDocument/2006/relationships" ref="J738" r:id="rId2190"/>
    <hyperlink xmlns:r="http://schemas.openxmlformats.org/officeDocument/2006/relationships" ref="C739" r:id="rId2191"/>
    <hyperlink xmlns:r="http://schemas.openxmlformats.org/officeDocument/2006/relationships" ref="I739" r:id="rId2192"/>
    <hyperlink xmlns:r="http://schemas.openxmlformats.org/officeDocument/2006/relationships" ref="J739" r:id="rId2193"/>
    <hyperlink xmlns:r="http://schemas.openxmlformats.org/officeDocument/2006/relationships" ref="C740" r:id="rId2194"/>
    <hyperlink xmlns:r="http://schemas.openxmlformats.org/officeDocument/2006/relationships" ref="I740" r:id="rId2195"/>
    <hyperlink xmlns:r="http://schemas.openxmlformats.org/officeDocument/2006/relationships" ref="J740" r:id="rId2196"/>
    <hyperlink xmlns:r="http://schemas.openxmlformats.org/officeDocument/2006/relationships" ref="C741" location="index-2" r:id="rId2197"/>
    <hyperlink xmlns:r="http://schemas.openxmlformats.org/officeDocument/2006/relationships" ref="I741" r:id="rId2198"/>
    <hyperlink xmlns:r="http://schemas.openxmlformats.org/officeDocument/2006/relationships" ref="J741" r:id="rId2199"/>
    <hyperlink xmlns:r="http://schemas.openxmlformats.org/officeDocument/2006/relationships" ref="C742" location="index-13" r:id="rId2200"/>
    <hyperlink xmlns:r="http://schemas.openxmlformats.org/officeDocument/2006/relationships" ref="I742" r:id="rId2201"/>
    <hyperlink xmlns:r="http://schemas.openxmlformats.org/officeDocument/2006/relationships" ref="J742" r:id="rId2202"/>
    <hyperlink xmlns:r="http://schemas.openxmlformats.org/officeDocument/2006/relationships" ref="C743" location="index-4" r:id="rId2203"/>
    <hyperlink xmlns:r="http://schemas.openxmlformats.org/officeDocument/2006/relationships" ref="I743" r:id="rId2204"/>
    <hyperlink xmlns:r="http://schemas.openxmlformats.org/officeDocument/2006/relationships" ref="J743" r:id="rId2205"/>
    <hyperlink xmlns:r="http://schemas.openxmlformats.org/officeDocument/2006/relationships" ref="C744" location="index" r:id="rId2206"/>
    <hyperlink xmlns:r="http://schemas.openxmlformats.org/officeDocument/2006/relationships" ref="I744" r:id="rId2207"/>
    <hyperlink xmlns:r="http://schemas.openxmlformats.org/officeDocument/2006/relationships" ref="J744" r:id="rId2208"/>
    <hyperlink xmlns:r="http://schemas.openxmlformats.org/officeDocument/2006/relationships" ref="C745" location="index-WEB-2WEB-2toc" r:id="rId2209"/>
    <hyperlink xmlns:r="http://schemas.openxmlformats.org/officeDocument/2006/relationships" ref="I745" r:id="rId2210"/>
    <hyperlink xmlns:r="http://schemas.openxmlformats.org/officeDocument/2006/relationships" ref="J745" r:id="rId2211"/>
    <hyperlink xmlns:r="http://schemas.openxmlformats.org/officeDocument/2006/relationships" ref="C746" location="index-Web-3Web-3toc" r:id="rId2212"/>
    <hyperlink xmlns:r="http://schemas.openxmlformats.org/officeDocument/2006/relationships" ref="I746" r:id="rId2213"/>
    <hyperlink xmlns:r="http://schemas.openxmlformats.org/officeDocument/2006/relationships" ref="J746" r:id="rId2214"/>
    <hyperlink xmlns:r="http://schemas.openxmlformats.org/officeDocument/2006/relationships" ref="C747" location="index-WebWebtoc" r:id="rId2215"/>
    <hyperlink xmlns:r="http://schemas.openxmlformats.org/officeDocument/2006/relationships" ref="I747" r:id="rId2216"/>
    <hyperlink xmlns:r="http://schemas.openxmlformats.org/officeDocument/2006/relationships" ref="J747" r:id="rId2217"/>
    <hyperlink xmlns:r="http://schemas.openxmlformats.org/officeDocument/2006/relationships" ref="C748" location="index-2" r:id="rId2218"/>
    <hyperlink xmlns:r="http://schemas.openxmlformats.org/officeDocument/2006/relationships" ref="J748" r:id="rId2219"/>
    <hyperlink xmlns:r="http://schemas.openxmlformats.org/officeDocument/2006/relationships" ref="C749" r:id="rId2220"/>
    <hyperlink xmlns:r="http://schemas.openxmlformats.org/officeDocument/2006/relationships" ref="I749" r:id="rId2221"/>
    <hyperlink xmlns:r="http://schemas.openxmlformats.org/officeDocument/2006/relationships" ref="J749" r:id="rId2222"/>
    <hyperlink xmlns:r="http://schemas.openxmlformats.org/officeDocument/2006/relationships" ref="C750" r:id="rId2223"/>
    <hyperlink xmlns:r="http://schemas.openxmlformats.org/officeDocument/2006/relationships" ref="I750" r:id="rId2224"/>
    <hyperlink xmlns:r="http://schemas.openxmlformats.org/officeDocument/2006/relationships" ref="J750" r:id="rId2225"/>
    <hyperlink xmlns:r="http://schemas.openxmlformats.org/officeDocument/2006/relationships" ref="C751" location="index" r:id="rId2226"/>
    <hyperlink xmlns:r="http://schemas.openxmlformats.org/officeDocument/2006/relationships" ref="I751" r:id="rId2227"/>
    <hyperlink xmlns:r="http://schemas.openxmlformats.org/officeDocument/2006/relationships" ref="J751" r:id="rId2228"/>
    <hyperlink xmlns:r="http://schemas.openxmlformats.org/officeDocument/2006/relationships" ref="C752" r:id="rId2229"/>
    <hyperlink xmlns:r="http://schemas.openxmlformats.org/officeDocument/2006/relationships" ref="I752" r:id="rId2230"/>
    <hyperlink xmlns:r="http://schemas.openxmlformats.org/officeDocument/2006/relationships" ref="J752" r:id="rId2231"/>
    <hyperlink xmlns:r="http://schemas.openxmlformats.org/officeDocument/2006/relationships" ref="C753" r:id="rId2232"/>
    <hyperlink xmlns:r="http://schemas.openxmlformats.org/officeDocument/2006/relationships" ref="I753" r:id="rId2233"/>
    <hyperlink xmlns:r="http://schemas.openxmlformats.org/officeDocument/2006/relationships" ref="J753" r:id="rId2234"/>
    <hyperlink xmlns:r="http://schemas.openxmlformats.org/officeDocument/2006/relationships" ref="C754" location="index" r:id="rId2235"/>
    <hyperlink xmlns:r="http://schemas.openxmlformats.org/officeDocument/2006/relationships" ref="I754" r:id="rId2236"/>
    <hyperlink xmlns:r="http://schemas.openxmlformats.org/officeDocument/2006/relationships" ref="J754" r:id="rId2237"/>
    <hyperlink xmlns:r="http://schemas.openxmlformats.org/officeDocument/2006/relationships" ref="C755" r:id="rId2238"/>
    <hyperlink xmlns:r="http://schemas.openxmlformats.org/officeDocument/2006/relationships" ref="I755" r:id="rId2239"/>
    <hyperlink xmlns:r="http://schemas.openxmlformats.org/officeDocument/2006/relationships" ref="J755" r:id="rId2240"/>
    <hyperlink xmlns:r="http://schemas.openxmlformats.org/officeDocument/2006/relationships" ref="C756" location="index" r:id="rId2241"/>
    <hyperlink xmlns:r="http://schemas.openxmlformats.org/officeDocument/2006/relationships" ref="I756" r:id="rId2242"/>
    <hyperlink xmlns:r="http://schemas.openxmlformats.org/officeDocument/2006/relationships" ref="J756" r:id="rId2243"/>
    <hyperlink xmlns:r="http://schemas.openxmlformats.org/officeDocument/2006/relationships" ref="C757" location="index-6" r:id="rId2244"/>
    <hyperlink xmlns:r="http://schemas.openxmlformats.org/officeDocument/2006/relationships" ref="I757" r:id="rId2245"/>
    <hyperlink xmlns:r="http://schemas.openxmlformats.org/officeDocument/2006/relationships" ref="J757" r:id="rId2246"/>
    <hyperlink xmlns:r="http://schemas.openxmlformats.org/officeDocument/2006/relationships" ref="C758" location="index-8" r:id="rId2247"/>
    <hyperlink xmlns:r="http://schemas.openxmlformats.org/officeDocument/2006/relationships" ref="I758" r:id="rId2248"/>
    <hyperlink xmlns:r="http://schemas.openxmlformats.org/officeDocument/2006/relationships" ref="J758" r:id="rId2249"/>
    <hyperlink xmlns:r="http://schemas.openxmlformats.org/officeDocument/2006/relationships" ref="C759" r:id="rId2250"/>
    <hyperlink xmlns:r="http://schemas.openxmlformats.org/officeDocument/2006/relationships" ref="I759" r:id="rId2251"/>
    <hyperlink xmlns:r="http://schemas.openxmlformats.org/officeDocument/2006/relationships" ref="J759" r:id="rId2252"/>
    <hyperlink xmlns:r="http://schemas.openxmlformats.org/officeDocument/2006/relationships" ref="C760" location="index" r:id="rId2253"/>
    <hyperlink xmlns:r="http://schemas.openxmlformats.org/officeDocument/2006/relationships" ref="I760" r:id="rId2254"/>
    <hyperlink xmlns:r="http://schemas.openxmlformats.org/officeDocument/2006/relationships" ref="J760" r:id="rId2255"/>
    <hyperlink xmlns:r="http://schemas.openxmlformats.org/officeDocument/2006/relationships" ref="C761" location="index-5" r:id="rId2256"/>
    <hyperlink xmlns:r="http://schemas.openxmlformats.org/officeDocument/2006/relationships" ref="I761" r:id="rId2257"/>
    <hyperlink xmlns:r="http://schemas.openxmlformats.org/officeDocument/2006/relationships" ref="J761" r:id="rId2258"/>
    <hyperlink xmlns:r="http://schemas.openxmlformats.org/officeDocument/2006/relationships" ref="C762" location="index-16" r:id="rId2259"/>
    <hyperlink xmlns:r="http://schemas.openxmlformats.org/officeDocument/2006/relationships" ref="I762" r:id="rId2260"/>
    <hyperlink xmlns:r="http://schemas.openxmlformats.org/officeDocument/2006/relationships" ref="J762" r:id="rId2261"/>
    <hyperlink xmlns:r="http://schemas.openxmlformats.org/officeDocument/2006/relationships" ref="C763" location="index-7" r:id="rId2262"/>
    <hyperlink xmlns:r="http://schemas.openxmlformats.org/officeDocument/2006/relationships" ref="I763" r:id="rId2263"/>
    <hyperlink xmlns:r="http://schemas.openxmlformats.org/officeDocument/2006/relationships" ref="J763" r:id="rId2264"/>
    <hyperlink xmlns:r="http://schemas.openxmlformats.org/officeDocument/2006/relationships" ref="C764" location="index" r:id="rId2265"/>
    <hyperlink xmlns:r="http://schemas.openxmlformats.org/officeDocument/2006/relationships" ref="I764" r:id="rId2266"/>
    <hyperlink xmlns:r="http://schemas.openxmlformats.org/officeDocument/2006/relationships" ref="J764" r:id="rId2267"/>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O32"/>
  <sheetViews>
    <sheetView workbookViewId="0">
      <selection activeCell="A1" sqref="A1"/>
    </sheetView>
  </sheetViews>
  <sheetFormatPr baseColWidth="8" defaultColWidth="12.63" defaultRowHeight="15.75" customHeight="1"/>
  <cols>
    <col width="61" customWidth="1" style="185" min="2" max="2"/>
    <col width="17" customWidth="1" style="185" min="8" max="8"/>
  </cols>
  <sheetData>
    <row r="1">
      <c r="A1" s="84" t="inlineStr">
        <is>
          <t>No.</t>
        </is>
      </c>
      <c r="B1" s="84" t="inlineStr">
        <is>
          <t>URL</t>
        </is>
      </c>
      <c r="C1" s="84" t="inlineStr">
        <is>
          <t>コラム①</t>
        </is>
      </c>
      <c r="D1" s="84" t="inlineStr">
        <is>
          <t>コラム②</t>
        </is>
      </c>
      <c r="E1" s="84" t="inlineStr">
        <is>
          <t>コラム③</t>
        </is>
      </c>
      <c r="F1" s="84" t="inlineStr">
        <is>
          <t>コラム④</t>
        </is>
      </c>
      <c r="G1" s="84" t="inlineStr">
        <is>
          <t>コラム⑤</t>
        </is>
      </c>
    </row>
    <row r="2">
      <c r="A2" s="84">
        <f>row()-1</f>
        <v/>
      </c>
      <c r="B2" s="16" t="inlineStr">
        <is>
          <t>https://dym.asia/services/exe-part/</t>
        </is>
      </c>
      <c r="C2" s="23" t="inlineStr">
        <is>
          <t>https://dym.asia/media/advisors-directory/</t>
        </is>
      </c>
      <c r="D2" s="15" t="inlineStr">
        <is>
          <t>https://dym.asia/media/advisor/</t>
        </is>
      </c>
      <c r="E2" s="23" t="inlineStr">
        <is>
          <t>https://dym.asia/media/board-member/</t>
        </is>
      </c>
      <c r="F2" s="23" t="inlineStr">
        <is>
          <t>https://dym.asia/media/advisor-bank/</t>
        </is>
      </c>
      <c r="G2" s="23" t="inlineStr">
        <is>
          <t>https://dym.asia/media/advisor-introduction/</t>
        </is>
      </c>
      <c r="H2" s="84" t="inlineStr">
        <is>
          <t>これ全然違うな、「エグゼパート事業」について理解してる？</t>
        </is>
      </c>
      <c r="L2" s="84" t="inlineStr">
        <is>
          <t>エグゼパートに関するコラムが難しいです。あまり出てきません。</t>
        </is>
      </c>
      <c r="M2" s="24" t="inlineStr">
        <is>
          <t>https://dym.asia/media/advisors-directory/
https://dym.asia/media/advisor/</t>
        </is>
      </c>
      <c r="N2" s="84" t="inlineStr">
        <is>
          <t>←これとか</t>
        </is>
      </c>
      <c r="O2" s="84" t="inlineStr">
        <is>
          <t>エグゼパートはDYMではめちゃくちゃ大事な事業なので今の段階からしっかり理解しといてね</t>
        </is>
      </c>
    </row>
    <row r="3">
      <c r="A3" s="84">
        <f>row()-1</f>
        <v/>
      </c>
      <c r="B3" s="16" t="inlineStr">
        <is>
          <t>https://dym.asia/services/web-promotion/listing/</t>
        </is>
      </c>
      <c r="C3" s="15" t="inlineStr">
        <is>
          <t>https://dym.asia/media/google-ads-keywords/</t>
        </is>
      </c>
      <c r="D3" s="15" t="inlineStr">
        <is>
          <t>https://dym.asia/media/listing-ads/</t>
        </is>
      </c>
      <c r="E3" s="15" t="inlineStr">
        <is>
          <t>https://dym.asia/media/listing-ads-type/</t>
        </is>
      </c>
      <c r="F3" s="15" t="inlineStr">
        <is>
          <t>https://dym.asia/media/listing_advertisement/</t>
        </is>
      </c>
      <c r="G3" s="23" t="inlineStr">
        <is>
          <t>https://dym.asia/media/listing-display-ads/</t>
        </is>
      </c>
      <c r="H3" s="84" t="inlineStr">
        <is>
          <t>これはいい感じ👍</t>
        </is>
      </c>
      <c r="I3" s="16" t="inlineStr">
        <is>
          <t>https://dym.asia/media/listing-display-ads/</t>
        </is>
      </c>
      <c r="J3" s="84" t="inlineStr">
        <is>
          <t>←これはちょっとちがうかもだな（一旦は大丈夫）</t>
        </is>
      </c>
    </row>
    <row r="4">
      <c r="A4" s="84">
        <f>row()-1</f>
        <v/>
      </c>
      <c r="B4" s="16" t="inlineStr">
        <is>
          <t>https://dym.asia/services/web-promotion/seo/</t>
        </is>
      </c>
      <c r="C4" s="15" t="inlineStr">
        <is>
          <t>https://dym.asia/media/seo-cost/</t>
        </is>
      </c>
      <c r="D4" s="15" t="inlineStr">
        <is>
          <t>https://dym.asia/media/google-algorithm/</t>
        </is>
      </c>
      <c r="E4" s="15" t="inlineStr">
        <is>
          <t>https://dym.asia/media/how-to-seo/</t>
        </is>
      </c>
      <c r="F4" s="15" t="inlineStr">
        <is>
          <t>https://dym.asia/media/keyword-selection/</t>
        </is>
      </c>
      <c r="G4" s="23" t="inlineStr">
        <is>
          <t>https://dym.asia/media/seo-title-number-of-words/</t>
        </is>
      </c>
      <c r="H4" s="84" t="inlineStr">
        <is>
          <t>これもOK</t>
        </is>
      </c>
    </row>
    <row r="5">
      <c r="A5" s="84">
        <f>row()-1</f>
        <v/>
      </c>
      <c r="B5" s="16" t="inlineStr">
        <is>
          <t>https://dym.asia/services/web-promotion/sns-ads/</t>
        </is>
      </c>
      <c r="C5" s="15" t="inlineStr">
        <is>
          <t>https://dym.asia/media/sns-ad-operation/</t>
        </is>
      </c>
      <c r="D5" s="15" t="inlineStr">
        <is>
          <t>https://dym.asia/media/sns-ad-cost/</t>
        </is>
      </c>
      <c r="E5" s="15" t="inlineStr">
        <is>
          <t>https://dym.asia/media/sns-ad-type/</t>
        </is>
      </c>
      <c r="F5" s="15" t="inlineStr">
        <is>
          <t>https://dym.asia/media/influencer/</t>
        </is>
      </c>
      <c r="G5" s="23" t="inlineStr">
        <is>
          <t>https://dym.asia/media/sns-ad-example/</t>
        </is>
      </c>
      <c r="H5" s="84" t="inlineStr">
        <is>
          <t>これもOK</t>
        </is>
      </c>
      <c r="I5" s="84" t="n"/>
    </row>
    <row r="6">
      <c r="A6" s="84">
        <f>row()-1</f>
        <v/>
      </c>
      <c r="B6" s="16" t="inlineStr">
        <is>
          <t>https://dym.asia/services/web-promotion/dsp-native-ads/</t>
        </is>
      </c>
      <c r="C6" s="15" t="inlineStr">
        <is>
          <t>https://dym.asia/media/native-ads-medium/</t>
        </is>
      </c>
      <c r="D6" s="23" t="inlineStr">
        <is>
          <t>https://dym.asia/media/remarketing/</t>
        </is>
      </c>
      <c r="E6" s="15" t="inlineStr">
        <is>
          <t>https://dym.asia/media/criteo_advertisement/</t>
        </is>
      </c>
      <c r="F6" s="15" t="inlineStr">
        <is>
          <t>https://dym.asia/media/logicad/</t>
        </is>
      </c>
      <c r="G6" s="23" t="inlineStr">
        <is>
          <t>https://dym.asia/media/infeed-ad/</t>
        </is>
      </c>
      <c r="H6" s="26" t="inlineStr">
        <is>
          <t>「SNS広告とは」はちがうなたぶん</t>
        </is>
      </c>
      <c r="J6" s="84" t="n"/>
    </row>
    <row r="7">
      <c r="A7" s="84">
        <f>row()-1</f>
        <v/>
      </c>
      <c r="B7" s="16" t="inlineStr">
        <is>
          <t>https://dym.asia/services/web-promotion/affiliate/</t>
        </is>
      </c>
      <c r="C7" s="15" t="inlineStr">
        <is>
          <t>https://dym.asia/media/affiliate-how-to-start/</t>
        </is>
      </c>
      <c r="D7" s="15" t="inlineStr">
        <is>
          <t>https://dym.asia/media/affiliate-site/</t>
        </is>
      </c>
      <c r="E7" s="15" t="inlineStr">
        <is>
          <t>https://dym.asia/media/affiliate-blog/</t>
        </is>
      </c>
      <c r="F7" s="15" t="inlineStr">
        <is>
          <t>https://dym.asia/media/affiliate-demerit/</t>
        </is>
      </c>
      <c r="G7" s="23" t="inlineStr">
        <is>
          <t>https://dym.asia/media/affiliate/</t>
        </is>
      </c>
      <c r="H7" s="84" t="inlineStr">
        <is>
          <t>これもOK</t>
        </is>
      </c>
    </row>
    <row r="8">
      <c r="A8" s="84">
        <f>row()-1</f>
        <v/>
      </c>
      <c r="B8" s="16" t="inlineStr">
        <is>
          <t>https://dym.asia/services/web-promotion/production-operation/</t>
        </is>
      </c>
      <c r="C8" s="15" t="inlineStr">
        <is>
          <t>https://dym.asia/media/favicon/</t>
        </is>
      </c>
      <c r="D8" s="15" t="inlineStr">
        <is>
          <t>https://dym.asia/media/htaccess/</t>
        </is>
      </c>
      <c r="E8" s="15" t="inlineStr">
        <is>
          <t>https://dym.asia/media/html/</t>
        </is>
      </c>
      <c r="F8" s="15" t="inlineStr">
        <is>
          <t>https://dym.asia/media/gas/</t>
        </is>
      </c>
      <c r="G8" s="23" t="inlineStr">
        <is>
          <t>https://dym.asia/media/ip-address/</t>
        </is>
      </c>
      <c r="H8" s="84" t="inlineStr">
        <is>
          <t>これもOK</t>
        </is>
      </c>
    </row>
    <row r="9">
      <c r="A9" s="84">
        <f>row()-1</f>
        <v/>
      </c>
      <c r="B9" s="16" t="inlineStr">
        <is>
          <t>https://dym.asia/services/web-promotion/sns-consulting/</t>
        </is>
      </c>
      <c r="C9" s="15" t="inlineStr">
        <is>
          <t>https://dym.asia/media/sns-market/</t>
        </is>
      </c>
      <c r="D9" s="15" t="inlineStr">
        <is>
          <t>https://dym.asia/media/sns_consulting/</t>
        </is>
      </c>
      <c r="E9" s="23" t="inlineStr">
        <is>
          <t>https://dym.asia/media/facebook-operation/</t>
        </is>
      </c>
      <c r="F9" s="15" t="inlineStr">
        <is>
          <t>https://dym.asia/media/sns-company/</t>
        </is>
      </c>
      <c r="G9" s="23" t="inlineStr">
        <is>
          <t>https://dym.asia/media/line-official-delete/</t>
        </is>
      </c>
      <c r="H9" s="84" t="inlineStr">
        <is>
          <t>「風評被害対策とは？」はたぶんちがうな</t>
        </is>
      </c>
    </row>
    <row r="10">
      <c r="A10" s="84">
        <f>row()-1</f>
        <v/>
      </c>
      <c r="B10" s="15" t="inlineStr">
        <is>
          <t>https://dym.asia/services/web-promotion/talents-share/</t>
        </is>
      </c>
      <c r="C10" s="15" t="inlineStr">
        <is>
          <t>https://dym.asia/media/ai-cast/</t>
        </is>
      </c>
      <c r="D10" s="15" t="inlineStr">
        <is>
          <t>https://dym.asia/media/talent-subscription/</t>
        </is>
      </c>
      <c r="E10" s="15" t="inlineStr">
        <is>
          <t>https://dym.asia/media/tarent-casting-cost/</t>
        </is>
      </c>
      <c r="F10" s="23" t="inlineStr">
        <is>
          <t>https://dym.asia/media/ad-talent/</t>
        </is>
      </c>
      <c r="G10" s="84" t="n"/>
      <c r="H10" s="84" t="inlineStr">
        <is>
          <t>これもOK</t>
        </is>
      </c>
    </row>
    <row r="11">
      <c r="A11" s="84">
        <f>row()-1</f>
        <v/>
      </c>
      <c r="B11" s="15" t="inlineStr">
        <is>
          <t>https://dym.asia/services/web-promotion/thailand/</t>
        </is>
      </c>
      <c r="C11" s="15" t="inlineStr">
        <is>
          <t>https://dym.asia/media/seo-cost/</t>
        </is>
      </c>
      <c r="D11" s="15" t="inlineStr">
        <is>
          <t>https://dym.asia/media/how-to-seo/</t>
        </is>
      </c>
      <c r="E11" s="15" t="inlineStr">
        <is>
          <t>https://dym.asia/media/site-create-company/</t>
        </is>
      </c>
      <c r="F11" s="23" t="inlineStr">
        <is>
          <t>https://dym.asia/media/site-create-hearing/</t>
        </is>
      </c>
      <c r="H11" s="84" t="inlineStr">
        <is>
          <t>これはむずいね、、いったん放置でOK</t>
        </is>
      </c>
    </row>
    <row r="12">
      <c r="A12" s="84">
        <f>row()-1</f>
        <v/>
      </c>
      <c r="B12" s="16" t="inlineStr">
        <is>
          <t>https://dym.asia/services/hr-tech/indeed/</t>
        </is>
      </c>
      <c r="C12" s="15" t="inlineStr">
        <is>
          <t>https://dym.asia/media/indeed-description/</t>
        </is>
      </c>
      <c r="D12" s="15" t="inlineStr">
        <is>
          <t>https://dym.asia/media/indeed-how-to-use/</t>
        </is>
      </c>
      <c r="E12" s="15" t="inlineStr">
        <is>
          <t>https://dym.asia/media/indeed-plus-guide/</t>
        </is>
      </c>
      <c r="F12" s="15" t="inlineStr">
        <is>
          <t>https://dym.asia/media/what-is-hrtech/</t>
        </is>
      </c>
      <c r="G12" s="23" t="inlineStr">
        <is>
          <t>https://dym.asia/media/indeed_operation/</t>
        </is>
      </c>
      <c r="H12" s="84" t="inlineStr">
        <is>
          <t>OK</t>
        </is>
      </c>
    </row>
    <row r="13">
      <c r="A13" s="84">
        <f>row()-1</f>
        <v/>
      </c>
      <c r="B13" s="15" t="inlineStr">
        <is>
          <t>https://dym.asia/services/hr-tech/stanby-kyujinbox/</t>
        </is>
      </c>
      <c r="C13" s="15" t="inlineStr">
        <is>
          <t>https://dym.asia/media/kyujinbox_agency/</t>
        </is>
      </c>
      <c r="D13" s="15" t="inlineStr">
        <is>
          <t>https://dym.asia/media/kyujinbox/</t>
        </is>
      </c>
      <c r="E13" s="15" t="inlineStr">
        <is>
          <t>https://dym.asia/media/kyujinbox-cost/</t>
        </is>
      </c>
      <c r="F13" s="15" t="inlineStr">
        <is>
          <t>https://dym.asia/media/rpo-meaning-merit/</t>
        </is>
      </c>
      <c r="G13" s="23" t="inlineStr">
        <is>
          <t>https://dym.asia/media/kyujinbox-about/</t>
        </is>
      </c>
      <c r="H13" s="84" t="inlineStr">
        <is>
          <t>OK</t>
        </is>
      </c>
    </row>
    <row r="14">
      <c r="A14" s="84">
        <f>row()-1</f>
        <v/>
      </c>
      <c r="B14" s="16" t="inlineStr">
        <is>
          <t>https://dym.asia/services/hr-tech/rakusai/</t>
        </is>
      </c>
      <c r="C14" s="15" t="inlineStr">
        <is>
          <t>https://dym.asia/media/labor-reduction/</t>
        </is>
      </c>
      <c r="D14" s="23" t="inlineStr">
        <is>
          <t>https://dym.asia/media/ats/</t>
        </is>
      </c>
      <c r="E14" s="23" t="inlineStr">
        <is>
          <t>https://dym.asia/media/reducation-of-labor-cost/</t>
        </is>
      </c>
      <c r="F14" s="28" t="inlineStr">
        <is>
          <t>https://dym.asia/media/resource-shortage/</t>
        </is>
      </c>
      <c r="G14" s="15" t="inlineStr">
        <is>
          <t>https://dym.asia/media/recuruting-workcost/</t>
        </is>
      </c>
      <c r="H14" s="84" t="inlineStr">
        <is>
          <t>もう一個絞り出して</t>
        </is>
      </c>
    </row>
    <row r="15">
      <c r="A15" s="84">
        <f>row()-1</f>
        <v/>
      </c>
      <c r="B15" s="16" t="inlineStr">
        <is>
          <t>https://dym.asia/services/hr-tech/call-center/</t>
        </is>
      </c>
      <c r="C15" s="15" t="inlineStr">
        <is>
          <t>https://dym.asia/media/callcenter-complaint-handling/</t>
        </is>
      </c>
      <c r="D15" s="15" t="inlineStr">
        <is>
          <t>https://dym.asia/media/callcenter-qualification/</t>
        </is>
      </c>
      <c r="E15" s="15" t="inlineStr">
        <is>
          <t>https://dym.asia/media/callcenter-term/</t>
        </is>
      </c>
      <c r="F15" s="15" t="inlineStr">
        <is>
          <t>https://dym.asia/media/call-center-sv/</t>
        </is>
      </c>
      <c r="G15" s="23" t="inlineStr">
        <is>
          <t>https://dym.asia/media/inbound_call/</t>
        </is>
      </c>
      <c r="H15" s="84" t="inlineStr">
        <is>
          <t>OK</t>
        </is>
      </c>
    </row>
    <row r="16">
      <c r="A16" s="84">
        <f>row()-1</f>
        <v/>
      </c>
      <c r="B16" s="16" t="inlineStr">
        <is>
          <t>https://dym.asia/services/new-graduates/new-graduate-recruitment/</t>
        </is>
      </c>
      <c r="C16" s="15" t="inlineStr">
        <is>
          <t>https://dym.asia/media/proper/</t>
        </is>
      </c>
      <c r="D16" s="15" t="inlineStr">
        <is>
          <t>https://dym.asia/media/rejected-tel/</t>
        </is>
      </c>
      <c r="E16" s="15" t="inlineStr">
        <is>
          <t>https://dym.asia/media/steak-holder/</t>
        </is>
      </c>
      <c r="F16" s="15" t="inlineStr">
        <is>
          <t>https://dym.asia/media/dependent-relatives/</t>
        </is>
      </c>
      <c r="G16" s="23" t="inlineStr">
        <is>
          <t>https://dym.asia/media/new_graduate_agent/</t>
        </is>
      </c>
      <c r="H16" s="84" t="inlineStr">
        <is>
          <t>優先度はっきりつけてみてほしい、ほんとに新卒紹介事業のサービスページに載せるコラムはこれでいいのかどうか</t>
        </is>
      </c>
    </row>
    <row r="17">
      <c r="A17" s="84">
        <f>row()-1</f>
        <v/>
      </c>
      <c r="B17" s="16" t="inlineStr">
        <is>
          <t>https://dym.asia/services/new-graduates/Former-graduate/</t>
        </is>
      </c>
      <c r="C17" s="15" t="inlineStr">
        <is>
          <t>https://dym.asia/media/diversity/</t>
        </is>
      </c>
      <c r="D17" s="15" t="inlineStr">
        <is>
          <t>https://dym.asia/media/potential/</t>
        </is>
      </c>
      <c r="E17" s="15" t="inlineStr">
        <is>
          <t>https://dym.asia/media/individual-efforts/</t>
        </is>
      </c>
      <c r="F17" s="15" t="inlineStr">
        <is>
          <t>https://dym.asia/media/paradim-shift/</t>
        </is>
      </c>
      <c r="G17" s="23" t="inlineStr">
        <is>
          <t>https://dym.asia/media/post_graduate_employment/</t>
        </is>
      </c>
      <c r="H17" s="84" t="inlineStr">
        <is>
          <t>優先度はっきりつけてみてほしい、ほんとに新卒紹介事業のサービスページに載せるコラムはこれでいいのかどうか</t>
        </is>
      </c>
    </row>
    <row r="18">
      <c r="A18" s="84">
        <f>row()-1</f>
        <v/>
      </c>
      <c r="B18" s="16" t="inlineStr">
        <is>
          <t>https://dym.asia/services/new-graduates/high-class/</t>
        </is>
      </c>
      <c r="C18" s="15" t="inlineStr">
        <is>
          <t>https://dym.asia/media/head-hunting-cost/</t>
        </is>
      </c>
      <c r="D18" s="15" t="inlineStr">
        <is>
          <t>https://dym.asia/media/head-hunting/</t>
        </is>
      </c>
      <c r="E18" s="15" t="inlineStr">
        <is>
          <t>https://dym.asia/media/board-member-training/</t>
        </is>
      </c>
      <c r="F18" s="15" t="inlineStr">
        <is>
          <t>https://dym.asia/media/recruiting/40s-job-change/</t>
        </is>
      </c>
      <c r="G18" s="23" t="inlineStr">
        <is>
          <t>https://dym.asia/media/recruiting/35-job-change/</t>
        </is>
      </c>
      <c r="H18" s="84" t="inlineStr">
        <is>
          <t>OK</t>
        </is>
      </c>
    </row>
    <row r="19">
      <c r="A19" s="84">
        <f>row()-1</f>
        <v/>
      </c>
      <c r="B19" s="16" t="inlineStr">
        <is>
          <t>https://dym.asia/services/new-graduates/development-training/</t>
        </is>
      </c>
      <c r="C19" s="15" t="inlineStr">
        <is>
          <t>https://dym.asia/media/listening-ability/</t>
        </is>
      </c>
      <c r="D19" s="15" t="inlineStr">
        <is>
          <t>https://dym.asia/media/hr/</t>
        </is>
      </c>
      <c r="E19" s="16" t="inlineStr">
        <is>
          <t>https://dym.asia/media/industrial-accident/</t>
        </is>
      </c>
      <c r="F19" s="15" t="inlineStr">
        <is>
          <t>https://dym.asia/media/metacognition/</t>
        </is>
      </c>
      <c r="G19" s="23" t="inlineStr">
        <is>
          <t>https://dym.asia/media/eq/</t>
        </is>
      </c>
      <c r="H19" s="84" t="inlineStr">
        <is>
          <t>OK</t>
        </is>
      </c>
    </row>
    <row r="20">
      <c r="A20" s="84">
        <f>row()-1</f>
        <v/>
      </c>
      <c r="B20" s="15" t="inlineStr">
        <is>
          <t>https://dym.asia/services/new-graduates/exe-part/</t>
        </is>
      </c>
      <c r="C20" s="16" t="inlineStr">
        <is>
          <t>https://dym.asia/media/personality/</t>
        </is>
      </c>
      <c r="D20" s="16" t="inlineStr">
        <is>
          <t>https://dym.asia/media/advisors-directory/</t>
        </is>
      </c>
      <c r="E20" s="16" t="inlineStr">
        <is>
          <t>https://dym.asia/media/advisors/</t>
        </is>
      </c>
      <c r="F20" s="15" t="inlineStr">
        <is>
          <t>https://dym.asia/media/external-advisor/</t>
        </is>
      </c>
      <c r="G20" s="23" t="inlineStr">
        <is>
          <t>https://dym.asia/media/board-member/</t>
        </is>
      </c>
      <c r="H20" s="84" t="inlineStr">
        <is>
          <t>だぶってるのなおして</t>
        </is>
      </c>
    </row>
    <row r="21">
      <c r="A21" s="84">
        <f>row()-1</f>
        <v/>
      </c>
      <c r="B21" s="16" t="inlineStr">
        <is>
          <t>https://dym.asia/services/new-graduates/dym-tech/</t>
        </is>
      </c>
      <c r="C21" s="16" t="inlineStr">
        <is>
          <t>https://dym.asia/media/permanent_dispatch/</t>
        </is>
      </c>
      <c r="D21" s="16" t="inlineStr">
        <is>
          <t>https://dym.asia/media/degital-marketing-outsourcing/</t>
        </is>
      </c>
      <c r="E21" s="16" t="inlineStr">
        <is>
          <t>https://dym.asia/media/general_dispatch/</t>
        </is>
      </c>
      <c r="F21" s="16" t="inlineStr">
        <is>
          <t>https://dym.asia/media/it-advisor/</t>
        </is>
      </c>
      <c r="G21" s="28" t="inlineStr">
        <is>
          <t>https://dym.asia/media/ses-temporary/</t>
        </is>
      </c>
    </row>
    <row r="22">
      <c r="A22" s="84">
        <f>row()-1</f>
        <v/>
      </c>
      <c r="B22" s="16" t="inlineStr">
        <is>
          <t>https://dym.asia/services/new-graduates/ready-career/</t>
        </is>
      </c>
      <c r="C22" s="16" t="inlineStr">
        <is>
          <t>https://dym.asia/media/recruiting/non-regular-employment-female/</t>
        </is>
      </c>
      <c r="D22" s="16" t="inlineStr">
        <is>
          <t>https://dym.asia/media/recruiting/dispatch-salary/</t>
        </is>
      </c>
      <c r="E22" s="15" t="inlineStr">
        <is>
          <t>https://dym.asia/media/recruiting/female_dispatch/</t>
        </is>
      </c>
      <c r="F22" s="16" t="inlineStr">
        <is>
          <t>https://dym.asia/media/recruiting/office-work/</t>
        </is>
      </c>
      <c r="G22" s="23" t="inlineStr">
        <is>
          <t>https://dym.asia/media/recruiting/non-regular-employment-female/#index-2</t>
        </is>
      </c>
    </row>
    <row r="23">
      <c r="A23" s="84">
        <f>row()-1</f>
        <v/>
      </c>
      <c r="B23" s="16" t="inlineStr">
        <is>
          <t>https://dym.asia/services/new-graduates/with-disabilities/</t>
        </is>
      </c>
      <c r="C23" s="16" t="inlineStr">
        <is>
          <t>https://dym.asia/media/with-disabilities-grant/</t>
        </is>
      </c>
      <c r="D23" s="16" t="inlineStr">
        <is>
          <t>https://dym.asia/media/with-disabilities-farming/</t>
        </is>
      </c>
      <c r="E23" s="16" t="inlineStr">
        <is>
          <t>https://dym.asia/media/with-disabilities-recruitment-trial/</t>
        </is>
      </c>
      <c r="F23" s="28" t="inlineStr">
        <is>
          <t>https://dym.asia/media/with-disabilities-recruitment-manager/</t>
        </is>
      </c>
    </row>
    <row r="24">
      <c r="A24" s="84">
        <f>row()-1</f>
        <v/>
      </c>
      <c r="B24" s="16" t="inlineStr">
        <is>
          <t>https://dym.asia/services/new-graduates/welfare/</t>
        </is>
      </c>
      <c r="C24" s="16" t="inlineStr">
        <is>
          <t>https://dym.asia/media/the-number-of-paid/</t>
        </is>
      </c>
      <c r="D24" s="16" t="inlineStr">
        <is>
          <t>https://dym.asia/media/bonus/</t>
        </is>
      </c>
      <c r="E24" s="16" t="inlineStr">
        <is>
          <t>https://dym.asia/media/strike/</t>
        </is>
      </c>
      <c r="F24" s="16" t="inlineStr">
        <is>
          <t>https://dym.asia/media/overtime-upper-limit/</t>
        </is>
      </c>
      <c r="G24" s="28" t="inlineStr">
        <is>
          <t>https://dym.asia/media/may-day/</t>
        </is>
      </c>
    </row>
    <row r="25">
      <c r="A25" s="84">
        <f>row()-1</f>
        <v/>
      </c>
      <c r="B25" s="16" t="inlineStr">
        <is>
          <t>https://dym.asia/services/m&amp;a/consulting/</t>
        </is>
      </c>
      <c r="C25" s="16" t="inlineStr">
        <is>
          <t>https://dym.asia/media/dormant-company/</t>
        </is>
      </c>
      <c r="D25" s="16" t="inlineStr">
        <is>
          <t>https://dym.asia/media/lbo/</t>
        </is>
      </c>
      <c r="E25" s="16" t="inlineStr">
        <is>
          <t>https://dym.asia/media/business-transfer/</t>
        </is>
      </c>
      <c r="F25" s="16" t="inlineStr">
        <is>
          <t>https://dym.asia/media/business-succession/</t>
        </is>
      </c>
      <c r="G25" s="28" t="inlineStr">
        <is>
          <t>https://dym.asia/media/clinic-mna/</t>
        </is>
      </c>
    </row>
    <row r="26">
      <c r="A26" s="84">
        <f>row()-1</f>
        <v/>
      </c>
      <c r="B26" s="16" t="inlineStr">
        <is>
          <t>https://dym.asia/services/m&amp;a/investment/</t>
        </is>
      </c>
      <c r="C26" s="16" t="inlineStr">
        <is>
          <t>https://dym.asia/media/investment-development-company/</t>
        </is>
      </c>
      <c r="D26" s="16" t="inlineStr">
        <is>
          <t>https://dym.asia/media/stock-transfer-tax/</t>
        </is>
      </c>
      <c r="E26" s="28" t="inlineStr">
        <is>
          <t>https://dym.asia/media/funding/</t>
        </is>
      </c>
    </row>
    <row r="27">
      <c r="A27" s="84">
        <f>row()-1</f>
        <v/>
      </c>
      <c r="B27" s="16" t="inlineStr">
        <is>
          <t>https://dym.asia/services/medicine/thailand-clinic/</t>
        </is>
      </c>
      <c r="C27" s="16" t="inlineStr">
        <is>
          <t>https://dym.asia/media/bangkok_hospital/</t>
        </is>
      </c>
      <c r="D27" s="16" t="inlineStr">
        <is>
          <t>https://dym.asia/media/thailand-vaccine-before-traveling/</t>
        </is>
      </c>
      <c r="E27" s="16" t="inlineStr">
        <is>
          <t>https://dym.asia/media/thailand-hospital-japanese/</t>
        </is>
      </c>
      <c r="F27" s="16" t="inlineStr">
        <is>
          <t>https://dym.asia/media/thailand_bangkok_health_checkup/</t>
        </is>
      </c>
      <c r="G27" s="28" t="inlineStr">
        <is>
          <t>https://dym.asia/media/bangkok_healthcare/</t>
        </is>
      </c>
    </row>
    <row r="28">
      <c r="A28" s="84">
        <f>row()-1</f>
        <v/>
      </c>
      <c r="B28" s="16" t="inlineStr">
        <is>
          <t>https://dym.asia/services/medicine/hongkong/</t>
        </is>
      </c>
      <c r="C28" s="16" t="inlineStr">
        <is>
          <t>https://dym.asia/media/hongkong-hospital-japanese/</t>
        </is>
      </c>
      <c r="D28" s="16" t="inlineStr">
        <is>
          <t>https://dym.asia/media/hongkong-hospital-cost/</t>
        </is>
      </c>
      <c r="E28" s="16" t="inlineStr">
        <is>
          <t>https://dym.asia/media/hongkong-health-insurance/</t>
        </is>
      </c>
      <c r="F28" s="16" t="inlineStr">
        <is>
          <t>https://dym.asia/media/hongkong-insurance/</t>
        </is>
      </c>
      <c r="G28" s="28" t="inlineStr">
        <is>
          <t>https://dym.asia/media/hong_kong_healthcare/</t>
        </is>
      </c>
    </row>
    <row r="29">
      <c r="A29" s="84">
        <f>row()-1</f>
        <v/>
      </c>
      <c r="B29" s="16" t="inlineStr">
        <is>
          <t>https://dym.asia/services/medicine/america-clinic/</t>
        </is>
      </c>
      <c r="C29" s="16" t="inlineStr">
        <is>
          <t>https://dym.asia/media/america-hospital-cost/</t>
        </is>
      </c>
      <c r="D29" s="16" t="inlineStr">
        <is>
          <t>https://dym.asia/media/new-york-hospital-cost/</t>
        </is>
      </c>
      <c r="E29" s="16" t="inlineStr">
        <is>
          <t>https://dym.asia/media/america-insurance/</t>
        </is>
      </c>
      <c r="F29" s="16" t="inlineStr">
        <is>
          <t>https://dym.asia/media/new-york-insurance/</t>
        </is>
      </c>
      <c r="G29" s="28" t="inlineStr">
        <is>
          <t>https://dym.asia/media/america-vaccine-before-traveling/</t>
        </is>
      </c>
    </row>
    <row r="30">
      <c r="A30" s="84">
        <f>row()-1</f>
        <v/>
      </c>
      <c r="B30" s="16" t="inlineStr">
        <is>
          <t>https://dym.asia/services/medicine/vietnam-clinic/</t>
        </is>
      </c>
      <c r="C30" s="16" t="inlineStr">
        <is>
          <t>https://dym.asia/media/vietnam-hospital-cost/</t>
        </is>
      </c>
      <c r="D30" s="16" t="inlineStr">
        <is>
          <t>https://dym.asia/media/vietnam-health-insurance/</t>
        </is>
      </c>
      <c r="E30" s="16" t="inlineStr">
        <is>
          <t>https://dym.asia/media/vietnam_healthcare/</t>
        </is>
      </c>
      <c r="F30" s="16" t="inlineStr">
        <is>
          <t>https://dym.asia/media/america-health-insurance/</t>
        </is>
      </c>
      <c r="G30" s="28" t="inlineStr">
        <is>
          <t>https://dym.asia/media/ho-chi-minh-insurance/</t>
        </is>
      </c>
    </row>
    <row r="31">
      <c r="A31" s="84">
        <f>row()-1</f>
        <v/>
      </c>
      <c r="B31" s="16" t="inlineStr">
        <is>
          <t>https://dym.asia/services/new-business/relocation/</t>
        </is>
      </c>
      <c r="C31" s="16" t="inlineStr">
        <is>
          <t>https://dym.asia/media/agent-cost/</t>
        </is>
      </c>
      <c r="D31" s="16" t="inlineStr">
        <is>
          <t>https://dym.asia/media/land-sales-agent-cost/</t>
        </is>
      </c>
      <c r="E31" s="16" t="inlineStr">
        <is>
          <t>https://dym.asia/media/how-to-search-empty-property/</t>
        </is>
      </c>
      <c r="F31" s="16" t="inlineStr">
        <is>
          <t>https://dym.asia/media/office_brokerage/</t>
        </is>
      </c>
      <c r="G31" s="28" t="inlineStr">
        <is>
          <t>https://dym.asia/media/real-estate-sale-agent-cost/</t>
        </is>
      </c>
    </row>
    <row r="32">
      <c r="A32" s="84">
        <f>row()-1</f>
        <v/>
      </c>
      <c r="B32" s="16" t="inlineStr">
        <is>
          <t>https://dym.asia/services/sports/</t>
        </is>
      </c>
      <c r="C32" s="16" t="inlineStr">
        <is>
          <t>https://dym.asia/media/sponsor-about/</t>
        </is>
      </c>
      <c r="D32" s="16" t="inlineStr">
        <is>
          <t>https://dym.asia/media/sponsor-merit/</t>
        </is>
      </c>
      <c r="E32" s="16" t="inlineStr">
        <is>
          <t>https://dym.asia/media/sponsor-sales/</t>
        </is>
      </c>
      <c r="F32" s="16" t="inlineStr">
        <is>
          <t>https://dym.asia/media/sports-sponsor-merit/</t>
        </is>
      </c>
      <c r="G32" s="28" t="inlineStr">
        <is>
          <t>https://dym.asia/media/soccer-sponsor/</t>
        </is>
      </c>
    </row>
  </sheetData>
  <hyperlinks>
    <hyperlink xmlns:r="http://schemas.openxmlformats.org/officeDocument/2006/relationships" ref="B2" r:id="rId1"/>
    <hyperlink xmlns:r="http://schemas.openxmlformats.org/officeDocument/2006/relationships" ref="C2" r:id="rId2"/>
    <hyperlink xmlns:r="http://schemas.openxmlformats.org/officeDocument/2006/relationships" ref="D2" r:id="rId3"/>
    <hyperlink xmlns:r="http://schemas.openxmlformats.org/officeDocument/2006/relationships" ref="E2" r:id="rId4"/>
    <hyperlink xmlns:r="http://schemas.openxmlformats.org/officeDocument/2006/relationships" ref="F2" r:id="rId5"/>
    <hyperlink xmlns:r="http://schemas.openxmlformats.org/officeDocument/2006/relationships" ref="G2" r:id="rId6"/>
    <hyperlink xmlns:r="http://schemas.openxmlformats.org/officeDocument/2006/relationships" ref="M2" r:id="rId7"/>
    <hyperlink xmlns:r="http://schemas.openxmlformats.org/officeDocument/2006/relationships" ref="B3" r:id="rId8"/>
    <hyperlink xmlns:r="http://schemas.openxmlformats.org/officeDocument/2006/relationships" ref="C3" r:id="rId9"/>
    <hyperlink xmlns:r="http://schemas.openxmlformats.org/officeDocument/2006/relationships" ref="D3" r:id="rId10"/>
    <hyperlink xmlns:r="http://schemas.openxmlformats.org/officeDocument/2006/relationships" ref="E3" r:id="rId11"/>
    <hyperlink xmlns:r="http://schemas.openxmlformats.org/officeDocument/2006/relationships" ref="F3" r:id="rId12"/>
    <hyperlink xmlns:r="http://schemas.openxmlformats.org/officeDocument/2006/relationships" ref="G3" r:id="rId13"/>
    <hyperlink xmlns:r="http://schemas.openxmlformats.org/officeDocument/2006/relationships" ref="I3" r:id="rId14"/>
    <hyperlink xmlns:r="http://schemas.openxmlformats.org/officeDocument/2006/relationships" ref="B4" r:id="rId15"/>
    <hyperlink xmlns:r="http://schemas.openxmlformats.org/officeDocument/2006/relationships" ref="C4" r:id="rId16"/>
    <hyperlink xmlns:r="http://schemas.openxmlformats.org/officeDocument/2006/relationships" ref="D4" r:id="rId17"/>
    <hyperlink xmlns:r="http://schemas.openxmlformats.org/officeDocument/2006/relationships" ref="E4" r:id="rId18"/>
    <hyperlink xmlns:r="http://schemas.openxmlformats.org/officeDocument/2006/relationships" ref="F4" r:id="rId19"/>
    <hyperlink xmlns:r="http://schemas.openxmlformats.org/officeDocument/2006/relationships" ref="G4" r:id="rId20"/>
    <hyperlink xmlns:r="http://schemas.openxmlformats.org/officeDocument/2006/relationships" ref="B5" r:id="rId21"/>
    <hyperlink xmlns:r="http://schemas.openxmlformats.org/officeDocument/2006/relationships" ref="C5" r:id="rId22"/>
    <hyperlink xmlns:r="http://schemas.openxmlformats.org/officeDocument/2006/relationships" ref="D5" r:id="rId23"/>
    <hyperlink xmlns:r="http://schemas.openxmlformats.org/officeDocument/2006/relationships" ref="E5" r:id="rId24"/>
    <hyperlink xmlns:r="http://schemas.openxmlformats.org/officeDocument/2006/relationships" ref="F5" r:id="rId25"/>
    <hyperlink xmlns:r="http://schemas.openxmlformats.org/officeDocument/2006/relationships" ref="G5" r:id="rId26"/>
    <hyperlink xmlns:r="http://schemas.openxmlformats.org/officeDocument/2006/relationships" ref="B6" r:id="rId27"/>
    <hyperlink xmlns:r="http://schemas.openxmlformats.org/officeDocument/2006/relationships" ref="C6" r:id="rId28"/>
    <hyperlink xmlns:r="http://schemas.openxmlformats.org/officeDocument/2006/relationships" ref="D6" r:id="rId29"/>
    <hyperlink xmlns:r="http://schemas.openxmlformats.org/officeDocument/2006/relationships" ref="E6" r:id="rId30"/>
    <hyperlink xmlns:r="http://schemas.openxmlformats.org/officeDocument/2006/relationships" ref="F6" r:id="rId31"/>
    <hyperlink xmlns:r="http://schemas.openxmlformats.org/officeDocument/2006/relationships" ref="G6" r:id="rId32"/>
    <hyperlink xmlns:r="http://schemas.openxmlformats.org/officeDocument/2006/relationships" ref="B7" r:id="rId33"/>
    <hyperlink xmlns:r="http://schemas.openxmlformats.org/officeDocument/2006/relationships" ref="C7" r:id="rId34"/>
    <hyperlink xmlns:r="http://schemas.openxmlformats.org/officeDocument/2006/relationships" ref="D7" r:id="rId35"/>
    <hyperlink xmlns:r="http://schemas.openxmlformats.org/officeDocument/2006/relationships" ref="E7" r:id="rId36"/>
    <hyperlink xmlns:r="http://schemas.openxmlformats.org/officeDocument/2006/relationships" ref="F7" r:id="rId37"/>
    <hyperlink xmlns:r="http://schemas.openxmlformats.org/officeDocument/2006/relationships" ref="G7" r:id="rId38"/>
    <hyperlink xmlns:r="http://schemas.openxmlformats.org/officeDocument/2006/relationships" ref="B8" r:id="rId39"/>
    <hyperlink xmlns:r="http://schemas.openxmlformats.org/officeDocument/2006/relationships" ref="C8" r:id="rId40"/>
    <hyperlink xmlns:r="http://schemas.openxmlformats.org/officeDocument/2006/relationships" ref="D8" r:id="rId41"/>
    <hyperlink xmlns:r="http://schemas.openxmlformats.org/officeDocument/2006/relationships" ref="E8" r:id="rId42"/>
    <hyperlink xmlns:r="http://schemas.openxmlformats.org/officeDocument/2006/relationships" ref="F8" r:id="rId43"/>
    <hyperlink xmlns:r="http://schemas.openxmlformats.org/officeDocument/2006/relationships" ref="G8" r:id="rId44"/>
    <hyperlink xmlns:r="http://schemas.openxmlformats.org/officeDocument/2006/relationships" ref="B9" r:id="rId45"/>
    <hyperlink xmlns:r="http://schemas.openxmlformats.org/officeDocument/2006/relationships" ref="C9" r:id="rId46"/>
    <hyperlink xmlns:r="http://schemas.openxmlformats.org/officeDocument/2006/relationships" ref="D9" r:id="rId47"/>
    <hyperlink xmlns:r="http://schemas.openxmlformats.org/officeDocument/2006/relationships" ref="E9" r:id="rId48"/>
    <hyperlink xmlns:r="http://schemas.openxmlformats.org/officeDocument/2006/relationships" ref="F9" r:id="rId49"/>
    <hyperlink xmlns:r="http://schemas.openxmlformats.org/officeDocument/2006/relationships" ref="G9" r:id="rId50"/>
    <hyperlink xmlns:r="http://schemas.openxmlformats.org/officeDocument/2006/relationships" ref="B10" r:id="rId51"/>
    <hyperlink xmlns:r="http://schemas.openxmlformats.org/officeDocument/2006/relationships" ref="C10" r:id="rId52"/>
    <hyperlink xmlns:r="http://schemas.openxmlformats.org/officeDocument/2006/relationships" ref="D10" r:id="rId53"/>
    <hyperlink xmlns:r="http://schemas.openxmlformats.org/officeDocument/2006/relationships" ref="E10" r:id="rId54"/>
    <hyperlink xmlns:r="http://schemas.openxmlformats.org/officeDocument/2006/relationships" ref="F10" r:id="rId55"/>
    <hyperlink xmlns:r="http://schemas.openxmlformats.org/officeDocument/2006/relationships" ref="B11" r:id="rId56"/>
    <hyperlink xmlns:r="http://schemas.openxmlformats.org/officeDocument/2006/relationships" ref="C11" r:id="rId57"/>
    <hyperlink xmlns:r="http://schemas.openxmlformats.org/officeDocument/2006/relationships" ref="D11" r:id="rId58"/>
    <hyperlink xmlns:r="http://schemas.openxmlformats.org/officeDocument/2006/relationships" ref="E11" r:id="rId59"/>
    <hyperlink xmlns:r="http://schemas.openxmlformats.org/officeDocument/2006/relationships" ref="F11" r:id="rId60"/>
    <hyperlink xmlns:r="http://schemas.openxmlformats.org/officeDocument/2006/relationships" ref="B12" r:id="rId61"/>
    <hyperlink xmlns:r="http://schemas.openxmlformats.org/officeDocument/2006/relationships" ref="C12" r:id="rId62"/>
    <hyperlink xmlns:r="http://schemas.openxmlformats.org/officeDocument/2006/relationships" ref="D12" r:id="rId63"/>
    <hyperlink xmlns:r="http://schemas.openxmlformats.org/officeDocument/2006/relationships" ref="E12" r:id="rId64"/>
    <hyperlink xmlns:r="http://schemas.openxmlformats.org/officeDocument/2006/relationships" ref="F12" r:id="rId65"/>
    <hyperlink xmlns:r="http://schemas.openxmlformats.org/officeDocument/2006/relationships" ref="G12" r:id="rId66"/>
    <hyperlink xmlns:r="http://schemas.openxmlformats.org/officeDocument/2006/relationships" ref="B13" r:id="rId67"/>
    <hyperlink xmlns:r="http://schemas.openxmlformats.org/officeDocument/2006/relationships" ref="C13" r:id="rId68"/>
    <hyperlink xmlns:r="http://schemas.openxmlformats.org/officeDocument/2006/relationships" ref="D13" r:id="rId69"/>
    <hyperlink xmlns:r="http://schemas.openxmlformats.org/officeDocument/2006/relationships" ref="E13" r:id="rId70"/>
    <hyperlink xmlns:r="http://schemas.openxmlformats.org/officeDocument/2006/relationships" ref="F13" r:id="rId71"/>
    <hyperlink xmlns:r="http://schemas.openxmlformats.org/officeDocument/2006/relationships" ref="G13" r:id="rId72"/>
    <hyperlink xmlns:r="http://schemas.openxmlformats.org/officeDocument/2006/relationships" ref="B14" r:id="rId73"/>
    <hyperlink xmlns:r="http://schemas.openxmlformats.org/officeDocument/2006/relationships" ref="C14" r:id="rId74"/>
    <hyperlink xmlns:r="http://schemas.openxmlformats.org/officeDocument/2006/relationships" ref="D14" r:id="rId75"/>
    <hyperlink xmlns:r="http://schemas.openxmlformats.org/officeDocument/2006/relationships" ref="E14" r:id="rId76"/>
    <hyperlink xmlns:r="http://schemas.openxmlformats.org/officeDocument/2006/relationships" ref="F14" r:id="rId77"/>
    <hyperlink xmlns:r="http://schemas.openxmlformats.org/officeDocument/2006/relationships" ref="G14" r:id="rId78"/>
    <hyperlink xmlns:r="http://schemas.openxmlformats.org/officeDocument/2006/relationships" ref="B15" r:id="rId79"/>
    <hyperlink xmlns:r="http://schemas.openxmlformats.org/officeDocument/2006/relationships" ref="C15" r:id="rId80"/>
    <hyperlink xmlns:r="http://schemas.openxmlformats.org/officeDocument/2006/relationships" ref="D15" r:id="rId81"/>
    <hyperlink xmlns:r="http://schemas.openxmlformats.org/officeDocument/2006/relationships" ref="E15" r:id="rId82"/>
    <hyperlink xmlns:r="http://schemas.openxmlformats.org/officeDocument/2006/relationships" ref="F15" r:id="rId83"/>
    <hyperlink xmlns:r="http://schemas.openxmlformats.org/officeDocument/2006/relationships" ref="G15" r:id="rId84"/>
    <hyperlink xmlns:r="http://schemas.openxmlformats.org/officeDocument/2006/relationships" ref="B16" r:id="rId85"/>
    <hyperlink xmlns:r="http://schemas.openxmlformats.org/officeDocument/2006/relationships" ref="C16" r:id="rId86"/>
    <hyperlink xmlns:r="http://schemas.openxmlformats.org/officeDocument/2006/relationships" ref="D16" r:id="rId87"/>
    <hyperlink xmlns:r="http://schemas.openxmlformats.org/officeDocument/2006/relationships" ref="E16" r:id="rId88"/>
    <hyperlink xmlns:r="http://schemas.openxmlformats.org/officeDocument/2006/relationships" ref="F16" r:id="rId89"/>
    <hyperlink xmlns:r="http://schemas.openxmlformats.org/officeDocument/2006/relationships" ref="G16" r:id="rId90"/>
    <hyperlink xmlns:r="http://schemas.openxmlformats.org/officeDocument/2006/relationships" ref="B17" r:id="rId91"/>
    <hyperlink xmlns:r="http://schemas.openxmlformats.org/officeDocument/2006/relationships" ref="C17" r:id="rId92"/>
    <hyperlink xmlns:r="http://schemas.openxmlformats.org/officeDocument/2006/relationships" ref="D17" r:id="rId93"/>
    <hyperlink xmlns:r="http://schemas.openxmlformats.org/officeDocument/2006/relationships" ref="E17" r:id="rId94"/>
    <hyperlink xmlns:r="http://schemas.openxmlformats.org/officeDocument/2006/relationships" ref="F17" r:id="rId95"/>
    <hyperlink xmlns:r="http://schemas.openxmlformats.org/officeDocument/2006/relationships" ref="G17" r:id="rId96"/>
    <hyperlink xmlns:r="http://schemas.openxmlformats.org/officeDocument/2006/relationships" ref="B18" r:id="rId97"/>
    <hyperlink xmlns:r="http://schemas.openxmlformats.org/officeDocument/2006/relationships" ref="C18" r:id="rId98"/>
    <hyperlink xmlns:r="http://schemas.openxmlformats.org/officeDocument/2006/relationships" ref="D18" r:id="rId99"/>
    <hyperlink xmlns:r="http://schemas.openxmlformats.org/officeDocument/2006/relationships" ref="E18" r:id="rId100"/>
    <hyperlink xmlns:r="http://schemas.openxmlformats.org/officeDocument/2006/relationships" ref="F18" r:id="rId101"/>
    <hyperlink xmlns:r="http://schemas.openxmlformats.org/officeDocument/2006/relationships" ref="G18" r:id="rId102"/>
    <hyperlink xmlns:r="http://schemas.openxmlformats.org/officeDocument/2006/relationships" ref="B19" r:id="rId103"/>
    <hyperlink xmlns:r="http://schemas.openxmlformats.org/officeDocument/2006/relationships" ref="C19" r:id="rId104"/>
    <hyperlink xmlns:r="http://schemas.openxmlformats.org/officeDocument/2006/relationships" ref="D19" r:id="rId105"/>
    <hyperlink xmlns:r="http://schemas.openxmlformats.org/officeDocument/2006/relationships" ref="E19" r:id="rId106"/>
    <hyperlink xmlns:r="http://schemas.openxmlformats.org/officeDocument/2006/relationships" ref="F19" r:id="rId107"/>
    <hyperlink xmlns:r="http://schemas.openxmlformats.org/officeDocument/2006/relationships" ref="G19" r:id="rId108"/>
    <hyperlink xmlns:r="http://schemas.openxmlformats.org/officeDocument/2006/relationships" ref="B20" r:id="rId109"/>
    <hyperlink xmlns:r="http://schemas.openxmlformats.org/officeDocument/2006/relationships" ref="C20" r:id="rId110"/>
    <hyperlink xmlns:r="http://schemas.openxmlformats.org/officeDocument/2006/relationships" ref="D20" r:id="rId111"/>
    <hyperlink xmlns:r="http://schemas.openxmlformats.org/officeDocument/2006/relationships" ref="E20" r:id="rId112"/>
    <hyperlink xmlns:r="http://schemas.openxmlformats.org/officeDocument/2006/relationships" ref="F20" r:id="rId113"/>
    <hyperlink xmlns:r="http://schemas.openxmlformats.org/officeDocument/2006/relationships" ref="G20" r:id="rId114"/>
    <hyperlink xmlns:r="http://schemas.openxmlformats.org/officeDocument/2006/relationships" ref="B21" r:id="rId115"/>
    <hyperlink xmlns:r="http://schemas.openxmlformats.org/officeDocument/2006/relationships" ref="C21" r:id="rId116"/>
    <hyperlink xmlns:r="http://schemas.openxmlformats.org/officeDocument/2006/relationships" ref="D21" r:id="rId117"/>
    <hyperlink xmlns:r="http://schemas.openxmlformats.org/officeDocument/2006/relationships" ref="E21" r:id="rId118"/>
    <hyperlink xmlns:r="http://schemas.openxmlformats.org/officeDocument/2006/relationships" ref="F21" r:id="rId119"/>
    <hyperlink xmlns:r="http://schemas.openxmlformats.org/officeDocument/2006/relationships" ref="G21" r:id="rId120"/>
    <hyperlink xmlns:r="http://schemas.openxmlformats.org/officeDocument/2006/relationships" ref="B22" r:id="rId121"/>
    <hyperlink xmlns:r="http://schemas.openxmlformats.org/officeDocument/2006/relationships" ref="C22" r:id="rId122"/>
    <hyperlink xmlns:r="http://schemas.openxmlformats.org/officeDocument/2006/relationships" ref="D22" r:id="rId123"/>
    <hyperlink xmlns:r="http://schemas.openxmlformats.org/officeDocument/2006/relationships" ref="E22" r:id="rId124"/>
    <hyperlink xmlns:r="http://schemas.openxmlformats.org/officeDocument/2006/relationships" ref="F22" r:id="rId125"/>
    <hyperlink xmlns:r="http://schemas.openxmlformats.org/officeDocument/2006/relationships" ref="G22" location="index-2" r:id="rId126"/>
    <hyperlink xmlns:r="http://schemas.openxmlformats.org/officeDocument/2006/relationships" ref="B23" r:id="rId127"/>
    <hyperlink xmlns:r="http://schemas.openxmlformats.org/officeDocument/2006/relationships" ref="C23" r:id="rId128"/>
    <hyperlink xmlns:r="http://schemas.openxmlformats.org/officeDocument/2006/relationships" ref="D23" r:id="rId129"/>
    <hyperlink xmlns:r="http://schemas.openxmlformats.org/officeDocument/2006/relationships" ref="E23" r:id="rId130"/>
    <hyperlink xmlns:r="http://schemas.openxmlformats.org/officeDocument/2006/relationships" ref="F23" r:id="rId131"/>
    <hyperlink xmlns:r="http://schemas.openxmlformats.org/officeDocument/2006/relationships" ref="B24" r:id="rId132"/>
    <hyperlink xmlns:r="http://schemas.openxmlformats.org/officeDocument/2006/relationships" ref="C24" r:id="rId133"/>
    <hyperlink xmlns:r="http://schemas.openxmlformats.org/officeDocument/2006/relationships" ref="D24" r:id="rId134"/>
    <hyperlink xmlns:r="http://schemas.openxmlformats.org/officeDocument/2006/relationships" ref="E24" r:id="rId135"/>
    <hyperlink xmlns:r="http://schemas.openxmlformats.org/officeDocument/2006/relationships" ref="F24" r:id="rId136"/>
    <hyperlink xmlns:r="http://schemas.openxmlformats.org/officeDocument/2006/relationships" ref="G24" r:id="rId137"/>
    <hyperlink xmlns:r="http://schemas.openxmlformats.org/officeDocument/2006/relationships" ref="B25" r:id="rId138"/>
    <hyperlink xmlns:r="http://schemas.openxmlformats.org/officeDocument/2006/relationships" ref="C25" r:id="rId139"/>
    <hyperlink xmlns:r="http://schemas.openxmlformats.org/officeDocument/2006/relationships" ref="D25" r:id="rId140"/>
    <hyperlink xmlns:r="http://schemas.openxmlformats.org/officeDocument/2006/relationships" ref="E25" r:id="rId141"/>
    <hyperlink xmlns:r="http://schemas.openxmlformats.org/officeDocument/2006/relationships" ref="F25" r:id="rId142"/>
    <hyperlink xmlns:r="http://schemas.openxmlformats.org/officeDocument/2006/relationships" ref="G25" r:id="rId143"/>
    <hyperlink xmlns:r="http://schemas.openxmlformats.org/officeDocument/2006/relationships" ref="B26" r:id="rId144"/>
    <hyperlink xmlns:r="http://schemas.openxmlformats.org/officeDocument/2006/relationships" ref="C26" r:id="rId145"/>
    <hyperlink xmlns:r="http://schemas.openxmlformats.org/officeDocument/2006/relationships" ref="D26" r:id="rId146"/>
    <hyperlink xmlns:r="http://schemas.openxmlformats.org/officeDocument/2006/relationships" ref="E26" r:id="rId147"/>
    <hyperlink xmlns:r="http://schemas.openxmlformats.org/officeDocument/2006/relationships" ref="B27" r:id="rId148"/>
    <hyperlink xmlns:r="http://schemas.openxmlformats.org/officeDocument/2006/relationships" ref="C27" r:id="rId149"/>
    <hyperlink xmlns:r="http://schemas.openxmlformats.org/officeDocument/2006/relationships" ref="D27" r:id="rId150"/>
    <hyperlink xmlns:r="http://schemas.openxmlformats.org/officeDocument/2006/relationships" ref="E27" r:id="rId151"/>
    <hyperlink xmlns:r="http://schemas.openxmlformats.org/officeDocument/2006/relationships" ref="F27" r:id="rId152"/>
    <hyperlink xmlns:r="http://schemas.openxmlformats.org/officeDocument/2006/relationships" ref="G27" r:id="rId153"/>
    <hyperlink xmlns:r="http://schemas.openxmlformats.org/officeDocument/2006/relationships" ref="B28" r:id="rId154"/>
    <hyperlink xmlns:r="http://schemas.openxmlformats.org/officeDocument/2006/relationships" ref="C28" r:id="rId155"/>
    <hyperlink xmlns:r="http://schemas.openxmlformats.org/officeDocument/2006/relationships" ref="D28" r:id="rId156"/>
    <hyperlink xmlns:r="http://schemas.openxmlformats.org/officeDocument/2006/relationships" ref="E28" r:id="rId157"/>
    <hyperlink xmlns:r="http://schemas.openxmlformats.org/officeDocument/2006/relationships" ref="F28" r:id="rId158"/>
    <hyperlink xmlns:r="http://schemas.openxmlformats.org/officeDocument/2006/relationships" ref="G28" r:id="rId159"/>
    <hyperlink xmlns:r="http://schemas.openxmlformats.org/officeDocument/2006/relationships" ref="B29" r:id="rId160"/>
    <hyperlink xmlns:r="http://schemas.openxmlformats.org/officeDocument/2006/relationships" ref="C29" r:id="rId161"/>
    <hyperlink xmlns:r="http://schemas.openxmlformats.org/officeDocument/2006/relationships" ref="D29" r:id="rId162"/>
    <hyperlink xmlns:r="http://schemas.openxmlformats.org/officeDocument/2006/relationships" ref="E29" r:id="rId163"/>
    <hyperlink xmlns:r="http://schemas.openxmlformats.org/officeDocument/2006/relationships" ref="F29" r:id="rId164"/>
    <hyperlink xmlns:r="http://schemas.openxmlformats.org/officeDocument/2006/relationships" ref="G29" r:id="rId165"/>
    <hyperlink xmlns:r="http://schemas.openxmlformats.org/officeDocument/2006/relationships" ref="B30" r:id="rId166"/>
    <hyperlink xmlns:r="http://schemas.openxmlformats.org/officeDocument/2006/relationships" ref="C30" r:id="rId167"/>
    <hyperlink xmlns:r="http://schemas.openxmlformats.org/officeDocument/2006/relationships" ref="D30" r:id="rId168"/>
    <hyperlink xmlns:r="http://schemas.openxmlformats.org/officeDocument/2006/relationships" ref="E30" r:id="rId169"/>
    <hyperlink xmlns:r="http://schemas.openxmlformats.org/officeDocument/2006/relationships" ref="F30" r:id="rId170"/>
    <hyperlink xmlns:r="http://schemas.openxmlformats.org/officeDocument/2006/relationships" ref="G30" r:id="rId171"/>
    <hyperlink xmlns:r="http://schemas.openxmlformats.org/officeDocument/2006/relationships" ref="B31" r:id="rId172"/>
    <hyperlink xmlns:r="http://schemas.openxmlformats.org/officeDocument/2006/relationships" ref="C31" r:id="rId173"/>
    <hyperlink xmlns:r="http://schemas.openxmlformats.org/officeDocument/2006/relationships" ref="D31" r:id="rId174"/>
    <hyperlink xmlns:r="http://schemas.openxmlformats.org/officeDocument/2006/relationships" ref="E31" r:id="rId175"/>
    <hyperlink xmlns:r="http://schemas.openxmlformats.org/officeDocument/2006/relationships" ref="F31" r:id="rId176"/>
    <hyperlink xmlns:r="http://schemas.openxmlformats.org/officeDocument/2006/relationships" ref="G31" r:id="rId177"/>
    <hyperlink xmlns:r="http://schemas.openxmlformats.org/officeDocument/2006/relationships" ref="B32" r:id="rId178"/>
    <hyperlink xmlns:r="http://schemas.openxmlformats.org/officeDocument/2006/relationships" ref="C32" r:id="rId179"/>
    <hyperlink xmlns:r="http://schemas.openxmlformats.org/officeDocument/2006/relationships" ref="D32" r:id="rId180"/>
    <hyperlink xmlns:r="http://schemas.openxmlformats.org/officeDocument/2006/relationships" ref="E32" r:id="rId181"/>
    <hyperlink xmlns:r="http://schemas.openxmlformats.org/officeDocument/2006/relationships" ref="F32" r:id="rId182"/>
    <hyperlink xmlns:r="http://schemas.openxmlformats.org/officeDocument/2006/relationships" ref="G32" r:id="rId183"/>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R448"/>
  <sheetViews>
    <sheetView workbookViewId="0">
      <pane ySplit="3" topLeftCell="A4" activePane="bottomLeft" state="frozen"/>
      <selection pane="bottomLeft" activeCell="B5" sqref="B5"/>
    </sheetView>
  </sheetViews>
  <sheetFormatPr baseColWidth="8" defaultColWidth="12.63" defaultRowHeight="15.75" customHeight="1"/>
  <cols>
    <col width="10.25" customWidth="1" style="185" min="1" max="1"/>
    <col width="53.63" customWidth="1" style="185" min="2" max="2"/>
    <col width="24" customWidth="1" style="185" min="3" max="3"/>
    <col hidden="1" width="12.63" customWidth="1" style="185" min="5" max="6"/>
    <col width="13.75" customWidth="1" style="185" min="7" max="7"/>
    <col width="13.38" customWidth="1" style="185" min="8" max="8"/>
    <col width="41.63" customWidth="1" style="185" min="9" max="9"/>
    <col width="16.88" customWidth="1" style="185" min="11" max="12"/>
    <col width="16.63" customWidth="1" style="185" min="13" max="13"/>
    <col hidden="1" width="27.63" customWidth="1" style="185" min="14" max="14"/>
  </cols>
  <sheetData>
    <row r="1" ht="59.25" customHeight="1" s="185">
      <c r="A1" s="51" t="n"/>
      <c r="B1" s="30" t="inlineStr">
        <is>
          <t>1. C列のURLを踏んでコラム記事を確認
2. 目次に「よくある質問」の有無を確認しG列に記入
3. 「よくある質問」が無かった場合、新規で「よくある質問」の追加可否（そもそも質問とか生じないテーマではないか）をH列に記入
4. H列が「可」の場合、どんな質問が想定されるか1記事当たり4つ考案してI列に記入</t>
        </is>
      </c>
      <c r="D1" s="31" t="n"/>
      <c r="E1" s="32" t="n"/>
      <c r="F1" s="32" t="n"/>
      <c r="G1" s="31" t="n"/>
      <c r="H1" s="47" t="n"/>
      <c r="I1" s="47" t="inlineStr">
        <is>
          <t>プロンプト例（GeminiPro推奨）
=======================
下記コラムに「よくある質問」の見出しを追加したい。
質問は一問一答形式。QとAは段落分けて。スプレッドシートの一つのセルにコピペしやすい形で出力。
目的としては、SEOにおけるLLMOおよびPAA対策。
コラム記事の主テーマに沿って読者が抱く疑問を基に3つ考案して。
"記事のURLを添付"
=======================</t>
        </is>
      </c>
      <c r="J1" s="47" t="n"/>
      <c r="K1" s="47" t="n"/>
      <c r="L1" s="47" t="n"/>
      <c r="M1" s="47" t="n"/>
      <c r="N1" s="47" t="n"/>
      <c r="O1" s="47" t="n"/>
      <c r="P1" s="47" t="n"/>
      <c r="Q1" s="47" t="n"/>
      <c r="R1" s="47" t="n"/>
    </row>
    <row r="2">
      <c r="A2" s="51" t="n"/>
      <c r="B2" s="51" t="n"/>
      <c r="C2" s="31" t="n"/>
      <c r="D2" s="31" t="n"/>
      <c r="E2" s="32" t="n"/>
      <c r="F2" s="32" t="n"/>
      <c r="G2" s="31" t="n"/>
      <c r="H2" s="47" t="n"/>
      <c r="I2" s="47" t="n"/>
      <c r="J2" s="47" t="n"/>
      <c r="K2" s="47" t="n"/>
      <c r="L2" s="47" t="n"/>
      <c r="M2" s="47" t="n"/>
      <c r="N2" s="47" t="n"/>
      <c r="O2" s="47" t="n"/>
      <c r="P2" s="47" t="n"/>
      <c r="Q2" s="47" t="n"/>
      <c r="R2" s="47" t="n"/>
    </row>
    <row r="3">
      <c r="A3" s="1" t="inlineStr">
        <is>
          <t>No</t>
        </is>
      </c>
      <c r="B3" s="1" t="inlineStr">
        <is>
          <t>Title</t>
        </is>
      </c>
      <c r="C3" s="2" t="inlineStr">
        <is>
          <t>URL</t>
        </is>
      </c>
      <c r="D3" s="2" t="inlineStr">
        <is>
          <t>Query</t>
        </is>
      </c>
      <c r="E3" s="33" t="inlineStr">
        <is>
          <t>Clicks</t>
        </is>
      </c>
      <c r="F3" s="33" t="inlineStr">
        <is>
          <t>Position</t>
        </is>
      </c>
      <c r="G3" s="2" t="inlineStr">
        <is>
          <t>FAQ有無</t>
        </is>
      </c>
      <c r="H3" s="2" t="inlineStr">
        <is>
          <t>FAQ追加可否</t>
        </is>
      </c>
      <c r="I3" s="2" t="inlineStr">
        <is>
          <t>FAQ案</t>
        </is>
      </c>
      <c r="J3" s="34" t="inlineStr">
        <is>
          <t>メモ</t>
        </is>
      </c>
      <c r="K3" s="34" t="inlineStr">
        <is>
          <t>コンプラチェック</t>
        </is>
      </c>
      <c r="L3" s="34" t="inlineStr">
        <is>
          <t>管理部チェック</t>
        </is>
      </c>
      <c r="M3" s="34" t="inlineStr">
        <is>
          <t>実装ステータス</t>
        </is>
      </c>
      <c r="N3" s="47" t="inlineStr">
        <is>
          <t>クリニックかどうか</t>
        </is>
      </c>
      <c r="O3" s="47" t="n"/>
      <c r="P3" s="47" t="n"/>
      <c r="Q3" s="47" t="n"/>
      <c r="R3" s="47" t="n"/>
    </row>
    <row r="4" ht="15.75" customHeight="1" s="185">
      <c r="A4" s="52">
        <f>row()-3</f>
        <v/>
      </c>
      <c r="B4" s="46" t="inlineStr">
        <is>
          <t>協賛とは？主催、後援、協力、スポンサーとの違いやメリットも解説</t>
        </is>
      </c>
      <c r="C4" s="6" t="inlineStr">
        <is>
          <t>https://dym.asia/media/sponsor-about/</t>
        </is>
      </c>
      <c r="D4" s="47" t="inlineStr">
        <is>
          <t>協賛とは</t>
        </is>
      </c>
      <c r="E4" s="35" t="n">
        <v>923</v>
      </c>
      <c r="F4" s="36" t="n">
        <v>2.985364506627393</v>
      </c>
      <c r="G4" s="47" t="inlineStr">
        <is>
          <t>なし</t>
        </is>
      </c>
      <c r="H4" s="47" t="inlineStr">
        <is>
          <t>可</t>
        </is>
      </c>
      <c r="I4" s="37" t="inlineStr">
        <is>
          <t>Q. 「協賛」と「スポンサー」、「後援」の違いは何ですか？
A. 「協賛」は、イベントの趣旨に共感して、資金や物品を提供しながらお互いにメリットを得ようとする関係です。一方で「スポンサー」は、広告や宣伝など、より直接的な商業効果を目的とするケースが多いのが特徴です。
「後援」は主に自治体や公的機関が名義の使用を認めることで、イベントの信頼性や社会的な位置づけを高める支援を指します。資金提供を伴わないことも少なくありません。
Q. 企業がイベントに協賛するメリットはどのようなものですか？
A. 大きなメリットとしては、認知度が上がること、新しい顧客と出会えること、そして企業イメージの向上が挙げられます。イベントやメディアを通じて露出が増えることで、企業やサービスを知ってもらうきっかけになりますし、ターゲット層が集まるイベントを選べば、無駄のないアプローチも可能です。
また、社会的意義のある活動を支援することは、企業の姿勢や価値観を伝えることにもつながります。
Q. 協賛活動にデメリットやリスクはありますか？
A. 効果がすぐに数字として見えにくい点は、デメリットの一つです。また、イベントの参加者と自社の商品やサービスのターゲットが合っていないと、思ったほどの成果が出ないこともあります。
そのため、協賛する際は「何を目的にするのか」「どんな層に届けたいのか」を整理したうえで、イベントを選ぶことが大切です。</t>
        </is>
      </c>
      <c r="J4" s="47" t="n"/>
      <c r="K4" s="47" t="inlineStr">
        <is>
          <t>修正済</t>
        </is>
      </c>
      <c r="L4" s="47" t="inlineStr">
        <is>
          <t>未確認</t>
        </is>
      </c>
      <c r="M4" s="47" t="inlineStr">
        <is>
          <t>完了</t>
        </is>
      </c>
      <c r="N4" s="47" t="inlineStr">
        <is>
          <t>クリニック以外</t>
        </is>
      </c>
      <c r="O4" s="47" t="n"/>
      <c r="P4" s="47" t="n"/>
      <c r="Q4" s="47" t="n"/>
      <c r="R4" s="47" t="n"/>
    </row>
    <row r="5" ht="15.75" customHeight="1" s="185">
      <c r="A5" s="52">
        <f>row()-3</f>
        <v/>
      </c>
      <c r="B5" s="46" t="inlineStr">
        <is>
          <t>健康診断でAST、ALT、γ-GTPが高い…｜20代でも肝機能異常になる</t>
        </is>
      </c>
      <c r="C5" s="6" t="inlineStr">
        <is>
          <t>https://dym.asia/media/health-check-liver-20s/</t>
        </is>
      </c>
      <c r="D5" s="47" t="inlineStr">
        <is>
          <t>健康診断 肝臓 ひっかかる 20代</t>
        </is>
      </c>
      <c r="E5" s="35" t="n">
        <v>322</v>
      </c>
      <c r="F5" s="36" t="n">
        <v>3.755849809541085</v>
      </c>
      <c r="G5" s="47" t="inlineStr">
        <is>
          <t>なし</t>
        </is>
      </c>
      <c r="H5" s="47" t="inlineStr">
        <is>
          <t>可</t>
        </is>
      </c>
      <c r="I5" s="47" t="inlineStr">
        <is>
          <t>Q: 健康診断で肝機能の数値（AST, ALT, γ-GTP）が高かった場合、すぐに病院に行くべきですか？
A: 基準値を少し超えている程度で、特に体調に変化がなければ、まずは食事やお酒など生活習慣を見直し、次回の検査で様子を見るケースも少なくありません。ただし、ASTやALTが300以上、γ-GTPが1,000以上といったように数値が大きく外れている場合や、短期間で急に上がっている場合は注意が必要です。だるさが続く、皮膚や白目が黄色くなるなどの症状があるときも、重い肝機能障害が隠れている可能性があります。こうした場合は、早めに医療機関を受診し、詳しい検査を受けることが大切です。
Q: 肝機能の数値改善のために、アルコール以外で特に気をつけるべき食生活のポイントは何ですか？
A: 肝機能異常の原因として非アルコール性脂肪性肝疾患（NAFLD）が増加しています。アルコールを飲まない方でも、糖質や脂質の過剰摂取を控えることが重要です。具体的には、果糖を多く含む清涼飲料水や甘いものの摂取を減らし、揚げ物や肉の脂身などの高脂肪食を避け、野菜やきのこ、海藻類を積極的に摂るように心がけましょう。バランスの取れた食事が肝臓への負担を減らすことに繋がります。
Q: 肝臓は「沈黙の臓器」と言われますが、肝機能異常がかなり進行した場合でも自覚症状は全くないのでしょうか？
A: 初期段階では自覚症状が現れにくいのが特徴ですが、肝機能障害が進行すると症状が現れてきます。具体的には、全身の倦怠感や疲れやすさ、食欲不振、そして皮膚や白目が黄色くなる黄疸（おうだん）などです。これらの症状が現れた時点では、肝硬変や肝臓がんなどの重篤な状態に移行しているリスクが高いため、「沈黙の臓器」だからと過信せず、定期的な健康診断での早期発見・早期対応が最も重要です。</t>
        </is>
      </c>
      <c r="J5" s="47" t="n"/>
      <c r="K5" s="47" t="inlineStr">
        <is>
          <t>対応不要</t>
        </is>
      </c>
      <c r="L5" s="47" t="inlineStr">
        <is>
          <t>対応不要</t>
        </is>
      </c>
      <c r="M5" s="47" t="inlineStr">
        <is>
          <t>対応不要</t>
        </is>
      </c>
      <c r="N5" s="47" t="inlineStr">
        <is>
          <t>クリニック以外</t>
        </is>
      </c>
      <c r="O5" s="47" t="n"/>
      <c r="P5" s="47" t="n"/>
      <c r="Q5" s="47" t="n"/>
      <c r="R5" s="47" t="n"/>
    </row>
    <row r="6" ht="15.75" customHeight="1" s="185">
      <c r="A6" s="52">
        <f>row()-3</f>
        <v/>
      </c>
      <c r="B6" s="46" t="inlineStr">
        <is>
          <t>病気不安症の健康診断ストレス</t>
        </is>
      </c>
      <c r="C6" s="10" t="inlineStr">
        <is>
          <t>https://dym.asia/media/health-check-worry-stress/</t>
        </is>
      </c>
      <c r="D6" s="47" t="inlineStr">
        <is>
          <t>健康診断がストレスになる</t>
        </is>
      </c>
      <c r="E6" s="35" t="n">
        <v>311</v>
      </c>
      <c r="F6" s="36" t="n">
        <v>1.492760858711932</v>
      </c>
      <c r="G6" s="47" t="inlineStr">
        <is>
          <t>あり</t>
        </is>
      </c>
      <c r="H6" s="47" t="inlineStr">
        <is>
          <t>既存</t>
        </is>
      </c>
      <c r="I6" s="47" t="inlineStr">
        <is>
          <t>対応不要</t>
        </is>
      </c>
      <c r="J6" s="47" t="n"/>
      <c r="K6" s="47" t="inlineStr">
        <is>
          <t>対応不要</t>
        </is>
      </c>
      <c r="L6" s="47" t="inlineStr">
        <is>
          <t>対応不要</t>
        </is>
      </c>
      <c r="M6" s="47" t="inlineStr">
        <is>
          <t>対応不要</t>
        </is>
      </c>
      <c r="N6" s="47" t="inlineStr">
        <is>
          <t>クリニック以外</t>
        </is>
      </c>
      <c r="O6" s="47" t="n"/>
      <c r="P6" s="47" t="n"/>
      <c r="Q6" s="47" t="n"/>
      <c r="R6" s="47" t="n"/>
    </row>
    <row r="7" ht="15.75" customHeight="1" s="185">
      <c r="A7" s="52">
        <f>row()-3</f>
        <v/>
      </c>
      <c r="B7" s="46" t="inlineStr">
        <is>
          <t>有給休暇日数は何日？雇用形態別の日数や付与ルール・注意点を解説</t>
        </is>
      </c>
      <c r="C7" s="10" t="inlineStr">
        <is>
          <t>https://dym.asia/media/the-number-of-paid/</t>
        </is>
      </c>
      <c r="D7" s="47" t="inlineStr">
        <is>
          <t>有給日数 会社によって違う</t>
        </is>
      </c>
      <c r="E7" s="35" t="n">
        <v>297</v>
      </c>
      <c r="F7" s="36" t="n">
        <v>3.334362040698235</v>
      </c>
      <c r="G7" s="47" t="inlineStr">
        <is>
          <t>あり</t>
        </is>
      </c>
      <c r="H7" s="47" t="inlineStr">
        <is>
          <t>既存</t>
        </is>
      </c>
      <c r="I7" s="47" t="inlineStr">
        <is>
          <t>対応不要</t>
        </is>
      </c>
      <c r="J7" s="47" t="n"/>
      <c r="K7" s="47" t="inlineStr">
        <is>
          <t>対応不要</t>
        </is>
      </c>
      <c r="L7" s="47" t="inlineStr">
        <is>
          <t>対応不要</t>
        </is>
      </c>
      <c r="M7" s="47" t="inlineStr">
        <is>
          <t>対応不要</t>
        </is>
      </c>
      <c r="N7" s="47" t="inlineStr">
        <is>
          <t>クリニック以外</t>
        </is>
      </c>
      <c r="O7" s="47" t="n"/>
      <c r="P7" s="47" t="n"/>
      <c r="Q7" s="47" t="n"/>
      <c r="R7" s="47" t="n"/>
    </row>
    <row r="8" ht="15.75" customHeight="1" s="185">
      <c r="A8" s="52">
        <f>row()-3</f>
        <v/>
      </c>
      <c r="B8" s="46" t="inlineStr">
        <is>
          <t>年末調整はいつまで？提出期限と対応方法</t>
        </is>
      </c>
      <c r="C8" s="6" t="inlineStr">
        <is>
          <t>https://dym.asia/media/end-of-year-tax-adjustments-until/</t>
        </is>
      </c>
      <c r="D8" s="47" t="inlineStr">
        <is>
          <t>年末調整 いつまで</t>
        </is>
      </c>
      <c r="E8" s="35" t="n">
        <v>209</v>
      </c>
      <c r="F8" s="36" t="n">
        <v>6.631189275037369</v>
      </c>
      <c r="G8" s="47" t="inlineStr">
        <is>
          <t>なし</t>
        </is>
      </c>
      <c r="H8" s="47" t="inlineStr">
        <is>
          <t>可</t>
        </is>
      </c>
      <c r="I8" s="47" t="inlineStr">
        <is>
          <t>Q: 年末調整の書類を提出しないまま年を越してしまった場合、どうすればよいですか？
A: 年末調整の書類を提出せず年を越してしまった場合、会社での年末調整は受けられません。その場合でも税金の精算ができなくなるわけではなく、翌年に自分で確定申告を行うことで、生命保険料控除や扶養控除などの各種控除を適用し、払い過ぎた税金の還付を受けることが可能です。
Q: 年末調整の提出期限は法律で決まっているのですか？
A: 年末調整そのものは法律で定められた制度ですが、従業員が会社へ書類を提出する具体的な期限日は、各企業が業務スケジュールに合わせて設定しています。ただし、会社は年末調整を年内に完了し、法定期限までに税務署へ書類を提出する義務があるため、実務上は期限厳守が求められます。
Q: 年末調整で申告漏れがあった場合、後から修正することはできますか？
A: 年末調整が完了した後に控除の申告漏れに気づいた場合、原則として会社での再調整はできません。その場合は、翌年の確定申告で正しい内容を申告することで修正が可能です。確定申告を行えば、申告漏れとなっていた控除分の税金が還付されるケースもあります。</t>
        </is>
      </c>
      <c r="J8" s="47" t="n"/>
      <c r="K8" s="47" t="inlineStr">
        <is>
          <t>修正済</t>
        </is>
      </c>
      <c r="L8" s="47" t="inlineStr">
        <is>
          <t>未確認</t>
        </is>
      </c>
      <c r="M8" s="47" t="inlineStr">
        <is>
          <t>完了</t>
        </is>
      </c>
      <c r="N8" s="47" t="inlineStr">
        <is>
          <t>クリニック以外</t>
        </is>
      </c>
      <c r="O8" s="47" t="n"/>
      <c r="P8" s="47" t="n"/>
      <c r="Q8" s="47" t="n"/>
      <c r="R8" s="47" t="n"/>
    </row>
    <row r="9" ht="15.75" customHeight="1" s="185">
      <c r="A9" s="52">
        <f>row()-3</f>
        <v/>
      </c>
      <c r="B9" s="46" t="inlineStr">
        <is>
          <t>健康診断の検便で何がわかる？採便方法やよくある疑問を解説</t>
        </is>
      </c>
      <c r="C9" s="6" t="inlineStr">
        <is>
          <t>https://dym.asia/media/health-check-stool-test/</t>
        </is>
      </c>
      <c r="D9" s="47" t="inlineStr">
        <is>
          <t>検便でわかること</t>
        </is>
      </c>
      <c r="E9" s="35" t="n">
        <v>203</v>
      </c>
      <c r="F9" s="36" t="n">
        <v>2.800030275507114</v>
      </c>
      <c r="G9" s="47" t="inlineStr">
        <is>
          <t>あり</t>
        </is>
      </c>
      <c r="H9" s="47" t="inlineStr">
        <is>
          <t>既存</t>
        </is>
      </c>
      <c r="I9" s="47" t="inlineStr">
        <is>
          <t>対応不要</t>
        </is>
      </c>
      <c r="J9" s="47" t="n"/>
      <c r="K9" s="47" t="inlineStr">
        <is>
          <t>対応不要</t>
        </is>
      </c>
      <c r="L9" s="47" t="inlineStr">
        <is>
          <t>対応不要</t>
        </is>
      </c>
      <c r="M9" s="47" t="inlineStr">
        <is>
          <t>対応不要</t>
        </is>
      </c>
      <c r="N9" s="47" t="inlineStr">
        <is>
          <t>クリニック以外</t>
        </is>
      </c>
      <c r="O9" s="47" t="n"/>
      <c r="P9" s="47" t="n"/>
      <c r="Q9" s="47" t="n"/>
      <c r="R9" s="47" t="n"/>
    </row>
    <row r="10" ht="15.75" customHeight="1" s="185">
      <c r="A10" s="52">
        <f>row()-3</f>
        <v/>
      </c>
      <c r="B10" s="46" t="inlineStr">
        <is>
          <t>「indeed（インディード）」の意味とは？単語の使い方や例文、求人サイトとしての特徴も解説</t>
        </is>
      </c>
      <c r="C10" s="6" t="inlineStr">
        <is>
          <t>https://dym.asia/media/indeed-description/</t>
        </is>
      </c>
      <c r="D10" s="47" t="inlineStr">
        <is>
          <t>indeed 意味</t>
        </is>
      </c>
      <c r="E10" s="35" t="n">
        <v>174</v>
      </c>
      <c r="F10" s="36" t="n">
        <v>3.069182389937107</v>
      </c>
      <c r="G10" s="47" t="inlineStr">
        <is>
          <t>なし</t>
        </is>
      </c>
      <c r="H10" s="47" t="inlineStr">
        <is>
          <t>可</t>
        </is>
      </c>
      <c r="I10" s="10" t="inlineStr">
        <is>
          <t>Q: Indeedに求人情報を無料で掲載した場合、デメリットや注意点はありますか？
A: 無料で掲載する（オーガニック求人）場合、有料掲載（スポンサー求人）よりも表示順位が低くなり、求職者に見てもらいにくいというデメリットがあります。求人情報が多いため、特に人気の職種では埋もれやすいことに注意が必要です。また、無料掲載では詳細なデータ分析やターゲティング設定ができないため、多くの応募を集めたい場合や、採用を急ぐ場合は有料掲載の検討が必要になります。
Q: Indeedの「クローリング」とは具体的にどのような仕組みですか？
A: Indeedのクローリングとは、企業自身の採用サイトや他の求人サイトに掲載されている求人情報を、Indeedのシステムが自動で巡回（クローリング）して収集し、Indeedの検索結果に表示させる仕組みです。これにより、企業がIndeedに直接投稿しなくても、自社の採用ページが検索エンジンとして機能するIndeedに露出する機会が得られます。ただし、クローリングを適切に行うには、自社サイトの構造や記述がIndeedの掲載基準を満たしている必要があります。
Q: Indeedの広告費用である「クリック課金型（PPC）」の運用で、コストを抑えるにはどうすれば良いですか？
A: クリック課金型広告（PPC）でコストを抑えるには、ターゲットとなる求職者からのクリック単価を最適化することが重要です。具体的には、求人タイトルや原稿を改善して、ミスマッチな求職者からの無駄なクリックを減らすこと、1日の予算上限を設定し、予算オーバーを防ぐこと、そしてキーワードの入札単価を慎重に調整することが挙げられます。また、クリック率が高い時間帯や曜日に重点的に広告を配信するなど、配信設定を細かく調整する運用代行サービスを利用するのも一つの手です。
Indeedの広告運用についてお悩みのご担当者は下記からお問い合わせください。
https://dym.asia/contact/</t>
        </is>
      </c>
      <c r="J10" s="47" t="n"/>
      <c r="K10" s="47" t="inlineStr">
        <is>
          <t>修正済</t>
        </is>
      </c>
      <c r="L10" s="47" t="inlineStr">
        <is>
          <t>未確認</t>
        </is>
      </c>
      <c r="M10" s="47" t="inlineStr">
        <is>
          <t>完了</t>
        </is>
      </c>
      <c r="N10" s="47" t="inlineStr">
        <is>
          <t>クリニック以外</t>
        </is>
      </c>
      <c r="O10" s="47" t="n"/>
      <c r="P10" s="47" t="n"/>
      <c r="Q10" s="47" t="n"/>
      <c r="R10" s="47" t="n"/>
    </row>
    <row r="11" ht="15.75" customHeight="1" s="185">
      <c r="A11" s="52">
        <f>row()-3</f>
        <v/>
      </c>
      <c r="B11" s="46" t="inlineStr">
        <is>
          <t>モーダルウィンドウとは？Webサイトでの使用例と実装方法</t>
        </is>
      </c>
      <c r="C11" s="6" t="inlineStr">
        <is>
          <t>https://dym.asia/media/modal-window/</t>
        </is>
      </c>
      <c r="D11" s="47" t="inlineStr">
        <is>
          <t>モーダルウィンドウ</t>
        </is>
      </c>
      <c r="E11" s="35" t="n">
        <v>90</v>
      </c>
      <c r="F11" s="36" t="n">
        <v>3.872690628149143</v>
      </c>
      <c r="G11" s="47" t="inlineStr">
        <is>
          <t>なし</t>
        </is>
      </c>
      <c r="H11" s="47" t="inlineStr">
        <is>
          <t>可</t>
        </is>
      </c>
      <c r="I11" s="47" t="inlineStr">
        <is>
          <t>Q: モーダルウィンドウとポップアップの一番大きな違いは何ですか？
A: 最も大きな違いは、ユーザーの画面操作を制限するかどうかです。モーダルウィンドウは表示中、背景のコンテンツ操作を制限し、ユーザーに特定の情報確認やアクション（例：ログイン、データ削除の確認）を強制します。一方、ポップアップ（ブラウザの別ウィンドウではなく、画面内に表示されるものも含む）は、背景のコンテンツを操作しながら閉じることができるなど、操作を完全に制限しないケースが多いです。
Q: モーダルウィンドウの表示が、WebサイトのSEO（検索順位）に悪影響を与えることはありますか？
A: 過度に頻繁、または閉じるのが難しいモーダルウィンドウは、ユーザー体験（UX）を大きく損ない、Googleなどの検索エンジンから低評価を受けるリスクがあります。特に、モバイル環境で画面全体を覆い隠してしまうインタースティシャル広告のようなモーダルは、ユーザーがコンテンツにアクセスするのを妨害するため、ランキングを下げる原因となる可能性があります。ただし、ログインフォームや「Cookie利用の同意」など、必須かつ適切なタイミングで表示されるモーダルは問題ありません。
Q: モーダルウィンドウの実装で、ユーザー操作をスムーズにするためのデザインのポイントを教えてください。
A: ユーザー操作をスムーズにするためには、モーダルウィンドウを閉じる方法を複数、明確に示すことが重要です。具体的には、ウィンドウの右上に「×」ボタンを配置する、背景のグレーアウトされた部分（オーバーレイ）をクリックすることで閉じられるようにする、そしてPCではEscキーを押して閉じられるように設定すると、ユーザーはストレスなく操作を完了できます。また、主要なアクションボタン（「登録」「確認」など）と「キャンセル」ボタンは視覚的に明確に区別し、誤操作を防ぐべきです。</t>
        </is>
      </c>
      <c r="J11" s="47" t="n"/>
      <c r="K11" s="47" t="inlineStr">
        <is>
          <t>OK</t>
        </is>
      </c>
      <c r="L11" s="47" t="inlineStr">
        <is>
          <t>未確認</t>
        </is>
      </c>
      <c r="M11" s="47" t="inlineStr">
        <is>
          <t>完了</t>
        </is>
      </c>
      <c r="N11" s="47" t="inlineStr">
        <is>
          <t>クリニック以外</t>
        </is>
      </c>
      <c r="O11" s="47" t="n"/>
      <c r="P11" s="47" t="n"/>
      <c r="Q11" s="47" t="n"/>
      <c r="R11" s="47" t="n"/>
    </row>
    <row r="12" ht="15.75" customHeight="1" s="185">
      <c r="A12" s="52">
        <f>row()-3</f>
        <v/>
      </c>
      <c r="B12" s="46" t="inlineStr">
        <is>
          <t>トレードオフとは？意味と身近な例、ビジネスでの使い方</t>
        </is>
      </c>
      <c r="C12" s="6" t="inlineStr">
        <is>
          <t>https://dym.asia/media/trade-off/</t>
        </is>
      </c>
      <c r="D12" s="47" t="inlineStr">
        <is>
          <t>トレードオフ</t>
        </is>
      </c>
      <c r="E12" s="35" t="n">
        <v>89</v>
      </c>
      <c r="F12" s="36" t="n">
        <v>3.139150996509402</v>
      </c>
      <c r="G12" s="47" t="inlineStr">
        <is>
          <t>なし</t>
        </is>
      </c>
      <c r="H12" s="47" t="inlineStr">
        <is>
          <t>可</t>
        </is>
      </c>
      <c r="I12" s="47" t="inlineStr">
        <is>
          <t>Q: ビジネスにおける「トレードオフ」を解消し、「Win-Win」の関係に近づけることは可能ですか？
A: はい、イノベーション（技術革新やビジネスモデルの変更）によってトレードオフを解消し、「Win-Win」の関係に近づけることは可能です。例えば、「品質と価格」のトレードオフは、生産技術の革新によるコスト削減や、サプライチェーンの効率化によって、高品質でありながら低価格を実現できる可能性があります。トレードオフは絶対的なものではなく、新たな発想やテクノロジーによってその制約を乗り越えることが、企業の重要な戦略となります。
Q: トレードオフの概念は、経済学ではどのように使われていますか？
A: 経済学においてトレードオフは、「機会費用（Opportunity Cost）」という概念と深く結びついています。機会費用とは、ある選択肢を選んだことで犠牲になった、次善の選択肢から得られるはずだった利益のことです。例えば、企業がA製品に投資することでB製品への投資を諦めた場合、B製品から得られたはずの利益がA製品への投資の機会費用となります。経済学では、このトレードオフを最小限に抑え、限られた資源を最適に配分することを目指します。
Q: トレードオフに直面したとき、ビジネスで最適な意思決定をするためのポイントは何ですか？
A: 最適な意思決定を行うためのポイントは、まずトレードオフの関係にある要素を明確に定義し、数値化することです。次に、それぞれの要素が企業や顧客にもたらすメリットとデメリットを具体的に比較します。その上で、企業が最も優先すべき目標（例：短期的な利益か、長期的なブランド価値か）を定め、「何を犠牲にするか」を意図的に選択することが重要です。全てを得ようとするのではなく、優先順位に基づいて最も効果的なバランス点を見つけ出すことが、トレードオフを乗り越える鍵となります。</t>
        </is>
      </c>
      <c r="J12" s="47" t="n"/>
      <c r="K12" s="47" t="inlineStr">
        <is>
          <t>OK</t>
        </is>
      </c>
      <c r="L12" s="47" t="inlineStr">
        <is>
          <t>未確認</t>
        </is>
      </c>
      <c r="M12" s="47" t="inlineStr">
        <is>
          <t>完了</t>
        </is>
      </c>
      <c r="N12" s="47" t="inlineStr">
        <is>
          <t>クリニック以外</t>
        </is>
      </c>
      <c r="O12" s="47" t="n"/>
      <c r="P12" s="47" t="n"/>
      <c r="Q12" s="47" t="n"/>
      <c r="R12" s="47" t="n"/>
    </row>
    <row r="13" ht="15.75" customHeight="1" s="185">
      <c r="A13" s="52">
        <f>row()-3</f>
        <v/>
      </c>
      <c r="B13" s="46" t="inlineStr">
        <is>
          <t>なぜ別荘が税金対策になるのか？節税の仕組みと方法、注意点を詳しく解説</t>
        </is>
      </c>
      <c r="C13" s="6" t="inlineStr">
        <is>
          <t>https://dym.asia/media/villa-tax-measures/</t>
        </is>
      </c>
      <c r="D13" s="47" t="inlineStr">
        <is>
          <t>別荘 税金対策</t>
        </is>
      </c>
      <c r="E13" s="35" t="n">
        <v>89</v>
      </c>
      <c r="F13" s="36" t="n">
        <v>1.038251366120219</v>
      </c>
      <c r="G13" s="47" t="inlineStr">
        <is>
          <t>なし</t>
        </is>
      </c>
      <c r="H13" s="47" t="inlineStr">
        <is>
          <t>可</t>
        </is>
      </c>
      <c r="I13" s="47" t="inlineStr">
        <is>
          <t>Q: 別荘を税金対策として活用する場合、経費計上で注意すべきポイントは何ですか？
A: 別荘に関する支出を経費として計上するには、その利用実態が事業とどのように関連しているかを客観的に説明できることが重要です。事業に関連する利用と私的利用（家事費）を明確に区分し、事業利用の合理的な割合に基づいて、減価償却費や固定資産税、維持管理費などを按分して計上する必要があります。利用実態や記録が不十分な場合や、私的利用が主と判断される場合には、税務調査において経費として否認される可能性があります。
Q: 別荘を売却して損失が出た場合、損益通算は可能ですか？
A: 一般的に、個人が保有する別荘を売却して生じた譲渡損失については、他の所得（給与所得や事業所得など）との損益通算は認められないケースが多いとされています。これは、別荘が「生活に通常必要とされる資産」に該当しないと判断されることが多いためです。ただし、保有目的や利用状況、事業との関連性によって取り扱いが異なる可能性もあるため、実際の判断については税理士など専門家への確認が望まれます。
Q: 別荘を購入・保有することで、毎年発生する税金にはどのようなものがありますか？
A: 別荘を保有している場合、毎年課税される税金としては、主に固定資産税や都市計画税が挙げられます。固定資産税は、毎年1月1日時点の所有者に対して課税され、固定資産税評価額を基に税額が算出されます。都市計画税は、市街化区域内に所在する不動産に対して課税される税金です。これらの税金の取り扱いや課税有無は自治体や物件の条件によって異なるため、具体的な税額や判断については事前に専門家へ相談することが重要です。</t>
        </is>
      </c>
      <c r="J13" s="47" t="n"/>
      <c r="K13" s="47" t="inlineStr">
        <is>
          <t>修正済</t>
        </is>
      </c>
      <c r="L13" s="47" t="inlineStr">
        <is>
          <t>未確認</t>
        </is>
      </c>
      <c r="M13" s="47" t="inlineStr">
        <is>
          <t>完了</t>
        </is>
      </c>
      <c r="N13" s="47" t="inlineStr">
        <is>
          <t>クリニック以外</t>
        </is>
      </c>
      <c r="O13" s="47" t="n"/>
      <c r="P13" s="47" t="n"/>
      <c r="Q13" s="47" t="n"/>
      <c r="R13" s="47" t="n"/>
    </row>
    <row r="14" ht="15.75" customHeight="1" s="185">
      <c r="A14" s="52">
        <f>row()-3</f>
        <v/>
      </c>
      <c r="B14" s="46" t="inlineStr">
        <is>
          <t>パーソナリティとは？採用における重要性や見極め方のポイントを解説</t>
        </is>
      </c>
      <c r="C14" s="6" t="inlineStr">
        <is>
          <t>https://dym.asia/media/personality/</t>
        </is>
      </c>
      <c r="D14" s="47" t="inlineStr">
        <is>
          <t>パーソナリティとは</t>
        </is>
      </c>
      <c r="E14" s="35" t="n">
        <v>84</v>
      </c>
      <c r="F14" s="36" t="n">
        <v>3.982268893096919</v>
      </c>
      <c r="G14" s="47" t="inlineStr">
        <is>
          <t>なし</t>
        </is>
      </c>
      <c r="H14" s="47" t="inlineStr">
        <is>
          <t>可</t>
        </is>
      </c>
      <c r="I14" s="47" t="inlineStr">
        <is>
          <t>Q: パーソナリティ診断は採用試験で必須ですか？また、どの段階で活用するのが最も効果的ですか？
A: パーソナリティ診断は必須ではありませんが、企業文化との適合性（カルチャーフィット）や入社後の早期離職リスクを予測するために有効なツールです。最も効果的な活用段階は、選考の初期段階（書類選考後や一次面接前）です。これにより、応募者の基本的な特性を把握し、面接で掘り下げるべき質問を絞り込むことができ、採用プロセスの効率化と面接の質の向上につながります。
Q: ビッグファイブ理論の「誠実性」が高い人は、どのような職種や役割に適性がありますか？
A: 「誠実性」が高い人（責任感が強く、計画的、勤勉な特性を持つ人）は、細部にわたる正確性が求められる職種や、長期的な目標達成に向けた継続的な努力が必要な役割に適性があります。具体的には、経理、研究開発、品質管理、プロジェクトマネジメントなどです。高い誠実性は、ルール遵守や期限厳守を重視するため、組織的な信頼性が求められる業務で特に力を発揮します。
Q: パーソナリティは、入社後の経験や環境によって変化するのでしょうか？
A: パーソナリティは、生まれつきの「キャラクター（深層的な性質）」に比べ、「環境や経験によって形作られる可塑的な側面」であるとされています。そのため、入社後の配属部署や上司との関係、経験するプロジェクトなどによって、振る舞いや思考パターンは変化し、特定の特性が強化されたり抑制されたりします。特に「情緒安定性」や「協調性」は環境からの影響を受けやすいとされており、企業は育成支援や配置転換を通してパーソナリティの成長を促すことが可能です。</t>
        </is>
      </c>
      <c r="J14" s="47" t="n"/>
      <c r="K14" s="47" t="inlineStr">
        <is>
          <t>OK</t>
        </is>
      </c>
      <c r="L14" s="47" t="inlineStr">
        <is>
          <t>未確認</t>
        </is>
      </c>
      <c r="M14" s="47" t="inlineStr">
        <is>
          <t>完了</t>
        </is>
      </c>
      <c r="N14" s="47" t="inlineStr">
        <is>
          <t>クリニック以外</t>
        </is>
      </c>
      <c r="O14" s="47" t="n"/>
      <c r="P14" s="47" t="n"/>
      <c r="Q14" s="47" t="n"/>
      <c r="R14" s="47" t="n"/>
    </row>
    <row r="15" ht="15.75" customHeight="1" s="185">
      <c r="A15" s="52">
        <f>row()-3</f>
        <v/>
      </c>
      <c r="B15" s="46" t="inlineStr">
        <is>
          <t>【アフィリエイトの始め方】初心者におすすめのやり方と稼ぎ方</t>
        </is>
      </c>
      <c r="C15" s="6" t="inlineStr">
        <is>
          <t>https://dym.asia/media/affiliate-how-to-start/</t>
        </is>
      </c>
      <c r="D15" s="47" t="inlineStr">
        <is>
          <t>アフィリエイト 始め方</t>
        </is>
      </c>
      <c r="E15" s="35" t="n">
        <v>76</v>
      </c>
      <c r="F15" s="36" t="n">
        <v>5.663225510438174</v>
      </c>
      <c r="G15" s="47" t="inlineStr">
        <is>
          <t>あり</t>
        </is>
      </c>
      <c r="H15" s="47" t="inlineStr">
        <is>
          <t>既存</t>
        </is>
      </c>
      <c r="I15" s="47" t="inlineStr">
        <is>
          <t>対応不要</t>
        </is>
      </c>
      <c r="J15" s="47" t="n"/>
      <c r="K15" s="47" t="inlineStr">
        <is>
          <t>対応不要</t>
        </is>
      </c>
      <c r="L15" s="47" t="inlineStr">
        <is>
          <t>対応不要</t>
        </is>
      </c>
      <c r="M15" s="47" t="inlineStr">
        <is>
          <t>対応不要</t>
        </is>
      </c>
      <c r="N15" s="47" t="inlineStr">
        <is>
          <t>クリニック以外</t>
        </is>
      </c>
      <c r="O15" s="47" t="n"/>
      <c r="P15" s="47" t="n"/>
      <c r="Q15" s="47" t="n"/>
      <c r="R15" s="47" t="n"/>
    </row>
    <row r="16" ht="15.75" customHeight="1" s="185">
      <c r="A16" s="52">
        <f>row()-3</f>
        <v/>
      </c>
      <c r="B16" s="46" t="inlineStr">
        <is>
          <t>ファビコンとは？設定するメリット、設定方法、表示されないときの対処などを解説</t>
        </is>
      </c>
      <c r="C16" s="6" t="inlineStr">
        <is>
          <t>https://dym.asia/media/favicon/</t>
        </is>
      </c>
      <c r="D16" s="47" t="inlineStr">
        <is>
          <t>ファビコン</t>
        </is>
      </c>
      <c r="E16" s="35" t="n">
        <v>75</v>
      </c>
      <c r="F16" s="36" t="n">
        <v>6.412740695638938</v>
      </c>
      <c r="G16" s="47" t="inlineStr">
        <is>
          <t>なし</t>
        </is>
      </c>
      <c r="H16" s="47" t="inlineStr">
        <is>
          <t>可</t>
        </is>
      </c>
      <c r="I16" s="10" t="inlineStr">
        <is>
          <t>Q: ファビコンはWebサイトのSEO（検索順位）に直接影響しますか？
A: ファビコン自体が検索順位を決定する直接的な要因になることはありません。しかし、Googleなどの検索結果画面に表示されるため、ユーザーがサイトを視覚的に識別しやすくなり、クリック率（CTR）の向上に寄与します。結果として、CTRの向上は間接的に検索順位に良い影響を与える可能性があります。また、ブックマークからの再訪問率を高めるなど、ユーザー体験（UX）向上の面でも重要です。
Q: ファビコンがブラウザのタブや検索結果に表示されない場合、最も可能性の高い原因は何ですか？
A: ファビコンが表示されない最も可能性の高い原因は、主に3つ考えられます。1つ目は、ブラウザのキャッシュデータが残っていることです（Ctrl+F5などでスーパーリロードを試す）。2つ目は、HTMLの&lt;head&gt;タグ内の画像ファイルのパス（URL）が間違っていることです。3つ目は、使用している画像ファイルの形式（.ico, .pngなど）やサイズ（16x16, 32x32など）が適切でないことです。特に古いブラウザ対応の場合は、依然として.ico形式が推奨される場合があります。
Q: ファビコンのデザインを考える上で、最も重要なポイントは何ですか？
A: ファビコンは非常に小さなサイズ（一般的に16x16ピクセル）で表示されるため、「シンプルさと高い視認性」が最も重要です。複雑な文字や細かすぎるデザインは潰れて判別不能になるため避け、自社のロゴマークのシンボル部分、ブランドイメージカラー、またはシンプルなイニシャルや図形に絞り込むべきです。複数のタブが開いている状況でも、ユーザーが一目で自社サイトだと認識できるデザインを目指しましょう。
ぜひご相談ください。お問い合わせ先はこちら↓
https://dym.asia/contact/</t>
        </is>
      </c>
      <c r="J16" s="47" t="n"/>
      <c r="K16" s="47" t="inlineStr">
        <is>
          <t>OK</t>
        </is>
      </c>
      <c r="L16" s="47" t="inlineStr">
        <is>
          <t>未確認</t>
        </is>
      </c>
      <c r="M16" s="47" t="inlineStr">
        <is>
          <t>完了</t>
        </is>
      </c>
      <c r="N16" s="47" t="inlineStr">
        <is>
          <t>クリニック以外</t>
        </is>
      </c>
      <c r="O16" s="47" t="n"/>
      <c r="P16" s="47" t="n"/>
      <c r="Q16" s="47" t="n"/>
      <c r="R16" s="47" t="n"/>
    </row>
    <row r="17" ht="15.75" customHeight="1" s="185">
      <c r="A17" s="52">
        <f>row()-3</f>
        <v/>
      </c>
      <c r="B17" s="46" t="inlineStr">
        <is>
          <t>「.htaccess」とは？書き方とファイルの場所を解説</t>
        </is>
      </c>
      <c r="C17" s="6" t="inlineStr">
        <is>
          <t>https://dym.asia/media/htaccess/</t>
        </is>
      </c>
      <c r="D17" s="47" t="inlineStr">
        <is>
          <t>.htaccess 場所</t>
        </is>
      </c>
      <c r="E17" s="35" t="n">
        <v>74</v>
      </c>
      <c r="F17" s="36" t="n">
        <v>2.257606490872211</v>
      </c>
      <c r="G17" s="47" t="inlineStr">
        <is>
          <t>なし</t>
        </is>
      </c>
      <c r="H17" s="47" t="inlineStr">
        <is>
          <t>可</t>
        </is>
      </c>
      <c r="I17" s="47" t="inlineStr">
        <is>
          <t>Q: .htaccessファイルを誤って記述してしまった場合、Webサイトにどのような影響が出ますか？
A: .htaccessファイルはサーバーの動作を制御する非常に強力なファイルであるため、記述を誤るとWebサイト全体に深刻な影響が出ます。最も多いのは、「500 Internal Server Error」（サーバー内部エラー）が表示され、サイト全体または一部のページが完全に閲覧できなくなることです。特にリダイレクトやURL書き換えの記述ミスは、無限ループを引き起こし、サーバーに大きな負荷をかける原因になります。
Q: .htaccessファイルで設定するリダイレクト（301と302）は、SEOの観点からどのように使い分けるべきですか？
A: SEOの観点からは、URLの恒久的な変更には必ず「301リダイレクト」を使用すべきです。301は「完全に移転した」ことを検索エンジンに伝え、旧URLが持っていた評価（PageRankなど）を新しいURLへ引き継ぐことができます。一方、「302リダイレクト」は一時的な変更やテスト（A/Bテストなど）のために使い、評価は引き継がれないとされています。サイト構造の変更やURL正規化を行う際は、301を正しく使用することが重要です。
Q: URLの正規化を.htaccessで行うメリットは何ですか？
A: URLの正規化を.htaccessで行う最大のメリットは、重複コンテンツによるSEO評価の分散を防ぐことです。Webサイトには、「http://example.com」と「http://www.example.com」のように、内容が同じでも複数のURLが存在しがちです。.htaccessで代表的なURLへ301リダイレクトを設定することで、検索エンジンに対して「このページはこれに統一されている」と確実に伝え、評価を一つに集中させ、クローラビリティを向上させることができます。</t>
        </is>
      </c>
      <c r="J17" s="47" t="n"/>
      <c r="K17" s="47" t="inlineStr">
        <is>
          <t>OK</t>
        </is>
      </c>
      <c r="L17" s="47" t="inlineStr">
        <is>
          <t>未確認</t>
        </is>
      </c>
      <c r="M17" s="47" t="inlineStr">
        <is>
          <t>完了</t>
        </is>
      </c>
      <c r="N17" s="47" t="inlineStr">
        <is>
          <t>クリニック以外</t>
        </is>
      </c>
      <c r="O17" s="47" t="n"/>
      <c r="P17" s="47" t="n"/>
      <c r="Q17" s="47" t="n"/>
      <c r="R17" s="47" t="n"/>
    </row>
    <row r="18" ht="15.75" customHeight="1" s="185">
      <c r="A18" s="52">
        <f>row()-3</f>
        <v/>
      </c>
      <c r="B18" s="46" t="inlineStr">
        <is>
          <t>顧問名鑑とは？料金、活用シーンをチェック</t>
        </is>
      </c>
      <c r="C18" s="10" t="inlineStr">
        <is>
          <t>https://dym.asia/media/advisors-directory/</t>
        </is>
      </c>
      <c r="D18" s="47" t="inlineStr">
        <is>
          <t>顧問名鑑</t>
        </is>
      </c>
      <c r="E18" s="35" t="n">
        <v>64</v>
      </c>
      <c r="F18" s="36" t="n">
        <v>8.141291704928069</v>
      </c>
      <c r="G18" s="47" t="inlineStr">
        <is>
          <t>なし</t>
        </is>
      </c>
      <c r="H18" s="47" t="inlineStr">
        <is>
          <t>可</t>
        </is>
      </c>
      <c r="I18" s="10" t="inlineStr">
        <is>
          <t>Q: 『顧問名鑑』に登録されているエグゼパート人材の主な経歴や専門分野はどのようなものですか？
A: 『顧問名鑑』には、上場企業の取締役・役員経験者や部長クラスのマネジメント経験者など、豊富な実務経験とネットワークを持つエグゼパート人材が多数登録されています。専門分野は金融、製造、IT、サービスなど幅広く、新規事業立ち上げ、M&amp;A、海外事業展開、人事制度設計、マーケティング戦略など、高度な専門性が求められる領域での実績を持つ人材が多い点が特徴です。なお、登録者数は30,000名以上（※2024年時点・運営元公表情報）とされています。
Q: 顧問名鑑のサービスを利用する際、費用はいつから発生しますか？
A: 顧問名鑑では、サービスへの登録や専任コンサルタントとの初回ヒアリング、課題整理、エグゼパート人材の候補提案、面談の設定まで、費用は発生しません。実際に企業とエグゼパート人材の双方が合意し、契約が成立した段階から報酬が発生します。契約形態や報酬水準は、人材の経歴や関与内容によって異なり、月額契約やプロジェクト単位での活用など、柔軟な設計が可能とされています。
Q: 新規事業の立ち上げにおいて、エグゼパート人材はどこまで関与してくれますか？
A: 顧問名鑑に登録されているエグゼパート人材は、単なる助言にとどまらず、実務に近いレベルでの支援が期待できる点が特徴です。事業構想や戦略設計の壁打ちに加え、過去の経験や人脈を活かした事業推進のサポート、意思決定に対する助言など、企業の状況やニーズに応じた関与が可能です。具体的な関与範囲や役割については、事前のすり合わせを通じて柔軟に調整されます。
お問い合わせはこちら↓
https://dym.asia/contact/</t>
        </is>
      </c>
      <c r="J18" s="47" t="n"/>
      <c r="K18" s="47" t="inlineStr">
        <is>
          <t>修正済</t>
        </is>
      </c>
      <c r="L18" s="47" t="inlineStr">
        <is>
          <t>未確認</t>
        </is>
      </c>
      <c r="M18" s="47" t="inlineStr">
        <is>
          <t>完了</t>
        </is>
      </c>
      <c r="N18" s="47" t="inlineStr">
        <is>
          <t>クリニック以外</t>
        </is>
      </c>
      <c r="O18" s="47" t="n"/>
      <c r="P18" s="47" t="n"/>
      <c r="Q18" s="47" t="n"/>
      <c r="R18" s="47" t="n"/>
    </row>
    <row r="19" ht="15.75" customHeight="1" s="185">
      <c r="A19" s="52">
        <f>row()-3</f>
        <v/>
      </c>
      <c r="B19" s="46" t="inlineStr">
        <is>
          <t>スポンサー（協賛企業）になるメリットとは？デメリットや選び方まで徹底解説</t>
        </is>
      </c>
      <c r="C19" s="6" t="inlineStr">
        <is>
          <t>https://dym.asia/media/sponsor-merit/</t>
        </is>
      </c>
      <c r="D19" s="47" t="inlineStr">
        <is>
          <t>スポンサー メリット</t>
        </is>
      </c>
      <c r="E19" s="35" t="n">
        <v>61</v>
      </c>
      <c r="F19" s="36" t="n">
        <v>1.370486656200942</v>
      </c>
      <c r="G19" s="47" t="inlineStr">
        <is>
          <t>あり</t>
        </is>
      </c>
      <c r="H19" s="47" t="inlineStr">
        <is>
          <t>既存</t>
        </is>
      </c>
      <c r="I19" s="47" t="inlineStr">
        <is>
          <t>対応不要</t>
        </is>
      </c>
      <c r="J19" s="47" t="n"/>
      <c r="K19" s="47" t="inlineStr">
        <is>
          <t>対応不要</t>
        </is>
      </c>
      <c r="L19" s="47" t="inlineStr">
        <is>
          <t>対応不要</t>
        </is>
      </c>
      <c r="M19" s="47" t="inlineStr">
        <is>
          <t>対応不要</t>
        </is>
      </c>
      <c r="N19" s="47" t="inlineStr">
        <is>
          <t>クリニック以外</t>
        </is>
      </c>
      <c r="O19" s="47" t="n"/>
      <c r="P19" s="47" t="n"/>
      <c r="Q19" s="47" t="n"/>
      <c r="R19" s="47" t="n"/>
    </row>
    <row r="20" ht="15.75" customHeight="1" s="185">
      <c r="A20" s="52">
        <f>row()-3</f>
        <v/>
      </c>
      <c r="B20" s="46" t="inlineStr">
        <is>
          <t>東京のオフィス移転｜おすすめ業者20社を特徴で比較</t>
        </is>
      </c>
      <c r="C20" s="6" t="inlineStr">
        <is>
          <t>https://dym.asia/media/office-relocation-vendor/</t>
        </is>
      </c>
      <c r="D20" s="47" t="inlineStr">
        <is>
          <t>オフィス移転</t>
        </is>
      </c>
      <c r="E20" s="35" t="n">
        <v>55</v>
      </c>
      <c r="F20" s="36" t="n">
        <v>9.035286897821418</v>
      </c>
      <c r="G20" s="47" t="inlineStr">
        <is>
          <t>なし</t>
        </is>
      </c>
      <c r="H20" s="47" t="inlineStr">
        <is>
          <t>可</t>
        </is>
      </c>
      <c r="I20" s="47" t="inlineStr">
        <is>
          <t>Q: オフィス移転を専門業者に依頼する一番のメリットは何ですか？
A: オフィス移転を専門業者に依頼する最大のメリットは、業務を中断することなくスムーズかつ効率的な移転を実現できることです。専門業者は、運搬だけでなく、移転計画の立案、新オフィスのレイアウト設計、ITインフラ（配線・ネットワーク）の整備、そして旧オフィスの原状回復工事まで、複雑なプロセスをワンストップで対応できるノウハウを持っています。これにより、社員の負担が軽減され、移転後すぐに通常業務を再開できます。
Q: オフィス移転業者を選ぶ際、価格以外に特に重視すべきポイントは何ですか？
A: 価格以外では、特に「実績と専門性」と「運搬計画の立案能力」を重視すべきです。単なる引越し業者ではなく、オフィス移転に特化した専門業者を選ぶことで、複雑な配線工事や専門機器の取り扱いに関するノウハウが大切となります。また、オフィス家具や機密文書を効率的かつ安全に運ぶための綿密な運搬計画を立案できるかどうかは、移転当日のトラブル回避と業務早期再開に直結するため、非常に重要です。
Q: 小規模オフィスが移転を成功させるために、事前に準備しておくべきことは何ですか？
A: 移転を成功させるために最も重要な準備は、「移転の目的と移転先の条件を明確にする」ことと、「必要な設備と不要なものを整理する」ことです。単なる引越しではなく、「拡張」や「経費削減」など移転の目的を明確にすることで、最適な業者や移転先の選定基準が決まります。また、新しいオフィスのレイアウトを考慮し、不要な書類や古い什器を事前に処分することで、運搬コストを抑え、新オフィスでのスペース効率を最大限に高めることができます。</t>
        </is>
      </c>
      <c r="J20" s="47" t="n"/>
      <c r="K20" s="47" t="inlineStr">
        <is>
          <t>OK</t>
        </is>
      </c>
      <c r="L20" s="47" t="inlineStr">
        <is>
          <t>未確認</t>
        </is>
      </c>
      <c r="M20" s="47" t="inlineStr">
        <is>
          <t>完了</t>
        </is>
      </c>
      <c r="N20" s="47" t="inlineStr">
        <is>
          <t>クリニック以外</t>
        </is>
      </c>
      <c r="O20" s="47" t="n"/>
      <c r="P20" s="47" t="n"/>
      <c r="Q20" s="47" t="n"/>
      <c r="R20" s="47" t="n"/>
    </row>
    <row r="21" ht="15.75" customHeight="1" s="185">
      <c r="A21" s="52">
        <f>row()-3</f>
        <v/>
      </c>
      <c r="B21" s="46" t="inlineStr">
        <is>
          <t>内定通知書完全ガイド｜意味や書き方、法的効力まで解説【作成例付き】</t>
        </is>
      </c>
      <c r="C21" s="10" t="inlineStr">
        <is>
          <t>https://dym.asia/media/notice-of-offer/</t>
        </is>
      </c>
      <c r="D21" s="47" t="inlineStr">
        <is>
          <t>内定通知書</t>
        </is>
      </c>
      <c r="E21" s="35" t="n">
        <v>48</v>
      </c>
      <c r="F21" s="36" t="n">
        <v>7.239252890601838</v>
      </c>
      <c r="G21" s="47" t="inlineStr">
        <is>
          <t>あり</t>
        </is>
      </c>
      <c r="H21" s="47" t="inlineStr">
        <is>
          <t>既存</t>
        </is>
      </c>
      <c r="I21" s="47" t="inlineStr">
        <is>
          <t>対応不要</t>
        </is>
      </c>
      <c r="J21" s="47" t="n"/>
      <c r="K21" s="47" t="inlineStr">
        <is>
          <t>対応不要</t>
        </is>
      </c>
      <c r="L21" s="47" t="inlineStr">
        <is>
          <t>対応不要</t>
        </is>
      </c>
      <c r="M21" s="47" t="inlineStr">
        <is>
          <t>対応不要</t>
        </is>
      </c>
      <c r="N21" s="47" t="inlineStr">
        <is>
          <t>クリニック以外</t>
        </is>
      </c>
      <c r="O21" s="47" t="n"/>
      <c r="P21" s="47" t="n"/>
      <c r="Q21" s="47" t="n"/>
      <c r="R21" s="47" t="n"/>
    </row>
    <row r="22" ht="15.75" customHeight="1" s="185">
      <c r="A22" s="52">
        <f>row()-3</f>
        <v/>
      </c>
      <c r="B22" s="46" t="inlineStr">
        <is>
          <t>HTMLとは？基本や簡単なHTMLタグをわかりやすく解説</t>
        </is>
      </c>
      <c r="C22" s="6" t="inlineStr">
        <is>
          <t>https://dym.asia/media/html/</t>
        </is>
      </c>
      <c r="D22" s="47" t="inlineStr">
        <is>
          <t>html</t>
        </is>
      </c>
      <c r="E22" s="35" t="n">
        <v>46</v>
      </c>
      <c r="F22" s="36" t="n">
        <v>5.630109102751994</v>
      </c>
      <c r="G22" s="47" t="inlineStr">
        <is>
          <t>なし</t>
        </is>
      </c>
      <c r="H22" s="47" t="inlineStr">
        <is>
          <t>可</t>
        </is>
      </c>
      <c r="I22" s="10" t="inlineStr">
        <is>
          <t>Q: HTMLはプログラミング言語とどう違うのですか？
A: HTMLはプログラミング言語ではありません。HTMLはマークアップ言語（Markup Language）に分類され、ウェブページの「構造」や「意味」（テキスト、画像、リンクなどの要素）を定義するために使われます。一方、プログラミング言語（例：Python、Java、JavaScript）は、計算やデータ処理、条件分岐などの「ロジック」を実行し、コンピュータに特定の動作を指示するために使われます。
Q: HTMLの知識は、Webデザイナーやエンジニア以外の職種でも役立ちますか？
A: はい、非常に役立ちます。特にWebマーケター、コンテンツディレクター、広報担当者などの職種では、HTMLの知識が不可欠です。HTMLの構造（&lt;h1&gt;や&lt;p&gt;タグなど）を理解することで、SEOに強いコンテンツ作成や、CMS（WordPressなど）の簡単なトラブルシューティング、メルマガやLP（ランディングページ）の細かな修正をスムーズに行うことができ、業務の効率化につながります。
Q: 現在のウェブ開発で主流なHTMLの規格は何ですか？また、SEOへの影響はありますか？
A: 現在のウェブ開発で主流な規格は、HTML5の後継規格である「HTML Living Standard」です。この規格は、動画や音声に対応するマルチメディア機能の強化に加え、&lt;article&gt;や&lt;header&gt;などのセマンティックタグ（意味を持つタグ）の導入が特徴です。セマンティックタグを適切に使うと、検索エンジンがコンテンツの意味的な構造をより正確に理解できるようになるため、SEO効果を高める上で非常に重要です。
ぜひお問い合わせください。　
お問い合わせ先はこちら↓
https://dym.asia/contact/</t>
        </is>
      </c>
      <c r="J22" s="47" t="n"/>
      <c r="K22" s="47" t="inlineStr">
        <is>
          <t>OK</t>
        </is>
      </c>
      <c r="L22" s="47" t="inlineStr">
        <is>
          <t>未確認</t>
        </is>
      </c>
      <c r="M22" s="47" t="inlineStr">
        <is>
          <t>完了</t>
        </is>
      </c>
      <c r="N22" s="47" t="inlineStr">
        <is>
          <t>クリニック以外</t>
        </is>
      </c>
      <c r="O22" s="47" t="n"/>
      <c r="P22" s="47" t="n"/>
      <c r="Q22" s="47" t="n"/>
      <c r="R22" s="47" t="n"/>
    </row>
    <row r="23" ht="15.75" customHeight="1" s="185">
      <c r="A23" s="52">
        <f>row()-3</f>
        <v/>
      </c>
      <c r="B23" s="46" t="inlineStr">
        <is>
          <t>クエリとは？検索クエリの種類と活用法を徹底解説</t>
        </is>
      </c>
      <c r="C23" s="10" t="inlineStr">
        <is>
          <t>https://dym.asia/media/query/</t>
        </is>
      </c>
      <c r="D23" s="47" t="inlineStr">
        <is>
          <t>クエリ</t>
        </is>
      </c>
      <c r="E23" s="35" t="n">
        <v>46</v>
      </c>
      <c r="F23" s="36" t="n">
        <v>7.47487969201155</v>
      </c>
      <c r="G23" s="47" t="inlineStr">
        <is>
          <t>なし</t>
        </is>
      </c>
      <c r="H23" s="47" t="inlineStr">
        <is>
          <t>可</t>
        </is>
      </c>
      <c r="I23" s="10" t="inlineStr">
        <is>
          <t>Q: SEO対策において、検索クエリを「Know」「Do」「Go」「Buy」の4種類に分類するメリットは何ですか？
A: 検索クエリを4種類に分類する最大のメリットは、ユーザーの検索意図（インテント）を正確に把握し、それに応じた適切なコンテンツを作成できる点です。例えば、「Knowクエリ」には解説記事やFAQを、「Buyクエリ」には商品比較や購入ページを対応させることで、ユーザー満足度が向上し、サイト滞在時間の延長やコンバージョン率の向上につながり、結果的にSEO評価の改善が期待できます。
ぜひDYMにお問い合わせください。
お問い合わせ先はこちら↓
https://dym.asia/contact/
Q: 検索クエリとキーワードは、デジタルマーケティングにおいてどのように使い分けられるべきですか？
A: 検索クエリは、ユーザーが検索窓に実際に入力した「生の言葉」であり、ユーザーニーズの分析のために活用されます。一方、キーワードは、ウェブサイトのコンテンツ最適化やリスティング広告の配信のために「マーケターが選定・設定した語句」を指します。検索クエリの分析からユーザーの真のニーズを把握し、その結果を基に、SEOや広告戦略でターゲットとするキーワードを選定・調整するという使い分けが効果的です。
Q: データベースクエリ（SQLクエリなど）と検索クエリの違いは何ですか？
A: データベースクエリ（SQLクエリ）は、データベース管理システム（DBMS）に対して情報を取得、更新、削除するための「構造化された命令文」です。一方、検索クエリは、検索エンジンに対して情報を求める「ユーザーの入力語句」です。どちらも「問い合わせ」という意味を持ちますが、検索クエリが一般ユーザーの自然言語に近い情報要求であるのに対し、データベースクエリはシステムを操作するための専門的な命令言語である点で根本的に異なります。</t>
        </is>
      </c>
      <c r="J23" s="47" t="n"/>
      <c r="K23" s="47" t="inlineStr">
        <is>
          <t>OK</t>
        </is>
      </c>
      <c r="L23" s="47" t="inlineStr">
        <is>
          <t>未確認</t>
        </is>
      </c>
      <c r="M23" s="47" t="inlineStr">
        <is>
          <t>完了</t>
        </is>
      </c>
      <c r="N23" s="47" t="inlineStr">
        <is>
          <t>クリニック以外</t>
        </is>
      </c>
      <c r="O23" s="47" t="n"/>
      <c r="P23" s="47" t="n"/>
      <c r="Q23" s="47" t="n"/>
      <c r="R23" s="47" t="n"/>
    </row>
    <row r="24" ht="15.75" customHeight="1" s="185">
      <c r="A24" s="52">
        <f>row()-3</f>
        <v/>
      </c>
      <c r="B24" s="46" t="inlineStr">
        <is>
          <t>中小企業投資育成会社とは？中小企業が活用できる公的機関の概要と利用手順を解説</t>
        </is>
      </c>
      <c r="C24" s="6" t="inlineStr">
        <is>
          <t>https://dym.asia/media/investment-development-company/</t>
        </is>
      </c>
      <c r="D24" s="47" t="inlineStr">
        <is>
          <t>中小企業投資育成株式会社とは</t>
        </is>
      </c>
      <c r="E24" s="35" t="n">
        <v>45</v>
      </c>
      <c r="F24" s="36" t="n">
        <v>2.58311345646438</v>
      </c>
      <c r="G24" s="47" t="inlineStr">
        <is>
          <t>なし</t>
        </is>
      </c>
      <c r="H24" s="47" t="inlineStr">
        <is>
          <t>可</t>
        </is>
      </c>
      <c r="I24" s="47" t="inlineStr">
        <is>
          <t>Q: 中小企業投資育成会社は、ベンチャーキャピタル（VC）とは何が違うのですか？
A: 中小企業投資育成会社は、株式会社として設立されていますが、公的な性格を持ち、国の政策実施機関としての役割を果たしています。ベンチャーキャピタルとは異なり、主に長期的な経営基盤の強化と安定した発展を目的として投資を行います。投資先企業に対して、経営干渉や役員派遣を行わないことが原則ですが、経営の健全な成長を支援するために、企業側の自主性を尊重しつつ、必要に応じてアドバイスを行うことがあります。一方、一般的なベンチャーキャピタルは、短期間で高いリターンを追求し、積極的に経営に関与することが多いです。
Q: 中小企業投資育成会社から投資を受けることで、どのようなメリットが得られますか？
A: 投資を受ける主なメリットは2点です。1点目は、担保不要で長期的な資金調達が可能になり、自己資本の充実が図れることです。2点目は、長期安定株主として企業の経営基盤をサポートしてもらえることです。これに加えて、次世代経営者の育成支援や株式上場支援、ビジネスマッチングなどの「育成事業」のコンサルティングを受けることができ、企業の持続的な成長と安定化に繋がります。
Q: 中小企業投資育成会社から投資を受ける対象となる企業には、どのような条件がありますか？
A: 投資対象となる企業は、原則として資本金の額が3億円以下の株式会社です。また、これから株式会社を設立しようとする方も対象となります。特定の法律に基づく特例（例えば、中小企業等経営強化法など）によって、資本金が3億円を超える場合でも投資対象になることがありますが、基本的には中小企業投資育成株式会社法に基づいて、中小企業を支援の対象としています。</t>
        </is>
      </c>
      <c r="J24" s="47" t="n"/>
      <c r="K24" s="47" t="inlineStr">
        <is>
          <t>修正済</t>
        </is>
      </c>
      <c r="L24" s="47" t="inlineStr">
        <is>
          <t>未確認</t>
        </is>
      </c>
      <c r="M24" s="47" t="inlineStr">
        <is>
          <t>完了</t>
        </is>
      </c>
      <c r="N24" s="47" t="inlineStr">
        <is>
          <t>クリニック以外</t>
        </is>
      </c>
      <c r="O24" s="47" t="n"/>
      <c r="P24" s="47" t="n"/>
      <c r="Q24" s="47" t="n"/>
      <c r="R24" s="47" t="n"/>
    </row>
    <row r="25" ht="15.75" customHeight="1" s="185">
      <c r="A25" s="52">
        <f>row()-3</f>
        <v/>
      </c>
      <c r="B25" s="46" t="inlineStr">
        <is>
          <t>AIモデル・AIタレントとは？実際の起用事例やメリットデメリット、作り方を解説</t>
        </is>
      </c>
      <c r="C25" s="10" t="inlineStr">
        <is>
          <t>https://dym.asia/media/ai-cast/</t>
        </is>
      </c>
      <c r="D25" s="47" t="inlineStr">
        <is>
          <t>aiタレント</t>
        </is>
      </c>
      <c r="E25" s="35" t="n">
        <v>42</v>
      </c>
      <c r="F25" s="36" t="n">
        <v>2.948646125116714</v>
      </c>
      <c r="G25" s="47" t="inlineStr">
        <is>
          <t>なし</t>
        </is>
      </c>
      <c r="H25" s="47" t="inlineStr">
        <is>
          <t>可</t>
        </is>
      </c>
      <c r="I25" s="10" t="inlineStr">
        <is>
          <t>Q: AIモデルを広告に起用する際、従来の人間モデルにはない主なメリットは何ですか？
A: AIモデルを起用するメリットとしては、「コスト効率」「柔軟な運用」「イメージ管理のしやすさ」が挙げられます。初期制作費用は発生するものの、継続的な出演料や撮影コストを抑えられるため、長期的にはコスト削減につながるケースがあります。また、スケジュール調整が不要で、必要なタイミングに合わせた情報発信がしやすい点も特徴です。さらに、人間モデルに起因する私生活上の不祥事や炎上といったリスクを回避しやすく、ブランドイメージを一定程度コントロールしやすい点も利点とされています。
ぜひDYMにお問い合わせください。
お問い合わせ先はこちら↓
https://dym.asia/contact/
Q: AIモデル・AIタレントを利用する際に、企業が特に注意すべき倫理的な課題は何ですか？
A: 企業が注意すべき主な倫理的課題としては、「プライバシーや肖像権への配慮」と「視聴者への透明性の確保」が挙げられます。実在の人物の画像や音声データを無断で学習・利用した場合、肖像権や著作権の侵害につながる可能性があります。また、AIによって生成されたコンテンツであることを適切に開示しないと、誤解や不信感を招くおそれがあるため、AI活用である旨を明確に伝える姿勢が重要です。
Q: AIモデルは多言語対応が可能とされていますが、どのような仕組みで実現されているのですか？
A: AIモデルの多言語対応は、大規模言語モデル（LLM）や音声合成技術の進化によって実現されています。AIは多言語のテキストや音声データを学習しており、スクリプトを入力することで、複数言語に対応したテキスト生成や音声・動画表現を行うことが可能です。これにより、単一のAIモデルを活用して、複数の国や地域向けのプロモーションを効率的に展開できるとされています。</t>
        </is>
      </c>
      <c r="J25" s="47" t="n"/>
      <c r="K25" s="47" t="inlineStr">
        <is>
          <t>修正済</t>
        </is>
      </c>
      <c r="L25" s="47" t="inlineStr">
        <is>
          <t>未確認</t>
        </is>
      </c>
      <c r="M25" s="47" t="inlineStr">
        <is>
          <t>完了</t>
        </is>
      </c>
      <c r="N25" s="47" t="inlineStr">
        <is>
          <t>クリニック以外</t>
        </is>
      </c>
      <c r="O25" s="47" t="n"/>
      <c r="P25" s="47" t="n"/>
      <c r="Q25" s="47" t="n"/>
      <c r="R25" s="47" t="n"/>
    </row>
    <row r="26" ht="15.75" customHeight="1" s="185">
      <c r="A26" s="52">
        <f>row()-3</f>
        <v/>
      </c>
      <c r="B26" s="46" t="inlineStr">
        <is>
          <t>スポンサー営業とは｜企業がスポーツ業界でスポンサーになるメリットも解説</t>
        </is>
      </c>
      <c r="C26" s="6" t="inlineStr">
        <is>
          <t>https://dym.asia/media/sponsor-sales/</t>
        </is>
      </c>
      <c r="D26" s="47" t="inlineStr">
        <is>
          <t>スポンサー営業</t>
        </is>
      </c>
      <c r="E26" s="35" t="n">
        <v>40</v>
      </c>
      <c r="F26" s="36" t="n">
        <v>1.671826625386997</v>
      </c>
      <c r="G26" s="47" t="inlineStr">
        <is>
          <t>なし</t>
        </is>
      </c>
      <c r="H26" s="47" t="inlineStr">
        <is>
          <t>可</t>
        </is>
      </c>
      <c r="I26" s="10" t="inlineStr">
        <is>
          <t>Q: スポンサー営業は、単なる広告の枠売りとどのように違うのですか？
A: スポンサー営業は、単なる広告枠の販売ではなく、企業とスポーツチームの「Win-Winの関係」を構築する役割を担います。単にロゴを掲載するだけでなく、チームの理念や地域貢献の価値観を共有し、スポンサー企業のニーズ（例：地域社会へのアピール、従業員エンゲージメント向上など）に合わせた独自の企画（例：コラボイベント、共同CSR活動など）を提供することで、長期的なパートナーシップを目指します。
Q: 企業がスポーツチームのスポンサーになることで、具体的にどのような売上向上が期待できますか？
A: スポンサーになることで、新たな顧客層へのアプローチや、チームとのコラボレーションによる商品開発を通じた売上向上が期待できます。例えば、スタジアムでの商品販売権を獲得したり、選手をイメージキャラクターに起用した広告キャンペーンを展開したりすることで、チームのファン層を直接的な購買層に取り込むことが可能です。選手の健康でポジティブなイメージがブランドに波及し、消費者からの好感度向上にも繋がります。ぜひお問い合わせください。
お問い合わせ先はこちら↓
https://dym.asia/contact/
Q: スポンサー営業において、最も重要とされるスキルは何ですか？
A: スポンサー営業に最も重要とされるスキルは、交渉力、マーケティングの知識、およびコミュニケーション能力の3つです。特に、企業の視点でスポンサーシップの費用対効果や価値を論理的に説明できるビジネス感覚と交渉力が不可欠です。また、企業のニーズとチームの魅力をマッチングさせる企画力、そして企業の意思決定者と信頼関係を築くコミュニケーション能力も成功の鍵となります。</t>
        </is>
      </c>
      <c r="J26" s="47" t="n"/>
      <c r="K26" s="47" t="inlineStr">
        <is>
          <t>OK</t>
        </is>
      </c>
      <c r="L26" s="47" t="inlineStr">
        <is>
          <t>未確認</t>
        </is>
      </c>
      <c r="M26" s="47" t="inlineStr">
        <is>
          <t>完了</t>
        </is>
      </c>
      <c r="N26" s="47" t="inlineStr">
        <is>
          <t>クリニック以外</t>
        </is>
      </c>
      <c r="O26" s="47" t="n"/>
      <c r="P26" s="47" t="n"/>
      <c r="Q26" s="47" t="n"/>
      <c r="R26" s="47" t="n"/>
    </row>
    <row r="27" ht="15.75" customHeight="1" s="185">
      <c r="A27" s="52">
        <f>row()-3</f>
        <v/>
      </c>
      <c r="B27" s="46" t="inlineStr">
        <is>
          <t>企業がスポンサーになるメリットとは！？スポーツと企業の関係について</t>
        </is>
      </c>
      <c r="C27" s="6" t="inlineStr">
        <is>
          <t>https://dym.asia/media/sports-sponsor-merit/</t>
        </is>
      </c>
      <c r="D27" s="47" t="inlineStr">
        <is>
          <t>スポーツ スポンサー メリット</t>
        </is>
      </c>
      <c r="E27" s="35" t="n">
        <v>39</v>
      </c>
      <c r="F27" s="36" t="n">
        <v>1.343558282208589</v>
      </c>
      <c r="G27" s="47" t="inlineStr">
        <is>
          <t>なし</t>
        </is>
      </c>
      <c r="H27" s="47" t="inlineStr">
        <is>
          <t>可</t>
        </is>
      </c>
      <c r="I27" s="47" t="inlineStr">
        <is>
          <t>Q: スポーツスポンサーシップの費用対効果（ROI）を評価する際の具体的な指標は何ですか？ 
A: 費用対効果を評価する主な指標としては、「メディア露出価値（広告換算額）」、「ブランド認知度の変化」、「顧客ロイヤリティの向上度」、そして「新規顧客獲得数」や「売上増加効果」などがあります。特にメディア露出価値は、ユニフォームのロゴやスタジアム看板がテレビ中継などで露出した時間を、通常の広告費用に換算して算出します。これらの指標を契約前後で測定し、投資額に対してどの程度の効果が得られたかを分析することが重要です。 
Q: スポンサーシップを行う際、企業イメージを損なうリスクにはどのようなものがありますか？
A: スポンサーシップに伴う主なリスクは、「チームや選手の不祥事・成績不振」によるリスクです。スポンサー企業は、支援するチームや選手が社会的な問題を起こしたり、期待されたパフォーマンスを発揮できなかったりした場合に、企業のブランドイメージが低下したり、投資対効果が得られなくなったりする可能性があります。このリスクを管理するため、契約時に倫理規定（モラル条項）を設けたり、パフォーマンスへの依存度を抑えたプロモーションを計画したりすることが重要です。 
Q: スポーツスポンサーシップは、企業の「CSR（社会的責任）」活動としてどのように役立ちますか？ 
A: スポーツスポンサーシップは、企業が地域社会の活性化や青少年の健全育成に貢献するCSR活動として非常に有効です。具体的には、チームと共同で地域清掃や子供向けのスポーツ教室を開催することで、「地域の街づくりを支える企業」として住民からの好感度や信頼性を高めることができます。これにより、単なる広告を超えた感情的なつながり（エモーショナルコネクション）を顧客や地域社会と築くことが可能になります。</t>
        </is>
      </c>
      <c r="J27" s="47" t="n"/>
      <c r="K27" s="47" t="inlineStr">
        <is>
          <t>OK</t>
        </is>
      </c>
      <c r="L27" s="47" t="inlineStr">
        <is>
          <t>未確認</t>
        </is>
      </c>
      <c r="M27" s="47" t="inlineStr">
        <is>
          <t>完了</t>
        </is>
      </c>
      <c r="N27" s="47" t="inlineStr">
        <is>
          <t>クリニック以外</t>
        </is>
      </c>
      <c r="O27" s="47" t="n"/>
      <c r="P27" s="47" t="n"/>
      <c r="Q27" s="47" t="n"/>
      <c r="R27" s="47" t="n"/>
    </row>
    <row r="28" ht="15.75" customHeight="1" s="185">
      <c r="A28" s="52">
        <f>row()-3</f>
        <v/>
      </c>
      <c r="B28" s="46" t="inlineStr">
        <is>
          <t>賞与とは？仕組みやボーナスの計算方法、給与との違いを解説</t>
        </is>
      </c>
      <c r="C28" s="10" t="inlineStr">
        <is>
          <t>https://dym.asia/media/bonus/</t>
        </is>
      </c>
      <c r="D28" s="47" t="inlineStr">
        <is>
          <t>賞与月数とは</t>
        </is>
      </c>
      <c r="E28" s="35" t="n">
        <v>35</v>
      </c>
      <c r="F28" s="36" t="n">
        <v>3.666666666666667</v>
      </c>
      <c r="G28" s="47" t="inlineStr">
        <is>
          <t>なし</t>
        </is>
      </c>
      <c r="H28" s="47" t="inlineStr">
        <is>
          <t>可</t>
        </is>
      </c>
      <c r="I28" s="47" t="inlineStr">
        <is>
          <t>Q: 賞与（ボーナス）は法律上、企業に支給が義務付けられているのですか？
A: いいえ、賞与は労働基準法などで企業に支給が義務付けられているものではありません。賞与は「定期の給与とは別に支払われる一時的な報酬」であり、支給の有無や金額の決定は、企業の就業規則、労働協約、または雇用契約の定めに委ねられています。そのため、企業の業績悪化などにより、定められた時期であっても支給されない、または大幅に減額される可能性があります。
Q: 賞与の支給額から差し引かれる「社会保険料」と「所得税」は、毎月の給与から差し引かれるものと計算方法が違いますか？
A: はい、計算方法が異なります。社会保険料（健康保険料、厚生年金保険料、雇用保険料）については、賞与の支給額（税引き前）にそれぞれ所定の保険料率をかけて算出されます。一方、所得税は、賞与から社会保険料を差し引いた後の金額を「課税対象額」とし、前月の給与から控除された社会保険料を考慮に入れた「賞与に対する源泉徴収税額の算出率の表」を用いて計算されるため、通常の月給とは計算のステップが異なります。
Q: 決算賞与は通常の賞与と何が違うのですか？また、どのようなメリットがありますか？
A: 決算賞与は、通常の夏季・冬季賞与とは異なり、企業の決算時（年度末）にその年度の利益に応じて支給される臨時的な報酬です。通常の賞与が従業員の基本給や個人の評価に連動するのに対し、決算賞与は企業全体の利益に基づいて支給されます。企業にとっては、当期利益を調整することで税金対策（法人税の軽減）になるメリットがあり、従業員にとっては業績が良い年に大きな臨時収入を得られる点が魅力です。</t>
        </is>
      </c>
      <c r="J28" s="47" t="n"/>
      <c r="K28" s="47" t="inlineStr">
        <is>
          <t>OK</t>
        </is>
      </c>
      <c r="L28" s="47" t="inlineStr">
        <is>
          <t>未確認</t>
        </is>
      </c>
      <c r="M28" s="47" t="inlineStr">
        <is>
          <t>完了</t>
        </is>
      </c>
      <c r="N28" s="47" t="inlineStr">
        <is>
          <t>クリニック以外</t>
        </is>
      </c>
      <c r="O28" s="47" t="n"/>
      <c r="P28" s="47" t="n"/>
      <c r="Q28" s="47" t="n"/>
      <c r="R28" s="47" t="n"/>
    </row>
    <row r="29" ht="15.75" customHeight="1" s="185">
      <c r="A29" s="52">
        <f>row()-3</f>
        <v/>
      </c>
      <c r="B29" s="46" t="inlineStr">
        <is>
          <t>Criteo(クリテオ)広告とは？仕組みやメリット、導入ポイントや事例まで解説</t>
        </is>
      </c>
      <c r="C29" s="10" t="inlineStr">
        <is>
          <t>https://dym.asia/media/criteo_advertisement/</t>
        </is>
      </c>
      <c r="D29" s="47" t="inlineStr">
        <is>
          <t>クリテオ</t>
        </is>
      </c>
      <c r="E29" s="35" t="n">
        <v>35</v>
      </c>
      <c r="F29" s="36" t="n">
        <v>5.683320522674865</v>
      </c>
      <c r="G29" s="47" t="inlineStr">
        <is>
          <t>なし</t>
        </is>
      </c>
      <c r="H29" s="47" t="inlineStr">
        <is>
          <t>可</t>
        </is>
      </c>
      <c r="I29" s="47" t="inlineStr">
        <is>
          <t>Q: Criteo広告は、なぜリターゲティングにおいて高い効果が期待されているのですか？
A: Criteo広告は、予測エンジン技術やAI（機械学習）を活用している点が特徴とされています。ユーザーの過去の閲覧履歴や購買行動などのデータを基に、「どのユーザーに、どのタイミングで、どのクリエイティブを表示すると成果につながりやすいか」を予測し、広告配信の最適化を行います。こうした仕組みにより、初回訪問で離脱したユーザーに対して再度アプローチでき、結果としてリターゲティング施策において高い効果が期待されるとされています。
Q: Criteo広告を新規で導入する際、費用やユーザー数に関する目安はありますか？
A: Criteo広告でダイナミックリターゲティングを行う場合、一定のデータ量と広告予算が必要とされています。一般的な目安として、月間ユニークユーザー数（UU）が約4万以上（※解析ツールや条件によっては1日あたり約1,500UUが目安とされる場合あり）、出稿予算は月額50万円以上が一つの基準とされています。なお、これらの数値は導入事例や運用状況に基づく目安であり、条件や時期によって変動する可能性があるため、最新情報は確認が必要です。
Q: Criteo広告で効果を維持・向上させるために、データフィード運用で重要なポイントは何ですか？
A: Criteo広告の運用においては、データフィードの情報を常に最新かつ正確な状態に保つことが重要とされています。商品価格や在庫状況、商品名などに誤りがあると、広告表示と実態が乖離し、ユーザー体験の低下や機会損失につながるおそれがあります。また、配信結果を分析しながら、クリエイティブやデータフィードの設計を見直すなど、継続的にPDCAサイクルを回すことで、Criteoのレコメンド精度向上が期待できます。</t>
        </is>
      </c>
      <c r="J29" s="47" t="n"/>
      <c r="K29" s="47" t="inlineStr">
        <is>
          <t>修正済</t>
        </is>
      </c>
      <c r="L29" s="47" t="inlineStr">
        <is>
          <t>未確認</t>
        </is>
      </c>
      <c r="M29" s="47" t="inlineStr">
        <is>
          <t>完了</t>
        </is>
      </c>
      <c r="N29" s="47" t="inlineStr">
        <is>
          <t>クリニック以外</t>
        </is>
      </c>
      <c r="O29" s="47" t="n"/>
      <c r="P29" s="47" t="n"/>
      <c r="Q29" s="47" t="n"/>
      <c r="R29" s="47" t="n"/>
    </row>
    <row r="30" ht="15.75" customHeight="1" s="185">
      <c r="A30" s="52">
        <f>row()-3</f>
        <v/>
      </c>
      <c r="B30" s="46" t="inlineStr">
        <is>
          <t>株式売却にかかる税金の基礎知識と節税対策</t>
        </is>
      </c>
      <c r="C30" s="6" t="inlineStr">
        <is>
          <t>https://dym.asia/media/stock-transfer-tax/</t>
        </is>
      </c>
      <c r="D30" s="47" t="inlineStr">
        <is>
          <t>株 売却 翌年の税金</t>
        </is>
      </c>
      <c r="E30" s="35" t="n">
        <v>35</v>
      </c>
      <c r="F30" s="36" t="n">
        <v>4.914163090128755</v>
      </c>
      <c r="G30" s="47" t="inlineStr">
        <is>
          <t>なし</t>
        </is>
      </c>
      <c r="H30" s="47" t="inlineStr">
        <is>
          <t>可</t>
        </is>
      </c>
      <c r="I30" s="47" t="inlineStr">
        <is>
          <t>Q: 株式の売却益にかかる税金は、なぜ「申告分離課税」なのですか？
A: 株式の売却益にかかる税金（譲渡所得税）が「申告分離課税」になるのは、他の所得（給与所得や事業所得など）と合算せずに、税率を一律（20.315%）で計算するためです。これにより、株式投資で大きな利益が出た場合でも、累進課税制度（所得が増えるほど税率が上がる制度）の対象とならず、納税額の急激な増加を避けることができます。投資家にとって税制が比較的シンプルになり、投資がしやすい環境を提供しています。
Q: 株式の売却損が出た場合、税金を軽減できる制度はありますか？
A: はい、「損益通算」と「繰越控除制度」という二つの制度を利用できます。損益通算では、売却した年に発生した株式の損失を、同年に得た他の株式や上場株式等の配当金の利益と相殺できます。さらに、相殺しきれなかった損失は、繰越控除制度を利用することで、翌年以降3年間にわたって繰り越され、将来の利益と相殺することが可能です。これらの制度を利用するには、確定申告が必要です。
Q: 特定口座の「源泉徴収あり」と「源泉徴収なし」は、確定申告の必要性の観点でどう違いますか？
A: 特定口座（源泉徴収あり）を選んだ場合、証券会社が利益から税金を自動で差し引いて納税まで行うため、原則として確定申告は不要です。一方、特定口座（源泉徴収なし）を選んだ場合や一般口座を利用した場合、利益が出たら投資家自身が売買損益を計算し、翌年に確定申告を行う必要があります。確定申告が面倒な方や、他の所得との損益通算の必要がない方は、「源泉徴収あり」を選ぶことが多いです。</t>
        </is>
      </c>
      <c r="J30" s="47" t="n"/>
      <c r="K30" s="47" t="inlineStr">
        <is>
          <t>OK</t>
        </is>
      </c>
      <c r="L30" s="47" t="inlineStr">
        <is>
          <t>未確認</t>
        </is>
      </c>
      <c r="M30" s="47" t="inlineStr">
        <is>
          <t>完了</t>
        </is>
      </c>
      <c r="N30" s="47" t="inlineStr">
        <is>
          <t>クリニック以外</t>
        </is>
      </c>
      <c r="O30" s="47" t="n"/>
      <c r="P30" s="47" t="n"/>
      <c r="Q30" s="47" t="n"/>
      <c r="R30" s="47" t="n"/>
    </row>
    <row r="31" ht="15.75" customHeight="1" s="185">
      <c r="A31" s="52">
        <f>row()-3</f>
        <v/>
      </c>
      <c r="B31" s="46" t="inlineStr">
        <is>
          <t>相談役とは？顧問や取締役との違いや役割を解説</t>
        </is>
      </c>
      <c r="C31" s="10" t="inlineStr">
        <is>
          <t>https://dym.asia/media/advisor/</t>
        </is>
      </c>
      <c r="D31" s="47" t="inlineStr">
        <is>
          <t>相談役とは</t>
        </is>
      </c>
      <c r="E31" s="35" t="n">
        <v>34</v>
      </c>
      <c r="F31" s="36" t="n">
        <v>5.246209510682288</v>
      </c>
      <c r="G31" s="47" t="inlineStr">
        <is>
          <t>なし</t>
        </is>
      </c>
      <c r="H31" s="47" t="inlineStr">
        <is>
          <t>可</t>
        </is>
      </c>
      <c r="I31" s="47" t="inlineStr">
        <is>
          <t>Q: 相談役と取締役の一番大きな違いは何ですか？
A: 最も大きな違いは、法的な位置づけと意思決定権です。取締役は会社法で定められた法定役員であり、経営の意思決定権と業務執行の責任を持ちます。一方、相談役は会社法上の定義がない任意の役職であり、直接的な意思決定権や業務執行権は持たず、あくまでも経営陣に対する助言者としての役割に留まる点です。
Q: 相談役は法的な役職ではないとのことですが、企業内で大きな影響力を持つことはありますか？
A: はい、法的な意思決定権はありませんが、実質的に大きな影響力を持つことはよくあります。相談役は通常、前社長や会長など、長年の経営経験と幅広い人脈を持つ人物が就任するため、その豊富な経験や人望、非公式な人脈を通じて、現経営陣の判断や外部取引に強い影響を及ぼすことがあります。その影響力の大きさゆえに、近年ではコーポレートガバナンス（企業統治）の観点から、その役割の透明性を高める動きが増えています。
Q: 企業が相談役を設置する主なメリットと、近年廃止が増えている背景は何ですか？
A: 設置の主なメリットは、豊富な経営経験に基づく的確なアドバイス、人脈を活用したビジネス機会の創出、そして経営者交代時の円滑な引き継ぎによる組織の安定性向上です。一方、廃止が増えている背景としては、相談役が法的な責任を持たないにもかかわらず高額な報酬を得ていたり、実質的な権限が不透明であったりすることが、コーポレートガバナンスの観点から問題視されるようになった点が挙げられます。</t>
        </is>
      </c>
      <c r="J31" s="47" t="n"/>
      <c r="K31" s="47" t="inlineStr">
        <is>
          <t>OK</t>
        </is>
      </c>
      <c r="L31" s="47" t="inlineStr">
        <is>
          <t>未確認</t>
        </is>
      </c>
      <c r="M31" s="47" t="inlineStr">
        <is>
          <t>完了</t>
        </is>
      </c>
      <c r="N31" s="47" t="inlineStr">
        <is>
          <t>クリニック以外</t>
        </is>
      </c>
      <c r="O31" s="47" t="n"/>
      <c r="P31" s="47" t="n"/>
      <c r="Q31" s="47" t="n"/>
      <c r="R31" s="47" t="n"/>
    </row>
    <row r="32" ht="15.75" customHeight="1" s="185">
      <c r="A32" s="52">
        <f>row()-3</f>
        <v/>
      </c>
      <c r="B32" s="46" t="inlineStr">
        <is>
          <t>プロパーとは？ビジネスにおける意味やプロパー社員との付き合い方を解説</t>
        </is>
      </c>
      <c r="C32" s="6" t="inlineStr">
        <is>
          <t>https://dym.asia/media/proper/</t>
        </is>
      </c>
      <c r="D32" s="47" t="inlineStr">
        <is>
          <t>プロパーとは</t>
        </is>
      </c>
      <c r="E32" s="35" t="n">
        <v>33</v>
      </c>
      <c r="F32" s="36" t="n">
        <v>5.258357048804315</v>
      </c>
      <c r="G32" s="47" t="inlineStr">
        <is>
          <t>なし</t>
        </is>
      </c>
      <c r="H32" s="47" t="inlineStr">
        <is>
          <t>可</t>
        </is>
      </c>
      <c r="I32" s="47" t="inlineStr">
        <is>
          <t>Q: ビジネスで「プロパー社員」と言うとき、主にどのような意味で使われているのですか？
A: ビジネスシーンで「プロパー社員」という言葉が使われる場合、主にいくつかの意味合いがあります。一般的には、他社からの出向者や派遣社員ではなく、自社で直接採用され、長期間にわたって勤務している社員を指すケースが多く見られます。この中には新卒入社に限らず、中途採用であっても入社後に長く在籍している社員が含まれる場合があります。そのほか、「派遣社員や契約社員と区別した正社員」や、「出向社員・転籍社員と区別した自社採用の社員」という意味で使われることもあり、文脈によって解釈が異なる点に注意が必要です。
Q: プロパー社員と一緒に働く中途採用社員が、疎外感を感じにくくするにはどうすればよいですか？
A: 中途採用社員が疎外感を感じにくくするためには、プロパー社員が持つ企業文化や業務の進め方、暗黙のルールなどを理解しようとする姿勢が重要です。そのうえで、自身の前職での経験や知見を一方的に主張するのではなく、プロパー社員の強みである社内ネットワークや業務知識を尊重しながら協働することで、信頼関係を築きやすくなります。互いの強みを生かした役割分担を意識することが、円滑なチーム形成につながります。
Q: 金融業界で使われる「プロパー融資」の「プロパー」には、どのような意味がありますか？
A: 金融業界における「プロパー融資」の「プロパー」は、英語の「proper（本来の、固有の）」に由来する表現です。信用保証協会などの外部保証を利用せず、金融機関が自らの責任と判断で企業の信用力や事業内容を審査し、自己資金で実行する融資を指します。外部保証がない分、金融機関側のリスクは高くなりますが、企業にとっては金融機関との直接的な信頼関係を構築しやすいという側面があります。</t>
        </is>
      </c>
      <c r="J32" s="47" t="n"/>
      <c r="K32" s="47" t="inlineStr">
        <is>
          <t>修正済</t>
        </is>
      </c>
      <c r="L32" s="47" t="inlineStr">
        <is>
          <t>未確認</t>
        </is>
      </c>
      <c r="M32" s="47" t="inlineStr">
        <is>
          <t>完了</t>
        </is>
      </c>
      <c r="N32" s="47" t="inlineStr">
        <is>
          <t>クリニック以外</t>
        </is>
      </c>
      <c r="O32" s="47" t="n"/>
      <c r="P32" s="47" t="n"/>
      <c r="Q32" s="47" t="n"/>
      <c r="R32" s="47" t="n"/>
    </row>
    <row r="33" ht="15.75" customHeight="1" s="185">
      <c r="A33" s="52">
        <f>row()-3</f>
        <v/>
      </c>
      <c r="B33" s="46" t="inlineStr">
        <is>
          <t>不採用通知電話で伝える際の注意点と例文</t>
        </is>
      </c>
      <c r="C33" s="6" t="inlineStr">
        <is>
          <t>https://dym.asia/media/rejected-tel/</t>
        </is>
      </c>
      <c r="D33" s="47" t="inlineStr">
        <is>
          <t>不採用 電話</t>
        </is>
      </c>
      <c r="E33" s="35" t="n">
        <v>32</v>
      </c>
      <c r="F33" s="36" t="n">
        <v>5.641002277904328</v>
      </c>
      <c r="G33" s="47" t="inlineStr">
        <is>
          <t>なし</t>
        </is>
      </c>
      <c r="H33" s="47" t="inlineStr">
        <is>
          <t>可</t>
        </is>
      </c>
      <c r="I33" s="47" t="inlineStr">
        <is>
          <t>Q: 不採用の連絡を電話で行うメリットとデメリットは何ですか？
A: メリットは、応募者へ企業の誠意や配慮を直接伝えやすい点と、相手の反応を確認しながら個別に対応できる点です。これにより、企業イメージの維持・向上に繋がります。デメリットは、時間と労力がかかる点、応募者の都合を考慮する必要がある点、そして言葉の選び方や口調で誤解を与えてしまうリスクがある点です。
Q: 電話で不採用通知をする際、不採用の理由を詳しく伝えるべきですか？
A: 原則として、応募者から質問がない限り、不採用の理由を詳しく説明することは避けるべきです。理由を伝えると、応募者から反論やさらに詳細な説明を求められ、対応が長期化するリスクがあります。また、選考過程で記録されていない抽象的な理由を伝えると、誤解やトラブルの原因になりかねません。質問があった場合は、「総合的な判断」や「求めている人物像とのわずかな相違」など、応募者個人を否定しない表現で簡潔に伝えます。
Q: 書類選考の段階で不採用となった応募者には、電話ではなくメールで連絡しても問題ありませんか？
A: はい、書類選考の段階での不採用通知は、メールで行うことが一般的で、特に問題ありません。多数の応募者がいる場合、メールは効率的かつ迅速に連絡できる手段です。ただし、メールであっても、件名を分かりやすくし、応募への感謝の気持ちと結果を明確に伝えるなど、丁寧で誠意のある文面を心がけることが重要です。面接選考まで進んだ応募者には、より丁寧な対応として電話が推奨される場合があります。</t>
        </is>
      </c>
      <c r="J33" s="47" t="n"/>
      <c r="K33" s="47" t="inlineStr">
        <is>
          <t>OK</t>
        </is>
      </c>
      <c r="L33" s="47" t="inlineStr">
        <is>
          <t>未確認</t>
        </is>
      </c>
      <c r="M33" s="47" t="inlineStr">
        <is>
          <t>完了</t>
        </is>
      </c>
      <c r="N33" s="47" t="inlineStr">
        <is>
          <t>クリニック以外</t>
        </is>
      </c>
      <c r="O33" s="47" t="n"/>
      <c r="P33" s="47" t="n"/>
      <c r="Q33" s="47" t="n"/>
      <c r="R33" s="47" t="n"/>
    </row>
    <row r="34" ht="15.75" customHeight="1" s="185">
      <c r="A34" s="52">
        <f>row()-3</f>
        <v/>
      </c>
      <c r="B34" s="46" t="inlineStr">
        <is>
          <t>コールセンター言葉遣い一覧｜敬語のポイントと効果的な言い回し</t>
        </is>
      </c>
      <c r="C34" s="6" t="inlineStr">
        <is>
          <t>https://dym.asia/media/callcenter-wording/</t>
        </is>
      </c>
      <c r="D34" s="47" t="inlineStr">
        <is>
          <t>とんでもないことでございます コールセンター</t>
        </is>
      </c>
      <c r="E34" s="35" t="n">
        <v>30</v>
      </c>
      <c r="F34" s="36" t="n">
        <v>1.382758620689655</v>
      </c>
      <c r="G34" s="47" t="inlineStr">
        <is>
          <t>なし</t>
        </is>
      </c>
      <c r="H34" s="47" t="inlineStr">
        <is>
          <t>可</t>
        </is>
      </c>
      <c r="I34" s="47" t="inlineStr">
        <is>
          <t>Q: コールセンターで「クッション言葉」を使用する最大の目的は何ですか？
A: クッション言葉（例：恐れ入りますが、申し訳ございませんが）を使用する最大の目的は、相手に不快感や威圧感を与えずに、要求や断りなどの伝えにくい内容を円滑に伝えることです。言葉の前に一言添えることで、相手への配慮や敬意を示し、コミュニケーションの摩擦を減らす効果があります。特に、保留や確認などで顧客を待たせる際や、要望にお応えできない際に非常に重要です。
Q: コールセンターでの敬語で、特に混同しやすい「尊敬語」と「謙譲語」の使い分けのポイントは何ですか？
A: 尊敬語は相手（顧客や上司）の動作や状態を高く敬って表現する際に使います（例：お客様が「おっしゃる」「いらっしゃる」）。一方、謙譲語は自分や自社（話し手側）の動作をへりくだって表現することで、結果的に相手への敬意を示す際に使います（例：わたくしが「申す」「伺う」）。相手の動作には尊敬語、自分の動作には謙譲語を使う、という区別を徹底することがポイントです。
Q: 顧客の意見を否定せずに、自社の提案を効果的に伝えるには、どのような話法が有効ですか？
A: 顧客の意見を尊重しつつ提案を効果的に伝えるには、「イエス・アンド話法」が有効です。「イエス（肯定）」で相手の意見を受け止め、「アンド（順接）」で自分の提案や情報を付け加えることで、相手の気分を害することなく、スムーズに次のステップへ誘導できます。対立的な構造になる「イエス・バット話法」よりも、コールセンターでは協力的な姿勢を示す「イエス・アンド話法」が推奨されます。</t>
        </is>
      </c>
      <c r="J34" s="47" t="n"/>
      <c r="K34" s="47" t="inlineStr">
        <is>
          <t>OK</t>
        </is>
      </c>
      <c r="L34" s="47" t="inlineStr">
        <is>
          <t>未確認</t>
        </is>
      </c>
      <c r="M34" s="47" t="inlineStr">
        <is>
          <t>完了</t>
        </is>
      </c>
      <c r="N34" s="47" t="inlineStr">
        <is>
          <t>クリニック以外</t>
        </is>
      </c>
      <c r="O34" s="47" t="n"/>
      <c r="P34" s="47" t="n"/>
      <c r="Q34" s="47" t="n"/>
      <c r="R34" s="47" t="n"/>
    </row>
    <row r="35" ht="15.75" customHeight="1" s="185">
      <c r="A35" s="52">
        <f>row()-3</f>
        <v/>
      </c>
      <c r="B35" s="46" t="inlineStr">
        <is>
          <t>ステークホルダー（利害関係者）とは？ 意味や具体例を解説</t>
        </is>
      </c>
      <c r="C35" s="10" t="inlineStr">
        <is>
          <t>https://dym.asia/media/steak-holder/</t>
        </is>
      </c>
      <c r="D35" s="47" t="inlineStr">
        <is>
          <t>利害関係とは</t>
        </is>
      </c>
      <c r="E35" s="35" t="n">
        <v>29</v>
      </c>
      <c r="F35" s="36" t="n">
        <v>6.714102414557331</v>
      </c>
      <c r="G35" s="47" t="inlineStr">
        <is>
          <t>なし</t>
        </is>
      </c>
      <c r="H35" s="47" t="inlineStr">
        <is>
          <t>可</t>
        </is>
      </c>
      <c r="I35" s="47" t="inlineStr">
        <is>
          <t>Q: 「ステークホルダー資本主義」とは何ですか？従来の経営の考え方とどう違うのですか？
A: ステークホルダー資本主義とは、企業が株主（シェアホルダー）の利益最大化だけを目的とするのではなく、従業員、顧客、取引先、地域社会といった幅広いステークホルダーの利益も考慮に入れ、長期的な視点で持続可能な価値を創造すべきだという考え方です。従来の株主資本主義が短期的な財務的利益を重視していたのに対し、ステークホルダー資本主義は企業の社会的責任（CSR）や持続可能性（サステナビリティ）を重視し、すべての利害関係者との良好な関係を通じて企業価値を高めることを目指します。
Q: 企業にとって、株主（シェアホルダー）と顧客は、ステークホルダーとしてどのような点で違いがありますか？
A: 株主（シェアホルダー）は、企業に資本を提供する「所有者」であり、配当や株価上昇による経済的な利益を主な利害として持ちます。一方、顧客は、企業の製品やサービスを購入・利用する存在であり、製品の品質、サービスの満足度、適正な価格などを主な利害として持ちます。両者とも企業活動に欠かせないステークホルダーですが、株主が所有と財務的リターンに関心があるのに対し、顧客は取引と提供される価値に関心があるという違いがあります。
Q: ステークホルダー分析を行うことで、企業経営においてどのようなメリットが得られますか？
A: 企業はプロジェクトや経営戦略を進める上で、どの利害関係者が最も大きな影響力や関心を持っているかを明確に把握できます。これにより、影響力の大きいステークホルダー（例：主要株主、規制当局）に対して優先的にリソースを割いてコミュニケーションを取るなど、戦略的かつ公平な対応が可能になります。結果として、潜在的な反対意見やリスクを事前に特定・管理し、プロジェクトの成功確率や企業への信頼度を高めることができます。</t>
        </is>
      </c>
      <c r="K35" s="47" t="inlineStr">
        <is>
          <t>OK</t>
        </is>
      </c>
      <c r="L35" s="47" t="inlineStr">
        <is>
          <t>未確認</t>
        </is>
      </c>
      <c r="M35" s="47" t="inlineStr">
        <is>
          <t>完了</t>
        </is>
      </c>
      <c r="N35" s="47" t="inlineStr">
        <is>
          <t>クリニック以外</t>
        </is>
      </c>
      <c r="O35" s="47" t="n"/>
      <c r="P35" s="47" t="n"/>
      <c r="Q35" s="47" t="n"/>
      <c r="R35" s="47" t="n"/>
    </row>
    <row r="36" ht="15.75" customHeight="1" s="185">
      <c r="A36" s="52">
        <f>row()-3</f>
        <v/>
      </c>
      <c r="B36" s="46" t="inlineStr">
        <is>
          <t>コールセンターのクレーム対応のコツと言い回し｜NG行動・ワードも紹介</t>
        </is>
      </c>
      <c r="C36" s="10" t="inlineStr">
        <is>
          <t>https://dym.asia/media/callcenter-complaint-handling/</t>
        </is>
      </c>
      <c r="D36" s="47" t="inlineStr">
        <is>
          <t>コールセンター クレーム対応 言い回し</t>
        </is>
      </c>
      <c r="E36" s="35" t="n">
        <v>28</v>
      </c>
      <c r="F36" s="36" t="n">
        <v>2.668016194331984</v>
      </c>
      <c r="G36" s="47" t="inlineStr">
        <is>
          <t>なし</t>
        </is>
      </c>
      <c r="H36" s="47" t="inlineStr">
        <is>
          <t>可</t>
        </is>
      </c>
      <c r="I36" s="47" t="inlineStr">
        <is>
          <t>Q: クレーム対応の初期段階で、顧客の感情を落ち着かせるために重要とされている対応は何ですか？
A: 初期対応では、顧客の話を遮らずに最後まで傾聴し、その感情に寄り添う姿勢を示すことが重要とされています。顧客が強い感情を抱いている場合には、「お客様のお気持ちは理解しております」「ご不便をおかけし、申し訳ございません」といった言葉を用いて、相手の立場に配慮していることを伝えることが有効とされています。早い段階で説明や反論を行うと、かえって感情を刺激してしまう場合があるため、まずは受け止める姿勢を重視することが一般的です。
Q: クレーム対応中に顧客から「上司と話したい」と要望された場合、どのように対応するのが望ましいですか？
A: 上司への引き継ぎを前提に、冷静かつ丁寧に対応することが望ましいとされています。その際、「かしこまりました。恐れ入りますが、正確にお伝えするため、内容を簡単に確認させていただいてもよろしいでしょうか」といった形で状況を整理し、必要な情報を把握したうえで引き継ぐと、対応の質を保ちやすくなります。無理にその場で完結させようとせず、対応範囲を明確にしたうえで適切にエスカレーションすることが重要とされています。
Q: クレーム対応において、「絶対」や「普通」といった表現が推奨されない理由は何ですか？
A: 「絶対」といった断定的な表現は、後に状況が変わった場合に約束を守れなかったと受け取られ、結果として企業への信頼低下につながるおそれがあるため、使用には注意が必要とされています。また、「普通」や「一般的には」といった表現は、顧客の感じ方や認識を否定しているように受け取られる場合があり、不快感を与える可能性があります。こうした表現は、意図せず顧客の感情を刺激することがあるため、状況に応じてより配慮した言い回しを選ぶことが望ましいとされています。</t>
        </is>
      </c>
      <c r="J36" s="47" t="n"/>
      <c r="K36" s="47" t="inlineStr">
        <is>
          <t>修正済</t>
        </is>
      </c>
      <c r="L36" s="47" t="inlineStr">
        <is>
          <t>未確認</t>
        </is>
      </c>
      <c r="M36" s="47" t="inlineStr">
        <is>
          <t>完了</t>
        </is>
      </c>
      <c r="N36" s="47" t="inlineStr">
        <is>
          <t>クリニック以外</t>
        </is>
      </c>
      <c r="O36" s="47" t="n"/>
      <c r="P36" s="47" t="n"/>
      <c r="Q36" s="47" t="n"/>
      <c r="R36" s="47" t="n"/>
    </row>
    <row r="37" ht="15.75" customHeight="1" s="185">
      <c r="A37" s="52">
        <f>row()-3</f>
        <v/>
      </c>
      <c r="B37" s="46" t="inlineStr">
        <is>
          <t>ストライキとは？意味や実施するメリット・デメリットを分かりやすく解説</t>
        </is>
      </c>
      <c r="C37" s="6" t="inlineStr">
        <is>
          <t>https://dym.asia/media/strike/</t>
        </is>
      </c>
      <c r="D37" s="47" t="inlineStr">
        <is>
          <t>ストライキ デメリット</t>
        </is>
      </c>
      <c r="E37" s="35" t="n">
        <v>28</v>
      </c>
      <c r="F37" s="36" t="n">
        <v>1.288888888888889</v>
      </c>
      <c r="G37" s="47" t="inlineStr">
        <is>
          <t>あり</t>
        </is>
      </c>
      <c r="H37" s="47" t="inlineStr">
        <is>
          <t>既存</t>
        </is>
      </c>
      <c r="I37" s="47" t="inlineStr">
        <is>
          <t>対応不要</t>
        </is>
      </c>
      <c r="J37" s="47" t="n"/>
      <c r="K37" s="47" t="inlineStr">
        <is>
          <t>対応不要</t>
        </is>
      </c>
      <c r="L37" s="47" t="inlineStr">
        <is>
          <t>対応不要</t>
        </is>
      </c>
      <c r="M37" s="47" t="inlineStr">
        <is>
          <t>対応不要</t>
        </is>
      </c>
      <c r="N37" s="47" t="inlineStr">
        <is>
          <t>クリニック以外</t>
        </is>
      </c>
      <c r="O37" s="47" t="n"/>
      <c r="P37" s="47" t="n"/>
      <c r="Q37" s="47" t="n"/>
      <c r="R37" s="47" t="n"/>
    </row>
    <row r="38" ht="15.75" customHeight="1" s="185">
      <c r="A38" s="52">
        <f>row()-3</f>
        <v/>
      </c>
      <c r="B38" s="46" t="inlineStr">
        <is>
          <t>特定扶養親族とは？対象者や扶養控除額と注意点</t>
        </is>
      </c>
      <c r="C38" s="10" t="inlineStr">
        <is>
          <t>https://dym.asia/media/dependent-relatives/</t>
        </is>
      </c>
      <c r="D38" s="47" t="inlineStr">
        <is>
          <t>特定扶養親族とは</t>
        </is>
      </c>
      <c r="E38" s="35" t="n">
        <v>27</v>
      </c>
      <c r="F38" s="36" t="n">
        <v>1.381875154613672</v>
      </c>
      <c r="G38" s="47" t="inlineStr">
        <is>
          <t>なし</t>
        </is>
      </c>
      <c r="H38" s="47" t="inlineStr">
        <is>
          <t>可</t>
        </is>
      </c>
      <c r="I38" s="47" t="inlineStr">
        <is>
          <t>Q: 特定扶養親族の「19歳以上23歳未満」という年齢要件が設けられているのはなぜですか？
A: 特定扶養親族が19歳以上23歳未満とされている背景には、一般的に教育費などの負担が大きくなりやすい時期の家計を税制面から支援するという政策的な考え方があります。この年齢層は、大学や専門学校などに在学しているケースが多いことから、他の扶養親族よりも控除額が手厚く設定されています。
Q: 扶養控除の対象となる扶養親族の年間の合計所得金額には、どのような基準がありますか？
A: 扶養控除の対象となるためには、扶養親族の年間の合計所得金額が一定額以下であることが要件とされています。給与収入のみの場合は、給与所得控除を差し引いた後の「所得金額」が48万円以下となるかどうかが一つの目安です。現行制度では、給与収入ベースでおおむね103万円以下が基準とされていますが、この金額は税制改正により変更される可能性があるため、最新の基準を確認することが重要です。
Q: 税制上の扶養と社会保険上の扶養には、どのような違いがありますか？
A: 税制上の扶養は、所得税や住民税の負担を軽減するための扶養控除に関する制度で、主に扶養親族の所得金額が基準となります。一方、社会保険上の扶養は、健康保険や年金制度における被扶養者の認定に関わるもので、主に年収の目安や生計維持関係などが判断基準とされます。両者は目的や基準が異なり、必ずしも同時に成立するとは限らないため、それぞれの要件を個別に確認することが必要です。</t>
        </is>
      </c>
      <c r="J38" s="47" t="n"/>
      <c r="K38" s="47" t="inlineStr">
        <is>
          <t>修正済</t>
        </is>
      </c>
      <c r="L38" s="47" t="inlineStr">
        <is>
          <t>未確認</t>
        </is>
      </c>
      <c r="M38" s="47" t="inlineStr">
        <is>
          <t>完了</t>
        </is>
      </c>
      <c r="N38" s="47" t="inlineStr">
        <is>
          <t>クリニック以外</t>
        </is>
      </c>
      <c r="O38" s="47" t="n"/>
      <c r="P38" s="47" t="n"/>
      <c r="Q38" s="47" t="n"/>
      <c r="R38" s="47" t="n"/>
    </row>
    <row r="39" ht="15.75" customHeight="1" s="185">
      <c r="A39" s="52">
        <f>row()-3</f>
        <v/>
      </c>
      <c r="B39" s="46" t="inlineStr">
        <is>
          <t>Google Apps Script（GAS）とは？できることから始め方まで</t>
        </is>
      </c>
      <c r="C39" s="10" t="inlineStr">
        <is>
          <t>https://dym.asia/media/gas/</t>
        </is>
      </c>
      <c r="D39" s="47" t="inlineStr">
        <is>
          <t>gas できること</t>
        </is>
      </c>
      <c r="E39" s="35" t="n">
        <v>26</v>
      </c>
      <c r="F39" s="36" t="n">
        <v>5.873170731707317</v>
      </c>
      <c r="G39" s="47" t="inlineStr">
        <is>
          <t>なし</t>
        </is>
      </c>
      <c r="H39" s="47" t="inlineStr">
        <is>
          <t>可</t>
        </is>
      </c>
      <c r="I39" s="47" t="inlineStr">
        <is>
          <t>Q: Google Apps Script（GAS）は、プログラミング初心者でもすぐに始められますか？
A: はい、GASはプログラミング初心者でも比較的簡単に始められます。理由は、開発環境のインストールや設定が一切不要で、Gmailアカウントさえあればブラウザ上で直接コードを書けられるためです。さらに、Googleスプレッドシートなどの操作を自動で記録し、コードを生成する「マクロ機能」があるため、プログラミング経験がなくてもノンコードで自動化を試すことができます。
Q: GASはJavaScriptと互換性があるとのことですが、JavaScriptの知識がないと使えないのですか？
A: JavaScriptの知識は必須ではありませんが、JavaScriptがベースとなっているため、知識があれば習得が容易です。前述のマクロ機能を使えばコードなしで自動化を始められます。また、GASで自動化できるのは主にGoogleサービス間（Gmail, SpreadSheet, Calendarなど）の連携や操作であり、専用のライブラリが用意されているため、基本的な書き方から学習を始めることが可能です。
Q: GASを使って業務を自動化する際の、セキュリティや機能面での主な注意点は何ですか？
A: 主な注意点は2点あります。1点目は、「ローカルファイル（PC上のファイル）の操作が不可」なことです。GASはクラウドベースのため、Googleドライブ内のファイルにしかアクセスできません。2点目は、「実行時間に制限がある」ことです。GASのスクリプトには1日に実行できる総時間の上限が設けられており、特に無料アカウントやG Suiteの利用状況によって異なります。長時間の連続処理や大量のデータ処理を行う際は、この制限に注意が必要です。</t>
        </is>
      </c>
      <c r="J39" s="47" t="n"/>
      <c r="K39" s="47" t="inlineStr">
        <is>
          <t>OK</t>
        </is>
      </c>
      <c r="L39" s="47" t="inlineStr">
        <is>
          <t>未確認</t>
        </is>
      </c>
      <c r="M39" s="47" t="inlineStr">
        <is>
          <t>完了</t>
        </is>
      </c>
      <c r="N39" s="47" t="inlineStr">
        <is>
          <t>クリニック以外</t>
        </is>
      </c>
      <c r="O39" s="47" t="n"/>
      <c r="P39" s="47" t="n"/>
      <c r="Q39" s="47" t="n"/>
      <c r="R39" s="47" t="n"/>
    </row>
    <row r="40" ht="15.75" customHeight="1" s="185">
      <c r="A40" s="52">
        <f>row()-3</f>
        <v/>
      </c>
      <c r="B40" s="46" t="inlineStr">
        <is>
          <t>事務所の消防法規定は大丈夫？オフィスの消防法に関する重要事項を詳しく解説</t>
        </is>
      </c>
      <c r="C40" s="10" t="inlineStr">
        <is>
          <t>https://dym.asia/media/office-fire-service-law/</t>
        </is>
      </c>
      <c r="D40" s="47" t="inlineStr">
        <is>
          <t>事務所 消防法</t>
        </is>
      </c>
      <c r="E40" s="35" t="n">
        <v>25</v>
      </c>
      <c r="F40" s="36" t="n">
        <v>2.462222222222223</v>
      </c>
      <c r="G40" s="47" t="inlineStr">
        <is>
          <t>なし</t>
        </is>
      </c>
      <c r="H40" s="47" t="inlineStr">
        <is>
          <t>可</t>
        </is>
      </c>
      <c r="I40" s="47" t="inlineStr">
        <is>
          <t>Q: 事務所で「消火器」の設置が義務付けられるのは、どのような条件の建物ですか？
A: 事務所での消火器の設置義務は、原則として建物の延べ面積が300㎡以上の場合に発生します。ただし、これは建物の構造や用途によって変動します。設置が必要な場合、単に置くだけでなく、火災の種類（普通火災、油火災、電気火災）に適応した消火器を、能力単位算定面積に基づいて計算された規定の本数を設置しなければなりません。
Q: 事務所の消防法で義務付けられている「定期点検」は、誰が、どれくらいの頻度で行う必要がありますか？
A: 消防法で義務付けられている定期点検は、消防設備士または消防設備点検有資格者が実施する必要があります。点検の頻度は、機器点検が6ヶ月に1回、総合点検が1年に1回です。また、その点検結果は特定防火対象物（例：複数のテナントが入るビル）は1年に2回、それ以外の事務所は3年に1回、管轄の消防署長または消防長に報告する義務があります。
Q: オフィスの「防火管理者」は、どのような人が選任されるのですか？
A: 防火管理者は、火災予防や被害軽減のための消防計画の作成・実行、消防訓練の実施などを行う、事務所の防火管理の責任者です。一定以上の収容人員（概ね50人以上）の事務所に設置義務があり、選任される人は防火管理に必要な知識・技能を持ち、かつ、管理権限を持つ人（またはその代行ができる立場の人）でなければなりません。選任されたら、速やかに管轄の消防署に届け出る必要があります。</t>
        </is>
      </c>
      <c r="J40" s="47" t="n"/>
      <c r="K40" s="47" t="inlineStr">
        <is>
          <t>OK</t>
        </is>
      </c>
      <c r="L40" s="47" t="inlineStr">
        <is>
          <t>未確認</t>
        </is>
      </c>
      <c r="M40" s="47" t="inlineStr">
        <is>
          <t>完了</t>
        </is>
      </c>
      <c r="N40" s="47" t="inlineStr">
        <is>
          <t>クリニック以外</t>
        </is>
      </c>
      <c r="O40" s="47" t="n"/>
      <c r="P40" s="47" t="n"/>
      <c r="Q40" s="47" t="n"/>
      <c r="R40" s="47" t="n"/>
    </row>
    <row r="41" ht="15.75" customHeight="1" s="185">
      <c r="A41" s="52">
        <f>row()-3</f>
        <v/>
      </c>
      <c r="B41" s="46" t="inlineStr">
        <is>
          <t>アルバイトと契約社員の違いとは？メリットや変わらないと言われる理由</t>
        </is>
      </c>
      <c r="C41" s="10" t="inlineStr">
        <is>
          <t>https://dym.asia/media/parttime-worker-contract-employee-differences/</t>
        </is>
      </c>
      <c r="D41" s="47" t="inlineStr">
        <is>
          <t>契約社員 バイトと変わらない</t>
        </is>
      </c>
      <c r="E41" s="35" t="n">
        <v>25</v>
      </c>
      <c r="F41" s="36" t="n">
        <v>3.533875338753388</v>
      </c>
      <c r="G41" s="47" t="inlineStr">
        <is>
          <t>なし</t>
        </is>
      </c>
      <c r="H41" s="47" t="inlineStr">
        <is>
          <t>可</t>
        </is>
      </c>
      <c r="I41" s="47" t="inlineStr">
        <is>
          <t>Q: 「パート」と「アルバイト」は、法律上どのような違いがあるのですか？
A: 「パートタイム労働者」と「アルバイト」の間に、法律上の明確な定義や区別はありません。一般的には、「パート」は短時間勤務を希望する人に対して使われることが多く、「アルバイト」は学生などを含む短時間就労者全般に対して使われる慣習的な呼び方です。いずれも法律上は「短時間労働者」として扱われ、パートタイム・有期雇用労働法の対象となり、正社員との間で不合理な待遇差を設けることは禁止されています。
Q: 契約社員は、期間の定めのない正社員と比べてどのような点で扱いが異なりますか？
A: 契約社員（有期雇用労働者）は、労働契約に期間の定めがある点が正社員との大きな違いです。待遇面については、仕事内容や責任の内容が同じであるにもかかわらず、賞与や退職金、各種手当などに不合理な差を設けることは、パートタイム・有期雇用労働法（いわゆる同一労働同一賃金）の考え方により認められていません。
Q: パートや契約社員でも、一定期間働くと無期雇用に転換できる制度はありますか？
A: はい、「無期転換ルール」と呼ばれる制度があります。有期労働契約が更新を重ね、通算の契約期間が5年を超えた場合、労働者が申し込むことで、期間の定めのない労働契約（無期雇用）へ転換することが可能です。無期転換後の労働条件は、原則として直前の有期契約時と同じとされますが、引き続き正社員との間で不合理な待遇差が生じないよう配慮する必要があります。</t>
        </is>
      </c>
      <c r="J41" s="47" t="n"/>
      <c r="K41" s="47" t="inlineStr">
        <is>
          <t>修正済</t>
        </is>
      </c>
      <c r="L41" s="47" t="inlineStr">
        <is>
          <t>未確認</t>
        </is>
      </c>
      <c r="M41" s="47" t="inlineStr">
        <is>
          <t>完了</t>
        </is>
      </c>
      <c r="N41" s="47" t="inlineStr">
        <is>
          <t>クリニック以外</t>
        </is>
      </c>
      <c r="O41" s="47" t="n"/>
      <c r="P41" s="47" t="n"/>
      <c r="Q41" s="47" t="n"/>
      <c r="R41" s="47" t="n"/>
    </row>
    <row r="42" ht="15.75" customHeight="1" s="185">
      <c r="A42" s="52">
        <f>row()-3</f>
        <v/>
      </c>
      <c r="B42" s="46" t="inlineStr">
        <is>
          <t>TikTokを活用した採用戦略｜メリットからデメリットまでを徹底解説</t>
        </is>
      </c>
      <c r="C42" s="10" t="inlineStr">
        <is>
          <t>https://dym.asia/media/tiktok-recruitment/</t>
        </is>
      </c>
      <c r="D42" s="47" t="inlineStr">
        <is>
          <t>tiktok 採用</t>
        </is>
      </c>
      <c r="E42" s="35" t="n">
        <v>24</v>
      </c>
      <c r="F42" s="36" t="n">
        <v>5.997686969930609</v>
      </c>
      <c r="G42" s="47" t="inlineStr">
        <is>
          <t>なし</t>
        </is>
      </c>
      <c r="H42" s="47" t="inlineStr">
        <is>
          <t>可</t>
        </is>
      </c>
      <c r="I42" s="47" t="inlineStr">
        <is>
          <t>Q: TikTok採用は若年層向けと聞きますが、中途採用にも活用できますか？
A: TikTokは若年層の利用が多いイメージがありますが、近年は利用者層が広がっており、中途採用に活用されるケースも見られます。中途採用向けには、実際の業務内容や職場環境、社員の働き方などを紹介する動画が有効とされており、企業文化や仕事のイメージを具体的に伝えることで、経験者層の関心を高めることが期待できます。
Q: TikTok採用の動画は、どれくらいの長さが効果的とされていますか？
A: TikTokでは短尺動画が主流ですが、採用目的の場合は、伝えたい情報量や内容に応じて動画の長さを調整することが重要とされています。短い動画で興味を喚起する方法もあれば、やや長めの動画で業務内容や職場の雰囲気を丁寧に伝えるケースもあります。明確な秒数に一律の正解があるわけではなく、視聴維持率や反応を見ながら最適な長さを検証していく運用が一般的です。
Q: TikTokで採用活動を行う際の、主なデメリットや注意点は何ですか？
A: TikTok採用では、成果が出るまでに一定の時間を要する場合がある点や、発信内容によっては企業イメージに影響を与えるリスクがある点が挙げられます。エンターテインメント性を重視しすぎると、企業の意図や価値観が正しく伝わらず、誤解を招く可能性もあります。そのため、投稿前の内容確認やガイドラインの整備など、慎重な運用体制を整えることが重要とされています。</t>
        </is>
      </c>
      <c r="J42" s="47" t="n"/>
      <c r="K42" s="47" t="inlineStr">
        <is>
          <t>修正済</t>
        </is>
      </c>
      <c r="L42" s="47" t="inlineStr">
        <is>
          <t>未確認</t>
        </is>
      </c>
      <c r="M42" s="47" t="inlineStr">
        <is>
          <t>完了</t>
        </is>
      </c>
      <c r="N42" s="47" t="inlineStr">
        <is>
          <t>クリニック以外</t>
        </is>
      </c>
      <c r="O42" s="47" t="n"/>
      <c r="P42" s="47" t="n"/>
      <c r="Q42" s="47" t="n"/>
      <c r="R42" s="47" t="n"/>
    </row>
    <row r="43" ht="15.75" customHeight="1" s="185">
      <c r="A43" s="52">
        <f>row()-3</f>
        <v/>
      </c>
      <c r="B43" s="46" t="inlineStr">
        <is>
          <t>傾聴力とは？コミュニケーションで活用する目的やコツ・鍛え方・注意点</t>
        </is>
      </c>
      <c r="C43" s="10" t="inlineStr">
        <is>
          <t>https://dym.asia/media/listening-ability/</t>
        </is>
      </c>
      <c r="D43" s="47" t="inlineStr">
        <is>
          <t>傾聴力</t>
        </is>
      </c>
      <c r="E43" s="35" t="n">
        <v>22</v>
      </c>
      <c r="F43" s="36" t="n">
        <v>4.280518049049325</v>
      </c>
      <c r="G43" s="47" t="inlineStr">
        <is>
          <t>なし</t>
        </is>
      </c>
      <c r="H43" s="47" t="inlineStr">
        <is>
          <t>不可</t>
        </is>
      </c>
      <c r="I43" s="47" t="inlineStr">
        <is>
          <t>対応不要</t>
        </is>
      </c>
      <c r="J43" s="47" t="n"/>
      <c r="K43" s="47" t="inlineStr">
        <is>
          <t>対応不要</t>
        </is>
      </c>
      <c r="L43" s="47" t="inlineStr">
        <is>
          <t>対応不要</t>
        </is>
      </c>
      <c r="M43" s="47" t="inlineStr">
        <is>
          <t>対応不要</t>
        </is>
      </c>
      <c r="N43" s="47" t="inlineStr">
        <is>
          <t>クリニック以外</t>
        </is>
      </c>
      <c r="O43" s="47" t="n"/>
      <c r="P43" s="47" t="n"/>
      <c r="Q43" s="47" t="n"/>
      <c r="R43" s="47" t="n"/>
    </row>
    <row r="44" ht="15.75" customHeight="1" s="185">
      <c r="A44" s="52">
        <f>row()-3</f>
        <v/>
      </c>
      <c r="B44" s="46" t="inlineStr">
        <is>
          <t>HRとは？人事部との違いやビジネスにおける意味・具体的な仕事内容を解説</t>
        </is>
      </c>
      <c r="C44" s="10" t="inlineStr">
        <is>
          <t>https://dym.asia/media/hr/</t>
        </is>
      </c>
      <c r="D44" s="47" t="inlineStr">
        <is>
          <t>hr</t>
        </is>
      </c>
      <c r="E44" s="35" t="n">
        <v>21</v>
      </c>
      <c r="F44" s="36" t="n">
        <v>5.181474244377001</v>
      </c>
      <c r="G44" s="47" t="inlineStr">
        <is>
          <t>なし</t>
        </is>
      </c>
      <c r="H44" s="47" t="inlineStr">
        <is>
          <t>可</t>
        </is>
      </c>
      <c r="I44" s="47" t="inlineStr">
        <is>
          <t>Q: 採用活動において、近年特に重要視されている「HR Tech（HRテクノロジー）」とは何ですか？
A: HR Techとは、AI、クラウド、ビッグデータなどの最新IT技術を活用し、人事・採用業務の効率化と最適化を図る取り組みやサービスのことです。具体的には、採用管理システム（ATS）による選考プロセスの自動化、AIによる人材マッチング、従業員エンゲージメント測定ツールの導入などが含まれます。これにより、人事担当者は定型業務から解放され、戦略的な業務に集中できるようになります。
Q: 企業が優秀な人材を定着させるために、人事部門が注力すべきポイントは何ですか？
A: 優秀な人材を定着させるためには、単に給与を上げるだけでなく、「従業員エンゲージメントの向上」に注力すべきです。具体的には、公正な評価制度の導入、キャリアパスの明確化、ワークライフバランスを重視した柔軟な働き方の提供、そして従業員の意見を吸い上げる仕組み（サーベイなど）の構築が重要です。これにより、社員の会社への愛着や貢献意欲を高め、長期的な定着に繋がります。
Q: 中途採用で「即戦力」を求める際、企業が注意すべき点は何ですか？
A: 即戦力を採用する際、スキルや経験だけでなく「企業文化との適合性（カルチャーフィット）」を重視すべきです。前職での実績が豊富でも、企業の価値観や働き方になじめなければ、早期離職につながりかねません。面接では、過去の成功体験だけでなく、失敗からの学びやチームでの協調性など、パーソナリティや行動特性を深く掘り下げて確認し、自社の組織に定着できるかを慎重に見極めることが重要です。</t>
        </is>
      </c>
      <c r="J44" s="47" t="n"/>
      <c r="K44" s="47" t="inlineStr">
        <is>
          <t>OK</t>
        </is>
      </c>
      <c r="L44" s="47" t="inlineStr">
        <is>
          <t>未確認</t>
        </is>
      </c>
      <c r="M44" s="47" t="inlineStr">
        <is>
          <t>完了</t>
        </is>
      </c>
      <c r="N44" s="47" t="inlineStr">
        <is>
          <t>クリニック以外</t>
        </is>
      </c>
      <c r="O44" s="47" t="n"/>
      <c r="P44" s="47" t="n"/>
      <c r="Q44" s="47" t="n"/>
      <c r="R44" s="47" t="n"/>
    </row>
    <row r="45" ht="15.75" customHeight="1" s="185">
      <c r="A45" s="52">
        <f>row()-3</f>
        <v/>
      </c>
      <c r="B45" s="46" t="inlineStr">
        <is>
          <t>Indeed（インディード）の使い方や概要などを徹底解説！</t>
        </is>
      </c>
      <c r="C45" s="10" t="inlineStr">
        <is>
          <t>https://dym.asia/media/indeed-how-to-use/</t>
        </is>
      </c>
      <c r="D45" s="47" t="inlineStr">
        <is>
          <t>indeed 使い方</t>
        </is>
      </c>
      <c r="E45" s="35" t="n">
        <v>19</v>
      </c>
      <c r="F45" s="36" t="n">
        <v>7.90622763063708</v>
      </c>
      <c r="G45" s="47" t="inlineStr">
        <is>
          <t>なし</t>
        </is>
      </c>
      <c r="H45" s="47" t="inlineStr">
        <is>
          <t>可</t>
        </is>
      </c>
      <c r="I45" s="10" t="inlineStr">
        <is>
          <t>Q: Indeedの「無料掲載枠」と「有料掲載枠（スポンサー求人）」の最大の違いは何ですか？
A: 最大の違いは、求人情報の表示順位とリーチの広さです。無料掲載枠は費用がかからない代わりに、検索結果で下位に表示されやすく、特に人気職種では求職者の目に留まりにくいというデメリットがあります。一方、有料掲載枠（スポンサー求人）は、クリック課金制で費用が発生する代わりに、検索結果の上位に優先的に表示されるため、多くの求職者に知ってもらいやすく、応募数を増やしたい場合に有効です。
Q: 求職者としてIndeedを利用する際、「Indeed履歴書」のメリットは何ですか？
A: Indeed履歴書を作成する最大のメリットは、応募の手間を大幅に削減できることです。一度作成・アップロードしておけば、複数の求人に対して簡単に応募でき、応募の都度、書類を作成・添付する手間が省けます。また、Indeed履歴書の内容は企業からのスカウトの判断材料にもなるため、最新の経歴やスキルを登録しておくことで、企業からのアプローチを受ける可能性が高まります。
Q: 企業がIndeedで求人情報を上位に表示させるために、有料掲載以外でできる対策はありますか？
A: はい、有料掲載以外では、求人情報を「検索エンジン最適化（SEO）」することが重要です。具体的には、求人タイトルにターゲットとする職種やキーワードを適切に含めること、そして求人原稿の内容を充実させ、求職者の検索意図に沿った詳細な情報（勤務地、給与、仕事内容）を網羅することが有効です。これにより、Indeedの検索アルゴリズムがその求人を質の高い情報と判断し、無料枠でも表示順位が向上する可能性があります。
ぜひお問い合わせください。お問い合わせ先はこちら↓
https://dym.asia/contact/</t>
        </is>
      </c>
      <c r="J45" s="47" t="n"/>
      <c r="K45" s="47" t="inlineStr">
        <is>
          <t>OK</t>
        </is>
      </c>
      <c r="L45" s="47" t="inlineStr">
        <is>
          <t>未確認</t>
        </is>
      </c>
      <c r="M45" s="47" t="inlineStr">
        <is>
          <t>完了</t>
        </is>
      </c>
      <c r="N45" s="47" t="inlineStr">
        <is>
          <t>クリニック以外</t>
        </is>
      </c>
      <c r="O45" s="47" t="n"/>
      <c r="P45" s="47" t="n"/>
      <c r="Q45" s="47" t="n"/>
      <c r="R45" s="47" t="n"/>
    </row>
    <row r="46" ht="15.75" customHeight="1" s="185">
      <c r="A46" s="52">
        <f>row()-3</f>
        <v/>
      </c>
      <c r="B46" s="46" t="inlineStr">
        <is>
          <t>労災とは？労災保険の補償内容や認定の流れをわかりやすく解説</t>
        </is>
      </c>
      <c r="C46" s="10" t="inlineStr">
        <is>
          <t>https://dym.asia/media/industrial-accident/</t>
        </is>
      </c>
      <c r="D46" s="47" t="inlineStr">
        <is>
          <t>労災 流れ わかりやすく</t>
        </is>
      </c>
      <c r="E46" s="35" t="n">
        <v>19</v>
      </c>
      <c r="F46" s="36" t="n">
        <v>3.184893784421715</v>
      </c>
      <c r="G46" s="47" t="inlineStr">
        <is>
          <t>あり</t>
        </is>
      </c>
      <c r="H46" s="47" t="inlineStr">
        <is>
          <t>既存</t>
        </is>
      </c>
      <c r="I46" s="47" t="inlineStr">
        <is>
          <t>対応不要</t>
        </is>
      </c>
      <c r="J46" s="47" t="n"/>
      <c r="K46" s="47" t="inlineStr">
        <is>
          <t>対応不要</t>
        </is>
      </c>
      <c r="L46" s="47" t="inlineStr">
        <is>
          <t>対応不要</t>
        </is>
      </c>
      <c r="M46" s="47" t="inlineStr">
        <is>
          <t>対応不要</t>
        </is>
      </c>
      <c r="N46" s="47" t="inlineStr">
        <is>
          <t>クリニック以外</t>
        </is>
      </c>
      <c r="O46" s="47" t="n"/>
      <c r="P46" s="47" t="n"/>
      <c r="Q46" s="47" t="n"/>
      <c r="R46" s="47" t="n"/>
    </row>
    <row r="47" ht="15.75" customHeight="1" s="185">
      <c r="A47" s="52">
        <f>row()-3</f>
        <v/>
      </c>
      <c r="B47" s="46" t="inlineStr">
        <is>
          <t>SNS運用代行費用相場、おすすめ会社のポイント</t>
        </is>
      </c>
      <c r="C47" s="10" t="inlineStr">
        <is>
          <t>https://dym.asia/media/sns-market/</t>
        </is>
      </c>
      <c r="D47" s="47" t="inlineStr">
        <is>
          <t>オープンリーチ 値段</t>
        </is>
      </c>
      <c r="E47" s="35" t="n">
        <v>19</v>
      </c>
      <c r="F47" s="36" t="n">
        <v>2.266666666666667</v>
      </c>
      <c r="G47" s="47" t="inlineStr">
        <is>
          <t>なし</t>
        </is>
      </c>
      <c r="H47" s="47" t="inlineStr">
        <is>
          <t>可</t>
        </is>
      </c>
      <c r="I47" s="10" t="inlineStr">
        <is>
          <t>Q: SNS運用代行を依頼する際、月額10万円のプランでどこまで任せられますか？
A: 月額10万円程度の費用を抑えたプランでは、相場、基本的なアカウント運用と投稿代行が中心となります。具体的には、週数回の投稿コンテンツ作成（テキスト・簡単な画像）や、投稿スケジュールの管理、そしてフォロワーの基本的なエンゲージメント管理などが含まれます。ただし、詳細な分析レポートの作成や広告運用、大規模なキャンペーン企画などは、より高額なプラン（月20～30万円以上）になることが多いです。DYMの詳しいサービスが気になる場合はお気軽にお問い合わせください。
お問い合わせ先はこちら↓
https://dym.asia/contact/
Q: SNS運用代行の最大のメリットである「自社リソースの活用」とは、具体的にどういうことですか？
A: SNS運用代行を利用することで、社内の限られた人的リソースを、コアビジネス（例：商品開発、営業、顧客対応）に集中できるようになります。SNS運用は、コンテンツ企画、デザイン制作、投稿、効果測定、トレンド調査など多岐にわたり、時間と専門知識を要します。これらをプロの代行会社に任せることで、社内の担当者は本業の生産性を落とすことなく、SNSを効率的なマーケティングチャネルとして活用できます。
Q: SNS運用代行会社を選ぶ際、「同業界での実績」を重視すべきなのはなぜですか？
A: 同業界での実績を持つ代行会社を重視すべきなのは、その業界特有の「フォロワーの特性」「バズりやすいコンテンツの傾向」「業界の規制や慣習」について、既に深いノウハウを持っているためです。これにより、一から市場調査を行う必要がなく、より早く、より正確にターゲットに響く投稿戦略を実行できるため、効果が出るまでの時間を短縮し、費用対効果を高めることが期待できます。</t>
        </is>
      </c>
      <c r="J47" s="47" t="n"/>
      <c r="K47" s="47" t="inlineStr">
        <is>
          <t>OK</t>
        </is>
      </c>
      <c r="L47" s="47" t="inlineStr">
        <is>
          <t>未確認</t>
        </is>
      </c>
      <c r="M47" s="47" t="inlineStr">
        <is>
          <t>完了</t>
        </is>
      </c>
      <c r="N47" s="47" t="inlineStr">
        <is>
          <t>クリニック以外</t>
        </is>
      </c>
      <c r="O47" s="47" t="n"/>
      <c r="P47" s="47" t="n"/>
      <c r="Q47" s="47" t="n"/>
      <c r="R47" s="47" t="n"/>
    </row>
    <row r="48" ht="15.75" customHeight="1" s="185">
      <c r="A48" s="52">
        <f>row()-3</f>
        <v/>
      </c>
      <c r="B48" s="46" t="inlineStr">
        <is>
          <t>メタ認知とは？メタ認知能力の高い人・低い人の特徴・トレーニング方法を解説</t>
        </is>
      </c>
      <c r="C48" s="10" t="inlineStr">
        <is>
          <t>https://dym.asia/media/metacognition/</t>
        </is>
      </c>
      <c r="D48" s="47" t="inlineStr">
        <is>
          <t>メタ認知 低い人 特徴</t>
        </is>
      </c>
      <c r="E48" s="35" t="n">
        <v>18</v>
      </c>
      <c r="F48" s="36" t="n">
        <v>7.223522853957636</v>
      </c>
      <c r="G48" s="47" t="inlineStr">
        <is>
          <t>なし</t>
        </is>
      </c>
      <c r="H48" s="47" t="inlineStr">
        <is>
          <t>可</t>
        </is>
      </c>
      <c r="I48" s="47" t="inlineStr">
        <is>
          <t>Q: メタ認知能力を高めることで、仕事上のどんな能力が向上しますか？
A: メタ認知能力を高めることで、主に問題解決力、戦略策定力、そしてコミュニケーション能力が向上します。自分の思考や進捗を客観的に監視（モニタリング）し、効果的でないと判断すれば行動を修正（コントロール）できるため、困難な課題にも冷静に対処し、最適な解決策を選択できるようになります。また、自分の言動が相手に与える影響を予測できるようになり、柔軟で円滑なコミュニケーションが可能になります。
Q: メタ認知を構成する「モニタリング」と「コントロール」は、それぞれどのような行動を指しますか？
A: モニタリングは、自分の認知活動（思考、感情、行動、理解度など）を常に客観的に観察し、評価するプロセスです。例えば、「今、自分は焦っているな」と気づくことがこれにあたります。一方、コントロールは、モニタリングの結果に基づいて、認知活動を意図的に調整・修正するプロセスです。例えば、「焦っているから、一度深呼吸して手順を見直そう」と行動を変えることがコントロールに該当します。
Q: メタ認知能力を向上させるための、具体的なトレーニング方法を教えてください。
A: メタ認知能力を高める具体的なトレーニング方法には、セルフモニタリング（自分の思考や行動を記録・観察する）、フリーライティング（特定のテーマについて思考を自由に書き出す）、瞑想（思考を客観的に観察する練習）、そして客観的な自己評価（第三者の視点から自分の行動を分析する）などがあります。これらの実践を通じて、自己を俯瞰する視点を養い、認知プロセスを意識的に制御する力を鍛えることができます。</t>
        </is>
      </c>
      <c r="J48" s="47" t="n"/>
      <c r="K48" s="47" t="inlineStr">
        <is>
          <t>OK</t>
        </is>
      </c>
      <c r="L48" s="47" t="inlineStr">
        <is>
          <t>未確認</t>
        </is>
      </c>
      <c r="M48" s="47" t="inlineStr">
        <is>
          <t>完了</t>
        </is>
      </c>
      <c r="N48" s="47" t="inlineStr">
        <is>
          <t>クリニック以外</t>
        </is>
      </c>
      <c r="O48" s="47" t="n"/>
      <c r="P48" s="47" t="n"/>
      <c r="Q48" s="47" t="n"/>
      <c r="R48" s="47" t="n"/>
    </row>
    <row r="49" ht="15.75" customHeight="1" s="185">
      <c r="A49" s="52">
        <f>row()-3</f>
        <v/>
      </c>
      <c r="B49" s="46" t="inlineStr">
        <is>
          <t>EQとは？IQとの違いや高い人の特徴を解説</t>
        </is>
      </c>
      <c r="C49" s="6" t="inlineStr">
        <is>
          <t>https://dym.asia/media/eq/</t>
        </is>
      </c>
      <c r="D49" s="47" t="inlineStr">
        <is>
          <t>iq eq</t>
        </is>
      </c>
      <c r="E49" s="35" t="n">
        <v>17</v>
      </c>
      <c r="F49" s="36" t="n">
        <v>7.767326732673268</v>
      </c>
      <c r="G49" s="47" t="inlineStr">
        <is>
          <t>なし</t>
        </is>
      </c>
      <c r="H49" s="47" t="inlineStr">
        <is>
          <t>不可</t>
        </is>
      </c>
      <c r="I49" s="47" t="inlineStr">
        <is>
          <t>対応不要</t>
        </is>
      </c>
      <c r="J49" s="47" t="n"/>
      <c r="K49" s="47" t="inlineStr">
        <is>
          <t>対応不要</t>
        </is>
      </c>
      <c r="L49" s="47" t="inlineStr">
        <is>
          <t>対応不要</t>
        </is>
      </c>
      <c r="M49" s="47" t="inlineStr">
        <is>
          <t>対応不要</t>
        </is>
      </c>
      <c r="N49" s="47" t="inlineStr">
        <is>
          <t>クリニック以外</t>
        </is>
      </c>
      <c r="O49" s="47" t="n"/>
      <c r="P49" s="47" t="n"/>
      <c r="Q49" s="47" t="n"/>
      <c r="R49" s="47" t="n"/>
    </row>
    <row r="50" ht="15.75" customHeight="1" s="185">
      <c r="A50" s="52">
        <f>row()-3</f>
        <v/>
      </c>
      <c r="B50" s="46" t="inlineStr">
        <is>
          <t>インフルエンサーとは？SNSでの影響力を解説</t>
        </is>
      </c>
      <c r="C50" s="6" t="inlineStr">
        <is>
          <t>https://dym.asia/media/influencer/</t>
        </is>
      </c>
      <c r="D50" s="47" t="inlineStr">
        <is>
          <t>インフルエンサー 影響力</t>
        </is>
      </c>
      <c r="E50" s="35" t="n">
        <v>17</v>
      </c>
      <c r="F50" s="36" t="n">
        <v>1.521072796934866</v>
      </c>
      <c r="G50" s="47" t="inlineStr">
        <is>
          <t>なし</t>
        </is>
      </c>
      <c r="H50" s="47" t="inlineStr">
        <is>
          <t>不可</t>
        </is>
      </c>
      <c r="I50" s="47" t="inlineStr">
        <is>
          <t>対応不要</t>
        </is>
      </c>
      <c r="J50" s="47" t="n"/>
      <c r="K50" s="47" t="inlineStr">
        <is>
          <t>対応不要</t>
        </is>
      </c>
      <c r="L50" s="47" t="inlineStr">
        <is>
          <t>対応不要</t>
        </is>
      </c>
      <c r="M50" s="47" t="inlineStr">
        <is>
          <t>対応不要</t>
        </is>
      </c>
      <c r="N50" s="47" t="inlineStr">
        <is>
          <t>クリニック以外</t>
        </is>
      </c>
      <c r="O50" s="47" t="n"/>
      <c r="P50" s="47" t="n"/>
      <c r="Q50" s="47" t="n"/>
      <c r="R50" s="47" t="n"/>
    </row>
    <row r="51" ht="15.75" customHeight="1" s="185">
      <c r="A51" s="52">
        <f>row()-3</f>
        <v/>
      </c>
      <c r="B51" s="46" t="inlineStr">
        <is>
          <t>さとり世代の特徴｜年齢や価値観、ゆとり世代との違い</t>
        </is>
      </c>
      <c r="C51" s="6" t="inlineStr">
        <is>
          <t>https://dym.asia/media/satori-generation/</t>
        </is>
      </c>
      <c r="D51" s="47" t="inlineStr">
        <is>
          <t>さとり世代</t>
        </is>
      </c>
      <c r="E51" s="35" t="n">
        <v>16</v>
      </c>
      <c r="F51" s="36" t="n">
        <v>6.775052815284284</v>
      </c>
      <c r="G51" s="47" t="inlineStr">
        <is>
          <t>なし</t>
        </is>
      </c>
      <c r="H51" s="47" t="inlineStr">
        <is>
          <t>可</t>
        </is>
      </c>
      <c r="I51" s="47" t="inlineStr">
        <is>
          <t>Q: さとり世代の主な年齢層は、いつの年代に生まれた人たちを指しますか？
A: さとり世代は、一般的に1980年代後半から2000年代前半に生まれた人々を指す言葉として使われることが多い世代区分です。バブル崩壊後の経済環境や、インターネットやスマートフォンなどデジタル技術の発展期に成長したことが、現実的で安定志向とされる価値観に影響していると考えられています。
Q: さとり世代が仕事でモチベーションを維持しやすくするには、どのような関わり方が効果的ですか？
A: さとり世代は効率性や合理性を重視する傾向があるとされており、精神論よりも納得感のある説明や評価を重視する関わり方が効果的とされています。業務の目的や背景を明確に伝えることや、進め方の指針を示すこと、主体性を尊重したコミュニケーションを行うことで、前向きに取り組みやすくなると考えられます。また、ワークライフバランスへの配慮も、モチベーション維持の一因とされています。
Q: さとり世代と「ゆとり世代」は、価値観の面でどのような違いがあるとされていますか？
A: さとり世代とゆとり世代は、年代が一部重なることもあり明確な線引きがあるわけではありませんが、一般的には価値観の傾向に違いがあるとされています。ゆとり世代は協調性を重視する傾向があると語られることが多い一方で、さとり世代は個人の判断や合理性を重視し、自ら情報を収集して意思決定する姿勢が強いとされる点が特徴として挙げられます。また、デジタル環境への親和性が高い点も一つの違いとして言及されることがあります。</t>
        </is>
      </c>
      <c r="J51" s="47" t="n"/>
      <c r="K51" s="47" t="inlineStr">
        <is>
          <t>修正済</t>
        </is>
      </c>
      <c r="L51" s="47" t="inlineStr">
        <is>
          <t>未確認</t>
        </is>
      </c>
      <c r="M51" s="47" t="inlineStr">
        <is>
          <t>完了</t>
        </is>
      </c>
      <c r="N51" s="47" t="inlineStr">
        <is>
          <t>クリニック以外</t>
        </is>
      </c>
      <c r="O51" s="47" t="n"/>
      <c r="P51" s="47" t="n"/>
      <c r="Q51" s="47" t="n"/>
      <c r="R51" s="47" t="n"/>
    </row>
    <row r="52" ht="15.75" customHeight="1" s="185">
      <c r="A52" s="52">
        <f>row()-3</f>
        <v/>
      </c>
      <c r="B52" s="46" t="inlineStr">
        <is>
          <t>SNSコンサルとは？運用代行との違いや流れ、業務内容や費用相場についても解説</t>
        </is>
      </c>
      <c r="C52" s="10" t="inlineStr">
        <is>
          <t>https://dym.asia/media/sns_consulting/</t>
        </is>
      </c>
      <c r="D52" s="47" t="inlineStr">
        <is>
          <t>snsコンサル 相場</t>
        </is>
      </c>
      <c r="E52" s="35" t="n">
        <v>16</v>
      </c>
      <c r="F52" s="36" t="n">
        <v>4.118721461187214</v>
      </c>
      <c r="G52" s="47" t="inlineStr">
        <is>
          <t>なし</t>
        </is>
      </c>
      <c r="H52" s="47" t="inlineStr">
        <is>
          <t>可</t>
        </is>
      </c>
      <c r="I52" s="10" t="inlineStr">
        <is>
          <t>Q: SNSコンサルとSNS運用代行は、具体的にどのような業務内容が異なりますか？
A: SNSコンサルは主に「戦略立案」「データ分析」「改善のアドバイス」「KPI策定」といった上流工程（頭脳労働）を担当します。一方、SNS運用代行は主に「SNS投稿」「コンテンツ制作」「コメント管理」といった実務部分（実行）を担当します。企業のニーズやリソースによって、コンサルティングで戦略のみを依頼するか、運用代行で実務まで委託するかを選択するのが一般的です。
Q: SNSコンサルティングの費用相場は、月額でどれくらいを目安にすれば良いですか？
A: SNSコンサルティングの費用相場は、依頼するサポート範囲によって大きく異なります。基本的な戦略アドバイスやレポート提示のみであれば月額3万円から10万円程度が目安です。しかし、市場調査、詳細な戦略立案、インフルエンサー起用を含む企画、および運用代行の実務支援までを依頼する場合は、月額15万円から30万円以上となることが多いです。DYMの詳しいサービスが気になる方はお気軽にお問い合わせください。
お問い合わせ先はこちら↓
https://dym.asia/contact/
Q: SNSコンサルを利用しても、すぐに売上やフォロワー増加などの効果は期待できますか？
A: すぐに目に見える効果（特に売上やコンバージョン）が出ることは稀であり、即効性は期待できないことを理解しておく必要があります。SNS運用は、ターゲット層のファン化やブランド認知度の向上など、中長期的な成果を目指すマーケティング施策です。コンサル会社に依頼した場合でも、最低でも3ヶ月から半年はPDCAサイクルを回し、効果測定と改善を継続することで、初めて明確な成果が見え始めると考えましょう。</t>
        </is>
      </c>
      <c r="J52" s="47" t="n"/>
      <c r="K52" s="47" t="inlineStr">
        <is>
          <t>OK</t>
        </is>
      </c>
      <c r="L52" s="47" t="inlineStr">
        <is>
          <t>未確認</t>
        </is>
      </c>
      <c r="M52" s="47" t="inlineStr">
        <is>
          <t>完了</t>
        </is>
      </c>
      <c r="N52" s="47" t="inlineStr">
        <is>
          <t>クリニック以外</t>
        </is>
      </c>
      <c r="O52" s="47" t="n"/>
      <c r="P52" s="47" t="n"/>
      <c r="Q52" s="47" t="n"/>
      <c r="R52" s="47" t="n"/>
    </row>
    <row r="53" ht="15.75" customHeight="1" s="185">
      <c r="A53" s="52">
        <f>row()-3</f>
        <v/>
      </c>
      <c r="B53" s="46" t="inlineStr">
        <is>
          <t>VUCA時代とは？2つの戦略や業界別の具体的な対策例を紹介</t>
        </is>
      </c>
      <c r="C53" s="6" t="inlineStr">
        <is>
          <t>https://dym.asia/media/vuca/</t>
        </is>
      </c>
      <c r="D53" s="47" t="inlineStr">
        <is>
          <t>vuca 古い</t>
        </is>
      </c>
      <c r="E53" s="35" t="n">
        <v>16</v>
      </c>
      <c r="F53" s="36" t="n">
        <v>3.93359375</v>
      </c>
      <c r="G53" s="47" t="inlineStr">
        <is>
          <t>あり</t>
        </is>
      </c>
      <c r="H53" s="47" t="inlineStr">
        <is>
          <t>既存</t>
        </is>
      </c>
      <c r="I53" s="47" t="inlineStr">
        <is>
          <t>対応不要</t>
        </is>
      </c>
      <c r="J53" s="47" t="n"/>
      <c r="K53" s="47" t="inlineStr">
        <is>
          <t>対応不要</t>
        </is>
      </c>
      <c r="L53" s="47" t="inlineStr">
        <is>
          <t>対応不要</t>
        </is>
      </c>
      <c r="M53" s="47" t="inlineStr">
        <is>
          <t>対応不要</t>
        </is>
      </c>
      <c r="N53" s="47" t="inlineStr">
        <is>
          <t>クリニック以外</t>
        </is>
      </c>
      <c r="O53" s="47" t="n"/>
      <c r="P53" s="47" t="n"/>
      <c r="Q53" s="47" t="n"/>
      <c r="R53" s="47" t="n"/>
    </row>
    <row r="54" ht="15.75" customHeight="1" s="185">
      <c r="A54" s="52">
        <f>row()-3</f>
        <v/>
      </c>
      <c r="B54" s="46" t="inlineStr">
        <is>
          <t>顧問とは？相談役との違いや意味・役割をわかりやすく解説</t>
        </is>
      </c>
      <c r="C54" s="10" t="inlineStr">
        <is>
          <t>https://dym.asia/media/advisors/</t>
        </is>
      </c>
      <c r="D54" s="47" t="inlineStr">
        <is>
          <t>顧問</t>
        </is>
      </c>
      <c r="E54" s="35" t="n">
        <v>15</v>
      </c>
      <c r="F54" s="36" t="n">
        <v>3.750613428507696</v>
      </c>
      <c r="G54" s="47" t="inlineStr">
        <is>
          <t>なし</t>
        </is>
      </c>
      <c r="H54" s="47" t="inlineStr">
        <is>
          <t>可</t>
        </is>
      </c>
      <c r="I54" s="47" t="inlineStr">
        <is>
          <t>Q: 企業がアドバイザリー契約を結ぶ主な目的は何ですか？顧問契約との違いはどのように捉えられていますか？
A: アドバイザリー契約は、専門的な知識や高度なノウハウを活用し、特定の経営課題への対応や事業戦略の検討など、重要な意思決定を支援してもらうことを目的として結ばれるケースが多いとされています。一方で、顧問契約は、法務顧問や税務顧問などに代表されるように、定期的・継続的な相談業務を担う形態として用いられることが一般的だと言われています。アドバイザリー契約は、M&amp;AやIPO、新規事業立ち上げなど、一定期間に区切って専門性の高いテーマに取り組む場面で活用されることが多く、より具体的な戦略立案や助言が期待される傾向があります。
Q: アドバイザリー契約の費用（報酬）の相場には、どのような目安がありますか？
A: アドバイザリー契約の報酬は、アドバイザーの専門性や実績、契約期間、業務範囲などによって大きく異なるとされています。報酬体系としては、「月額固定報酬」「時間報酬（タイムチャージ）」「成功報酬」といった形が採用されることが多く、それぞれ業務内容や目的に応じて使い分けられます。金額の目安としては、月額で数十万円程度から、成功報酬の場合は案件規模に応じて一定割合が設定されるケースもあるとされています。
Q: 優秀なアドバイザーを選定する際に、注目すべきポイントは何ですか？
A: アドバイザー選定においては、「専門分野での実績」「自社課題への理解度」「経営者との相性」といった点が重視されることが多いとされています。自社の課題に近いテーマでの支援実績があるかを確認するとともに、知識提供にとどまらず、事業や組織の状況を踏まえた現実的な助言ができるかを見極めることが重要です。また、一定期間にわたって関わるケースも多いため、価値観やコミュニケーションの取りやすさも重要な判断材料とされています。</t>
        </is>
      </c>
      <c r="J54" s="47" t="n"/>
      <c r="K54" s="47" t="inlineStr">
        <is>
          <t>修正済</t>
        </is>
      </c>
      <c r="L54" s="47" t="inlineStr">
        <is>
          <t>未確認</t>
        </is>
      </c>
      <c r="M54" s="47" t="inlineStr">
        <is>
          <t>完了</t>
        </is>
      </c>
      <c r="N54" s="47" t="inlineStr">
        <is>
          <t>クリニック以外</t>
        </is>
      </c>
      <c r="O54" s="47" t="n"/>
      <c r="P54" s="47" t="n"/>
      <c r="Q54" s="47" t="n"/>
      <c r="R54" s="47" t="n"/>
    </row>
    <row r="55" ht="15.75" customHeight="1" s="185">
      <c r="A55" s="52">
        <f>row()-3</f>
        <v/>
      </c>
      <c r="B55" s="46" t="inlineStr">
        <is>
          <t>OJTとは？意味やOFF-JTとの違い、研修のやり方を解説</t>
        </is>
      </c>
      <c r="C55" s="6" t="inlineStr">
        <is>
          <t>https://dym.asia/media/business-ojt/</t>
        </is>
      </c>
      <c r="D55" s="47" t="inlineStr">
        <is>
          <t>ojtとは</t>
        </is>
      </c>
      <c r="E55" s="35" t="n">
        <v>15</v>
      </c>
      <c r="F55" s="36" t="n">
        <v>6.621633362293657</v>
      </c>
      <c r="G55" s="47" t="inlineStr">
        <is>
          <t>なし</t>
        </is>
      </c>
      <c r="H55" s="47" t="inlineStr">
        <is>
          <t>可</t>
        </is>
      </c>
      <c r="I55" s="47" t="inlineStr">
        <is>
          <t>Q: OJT（On-the-Job Training）とOFF-JTは、どのように使い分けるのが最も効果的ですか？
A: OJTは実務を通して実践的なスキルや知識、業務の進め方を学ぶのに向いており、即戦力化に効果的です。一方、OFF-JT（Off-the-Job Training：集合研修など）は、理論的な背景、業界の基礎知識、ビジネスマナーなど、体系的な知識を効率よく学ぶのに向いています。最も効果的なのは、OFF-JTで基礎知識や理論をインプットした後、OJTで実際の業務に落とし込み、実践的なスキルを習得するという組み合わせです。
Q: OJTを導入するデメリットとして、「指導の質のばらつき」を防ぐにはどうすれば良いですか？
A: 指導の質のばらつきを防ぐには、指導者（トレーナー）の選定と教育が非常に重要です。具体的には、OJTの目的や評価基準を統一したマニュアルを整備すること、指導者自身に指導方法やフィードバックのスキルを学ばせるための研修を行うこと、そして指導者間の情報共有の場（ミーティングなど）を設けることが効果的です。これにより、OJTの質を一定に保ち、研修生全員が平等な機会を得られるようにします。
Q: OJT教育研修を成功させるために、指導者が必ず踏むべきステップ（やり方）は何ですか？
A: OJTを効果的に実施するための基本的なステップは、「OJTの4段階法」に基づいて進めることです。具体的には、1. Show（やって見せる）、2. Tell（説明させる）、3. Do（やらせてみる）、4. Check（評価・フィードバックする）の順で実施します。特に、研修生に「なぜその作業が必要なのか」という目的を理解させ、習熟度に合わせて難易度の低い業務から段階的に進めることが、OJTを成功させる鍵となります。</t>
        </is>
      </c>
      <c r="J55" s="47" t="n"/>
      <c r="K55" s="47" t="inlineStr">
        <is>
          <t>OK</t>
        </is>
      </c>
      <c r="L55" s="47" t="inlineStr">
        <is>
          <t>未確認</t>
        </is>
      </c>
      <c r="M55" s="47" t="inlineStr">
        <is>
          <t>完了</t>
        </is>
      </c>
      <c r="N55" s="47" t="inlineStr">
        <is>
          <t>クリニック以外</t>
        </is>
      </c>
      <c r="O55" s="47" t="n"/>
      <c r="P55" s="47" t="n"/>
      <c r="Q55" s="47" t="n"/>
      <c r="R55" s="47" t="n"/>
    </row>
    <row r="56" ht="15.75" customHeight="1" s="185">
      <c r="A56" s="52">
        <f>row()-3</f>
        <v/>
      </c>
      <c r="B56" s="46" t="inlineStr">
        <is>
          <t>サッカーリーグのスポンサー｜その重要性と仕組み、金額、チーム事例を紹介</t>
        </is>
      </c>
      <c r="C56" s="6" t="inlineStr">
        <is>
          <t>https://dym.asia/media/soccer-sponsor/</t>
        </is>
      </c>
      <c r="D56" s="47" t="inlineStr">
        <is>
          <t>サッカー スポンサー 金額</t>
        </is>
      </c>
      <c r="E56" s="35" t="n">
        <v>15</v>
      </c>
      <c r="F56" s="36" t="n">
        <v>3.44055944055944</v>
      </c>
      <c r="G56" s="47" t="inlineStr">
        <is>
          <t>なし</t>
        </is>
      </c>
      <c r="H56" s="47" t="inlineStr">
        <is>
          <t>可</t>
        </is>
      </c>
      <c r="I56" s="47" t="inlineStr">
        <is>
          <t>Q: サッカーチームのスポンサーになることは、企業にとってどのようなメリットがあるとされていますか？
A: サッカーチームのスポンサーになることで、企業ブランドの認知度やイメージ向上が期待される点がメリットとして挙げられます。ユニフォームやスタジアム内でのロゴ掲出を通じて、試合中継やニュースなどで多くの視聴者の目に触れる機会が生まれ、継続的な露出につながります。また、サッカーが持つチームワークや情熱、健全性といったイメージが企業ブランドと結びつくことで、好意的な印象を持たれやすくなる場合もあります。
Q: スポンサー契約における「メインスポンサー」と「スタジアム命名権」には、どのような違いがありますか？
A: メインスポンサーは、主にユニフォームの胸部分などにロゴを掲出する契約形態で、試合ごとの露出機会が多く、認知度向上を重視する企業に選ばれることが多いとされています。一方、スタジアム命名権（ネーミングライツ）は、ホームスタジアムの名称に企業名を使用する権利であり、比較的長期間にわたってブランド名が定着しやすい点が特徴です。地域社会との結びつきや継続的なブランディングを目的として活用されるケースが多く見られます。
Q: サッカーチームのスポンサー料は、どのような要素によって変動しますか？
A: スポンサー料は、チームの知名度やファン層の規模、競技成績などの要素によって左右されるとされています。メディア露出が多く、注目度の高いチームや、リーグ戦・国際大会で好成績を収めているチームほど、広告価値が高いと評価されやすく、その結果としてスポンサー料も高めに設定される傾向があります。加えて、所属リーグの規模やスタジアムの立地・収容人数なども、金額に影響を与える要素とされています。</t>
        </is>
      </c>
      <c r="J56" s="47" t="n"/>
      <c r="K56" s="47" t="inlineStr">
        <is>
          <t>修正済</t>
        </is>
      </c>
      <c r="L56" s="47" t="inlineStr">
        <is>
          <t>未確認</t>
        </is>
      </c>
      <c r="M56" s="47" t="inlineStr">
        <is>
          <t>完了</t>
        </is>
      </c>
      <c r="N56" s="47" t="inlineStr">
        <is>
          <t>クリニック以外</t>
        </is>
      </c>
      <c r="O56" s="47" t="n"/>
      <c r="P56" s="47" t="n"/>
      <c r="Q56" s="47" t="n"/>
      <c r="R56" s="47" t="n"/>
    </row>
    <row r="57" ht="15.75" customHeight="1" s="185">
      <c r="A57" s="52">
        <f>row()-3</f>
        <v/>
      </c>
      <c r="B57" s="46" t="inlineStr">
        <is>
          <t>顧問とは？役員との違い、顧問の意味や種類と役割</t>
        </is>
      </c>
      <c r="C57" s="6" t="inlineStr">
        <is>
          <t>https://dym.asia/media/advisor-company/</t>
        </is>
      </c>
      <c r="D57" s="47" t="inlineStr">
        <is>
          <t>顧問</t>
        </is>
      </c>
      <c r="E57" s="35" t="n">
        <v>14</v>
      </c>
      <c r="F57" s="36" t="n">
        <v>10.86273333333333</v>
      </c>
      <c r="G57" s="47" t="inlineStr">
        <is>
          <t>なし</t>
        </is>
      </c>
      <c r="H57" s="47" t="inlineStr">
        <is>
          <t>可</t>
        </is>
      </c>
      <c r="I57" s="47" t="inlineStr">
        <is>
          <t>Q: 顧問と役員（取締役）の一番大きな違いは何ですか？
A: 顧問と役員の最も大きな違いは、法的な位置づけと意思決定権です。役員（取締役）は会社法で定められた法定の経営機関であり、会社の業務執行や意思決定に直接関与し、法的責任を負います。一方、顧問は会社法上の役職ではなく、あくまで経営層に助言や補佐を行う立場であり、意思決定権や業務執行権、法的責任を負わない点が根本的に異なります。
Q: 外部顧問を企業が活用する主なメリットは何ですか？
A: 外部顧問を活用する最大のメリットは、企業内部にはない高度な専門知識や客観的な視点を迅速に導入できる点です。特定の専門分野（法務、M&amp;A、IT技術など）に精通した外部顧問は、業界全体のトレンドや他社の成功事例に基づいた新しい戦略や発想を提供できます。また、社内の人間関係やしがらみに囚われず、客観的な現状分析や大胆な改革案を提示できる点も大きな利点です。
Q: 顧問には「常勤顧問」「非常勤顧問」「リモート顧問」がありますが、報酬の目安はどれくらいですか？
A: 顧問の報酬は、その勤務形態、専門性、および役割によって大きく異なります。一般的に、非常勤顧問（月に数回程度の勤務）の場合、月額報酬は数十万円程度が目安となることが多いです。常勤顧問は通常の役員に近い待遇となる傾向があります。また、外部の業務委託契約に基づく顧問の場合、専門性やプロジェクトの難易度によって報酬が設定されるため、事前の契約内容の確認が重要です。</t>
        </is>
      </c>
      <c r="J57" s="47" t="n"/>
      <c r="K57" s="47" t="inlineStr">
        <is>
          <t>OK</t>
        </is>
      </c>
      <c r="L57" s="47" t="inlineStr">
        <is>
          <t>未確認</t>
        </is>
      </c>
      <c r="M57" s="47" t="inlineStr">
        <is>
          <t>完了</t>
        </is>
      </c>
      <c r="N57" s="47" t="inlineStr">
        <is>
          <t>クリニック以外</t>
        </is>
      </c>
      <c r="O57" s="47" t="n"/>
      <c r="P57" s="47" t="n"/>
      <c r="Q57" s="47" t="n"/>
      <c r="R57" s="47" t="n"/>
    </row>
    <row r="58" ht="15.75" customHeight="1" s="185">
      <c r="A58" s="52">
        <f>row()-3</f>
        <v/>
      </c>
      <c r="B58" s="46" t="inlineStr">
        <is>
          <t>休眠会社の定義とは？会社を休眠させるメリットや休眠から復活の手続きを流れで解説</t>
        </is>
      </c>
      <c r="C58" s="10" t="inlineStr">
        <is>
          <t>https://dym.asia/media/dormant-company/</t>
        </is>
      </c>
      <c r="D58" s="47" t="inlineStr">
        <is>
          <t>休眠会社</t>
        </is>
      </c>
      <c r="E58" s="35" t="n">
        <v>14</v>
      </c>
      <c r="F58" s="36" t="n">
        <v>9.053336641032002</v>
      </c>
      <c r="G58" s="47" t="inlineStr">
        <is>
          <t>なし</t>
        </is>
      </c>
      <c r="H58" s="47" t="inlineStr">
        <is>
          <t>可</t>
        </is>
      </c>
      <c r="I58" s="47" t="inlineStr">
        <is>
          <t>Q: 休眠会社とは、法的に「廃業」や「解散」した状態と同じですか？
A: 休眠会社は、廃業や解散とは異なり、法的には会社が存続している状態とされています。事業活動を一時的に停止しているにすぎず、所定の手続きを行えば再び事業を開始することも可能です。このように、法人格が消滅する廃業や解散とは異なり、将来的な再開の余地がある点が休眠会社の特徴とされています。
Q: 会社を休眠させた場合、税金の負担はどのように変わりますか？
A: 休眠会社は事業活動による収益が発生しないケースが多いため、一般的には法人税や法人事業税、消費税について課税されない可能性があります。ただし、法人格が存続している以上、法人住民税の均等割については原則として課税対象となり、自治体によっては年間数万円程度の負担が生じる場合があります。なお、均等割については、自治体への届出により減額や免除が認められるケースもあるため、個別の取り扱いについては確認が必要です。
Q: 休眠会社を長期間そのままにしておくと、どのようなリスクがありますか？
A: 休眠会社を長期間放置していると、法務局による「みなし解散」となるリスクがあるとされています。株式会社の場合、最後の登記から一定期間（現行制度では12年）を経過すると、法務局から通知が送付され、その後所定の対応を行わない場合に職権で解散登記がなされる可能性があります。また、役員任期の満了に伴う役員変更登記を行わなかった場合には、過料が科されるおそれもあるため、最低限の法的手続きは継続して行う必要があります。</t>
        </is>
      </c>
      <c r="J58" s="47" t="n"/>
      <c r="K58" s="47" t="inlineStr">
        <is>
          <t>修正済</t>
        </is>
      </c>
      <c r="L58" s="47" t="inlineStr">
        <is>
          <t>未確認</t>
        </is>
      </c>
      <c r="M58" s="47" t="inlineStr">
        <is>
          <t>完了</t>
        </is>
      </c>
      <c r="N58" s="47" t="inlineStr">
        <is>
          <t>クリニック以外</t>
        </is>
      </c>
      <c r="O58" s="47" t="n"/>
      <c r="P58" s="47" t="n"/>
      <c r="Q58" s="47" t="n"/>
      <c r="R58" s="47" t="n"/>
    </row>
    <row r="59" ht="15.75" customHeight="1" s="185">
      <c r="A59" s="52">
        <f>row()-3</f>
        <v/>
      </c>
      <c r="B59" s="46" t="inlineStr">
        <is>
          <t>残業時間の上限規制：36協定で年間上限は？</t>
        </is>
      </c>
      <c r="C59" s="10" t="inlineStr">
        <is>
          <t>https://dym.asia/media/overtime-upper-limit/</t>
        </is>
      </c>
      <c r="D59" s="47" t="inlineStr">
        <is>
          <t>dym 残業時間</t>
        </is>
      </c>
      <c r="E59" s="35" t="n">
        <v>14</v>
      </c>
      <c r="F59" s="36" t="n">
        <v>4.868686868686869</v>
      </c>
      <c r="G59" s="47" t="inlineStr">
        <is>
          <t>なし</t>
        </is>
      </c>
      <c r="H59" s="47" t="inlineStr">
        <is>
          <t>可</t>
        </is>
      </c>
      <c r="I59" s="47" t="inlineStr">
        <is>
          <t>Q: 36協定で定められた残業時間の上限（原則と特別条項）について教えてください。
A: 残業時間の上限は、原則として「月45時間、年360時間」と定められています。ただし、臨時的な特別の事情がある場合に限って「特別条項」を設けることが可能です。特別条項の場合でも、「年720時間以内」、「複数月平均80時間以内」、「月100時間未満」という厳格な上限があり、この上限を超えることは法律違反となります。
Q: 36協定の上限規制に違反した場合、企業にはどのような罰則が科されますか？
A: 36協定で定められた残業時間の上限（原則および特別条項）に違反した場合、企業には労働基準法違反として罰則が科せられます。具体的には、「6ヶ月以下の懲役または30万円以下の罰金」が適用される可能性があります。これは、企業の社会的信用を大きく損なうだけでなく、安全配慮義務違反として民事訴訟に発展するリスクも伴います。
Q: 36協定を締結せずに従業員に残業をさせた場合、法律違反になりますか？
A: はい、原則として労働基準法第32条で定められた「法定労働時間（1日8時間、週40時間）」を超えて従業員に労働させることはできません。したがって、36協定を締結せずに法定労働時間を超える残業をさせた場合、その時点で労働基準法違反となり、罰則の対象となります。残業や休日労働を適法に行うためには、事前に労働者の過半数を代表する者との間で36協定を締結し、労働基準監督署に届け出る必要があります。</t>
        </is>
      </c>
      <c r="J59" s="47" t="n"/>
      <c r="K59" s="47" t="inlineStr">
        <is>
          <t>OK</t>
        </is>
      </c>
      <c r="L59" s="47" t="inlineStr">
        <is>
          <t>未確認</t>
        </is>
      </c>
      <c r="M59" s="47" t="inlineStr">
        <is>
          <t>完了</t>
        </is>
      </c>
      <c r="N59" s="47" t="inlineStr">
        <is>
          <t>クリニック以外</t>
        </is>
      </c>
      <c r="O59" s="47" t="n"/>
      <c r="P59" s="47" t="n"/>
      <c r="Q59" s="47" t="n"/>
      <c r="R59" s="47" t="n"/>
    </row>
    <row r="60" ht="15.75" customHeight="1" s="185">
      <c r="A60" s="52">
        <f>row()-3</f>
        <v/>
      </c>
      <c r="B60" s="46" t="inlineStr">
        <is>
          <t>早期退職制度とは？メリット・デメリットを解説</t>
        </is>
      </c>
      <c r="C60" s="10" t="inlineStr">
        <is>
          <t>https://dym.asia/media/early-retirement/</t>
        </is>
      </c>
      <c r="D60" s="47" t="inlineStr">
        <is>
          <t>早期退職</t>
        </is>
      </c>
      <c r="E60" s="35" t="n">
        <v>13</v>
      </c>
      <c r="F60" s="36" t="n">
        <v>10.54262965829924</v>
      </c>
      <c r="G60" s="47" t="inlineStr">
        <is>
          <t>なし</t>
        </is>
      </c>
      <c r="H60" s="47" t="inlineStr">
        <is>
          <t>可</t>
        </is>
      </c>
      <c r="I60" s="47" t="inlineStr">
        <is>
          <t>Q: 早期退職制度と「希望退職制度」の最も大きな違いは何ですか？
A: 早期退職制度は、従業員に定年を待たずに自主的な退職を選択してもらうための制度で、主に特定の年齢層を対象に組織の新陳代謝や若返りを目的に恒常的に適用されることが一般的です。一方、希望退職制度は、業績悪化や経営再建といった経営危機時に、広く従業員に対して退職を募る制度であり、その目的と緊急性が大きく異なります。
Q: 早期退職制度を利用する従業員は、どのような優遇措置を受けられますか？
A: 早期退職制度を利用する従業員は、通常の退職金に加えて「割増退職金」が上乗せされる優遇措置を受けられることが最大のメリットです。割増退職金の相場は、通常の退職金に数カ月分から数年分の給与を上乗せすることが多いです。また、多くの企業が再就職支援プログラムの提供や、退職前の休暇・勤務免除などのサポートも行い、従業員の新しいキャリア形成を円滑にすることを目的としています。
Q: 早期退職制度を導入することで、企業にとって発生する可能性のある最大のデメリットは何ですか？
A: 企業にとって最大のデメリットは、「経験豊富な優秀な人材の流出リスク」と「残留社員のモチベーション低下」です。制度の優遇措置が魅力的であるほど、企業が残したいと考えていたノウハウやスキルを持つ中堅・ベテラン社員が流出するリスクが高まります。また、制度利用による人員削減が「リストラの予兆」と捉えられ、残った社員の将来への不安や業務負担の増加から、組織全体の士気が低下する可能性があります。</t>
        </is>
      </c>
      <c r="J60" s="47" t="n"/>
      <c r="K60" s="47" t="inlineStr">
        <is>
          <t>OK</t>
        </is>
      </c>
      <c r="L60" s="47" t="inlineStr">
        <is>
          <t>未確認</t>
        </is>
      </c>
      <c r="M60" s="47" t="inlineStr">
        <is>
          <t>完了</t>
        </is>
      </c>
      <c r="N60" s="47" t="inlineStr">
        <is>
          <t>クリニック以外</t>
        </is>
      </c>
      <c r="O60" s="47" t="n"/>
      <c r="P60" s="47" t="n"/>
      <c r="Q60" s="47" t="n"/>
      <c r="R60" s="47" t="n"/>
    </row>
    <row r="61" ht="15.75" customHeight="1" s="185">
      <c r="A61" s="52">
        <f>row()-3</f>
        <v/>
      </c>
      <c r="B61" s="46" t="inlineStr">
        <is>
          <t>取締役とは？役割や責任をわかりやすく解説</t>
        </is>
      </c>
      <c r="C61" s="10" t="inlineStr">
        <is>
          <t>https://dym.asia/media/board-member/</t>
        </is>
      </c>
      <c r="D61" s="47" t="inlineStr">
        <is>
          <t>取締役の役割</t>
        </is>
      </c>
      <c r="E61" s="35" t="n">
        <v>12</v>
      </c>
      <c r="F61" s="36" t="n">
        <v>3.81043956043956</v>
      </c>
      <c r="G61" s="47" t="inlineStr">
        <is>
          <t>なし</t>
        </is>
      </c>
      <c r="H61" s="47" t="inlineStr">
        <is>
          <t>可</t>
        </is>
      </c>
      <c r="I61" s="47" t="inlineStr">
        <is>
          <t>Q: 取締役と「代表取締役」の一番大きな違いは何ですか？
A: 取締役は会社の意思決定や業務執行の監督を行う役職であるのに対し、代表取締役は会社を代表し、業務執行の最高責任者として対外的な権限を持つ役職です。代表取締役は、取締役会の決議によって取締役の中から選定され、会社法上の登記も必要です。つまり、取締役会で選ばれた特定の取締役が、会社を代表する「社長」などの役割を担います。
Q: 取締役の任期は原則何年ですか？また、任期が満了するとどうなりますか？
A: 取締役の任期は、会社法により原則2年と定められています。ただし、非公開会社の場合は最長10年まで延長が可能です。任期が満了すると、その取締役は退任扱いとなるため、株主総会での再選任が必要となります。継続して就任する場合でも、重任登記という法務局への手続きを忘れずに行わなければなりません。
Q: 取締役になると、一般的な会社員（従業員）と比べて、どのような法的責任を負うことになりますか？
A: 取締役は、会社や株主に対して「善管注意義務」（善良な管理者としての注意義務）や「忠実義務」を負うため、重大な責任を負います。特に、法令や定款に違反する行為や、任務を怠ったことで会社や第三者に損害を与えた場合、会社や株主から損害賠償を請求される可能性があります。これにより、高額の役員報酬を得られる可能性がある反面、従業員にはない責任の重さを負うことになります。</t>
        </is>
      </c>
      <c r="J61" s="47" t="n"/>
      <c r="K61" s="47" t="inlineStr">
        <is>
          <t>OK</t>
        </is>
      </c>
      <c r="L61" s="47" t="inlineStr">
        <is>
          <t>未確認</t>
        </is>
      </c>
      <c r="M61" s="47" t="inlineStr">
        <is>
          <t>完了</t>
        </is>
      </c>
      <c r="N61" s="47" t="inlineStr">
        <is>
          <t>クリニック以外</t>
        </is>
      </c>
      <c r="O61" s="47" t="n"/>
      <c r="P61" s="47" t="n"/>
      <c r="Q61" s="47" t="n"/>
      <c r="R61" s="47" t="n"/>
    </row>
    <row r="62" ht="15.75" customHeight="1" s="185">
      <c r="A62" s="52">
        <f>row()-3</f>
        <v/>
      </c>
      <c r="B62" s="46" t="inlineStr">
        <is>
          <t>求人ボックスの代理店とは？運用代行会社の選び方やメリット、自社運用との違いを解説</t>
        </is>
      </c>
      <c r="C62" s="10" t="inlineStr">
        <is>
          <t>https://dym.asia/media/kyujinbox_agency/</t>
        </is>
      </c>
      <c r="D62" s="47" t="inlineStr">
        <is>
          <t>求人ボックス 代理店</t>
        </is>
      </c>
      <c r="E62" s="35" t="n">
        <v>12</v>
      </c>
      <c r="F62" s="36" t="n">
        <v>8.984210526315788</v>
      </c>
      <c r="G62" s="47" t="inlineStr">
        <is>
          <t>なし</t>
        </is>
      </c>
      <c r="H62" s="47" t="inlineStr">
        <is>
          <t>可</t>
        </is>
      </c>
      <c r="I62" s="10" t="inlineStr">
        <is>
          <t>Q: 求人ボックスの運用を代理店に依頼する最大のメリットは何ですか？
A: 最大のメリットは、採用活動におけるトータルコストパフォーマンスが向上する点です。代理店は過去の運用経験とノウハウから、最適な予算配分を戦略的に決定し、質の高い求人広告を作成してくれます。これにより、自社の採用担当者が面接や選考に注力できるようになり、応募獲得に必要な人的工数と広告費のムダを削減し、効率的に採用成功へと繋げることができます。
Q: 求人ボックスの運用において、「自社運用」と「代理店への依頼」はどのような点で効果が変わりますか？
A: 自社運用はコストを抑えられますが、求人広告の運用ノウハウや分析スキルがない場合、求人が求職者の目に留まりにくく、効果の最大化が難しいという違いがあります。一方、代理店に依頼すると、求人広告専門のライターによる求職者の目を惹く質の高い原稿が作成され、過去の実績に基づいた効果的な運用が行われるため、応募数の増加や採用効率の最大化が期待できます。
Q: 求人ボックスの運用を代理店に依頼する際、代理店の業務範囲はどこまでですか？
A: 代理店の業務範囲は契約内容によって異なりますが、一般的に求人原稿の作成・修正、有料枠（広告）の予算設定と運用、掲載開始後の効果改善施策の実施が含まれます。さらに手厚い代理店であれば、面接日時の効果的な決め方や他の求人サイトとの連携方法など、採用活動全般に関するアドバイスまで受けられる場合があります。契約前にサポート範囲を確認することが重要です。DYMの詳しいサービスが気になる方はお気軽にお問い合わせください。
お問い合わせ先はこちら↓
https://dym.asia/contact/</t>
        </is>
      </c>
      <c r="J62" s="47" t="n"/>
      <c r="K62" s="47" t="inlineStr">
        <is>
          <t>OK</t>
        </is>
      </c>
      <c r="L62" s="47" t="inlineStr">
        <is>
          <t>未確認</t>
        </is>
      </c>
      <c r="M62" s="47" t="inlineStr">
        <is>
          <t>完了</t>
        </is>
      </c>
      <c r="N62" s="47" t="inlineStr">
        <is>
          <t>クリニック以外</t>
        </is>
      </c>
      <c r="O62" s="47" t="n"/>
      <c r="P62" s="47" t="n"/>
      <c r="Q62" s="47" t="n"/>
      <c r="R62" s="47" t="n"/>
    </row>
    <row r="63" ht="15.75" customHeight="1" s="185">
      <c r="A63" s="52">
        <f>row()-3</f>
        <v/>
      </c>
      <c r="B63" s="46" t="inlineStr">
        <is>
          <t>Logicad(ロジカド)とは？特徴や配信メニュー、機能や導入方法を解説</t>
        </is>
      </c>
      <c r="C63" s="10" t="inlineStr">
        <is>
          <t>https://dym.asia/media/logicad/</t>
        </is>
      </c>
      <c r="D63" s="47" t="inlineStr">
        <is>
          <t>ロジカド</t>
        </is>
      </c>
      <c r="E63" s="35" t="n">
        <v>12</v>
      </c>
      <c r="F63" s="36" t="n">
        <v>5.695807314897413</v>
      </c>
      <c r="G63" s="47" t="inlineStr">
        <is>
          <t>なし</t>
        </is>
      </c>
      <c r="H63" s="47" t="inlineStr">
        <is>
          <t>可</t>
        </is>
      </c>
      <c r="I63" s="47" t="inlineStr">
        <is>
          <t>Q: Logicad（ロジカド）広告は、他のDSP（広告配信プラットフォーム）と比べてどのような点が優れていますか？
A: Logicadの最大の優位性は、ソニーグループが開発したAI「VALIS-Engine」による高い技術力です。このAIは圧倒的に速い処理速度（0.003秒）で広告の入札参加率を高め（RTBタイムアウトを削減）、膨大なビッグデータに基づいてユーザーの行動や興味を正確に予測し、最適な広告をリアルタイムで配信します。これにより、広告効果を最大化し、コスト効率の実現をサポートします。
Q: Logicad広告の料金体系はどのようになっていますか？初期費用はかかりますか？
A: Logicadの基本料金体系はCPM課金型であり、広告が表示（インプレッション）された回数に基づいて費用が決まるため、分かりやすいのが特徴です。また、Logicadの導入には初期費用やランニングコストは発生しないため、スモールスタートを検討している企業にとって大きなメリットがあります。ただし、成果報酬型の「VALIS-CPX」など、併用するサービスによっては異なる課金モデル（CPA・CPC）が採用される場合があります。
Q: Logicadの「ダイナミッククリエイティブ」とは何ですか？広告効果にどう影響しますか？
A: ダイナミッククリエイティブとは、ユーザーの過去のサイト訪問履歴や関心事に合致した広告（クリエイティブ）を、AIが自動で生成・表示する仕組みです。この機能により、すでに比較検討や購入段階にあるユーザーに対して最も訴求力の高い商品やメッセージをリターゲティング広告として配信できます。これにより、ユーザーのクリック率（CTR）を向上させるだけでなく、最終的なコンバージョン率（CVR）の最大化に大きく貢献します。</t>
        </is>
      </c>
      <c r="J63" s="47" t="n"/>
      <c r="K63" s="47" t="inlineStr">
        <is>
          <t>OK</t>
        </is>
      </c>
      <c r="L63" s="47" t="inlineStr">
        <is>
          <t>未確認</t>
        </is>
      </c>
      <c r="M63" s="47" t="inlineStr">
        <is>
          <t>完了</t>
        </is>
      </c>
      <c r="N63" s="47" t="inlineStr">
        <is>
          <t>クリニック以外</t>
        </is>
      </c>
      <c r="O63" s="47" t="n"/>
      <c r="P63" s="47" t="n"/>
      <c r="Q63" s="47" t="n"/>
      <c r="R63" s="47" t="n"/>
    </row>
    <row r="64" ht="15.75" customHeight="1" s="185">
      <c r="A64" s="52">
        <f>row()-3</f>
        <v/>
      </c>
      <c r="B64" s="46" t="inlineStr">
        <is>
          <t>保守とは？保守と運用の違いと保守管理の重要性</t>
        </is>
      </c>
      <c r="C64" s="6" t="inlineStr">
        <is>
          <t>https://dym.asia/media/maintenance-management/</t>
        </is>
      </c>
      <c r="D64" s="47" t="inlineStr">
        <is>
          <t>保守とは</t>
        </is>
      </c>
      <c r="E64" s="35" t="n">
        <v>12</v>
      </c>
      <c r="F64" s="36" t="n">
        <v>8.505365775912448</v>
      </c>
      <c r="G64" s="47" t="inlineStr">
        <is>
          <t>なし</t>
        </is>
      </c>
      <c r="H64" s="47" t="inlineStr">
        <is>
          <t>可</t>
        </is>
      </c>
      <c r="I64" s="47" t="inlineStr">
        <is>
          <t>Q: システム管理における「保守（メンテナンス）」と「運用」の役割の違いは何ですか？
A: 運用の役割は、システムを常に正常な状態に保ち、日々の業務を円滑に進めることです（例：システムの監視、トラブルシューティング、データバックアップ）。一方、保守の役割は、システムの機能や安全性を確保し、長期的な使用寿命を延長することです（例：ソフトウェアのアップデート、バグ修正、パッチ適用、機器の定期点検）。運用は日常的・即時的な対応、保守は予防的・計画的な活動が中心となります。
Q: 適切な保守管理を行うことで、長期的にどのようなコスト削減効果が得られますか？
A: 適切な保守管理は、突発的な障害や大規模な故障の発生を予防できるため、緊急対応に伴う高額な修理費用や人件費を削減できます。また、システムの効率的な運用によりリソースの最適化が図れるほか、機器やソフトウェアの寿命が延長されるため、頻繁な買い替えや更新のコストを抑えることができます。短期的には費用がかかっても、長期的には大きなコスト効率の向上に繋がります。
Q: 保守管理の業務には「ハードウェア保守」と「ソフトウェア保守」がありますが、それぞれどのような作業が含まれますか？
A: ハードウェア保守には、サーバーやネットワーク機器といった物理的な機器の維持管理が含まれます（例：定期点検、部品交換、清掃、故障の予防）。一方、ソフトウェア保守には、システムの異常や障害に対処する作業や、システムの改善・更新が含まれます（例：バグ修正、セキュリティパッチの適用、OSやアプリケーションのアップデート、新機能の実装）。両者を計画的に行うことで、システムの安定性と安全性が確保されます。</t>
        </is>
      </c>
      <c r="J64" s="47" t="n"/>
      <c r="K64" s="47" t="inlineStr">
        <is>
          <t>OK</t>
        </is>
      </c>
      <c r="L64" s="47" t="inlineStr">
        <is>
          <t>未確認</t>
        </is>
      </c>
      <c r="M64" s="47" t="inlineStr">
        <is>
          <t>完了</t>
        </is>
      </c>
      <c r="N64" s="47" t="inlineStr">
        <is>
          <t>クリニック以外</t>
        </is>
      </c>
      <c r="O64" s="47" t="n"/>
      <c r="P64" s="47" t="n"/>
      <c r="Q64" s="47" t="n"/>
      <c r="R64" s="47" t="n"/>
    </row>
    <row r="65" ht="15.75" customHeight="1" s="185">
      <c r="A65" s="52">
        <f>row()-3</f>
        <v/>
      </c>
      <c r="B65" s="46" t="inlineStr">
        <is>
          <t>ROIとは？ビジネスにおける重要性や計算式などをわかりやすく解説</t>
        </is>
      </c>
      <c r="C65" s="10" t="inlineStr">
        <is>
          <t>https://dym.asia/media/roi/</t>
        </is>
      </c>
      <c r="D65" s="47" t="inlineStr">
        <is>
          <t>roi 設備投資</t>
        </is>
      </c>
      <c r="E65" s="35" t="n">
        <v>12</v>
      </c>
      <c r="F65" s="36" t="n">
        <v>1.921875</v>
      </c>
      <c r="G65" s="47" t="inlineStr">
        <is>
          <t>あり</t>
        </is>
      </c>
      <c r="H65" s="47" t="inlineStr">
        <is>
          <t>既存</t>
        </is>
      </c>
      <c r="I65" s="47" t="inlineStr">
        <is>
          <t>対応不要</t>
        </is>
      </c>
      <c r="J65" s="47" t="n"/>
      <c r="K65" s="47" t="inlineStr">
        <is>
          <t>対応不要</t>
        </is>
      </c>
      <c r="L65" s="47" t="inlineStr">
        <is>
          <t>対応不要</t>
        </is>
      </c>
      <c r="M65" s="47" t="inlineStr">
        <is>
          <t>対応不要</t>
        </is>
      </c>
      <c r="N65" s="47" t="inlineStr">
        <is>
          <t>クリニック以外</t>
        </is>
      </c>
      <c r="O65" s="47" t="n"/>
      <c r="P65" s="47" t="n"/>
      <c r="Q65" s="47" t="n"/>
      <c r="R65" s="47" t="n"/>
    </row>
    <row r="66" ht="15.75" customHeight="1" s="185">
      <c r="A66" s="52">
        <f>row()-3</f>
        <v/>
      </c>
      <c r="B66" s="46" t="inlineStr">
        <is>
          <t>SNS広告とは？SNS広告の種類や効果を最大化する運用ポイントを紹介</t>
        </is>
      </c>
      <c r="C66" s="10" t="inlineStr">
        <is>
          <t>https://dym.asia/media/sns-ad-operation/</t>
        </is>
      </c>
      <c r="D66" s="47" t="inlineStr">
        <is>
          <t>sns広告</t>
        </is>
      </c>
      <c r="E66" s="35" t="n">
        <v>12</v>
      </c>
      <c r="F66" s="36" t="n">
        <v>49.63572679509632</v>
      </c>
      <c r="G66" s="47" t="inlineStr">
        <is>
          <t>なし</t>
        </is>
      </c>
      <c r="H66" s="47" t="inlineStr">
        <is>
          <t>可</t>
        </is>
      </c>
      <c r="I66" s="10" t="inlineStr">
        <is>
          <t>Q: SNS広告とリスティング広告は、ターゲット層や広告の目的の面でどのように違いますか？
A: リスティング広告は、すでに特定のキーワードで検索している「顕在層」をターゲットとし、即時の購入や問い合わせ（コンバージョン）を促すのに適しています。一方、SNS広告は、ユーザーの属性や興味関心に基づいて配信されるため、まだ商品やサービスを探していない「潜在層」にアプローチでき、ブランド認知度の向上や興味関心の喚起に適しています。
Q: SNS広告運用で成果を最大化するために、最も重要な運用ポイントは何ですか？
A: 成果を最大化するために最も重要なのは、「クリエイティブの継続的な改善」です。SNSユーザーは流れるタイムラインの中で広告を瞬間的に判断するため、ターゲット層に響く魅力的な画像や動画を絶えずテストし、効果測定に基づき最適化を続けることが重要です。また、遷移先のLP（ランディングページ）を広告内容と一致させるなど、「遷移先の最適化」も欠かせません。
Q: 中小企業がSNS広告を始める際、どのプラットフォームを選ぶべきですか？
A: 中小企業がSNS広告を選ぶ際は、ターゲット層の年齢や属性に合わせてプラットフォームを選ぶべきです。例えば、若年層（10〜20代）への認知拡大を目指すならInstagramやTikTok、幅広い年齢層へのリーチやビジネス目的ならFacebook、日本国内の幅広い層にアプローチしたいならLINE広告が有効です。自社のターゲット層が最も多く利用している媒体を選定することで、広告効果を高められます。ぜひお問い合わせください。
お問い合わせ先はこちら↓
https://dym.asia/contact/</t>
        </is>
      </c>
      <c r="J66" s="47" t="n"/>
      <c r="K66" s="47" t="inlineStr">
        <is>
          <t>OK</t>
        </is>
      </c>
      <c r="L66" s="47" t="inlineStr">
        <is>
          <t>未確認</t>
        </is>
      </c>
      <c r="M66" s="47" t="inlineStr">
        <is>
          <t>完了</t>
        </is>
      </c>
      <c r="N66" s="47" t="inlineStr">
        <is>
          <t>クリニック以外</t>
        </is>
      </c>
      <c r="O66" s="47" t="n"/>
      <c r="P66" s="47" t="n"/>
      <c r="Q66" s="47" t="n"/>
      <c r="R66" s="47" t="n"/>
    </row>
    <row r="67" ht="15.75" customHeight="1" s="185">
      <c r="A67" s="52">
        <f>row()-3</f>
        <v/>
      </c>
      <c r="B67" s="46" t="inlineStr">
        <is>
          <t>新卒エージェント活用ガイド｜最適な人材を見つける戦略と成功の秘訣とは？</t>
        </is>
      </c>
      <c r="C67" s="10" t="inlineStr">
        <is>
          <t>https://dym.asia/media/new_graduate_agent/</t>
        </is>
      </c>
      <c r="D67" s="47" t="inlineStr">
        <is>
          <t>dym 新卒エージェント</t>
        </is>
      </c>
      <c r="E67" s="35" t="n">
        <v>11</v>
      </c>
      <c r="F67" s="36" t="n">
        <v>3.261538461538461</v>
      </c>
      <c r="G67" s="47" t="inlineStr">
        <is>
          <t>なし</t>
        </is>
      </c>
      <c r="H67" s="47" t="inlineStr">
        <is>
          <t>可</t>
        </is>
      </c>
      <c r="I67" s="47" t="inlineStr">
        <is>
          <t>Q: 新卒紹介サービスの手数料の相場は、一人あたりいくらくらいですか？
A: 新卒紹介サービスの費用は、提供形態やサービス内容によって異なりますが、一般的な目安としては学生一人あたり数十万円〜100万円前後となるケースが多いとされています。料金体系は、入社や内定承諾を条件とした成果報酬型のほか、あらかじめチケットを購入して複数名を紹介する「チケット制」や、採用広報・集客を支援する運用型（媒体型）の商材など、複数のパターンが存在します。対象学生の属性や支援範囲によって金額は変動するため、自社の採用方針に合った契約形態を選ぶことが重要です。
Q: 新卒紹介サービスを利用する企業側のメリットには、どのような点がありますか？
A: 新卒紹介サービスを活用するメリットとしては、採用活動にかかる工数を抑えつつ、一定の基準を満たした学生と効率的に接点を持てる点が挙げられます。エージェント型のサービスでは、母集団形成や学生との事前面談、日程調整などをサポートしてもらえるため、採用担当者は選考や内定後フォローといった重要な業務に集中しやすくなります。また、チケット制や運用型サービスを活用することで、採用人数や時期に応じた柔軟な運用が可能となる場合もあります。
Q: 新卒紹介サービスは、求人サイトを使った採用と比べてどのような違いがありますか？
A: 求人サイトは、一定期間の掲載によって多くの学生から応募を集める手法で、母集団形成に向いている一方、応募者の志向や適性にばらつきが出ることもあります。一方、新卒紹介サービスは、エージェントや運用担当が企業の要件を踏まえて学生を紹介・誘導する仕組みのため、選考段階でのミスマッチを抑えやすいとされています。大量採用や認知拡大には求人サイト、採用の質や工数削減を重視する場合には新卒紹介サービスや運用型商材が活用されるなど、目的に応じて使い分けられることが一般的です。</t>
        </is>
      </c>
      <c r="J67" s="47" t="n"/>
      <c r="K67" s="47" t="inlineStr">
        <is>
          <t>修正済</t>
        </is>
      </c>
      <c r="L67" s="47" t="inlineStr">
        <is>
          <t>未確認</t>
        </is>
      </c>
      <c r="M67" s="47" t="inlineStr">
        <is>
          <t>完了</t>
        </is>
      </c>
      <c r="N67" s="47" t="inlineStr">
        <is>
          <t>クリニック以外</t>
        </is>
      </c>
      <c r="O67" s="47" t="n"/>
      <c r="P67" s="47" t="n"/>
      <c r="Q67" s="47" t="n"/>
      <c r="R67" s="47" t="n"/>
    </row>
    <row r="68" ht="15.75" customHeight="1" s="185">
      <c r="A68" s="52">
        <f>row()-3</f>
        <v/>
      </c>
      <c r="B68" s="46" t="inlineStr">
        <is>
          <t>スポンサーシップとは？メリットと効果的な活用法</t>
        </is>
      </c>
      <c r="C68" s="10" t="inlineStr">
        <is>
          <t>https://dym.asia/media/sponsorship-about/</t>
        </is>
      </c>
      <c r="D68" s="47" t="inlineStr">
        <is>
          <t>スポンサーシップ 社会課題</t>
        </is>
      </c>
      <c r="E68" s="35" t="n">
        <v>11</v>
      </c>
      <c r="F68" s="36" t="n">
        <v>4.735294117647059</v>
      </c>
      <c r="G68" s="47" t="inlineStr">
        <is>
          <t>なし</t>
        </is>
      </c>
      <c r="H68" s="47" t="inlineStr">
        <is>
          <t>可</t>
        </is>
      </c>
      <c r="I68" s="47" t="inlineStr">
        <is>
          <t>Q: スポンサーシップは、単なる「広告」や「寄付」とどのように違うのですか？
A: スポンサーシップは、単なる「寄付」とは異なり、企業側にも明確な広告宣伝や販売促進の「見返り」があることを前提とした戦略的なマーケティング手法です。また、テレビCMなどの「広告」が一方的な情報伝達であるのに対し、スポンサーシップは、支援先との協力関係を通じて互いの価値を高め合う「共創」の関係性を築き、イベントや活動を通じて感動や喜びを共有することで、顧客との感情的な結びつきを深める効果があります。
Q: スポンサーシップを成功させ、費用対効果（ROI）を高めるために最も重要なポイントは何ですか？
A: 最も重要なのは、「明確な目標設定」と「適切なパートナーの選定」です。単に露出を増やすだけでなく、「若年層の認知度を20%向上させる」「新規顧客を500件獲得する」といった具体的な目標を設定し、その目標達成に最も親和性の高いターゲット層を持つイベントや団体をパートナーとして選ぶことが重要です。また、ブランドの一貫性を保つため、支援先のイメージが自社の価値観と合致しているかも確認すべきです。
Q: スポンサーシップを行う際に、企業が注意すべき最大のデメリットやリスクは何ですか？
A: 最大のリスクは、「ブランドイメージのリスク」です。支援しているイベントや団体、選手が不祥事を起こしたり、社会的な問題を引き起こしたりした場合、そのネガティブなイメージがスポンサー企業にも波及し、企業の好感度や信頼性を大きく損なう可能性があります。このリスクを管理するため、契約時に倫理規定（モラル条項）を設けることや、支援先の活動状況を常に監視することが重要です。</t>
        </is>
      </c>
      <c r="J68" s="47" t="n"/>
      <c r="K68" s="47" t="inlineStr">
        <is>
          <t>OK</t>
        </is>
      </c>
      <c r="L68" s="47" t="inlineStr">
        <is>
          <t>未確認</t>
        </is>
      </c>
      <c r="M68" s="47" t="inlineStr">
        <is>
          <t>完了</t>
        </is>
      </c>
      <c r="N68" s="47" t="inlineStr">
        <is>
          <t>クリニック以外</t>
        </is>
      </c>
      <c r="O68" s="47" t="n"/>
      <c r="P68" s="47" t="n"/>
      <c r="Q68" s="47" t="n"/>
      <c r="R68" s="47" t="n"/>
    </row>
    <row r="69" ht="15.75" customHeight="1" s="185">
      <c r="A69" s="52">
        <f>row()-3</f>
        <v/>
      </c>
      <c r="B69" s="46" t="inlineStr">
        <is>
          <t>ダンス・D.LEAGUE（Dリーグ）の魅力、成長を支える仕組みとは</t>
        </is>
      </c>
      <c r="C69" s="10" t="inlineStr">
        <is>
          <t>https://dym.asia/media/d-league/</t>
        </is>
      </c>
      <c r="D69" s="47" t="inlineStr">
        <is>
          <t>dリーグとは</t>
        </is>
      </c>
      <c r="E69" s="35" t="n">
        <v>10</v>
      </c>
      <c r="F69" s="36" t="n">
        <v>6.34872844197603</v>
      </c>
      <c r="G69" s="47" t="inlineStr">
        <is>
          <t>なし</t>
        </is>
      </c>
      <c r="H69" s="47" t="inlineStr">
        <is>
          <t>可</t>
        </is>
      </c>
      <c r="I69" s="10" t="inlineStr">
        <is>
          <t>Q: D.LEAGUE（Dリーグ）は、なぜ「プロダンスリーグ」と呼ばれるのですか？
A: Dリーグは、単なるアマチュアのダンスイベントではなく、ダンスのアート性、スポーツ性、ビジネス性を融合させた「日本発・世界初」のプロリーグとして発足したためです。参加チームは企業（オーナー企業）が保有・運営し、選手であるダンサーは契約に基づいて報酬を得る「プロ」として競技に参加します。リーグ戦形式の採用や、競技性の高い審査基準もプロリーグたる所以です。
Q: Dリーグの試合の勝敗や審査は、どのような仕組みで行われていますか？
A: Dリーグの審査は、専門家（審査員）による採点と、観客（ファン）による投票の2つが加味されて勝敗が決定されます。これにより、技術面や芸術性といった専門的な評価だけでなく、エンターテイメント性やファンへの訴求力といった市場の反応も結果に直接反映される仕組みになっています。ファンは公式アプリなどを通じて投票に参加でき、リーグの一体感を高めています。
Q: 企業がDリーグのチームやリーグをスポンサーするメリットは何ですか？
A: 企業がDリーグをスポンサーするメリットは、主に「若年層へのブランド認知拡大」と「ポジティブなイメージの訴求」です。Dリーグは10代から20代を中心に幅広い層に人気があり、SNSやデジタルプラットフォームでの露出が多いため、企業ブランドを効果的にアピールできます。また、ダンスが持つ活力、多様性、挑戦精神といったポジティブなイメージを企業ブランドに重ね合わせることで、企業イメージ・好感度の向上に繋がります。ぜひお問い合わせください。
お問い合わせ先はこちら↓
https://dym.asia/contact/</t>
        </is>
      </c>
      <c r="J69" s="47" t="n"/>
      <c r="K69" s="47" t="inlineStr">
        <is>
          <t>OK</t>
        </is>
      </c>
      <c r="L69" s="47" t="inlineStr">
        <is>
          <t>未確認</t>
        </is>
      </c>
      <c r="M69" s="47" t="inlineStr">
        <is>
          <t>完了</t>
        </is>
      </c>
      <c r="N69" s="47" t="inlineStr">
        <is>
          <t>クリニック以外</t>
        </is>
      </c>
      <c r="O69" s="47" t="n"/>
      <c r="P69" s="47" t="n"/>
      <c r="Q69" s="47" t="n"/>
      <c r="R69" s="47" t="n"/>
    </row>
    <row r="70" ht="15.75" customHeight="1" s="185">
      <c r="A70" s="52">
        <f>row()-3</f>
        <v/>
      </c>
      <c r="B70" s="46" t="inlineStr">
        <is>
          <t>Google広告代理店の特徴や依頼するメリット、選び方まで詳しく解説</t>
        </is>
      </c>
      <c r="C70" s="10" t="inlineStr">
        <is>
          <t>https://dym.asia/media/google_agency/</t>
        </is>
      </c>
      <c r="D70" s="47" t="inlineStr">
        <is>
          <t>google 広告 代理店</t>
        </is>
      </c>
      <c r="E70" s="35" t="n">
        <v>10</v>
      </c>
      <c r="F70" s="36" t="n">
        <v>3.22265625</v>
      </c>
      <c r="G70" s="47" t="inlineStr">
        <is>
          <t>なし</t>
        </is>
      </c>
      <c r="H70" s="47" t="inlineStr">
        <is>
          <t>可</t>
        </is>
      </c>
      <c r="I70" s="10" t="inlineStr">
        <is>
          <t>Q: Google広告の運用を代理店に依頼する最大のメリットは何ですか？
A: 最大のメリットは、広告運用のプロフェッショナルによるノウハウの活用と、自社の人的リソースの効率化です。代理店は、幅広い業種・業界・業態での実績に基づいて最適なターゲティングや予算配分を行うため、効率的かつ安定した成果が期待できます。また、広告運用のレポート作成や日々の調整といった工数のかかる業務から解放されるため、自社の担当者はメイン事業に集中できます。
Q: Google広告代理店を選ぶ際、最も重視すべきポイントは何ですか？
A: 最も重視すべきポイントは、Googleの「認定正規代理店」のステータスと、「同業種・業界での実績」です。GoogleパートナーやPremier Partnerに認定されている代理店は、Googleから高いスキルと専門知識が証明されています。さらに、自社の業種・業界での成功実績が豊富な代理店を選ぶことで、市場の特性や競合を理解した戦略的な運用が期待でき、成果につながりやすくなります。
Q: 広告代理店に運用を依頼すると、自社に広告運用のノウハウは蓄積されないのですか？
A: 代理店に運用を任せきりにすると、自社内にノウハウが蓄積されにくいというデメリットは確かに存在します。しかし、これを解消するために、代理店を選ぶ際に「レポートやノウハウの共有体制がしっかりしているか」を確認することが重要です。定期的な運用レポートの提供や、運用に関する知見を共有するミーティングなどを通じて、代理店のプロのノウハウを自社に取り込む仕組みを構築することで、将来的なインハウス化（内製化）に繋げることができます。ぜひお問い合わせください。
お問い合わせ先はこちら↓
https://dym.asia/contact/</t>
        </is>
      </c>
      <c r="J70" s="47" t="n"/>
      <c r="K70" s="47" t="inlineStr">
        <is>
          <t>OK</t>
        </is>
      </c>
      <c r="L70" s="47" t="inlineStr">
        <is>
          <t>未確認</t>
        </is>
      </c>
      <c r="M70" s="47" t="inlineStr">
        <is>
          <t>完了</t>
        </is>
      </c>
      <c r="N70" s="47" t="inlineStr">
        <is>
          <t>クリニック以外</t>
        </is>
      </c>
      <c r="O70" s="47" t="n"/>
      <c r="P70" s="47" t="n"/>
      <c r="Q70" s="47" t="n"/>
      <c r="R70" s="47" t="n"/>
    </row>
    <row r="71" ht="15.75" customHeight="1" s="185">
      <c r="A71" s="52">
        <f>row()-3</f>
        <v/>
      </c>
      <c r="B71" s="46" t="inlineStr">
        <is>
          <t>メールの署名はテンプレートを活用しよう！自動挿入の設定方法などを詳しく紹介</t>
        </is>
      </c>
      <c r="C71" s="6" t="inlineStr">
        <is>
          <t>https://dym.asia/media/mail-signature-template/</t>
        </is>
      </c>
      <c r="D71" s="47" t="inlineStr">
        <is>
          <t>メール 署名 デザイン</t>
        </is>
      </c>
      <c r="E71" s="35" t="n">
        <v>10</v>
      </c>
      <c r="F71" s="36" t="n">
        <v>11.56818181818182</v>
      </c>
      <c r="G71" s="47" t="inlineStr">
        <is>
          <t>なし</t>
        </is>
      </c>
      <c r="H71" s="47" t="inlineStr">
        <is>
          <t>可</t>
        </is>
      </c>
      <c r="I71" s="47" t="inlineStr">
        <is>
          <t>Q: ビジネスメールの署名に必ず記載すべき基本的な項目は何ですか？
A: ビジネスメールの署名には、名刺と同様の役割を果たすため、以下の基本的な項目を漏れなく記載することが一般的です。1. 企業名、2. 所属する部署名、3. 役職、4. 担当者名（氏名）、5. 会社の住所、6. 電話番号、7. メールアドレス、8. 会社のURL。これらの情報を記載することで、受信者に送信者の身元を明確に伝え、信頼性を高めることができます。
Q: 署名テンプレートを活用する最大のメリットと、デザインに関する注意点は何ですか？
A: テンプレート活用の最大のメリットは、必要な情報を入れ忘れる心配がなく、正確で信頼性の高いコミュニケーションを確保できる点です。デザインに関する注意点としては、テンプレートが他社と似通ってしまうリスクや、装飾や画像の使用が過剰になり、相手の環境で「文字化け」したり「表示が崩れたり」するリスクがあるため、シンプルで視認性の高いデザインを心がけるべきです。
Q: メールの署名は、面識のない相手に送る時でも毎回入れるべきですか？
A: はい、面識があるなしにかかわらず、ビジネスメールでは署名を毎回入れるのが基本ルールでありマナーです。署名は、送信者が誰であるか、どこに所属しているかを明確に示し、受信者に安心感と信頼性を与える重要な役割を果たします。特に初めて連絡を取る相手に対して署名がないと、不信感を与えたり、連絡先を伝え忘れたりする原因となるため、メールソフトの自動挿入機能を活用することが推奨されます。</t>
        </is>
      </c>
      <c r="J71" s="47" t="n"/>
      <c r="K71" s="47" t="inlineStr">
        <is>
          <t>OK</t>
        </is>
      </c>
      <c r="L71" s="47" t="inlineStr">
        <is>
          <t>未確認</t>
        </is>
      </c>
      <c r="M71" s="47" t="inlineStr">
        <is>
          <t>完了</t>
        </is>
      </c>
      <c r="N71" s="47" t="inlineStr">
        <is>
          <t>クリニック以外</t>
        </is>
      </c>
      <c r="O71" s="47" t="n"/>
      <c r="P71" s="47" t="n"/>
      <c r="Q71" s="47" t="n"/>
      <c r="R71" s="47" t="n"/>
    </row>
    <row r="72" ht="15.75" customHeight="1" s="185">
      <c r="A72" s="52">
        <f>row()-3</f>
        <v/>
      </c>
      <c r="B72" s="46" t="inlineStr">
        <is>
          <t>モラハラとは？原因と対策する人の特徴、職場での具体例</t>
        </is>
      </c>
      <c r="C72" s="10" t="inlineStr">
        <is>
          <t>https://dym.asia/media/moral-harassment/</t>
        </is>
      </c>
      <c r="D72" s="47" t="inlineStr">
        <is>
          <t>人によって態度を変える モラハラ</t>
        </is>
      </c>
      <c r="E72" s="35" t="n">
        <v>10</v>
      </c>
      <c r="F72" s="36" t="n">
        <v>1.798611111111111</v>
      </c>
      <c r="G72" s="47" t="inlineStr">
        <is>
          <t>なし</t>
        </is>
      </c>
      <c r="H72" s="47" t="inlineStr">
        <is>
          <t>可</t>
        </is>
      </c>
      <c r="I72" s="47" t="inlineStr">
        <is>
          <t>Q: モラルハラスメント（モラハラ）とは具体的にどのような行為を指しますか？
A: モラルハラスメントとは、言葉や態度によって相手の心を傷つけ、精神的な苦痛を与える嫌がらせの総称です。身体的な暴力は伴わず、無視や見下した態度、悪口、陰口、人格を否定するような発言、集団での孤立化などが具体例として挙げられます。
Q: 職場でモラハラを受けた場合、どのような証拠を集めるべきですか？
A: モラハラの証拠として有効なのは、いつ、どこで、誰に、どのような行為をされたかを記録したメモや日記、メールやSNSのやり取り、音声データ（ボイスレコーダーの録音）、そしてモラハラによる心身の不調を示す医師の診断書などです。証拠は具体的な日時や内容を詳細に残すほど、信憑性が高まります。
Q: モラハラは上司から部下へ、または夫から妻へなど、特定の立場の間でのみ発生するのでしょうか？
A: いいえ、モラハラは特定の立場や性別間に限らず発生します。上司から部下、夫から妻のケースが目立ちますが、部下から上司、同僚間、妻から夫など、あらゆる人間関係で起こり得ます。モラハラの定義には、立場による区別はありません。</t>
        </is>
      </c>
      <c r="J72" s="47" t="n"/>
      <c r="K72" s="47" t="inlineStr">
        <is>
          <t>OK</t>
        </is>
      </c>
      <c r="L72" s="47" t="inlineStr">
        <is>
          <t>未確認</t>
        </is>
      </c>
      <c r="M72" s="47" t="inlineStr">
        <is>
          <t>完了</t>
        </is>
      </c>
      <c r="N72" s="47" t="inlineStr">
        <is>
          <t>クリニック以外</t>
        </is>
      </c>
      <c r="O72" s="47" t="n"/>
      <c r="P72" s="47" t="n"/>
      <c r="Q72" s="47" t="n"/>
      <c r="R72" s="47" t="n"/>
    </row>
    <row r="73" ht="15.75" customHeight="1" s="185">
      <c r="A73" s="52">
        <f>row()-3</f>
        <v/>
      </c>
      <c r="B73" s="46" t="inlineStr">
        <is>
          <t>風水で理想のオフィスレイアウトへ</t>
        </is>
      </c>
      <c r="C73" s="10" t="inlineStr">
        <is>
          <t>https://dym.asia/media/office-layout-feng-shui/</t>
        </is>
      </c>
      <c r="D73" s="47" t="inlineStr">
        <is>
          <t>オフィス 風水</t>
        </is>
      </c>
      <c r="E73" s="35" t="n">
        <v>10</v>
      </c>
      <c r="F73" s="36" t="n">
        <v>26.8280701754386</v>
      </c>
      <c r="G73" s="47" t="inlineStr">
        <is>
          <t>なし</t>
        </is>
      </c>
      <c r="H73" s="47" t="inlineStr">
        <is>
          <t>可</t>
        </is>
      </c>
      <c r="I73" s="47" t="inlineStr">
        <is>
          <t>Q: 風水では、オフィスレイアウトにおいて避けたほうがよいとされる配置や家具はありますか？
A: 風水の考え方では、出入り口の真正面にデスクを配置すると気の流れが落ち着きにくいとされるため、避けたほうがよいと考えられる場合があります。また、梁（はり）の下や窓を背にする配置についても、圧迫感や不安を感じやすくなると解釈されることがあり、配置を工夫する一例として挙げられることがあります。
Q: オフィスの色は、風水的にはどのように選ぶとよいと考えられていますか？
A: 風水では、オフィスの色は高めたい運気や目的に応じて選ぶという考え方があります。例えば、集中力や安定感を意識する場合には、青や緑などの落ち着いた色が好まれることがあります。一方で、空間に活気を持たせたい場合には、黄色や赤などをアクセントとして取り入れる考え方もあります。これらは五行思想をもとにした一例であり、コーポレートカラーや業務内容とのバランスを考慮して取り入れられることが多いようです。
Q: 観葉植物は、オフィス風水ではどのように捉えられていますか？
A: 風水において観葉植物は、生命力や成長を象徴する存在と捉えられることが多く、空間の雰囲気を和らげる役割があると考えられています。気の流れが滞りやすいとされる場所に置くことで、空間の調和を意識する人もいます。また、葉の形によって与える印象が異なると解釈されることもありますが、これらは風水の考え方に基づく一説であり、感じ方には個人差があります。</t>
        </is>
      </c>
      <c r="J73" s="47" t="n"/>
      <c r="K73" s="47" t="inlineStr">
        <is>
          <t>修正済</t>
        </is>
      </c>
      <c r="L73" s="47" t="inlineStr">
        <is>
          <t>未確認</t>
        </is>
      </c>
      <c r="M73" s="47" t="inlineStr">
        <is>
          <t>完了</t>
        </is>
      </c>
      <c r="N73" s="47" t="inlineStr">
        <is>
          <t>クリニック以外</t>
        </is>
      </c>
      <c r="O73" s="47" t="n"/>
      <c r="P73" s="47" t="n"/>
      <c r="Q73" s="47" t="n"/>
      <c r="R73" s="47" t="n"/>
    </row>
    <row r="74" ht="15.75" customHeight="1" s="185">
      <c r="A74" s="52">
        <f>row()-3</f>
        <v/>
      </c>
      <c r="B74" s="46" t="inlineStr">
        <is>
          <t>「他の人はこちらも検索」の仕組みと無効・非表示方法を解説</t>
        </is>
      </c>
      <c r="C74" s="10" t="inlineStr">
        <is>
          <t>https://dym.asia/media/others-search/</t>
        </is>
      </c>
      <c r="D74" s="47" t="inlineStr">
        <is>
          <t>その他の検索結果</t>
        </is>
      </c>
      <c r="E74" s="35" t="n">
        <v>10</v>
      </c>
      <c r="F74" s="36" t="n">
        <v>5.36429947701624</v>
      </c>
      <c r="G74" s="47" t="inlineStr">
        <is>
          <t>なし</t>
        </is>
      </c>
      <c r="H74" s="47" t="inlineStr">
        <is>
          <t>可</t>
        </is>
      </c>
      <c r="I74" s="47" t="inlineStr">
        <is>
          <t>Q: 面接で「他に受けている企業はありますか？」と聞かれた場合、具体的に企業名を伝えるべきですか？
A: 具体的な企業名を伝える義務はありません。一般的には、「どのような業界や職種の企業を何社ほど受けているか」「選考の進捗状況」を簡潔に伝えれば十分です。企業名は伏せて、「同業他社〇社」「これまでの経験を活かせる〇〇業界の企業〇社」といった形で答えるのが無難です。
Q: 企業はなぜ面接で他社の選考状況を聞くのでしょうか？
A: 主な理由は3つあります。1つ目は自社への志望度を測るため、2つ目は応募者が市場でどのような評価を受けているか（他社での選考通過状況など）を知るため、3つ目は自社の今後の選考スケジュールを決める上での参考にするためです。応募者が明確な企業選びの軸を持っているかどうかも見ています。
Q: 他社への応募状況がない（または選考に落ちている）場合、正直に伝えても不利になりませんか？
A: 基本的には正直に伝えることが大切ですが、伝え方に工夫が必要です。選考状況がない場合は、「御社への志望度が高く、まず御社に集中して選考を受けている」など、志望度の高さと理由をセットで伝えましょう。他社で不採用になった場合は、あえて詳細を伝える必要はありませんが、聞かれた際はその経験から何を学んだか、そしてそれが応募企業への志望度や適性につながっていることをアピールすると良いでしょう。</t>
        </is>
      </c>
      <c r="J74" s="47" t="n"/>
      <c r="K74" s="47" t="inlineStr">
        <is>
          <t>OK</t>
        </is>
      </c>
      <c r="L74" s="47" t="inlineStr">
        <is>
          <t>未確認</t>
        </is>
      </c>
      <c r="M74" s="47" t="inlineStr">
        <is>
          <t>進行中</t>
        </is>
      </c>
      <c r="N74" s="47" t="inlineStr">
        <is>
          <t>クリニック以外</t>
        </is>
      </c>
      <c r="O74" s="47" t="n"/>
      <c r="P74" s="47" t="n"/>
      <c r="Q74" s="47" t="n"/>
      <c r="R74" s="47" t="n"/>
    </row>
    <row r="75" ht="15.75" customHeight="1" s="185">
      <c r="A75" s="52">
        <f>row()-3</f>
        <v/>
      </c>
      <c r="B75" s="46" t="inlineStr">
        <is>
          <t>コンコルド効果とは？身近な例、原因、対策を解説</t>
        </is>
      </c>
      <c r="C75" s="10" t="inlineStr">
        <is>
          <t>https://dym.asia/media/concorde-effect/</t>
        </is>
      </c>
      <c r="D75" s="47" t="inlineStr">
        <is>
          <t>コンコルド効果</t>
        </is>
      </c>
      <c r="E75" s="35" t="n">
        <v>9</v>
      </c>
      <c r="F75" s="36" t="n">
        <v>6.890692315399258</v>
      </c>
      <c r="G75" s="47" t="inlineStr">
        <is>
          <t>なし</t>
        </is>
      </c>
      <c r="H75" s="47" t="inlineStr">
        <is>
          <t>可</t>
        </is>
      </c>
      <c r="I75" s="47" t="inlineStr">
        <is>
          <t>Q: コンコルド効果とは、具体的にどのような心理現象を指しますか？
A: コンコルド効果とは、「これまでに投じたコスト（時間、労力、お金など）を惜しむあまり、合理的な判断ができなくなり、損失が出るとわかっていても、その行動を続けてしまう」という心理現象です。サンクコスト（埋没費用）の概念が深く関わっており、投資を正当化しようとする心理が働きます。
Q: コンコルド効果は、ビジネスの場面でどのように悪影響を及ぼすことがありますか？
A: ビジネスでは、不採算プロジェクトの中止判断が遅れることや、売れない在庫への追加投資を続けてしまうこと、あるいは明らかに失敗している戦略を転換できないなどの悪影響を及ぼします。これらは、過去の投資が無駄になることを恐れて、より大きな損失を将来的に招くリスクを高めます。
Q: コンコルド効果から脱却し、合理的な判断をするためのポイントは何ですか？
A: 脱却のポイントは3つあります。1つ目は、「これまでに費やしたコスト」を無視し、「これからの未来」に焦点を当てて考えること。2つ目は、客観的な第三者に意見を求め、感情を排除すること。3つ目は、事前に損切りライン（撤退基準）を設定し、それに達した際は機械的に実行することです。</t>
        </is>
      </c>
      <c r="J75" s="47" t="n"/>
      <c r="K75" s="47" t="inlineStr">
        <is>
          <t>OK</t>
        </is>
      </c>
      <c r="L75" s="47" t="inlineStr">
        <is>
          <t>未確認</t>
        </is>
      </c>
      <c r="M75" s="47" t="inlineStr">
        <is>
          <t>完了</t>
        </is>
      </c>
      <c r="N75" s="47" t="inlineStr">
        <is>
          <t>クリニック以外</t>
        </is>
      </c>
      <c r="O75" s="47" t="n"/>
      <c r="P75" s="47" t="n"/>
      <c r="Q75" s="47" t="n"/>
      <c r="R75" s="47" t="n"/>
    </row>
    <row r="76" ht="15.75" customHeight="1" s="185">
      <c r="A76" s="52">
        <f>row()-3</f>
        <v/>
      </c>
      <c r="B76" s="46" t="inlineStr">
        <is>
          <t>Indeed PLUS（インディードプラス）とは？料金や掲載方法を解説</t>
        </is>
      </c>
      <c r="C76" s="6" t="inlineStr">
        <is>
          <t>https://dym.asia/media/indeed-plus-guide/</t>
        </is>
      </c>
      <c r="D76" s="47" t="inlineStr">
        <is>
          <t>indeed plus スカウト機能</t>
        </is>
      </c>
      <c r="E76" s="35" t="n">
        <v>9</v>
      </c>
      <c r="F76" s="36" t="n">
        <v>1.484162895927602</v>
      </c>
      <c r="G76" s="47" t="inlineStr">
        <is>
          <t>あり</t>
        </is>
      </c>
      <c r="H76" s="47" t="inlineStr">
        <is>
          <t>既存</t>
        </is>
      </c>
      <c r="I76" s="47" t="inlineStr">
        <is>
          <t>対応不要</t>
        </is>
      </c>
      <c r="J76" s="47" t="n"/>
      <c r="K76" s="47" t="inlineStr">
        <is>
          <t>対応不要</t>
        </is>
      </c>
      <c r="L76" s="47" t="inlineStr">
        <is>
          <t>対応不要</t>
        </is>
      </c>
      <c r="M76" s="47" t="inlineStr">
        <is>
          <t>対応不要</t>
        </is>
      </c>
      <c r="N76" s="47" t="inlineStr">
        <is>
          <t>クリニック以外</t>
        </is>
      </c>
      <c r="O76" s="47" t="n"/>
      <c r="P76" s="47" t="n"/>
      <c r="Q76" s="47" t="n"/>
      <c r="R76" s="47" t="n"/>
    </row>
    <row r="77" ht="15.75" customHeight="1" s="185">
      <c r="A77" s="52">
        <f>row()-3</f>
        <v/>
      </c>
      <c r="B77" s="46" t="inlineStr">
        <is>
          <t>IPアドレスとは？仕組みや種類、確認方法、個人特定について解説</t>
        </is>
      </c>
      <c r="C77" s="10" t="inlineStr">
        <is>
          <t>https://dym.asia/media/ip-address/</t>
        </is>
      </c>
      <c r="D77" s="47" t="inlineStr">
        <is>
          <t>ipアドレス</t>
        </is>
      </c>
      <c r="E77" s="35" t="n">
        <v>9</v>
      </c>
      <c r="F77" s="36" t="n">
        <v>9.856991525423728</v>
      </c>
      <c r="G77" s="47" t="inlineStr">
        <is>
          <t>なし</t>
        </is>
      </c>
      <c r="H77" s="47" t="inlineStr">
        <is>
          <t>可</t>
        </is>
      </c>
      <c r="I77" s="47" t="inlineStr">
        <is>
          <t>Q: IPアドレスとドメイン名は、それぞれどのような役割を担っていますか？
A: IPアドレスは、インターネット上に接続された機器を識別するための番号で、データを正確に送受信するための「住所」のような役割を果たします。一方、ドメイン名は、そのIPアドレスに対応付けられた、人が覚えやすい文字列（例：google.com）です。私たちは通常、ドメイン名を使ってWebサイトにアクセスしますが、内部的にはドメイン名がIPアドレスに変換されて通信が行われています。
Q: グローバルIPアドレスとプライベートIPアドレスの違いは何ですか？
A: グローバルIPアドレスは、インターネット上で一意に割り当てられるIPアドレスで、外部ネットワークと直接通信する際に使用されます。一方、プライベートIPアドレスは、家庭や企業内のLAN（ローカルエリアネットワーク）など、限られたネットワーク内でのみ利用されるIPアドレスです。一般的には、ルーターが1つのグローバルIPアドレスを持ち、その配下の各端末にプライベートIPアドレスが割り当てられます。
Q: IPアドレスが変更されることはありますか？
A: はい、IPアドレスが変更されることはあります。多くのインターネット接続では、プロバイダからIPアドレスが動的に割り当てられており、ルーターの再起動や一定期間の経過によって変わる場合があります。これを「動的IPアドレス」と呼びます。一方で、Webサーバーなど常に同じアドレスでアクセスされる必要がある用途では、「静的IPアドレス」が利用されるケースもあります。</t>
        </is>
      </c>
      <c r="J77" s="47" t="n"/>
      <c r="K77" s="47" t="inlineStr">
        <is>
          <t>修正済</t>
        </is>
      </c>
      <c r="L77" s="47" t="inlineStr">
        <is>
          <t>未確認</t>
        </is>
      </c>
      <c r="M77" s="47" t="inlineStr">
        <is>
          <t>完了</t>
        </is>
      </c>
      <c r="N77" s="47" t="inlineStr">
        <is>
          <t>クリニック以外</t>
        </is>
      </c>
      <c r="O77" s="47" t="n"/>
      <c r="P77" s="47" t="n"/>
      <c r="Q77" s="47" t="n"/>
      <c r="R77" s="47" t="n"/>
    </row>
    <row r="78" ht="15.75" customHeight="1" s="185">
      <c r="A78" s="52">
        <f>row()-3</f>
        <v/>
      </c>
      <c r="B78" s="46" t="inlineStr">
        <is>
          <t>404 not found(404エラー)の原因と対処法を解説</t>
        </is>
      </c>
      <c r="C78" s="10" t="inlineStr">
        <is>
          <t>https://dym.asia/media/404-error/</t>
        </is>
      </c>
      <c r="D78" s="47" t="n">
        <v>404</v>
      </c>
      <c r="E78" s="35" t="n">
        <v>8</v>
      </c>
      <c r="F78" s="36" t="n">
        <v>2.880043033889188</v>
      </c>
      <c r="G78" s="47" t="inlineStr">
        <is>
          <t>なし</t>
        </is>
      </c>
      <c r="H78" s="47" t="inlineStr">
        <is>
          <t>可</t>
        </is>
      </c>
      <c r="I78" s="47" t="inlineStr">
        <is>
          <t>Q: ユーザーが404エラーページを見た場合、サイト運営者としてどのような対処をすべきですか？
A: サイト運営者は、まずエラーの原因がリンク切れやURLの入力ミスではないかを確認し、適切な修正を行うべきです。その上で、ユーザーが迷子にならないように、オリジナルデザインの404エラーページを用意し、サイト内検索窓や主要なページへのリンクを設置して、サイト内回遊を促すことが重要です。
Q: 404エラーが多発すると、SEO（検索エンジン最適化）に悪影響がありますか？
A: 404エラー自体が直接的に検索順位を下げる原因になることは少ないですが、ユーザー体験の低下を通じて間接的に悪影響を及ぼす可能性があります。また、本来存在するべき重要なページが404エラーになっている場合、そのページの評価が検索エンジンに伝わらなくなるため、機会損失となります。定期的なチェックと、適切なリダイレクト設定が重要です。
Q: 404エラーページが表示される代わりに、別のページへ自動転送させることは可能ですか？
A: はい、可能です。これをリダイレクトと呼びます。ページが完全に削除され、代替のページが存在する場合は「301リダイレクト」（恒久的な移転）を設定するのが最も適切です。単なるリンク切れや一時的な問題の場合は、404エラーページを表示しつつ、サイト内への導線を確保することが推奨されます。</t>
        </is>
      </c>
      <c r="J78" s="47" t="n"/>
      <c r="K78" s="47" t="inlineStr">
        <is>
          <t>OK</t>
        </is>
      </c>
      <c r="L78" s="47" t="inlineStr">
        <is>
          <t>未確認</t>
        </is>
      </c>
      <c r="M78" s="47" t="inlineStr">
        <is>
          <t>完了</t>
        </is>
      </c>
      <c r="N78" s="47" t="inlineStr">
        <is>
          <t>クリニック以外</t>
        </is>
      </c>
      <c r="O78" s="47" t="n"/>
      <c r="P78" s="47" t="n"/>
      <c r="Q78" s="47" t="n"/>
      <c r="R78" s="47" t="n"/>
    </row>
    <row r="79" ht="15.75" customHeight="1" s="185">
      <c r="A79" s="52">
        <f>row()-3</f>
        <v/>
      </c>
      <c r="B79" s="46" t="inlineStr">
        <is>
          <t>広告出稿の流れとは？主な出稿先と特徴を解説</t>
        </is>
      </c>
      <c r="C79" s="10" t="inlineStr">
        <is>
          <t>https://dym.asia/media/advertising/</t>
        </is>
      </c>
      <c r="D79" s="47" t="inlineStr">
        <is>
          <t>広告出稿</t>
        </is>
      </c>
      <c r="E79" s="35" t="n">
        <v>8</v>
      </c>
      <c r="F79" s="36" t="n">
        <v>1.839375629405841</v>
      </c>
      <c r="G79" s="47" t="inlineStr">
        <is>
          <t>なし</t>
        </is>
      </c>
      <c r="H79" s="47" t="inlineStr">
        <is>
          <t>可</t>
        </is>
      </c>
      <c r="I79" s="10" t="inlineStr">
        <is>
          <t>Q: 広告を出す際に、どのような要素でターゲットを設定すべきですか？
A: ターゲット設定は、デモグラフィック属性（年齢、性別、居住地、職業、年収など）だけでなく、サイコグラフィック属性（興味・関心、ライフスタイル、価値観、購買行動パターンなど）を組み合わせて設定すべきです。特に、「どのような課題を抱えている人か」という視点を持つことで、より効果的なメッセージを届けることができます。
Q: 広告効果を測定する上で、最も重要視すべき指標は何ですか？
A: 広告の目的によって重要視すべき指標は異なります。認知度向上が目的ならインプレッション数やリーチ数、サイト流入が目的ならクリック率（CTR）、そして最も重要なのは最終的な成果であるコンバージョン率（CVR）や費用対効果を示すCPA（顧客獲得単価）やROAS（広告費用対効果）です。目的に応じてKPIを設定し、計測することが不可欠です。
Q: 少額の予算でも、効果的な広告運用を行うためのポイントはありますか？
A: 少額予算で効果を出すには、ターゲットを極限まで絞り込むことが重要です。広範囲に薄く配信するのではなく、最も成果につながりやすい層に集中して配信します。また、広告クリエイティブを複数パターン用意し、A/Bテストを繰り返して効果の高いものを特定・強化し、無駄な配信を徹底的に削減するPDCAサイクルを高速で回すことがポイントです。
ぜひお問い合わせください。
問い合わせ先はこちら↓
https://dym.asia/contact/?sid=681795991</t>
        </is>
      </c>
      <c r="J79" s="47" t="n"/>
      <c r="K79" s="47" t="inlineStr">
        <is>
          <t>OK</t>
        </is>
      </c>
      <c r="L79" s="47" t="inlineStr">
        <is>
          <t>未確認</t>
        </is>
      </c>
      <c r="M79" s="47" t="inlineStr">
        <is>
          <t>完了</t>
        </is>
      </c>
      <c r="N79" s="47" t="inlineStr">
        <is>
          <t>クリニック以外</t>
        </is>
      </c>
      <c r="O79" s="47" t="n"/>
      <c r="P79" s="47" t="n"/>
      <c r="Q79" s="47" t="n"/>
      <c r="R79" s="47" t="n"/>
    </row>
    <row r="80" ht="15.75" customHeight="1" s="185">
      <c r="A80" s="52">
        <f>row()-3</f>
        <v/>
      </c>
      <c r="B80" s="46" t="inlineStr">
        <is>
          <t>多様性とは？意味や重要性、企業での取り組み方を徹底解説</t>
        </is>
      </c>
      <c r="C80" s="10" t="inlineStr">
        <is>
          <t>https://dym.asia/media/diversity/</t>
        </is>
      </c>
      <c r="D80" s="47" t="inlineStr">
        <is>
          <t>多様性 意味 わかりやすく</t>
        </is>
      </c>
      <c r="E80" s="35" t="n">
        <v>8</v>
      </c>
      <c r="F80" s="36" t="n">
        <v>6.193125</v>
      </c>
      <c r="G80" s="47" t="inlineStr">
        <is>
          <t>なし</t>
        </is>
      </c>
      <c r="H80" s="47" t="inlineStr">
        <is>
          <t>可</t>
        </is>
      </c>
      <c r="I80" s="47" t="inlineStr">
        <is>
          <t>Q: ダイバーシティ（多様性）とインクルージョン（包括性）は、何が違いますか？
A: ダイバーシティは、性別、年齢、人種、価値観などの「違い」を認め、活かすことを指します。一方、インクルージョンは、その多様な人材が「組織の一員として認められ、安心して意見を表明し、能力を最大限に発揮できる状態」を指します。ダイバーシティが「存在する多様性」なら、インクルージョンは「多様性を活かすための環境や文化」と言えます。
Q: ダイバーシティ推進は、企業にとってどのようなメリットがありますか？
A: 主なメリットは、イノベーションの創出、生産性の向上、優秀な人材の確保の3点です。多様な視点や経験が組み合わされることで、新しいアイデアや商品・サービスが生まれやすくなります。また、働きやすい環境は従業員のエンゲージメントを高め、企業イメージ向上にもつながります。
Q: ダイバーシティ推進における課題や注意点はありますか？
A: 課題としては、多様な価値観による意見の衝突や対立が起こりやすくなる点、また、制度だけが先行し、現場の理解や文化が追いつかない点が挙げられます。注意点として、特定のグループだけを優遇していると捉えられないよう、公平性・公正性を担保し、全従業員が納得できる形で進めることが重要です。</t>
        </is>
      </c>
      <c r="J80" s="47" t="n"/>
      <c r="K80" s="47" t="inlineStr">
        <is>
          <t>OK</t>
        </is>
      </c>
      <c r="L80" s="47" t="inlineStr">
        <is>
          <t>未確認</t>
        </is>
      </c>
      <c r="M80" s="47" t="inlineStr">
        <is>
          <t>完了</t>
        </is>
      </c>
      <c r="N80" s="47" t="inlineStr">
        <is>
          <t>クリニック以外</t>
        </is>
      </c>
      <c r="O80" s="47" t="n"/>
      <c r="P80" s="47" t="n"/>
      <c r="Q80" s="47" t="n"/>
      <c r="R80" s="47" t="n"/>
    </row>
    <row r="81" ht="15.75" customHeight="1" s="185">
      <c r="A81" s="52">
        <f>row()-3</f>
        <v/>
      </c>
      <c r="B81" s="46" t="inlineStr">
        <is>
          <t>一般媒介契約と仲介の違いとは？注意すべきポイントを解説</t>
        </is>
      </c>
      <c r="C81" s="6" t="inlineStr">
        <is>
          <t>https://dym.asia/media/general-mediation-brokerage-fee/</t>
        </is>
      </c>
      <c r="D81" s="47" t="inlineStr">
        <is>
          <t>一般媒介 仲介 手数料 違い</t>
        </is>
      </c>
      <c r="E81" s="35" t="n">
        <v>8</v>
      </c>
      <c r="F81" s="36" t="n">
        <v>5.064579256360078</v>
      </c>
      <c r="G81" s="47" t="inlineStr">
        <is>
          <t>なし</t>
        </is>
      </c>
      <c r="H81" s="47" t="inlineStr">
        <is>
          <t>可</t>
        </is>
      </c>
      <c r="I81" s="47" t="inlineStr">
        <is>
          <t>Q: 不動産仲介手数料の上限額はどのように決められているのですか？
A: 不動産仲介手数料の報酬額は、宅地建物取引業法によって上限が定められています。取引額が400万円を超える部分については、「取引価格の3% ＋ 6万円」に消費税を加えた額が上限となります。この計算式は、売買・賃貸の仲介、不動産の種類に関わらず適用されることが一般的です。
Q: 仲介手数料は、いつ不動産会社に支払うのが一般的ですか？
A: 仲介手数料は、不動産取引の成功報酬として支払われます。一般的なタイミングは、売買契約成立時にその半額、そして物件の引渡し（決済）が完了した時に残りの半額を支払うという形が多いです。ただし、不動産会社との間で合意があれば、全額を引渡し時にまとめて支払うケースもあります。
Q: 仲介手数料が無料または半額になる不動産会社がありますが、なぜそのようなことが可能なのですか？
A: 仲介手数料が無料や半額になるのは、不動産会社が売主側からも手数料を受け取っている場合や、インターネットでの集客に特化して人件費などのコストを抑えている場合などがあります。買主側から見ればお得ですが、サービス内容や取引サポートの範囲を事前にしっかり確認することが重要です。</t>
        </is>
      </c>
      <c r="J81" s="47" t="n"/>
      <c r="K81" s="47" t="inlineStr">
        <is>
          <t>OK</t>
        </is>
      </c>
      <c r="L81" s="47" t="inlineStr">
        <is>
          <t>未確認</t>
        </is>
      </c>
      <c r="M81" s="47" t="inlineStr">
        <is>
          <t>完了</t>
        </is>
      </c>
      <c r="N81" s="47" t="inlineStr">
        <is>
          <t>クリニック以外</t>
        </is>
      </c>
      <c r="O81" s="47" t="n"/>
      <c r="P81" s="47" t="n"/>
      <c r="Q81" s="47" t="n"/>
      <c r="R81" s="47" t="n"/>
    </row>
    <row r="82" ht="15.75" customHeight="1" s="185">
      <c r="A82" s="52">
        <f>row()-3</f>
        <v/>
      </c>
      <c r="B82" s="46" t="inlineStr">
        <is>
          <t>ヘッドハンティングとは？引き抜きとの違い、費用の相場や採用する流れや注意点</t>
        </is>
      </c>
      <c r="C82" s="10" t="inlineStr">
        <is>
          <t>https://dym.asia/media/head-hunting-cost/</t>
        </is>
      </c>
      <c r="D82" s="47" t="inlineStr">
        <is>
          <t>ヘッドハンティング 費用</t>
        </is>
      </c>
      <c r="E82" s="35" t="n">
        <v>8</v>
      </c>
      <c r="F82" s="36" t="n">
        <v>4.173913043478261</v>
      </c>
      <c r="G82" s="47" t="inlineStr">
        <is>
          <t>なし</t>
        </is>
      </c>
      <c r="H82" s="47" t="inlineStr">
        <is>
          <t>可</t>
        </is>
      </c>
      <c r="I82" s="10" t="inlineStr">
        <is>
          <t>Q: ヘッドハンティングを利用する際に発生する主な費用には、どのようなものがありますか？
A: 主な費用は、採用が成功した場合に発生する成功報酬（フィー）と、候補者を探す活動に対して支払うリテイナーフィー（着手金・固定報酬）の2種類があります。成功報酬は、採用された人材の理論年収の30%〜35%程度が相場です。リテイナーフィーは、エージェントや契約内容によって異なります。ぜひお問い合わせください。
お問い合わせ先はこちら↓
https://dym.asia/contact/
Q: ヘッドハンティングの成功報酬は、いつ支払うのが一般的ですか？
A: 成功報酬は、採用された候補者が入社した日（または数日以内）に全額を支払うのが一般的です。ただし、企業とエージェント間で取り決められた保証期間内に候補者が退職した場合に、報酬の一部が返金される「返金保証（リファンド）」の規定が設けられている場合が多くあります。
Q: ヘッドハンティングと人材紹介は、費用体系以外にどのような違いがありますか？
A: 人材紹介は、登録された転職希望者の中から企業ニーズに合う人材を紹介する「データベース型」が主流です。一方、ヘッドハンティングは、転職市場に出ていない優秀な人材に対し、直接アプローチし引き抜く「サーチ型」が主流です。そのため、ヘッドハンティングの方が採用難易度が高く、高額なポジションの採用に特化しているため、費用が高くなる傾向にあります。</t>
        </is>
      </c>
      <c r="J82" s="47" t="n"/>
      <c r="K82" s="47" t="inlineStr">
        <is>
          <t>OK</t>
        </is>
      </c>
      <c r="L82" s="47" t="inlineStr">
        <is>
          <t>未確認</t>
        </is>
      </c>
      <c r="M82" s="47" t="inlineStr">
        <is>
          <t>完了</t>
        </is>
      </c>
      <c r="N82" s="47" t="inlineStr">
        <is>
          <t>クリニック以外</t>
        </is>
      </c>
      <c r="O82" s="47" t="n"/>
      <c r="P82" s="47" t="n"/>
      <c r="Q82" s="47" t="n"/>
      <c r="R82" s="47" t="n"/>
    </row>
    <row r="83" ht="15.75" customHeight="1" s="185">
      <c r="A83" s="52">
        <f>row()-3</f>
        <v/>
      </c>
      <c r="B83" s="46" t="inlineStr">
        <is>
          <t>メーデーとは？その歴史と意味、日本での過ごし方を解説</t>
        </is>
      </c>
      <c r="C83" s="6" t="inlineStr">
        <is>
          <t>https://dym.asia/media/may-day/</t>
        </is>
      </c>
      <c r="D83" s="47" t="inlineStr">
        <is>
          <t>メーデー</t>
        </is>
      </c>
      <c r="E83" s="35" t="n">
        <v>8</v>
      </c>
      <c r="F83" s="36" t="n">
        <v>9.170785077653839</v>
      </c>
      <c r="G83" s="47" t="inlineStr">
        <is>
          <t>なし</t>
        </is>
      </c>
      <c r="H83" s="47" t="inlineStr">
        <is>
          <t>可</t>
        </is>
      </c>
      <c r="I83" s="47" t="inlineStr">
        <is>
          <t>Q: メーデー（May Day）は、世界的に見てどのような目的で実施される日ですか？
A: メーデーは、世界的には労働者が権利と団結を要求する国際的な記念日です。特に、「8時間労働制」を求める運動が起源とされており、労働環境の改善、賃金の引き上げ、雇用の安定などを求めて、デモや集会が行われます。
Q: 日本のメーデーでは、具体的にどのような活動が行われることが多いですか？
A: 日本のメーデーでは、労働組合や労働団体が主催する中央・地域集会が開かれ、参加者によるデモ行進が行われることが一般的です。最近では、非正規雇用の問題や格差是正、平和などをテーマに掲げ、集会後にフェスティバルのような形で開催されることもあります。
Q: メーデーは祝日ですか？ 企業は休業しなければならないのでしょうか？
A: メーデーは、日本の法律上の国民の祝日ではありません。企業によっては就業規則で休日と定めている場合もありますが、多くの企業では通常の平日として扱われます。労働組合が活動の一環として休暇を取得したり、集会に参加したりすることはありますが、企業全体として休業する義務はありません。</t>
        </is>
      </c>
      <c r="J83" s="47" t="n"/>
      <c r="K83" s="47" t="inlineStr">
        <is>
          <t>OK</t>
        </is>
      </c>
      <c r="L83" s="47" t="inlineStr">
        <is>
          <t>未確認</t>
        </is>
      </c>
      <c r="M83" s="47" t="inlineStr">
        <is>
          <t>完了</t>
        </is>
      </c>
      <c r="N83" s="47" t="inlineStr">
        <is>
          <t>クリニック以外</t>
        </is>
      </c>
      <c r="O83" s="47" t="n"/>
      <c r="P83" s="47" t="n"/>
      <c r="Q83" s="47" t="n"/>
      <c r="R83" s="47" t="n"/>
    </row>
    <row r="84" ht="15.75" customHeight="1" s="185">
      <c r="A84" s="52">
        <f>row()-3</f>
        <v/>
      </c>
      <c r="B84" s="46" t="inlineStr">
        <is>
          <t>残業代の計算方法は？時給・月給の計算方法や4つの注意点を解説</t>
        </is>
      </c>
      <c r="C84" s="6" t="inlineStr">
        <is>
          <t>https://dym.asia/media/overtime-pay-calculation/</t>
        </is>
      </c>
      <c r="D84" s="47" t="inlineStr">
        <is>
          <t>残業代 計算</t>
        </is>
      </c>
      <c r="E84" s="35" t="n">
        <v>8</v>
      </c>
      <c r="F84" s="36" t="n">
        <v>10.98597014925373</v>
      </c>
      <c r="G84" s="47" t="inlineStr">
        <is>
          <t>あり</t>
        </is>
      </c>
      <c r="H84" s="47" t="inlineStr">
        <is>
          <t>既存</t>
        </is>
      </c>
      <c r="I84" s="47" t="inlineStr">
        <is>
          <t>対応不要</t>
        </is>
      </c>
      <c r="J84" s="47" t="n"/>
      <c r="K84" s="47" t="inlineStr">
        <is>
          <t>対応不要</t>
        </is>
      </c>
      <c r="L84" s="47" t="inlineStr">
        <is>
          <t>対応不要</t>
        </is>
      </c>
      <c r="M84" s="47" t="inlineStr">
        <is>
          <t>対応不要</t>
        </is>
      </c>
      <c r="N84" s="47" t="inlineStr">
        <is>
          <t>クリニック以外</t>
        </is>
      </c>
      <c r="O84" s="47" t="n"/>
      <c r="P84" s="47" t="n"/>
      <c r="Q84" s="47" t="n"/>
      <c r="R84" s="47" t="n"/>
    </row>
    <row r="85" ht="15.75" customHeight="1" s="185">
      <c r="A85" s="52">
        <f>row()-3</f>
        <v/>
      </c>
      <c r="B85" s="46" t="inlineStr">
        <is>
          <t>有給休暇とは？付与日数や計算方法を解説</t>
        </is>
      </c>
      <c r="C85" s="10" t="inlineStr">
        <is>
          <t>https://dym.asia/media/paid-about/</t>
        </is>
      </c>
      <c r="D85" s="47" t="inlineStr">
        <is>
          <t>有給の仕組み</t>
        </is>
      </c>
      <c r="E85" s="35" t="n">
        <v>8</v>
      </c>
      <c r="F85" s="36" t="n">
        <v>4.1</v>
      </c>
      <c r="G85" s="47" t="inlineStr">
        <is>
          <t>なし</t>
        </is>
      </c>
      <c r="H85" s="47" t="inlineStr">
        <is>
          <t>可</t>
        </is>
      </c>
      <c r="I85" s="10" t="inlineStr">
        <is>
          <t>Q: Web広告において、純広告と運用型広告の最も大きな違いは何ですか？
A: 純広告は、Webサイトや媒体の特定の広告枠を、期間で買い取る形式で、料金や掲載位置が固定されているのが特徴です。一方、運用型広告は、広告主がターゲットや入札単価などを設定し、オークション形式で掲載の有無や費用が決まり、運用中にリアルタイムで調整・改善が可能な点が大きな違いです。
Q: 運用型広告の費用は、どのように決まることが多いですか？
A: 運用型広告の費用は、主にクリック課金（CPC）、インプレッション課金（CPM/vCPM）、エンゲージメント課金（CPE）などの形式で決まります。最も一般的なクリック課金では、広告がクリックされるたびに入札単価に応じた費用が発生します。費用は、設定した予算内で、入札競争によって変動します。ぜひお問い合わせください。
お問い合わせ先はこちら↓
https://dym.asia/contact/
Q: Web広告の出稿を検討する際、最も重視すべきポイントは何ですか？
A: 最も重視すべきポイントは、「広告を出す目的を明確にすること」です。目的が「認知度向上」なのか「資料請求/購買」なのかによって、選ぶべき広告の種類（ディスプレイ広告か検索連動型広告かなど）や、設定すべきKPI（重要業績評価指標）が大きく変わるため、まず目的を明確化することが成功の鍵となります。</t>
        </is>
      </c>
      <c r="J85" s="47" t="n"/>
      <c r="K85" s="47" t="inlineStr">
        <is>
          <t>OK</t>
        </is>
      </c>
      <c r="L85" s="47" t="inlineStr">
        <is>
          <t>未確認</t>
        </is>
      </c>
      <c r="M85" s="47" t="inlineStr">
        <is>
          <t>進行中</t>
        </is>
      </c>
      <c r="N85" s="47" t="inlineStr">
        <is>
          <t>クリニック以外</t>
        </is>
      </c>
      <c r="O85" s="47" t="n"/>
      <c r="P85" s="47" t="n"/>
      <c r="Q85" s="47" t="n"/>
      <c r="R85" s="47" t="n"/>
    </row>
    <row r="86" ht="15.75" customHeight="1" s="185">
      <c r="A86" s="52">
        <f>row()-3</f>
        <v/>
      </c>
      <c r="B86" s="46" t="inlineStr">
        <is>
          <t>常用型派遣（無期雇用派遣）とは？登録型派遣との違いや企業が利用するメリットを解説</t>
        </is>
      </c>
      <c r="C86" s="10" t="inlineStr">
        <is>
          <t>https://dym.asia/media/permanent_dispatch/</t>
        </is>
      </c>
      <c r="D86" s="47" t="inlineStr">
        <is>
          <t>dymキャリア 無期雇用派遣</t>
        </is>
      </c>
      <c r="E86" s="35" t="n">
        <v>8</v>
      </c>
      <c r="F86" s="36" t="n">
        <v>3.215686274509804</v>
      </c>
      <c r="G86" s="47" t="inlineStr">
        <is>
          <t>なし</t>
        </is>
      </c>
      <c r="H86" s="47" t="inlineStr">
        <is>
          <t>可</t>
        </is>
      </c>
      <c r="I86" s="47" t="inlineStr">
        <is>
          <t>Q: 常用型派遣と登録型派遣の最も大きな違いは何ですか？
A: 常用型派遣は、派遣会社と無期限の雇用契約を結び、派遣会社で正社員または無期雇用社員として雇用された上で、派遣先企業に勤務します。一方、登録型派遣は、派遣会社に登録し、派遣先企業との派遣契約がある期間だけ派遣会社と雇用契約を結びます。常用型は雇用が安定している点が特徴です。
Q: 常用型派遣で働くメリットは、どのような点にありますか？
A: 常用型派遣の最大のメリットは、派遣先での業務がない期間も派遣会社から給与が支払われるため、雇用の安定性が高い点です。また、派遣会社が実施する研修やキャリアサポートを受けやすく、スキルアップを図りながら様々な企業で経験を積むことができます。
Q: 常用型派遣から、派遣先の正社員になることは可能ですか？
A: はい、可能です。これは紹介予定派遣とは異なりますが、派遣先企業が常用型派遣社員の能力や適性を評価した場合、直接雇用の打診を受けることがあります。これを「社員登用」と呼びます。常用型派遣として安定した雇用形態を維持しつつ、キャリアアップの選択肢として正社員を目指すこともできます。</t>
        </is>
      </c>
      <c r="J86" s="47" t="n"/>
      <c r="K86" s="47" t="inlineStr">
        <is>
          <t>OK</t>
        </is>
      </c>
      <c r="L86" s="47" t="inlineStr">
        <is>
          <t>未確認</t>
        </is>
      </c>
      <c r="M86" s="47" t="inlineStr">
        <is>
          <t>完了</t>
        </is>
      </c>
      <c r="N86" s="47" t="inlineStr">
        <is>
          <t>クリニック以外</t>
        </is>
      </c>
      <c r="O86" s="47" t="n"/>
      <c r="P86" s="47" t="n"/>
      <c r="Q86" s="47" t="n"/>
      <c r="R86" s="47" t="n"/>
    </row>
    <row r="87" ht="15.75" customHeight="1" s="185">
      <c r="A87" s="52">
        <f>row()-3</f>
        <v/>
      </c>
      <c r="B87" s="46" t="inlineStr">
        <is>
          <t>肌をきれいにする方法：プロが教える効果的なスキンケアと生活習慣</t>
        </is>
      </c>
      <c r="C87" s="10" t="inlineStr">
        <is>
          <t>https://dym.asia/media/skin-care/</t>
        </is>
      </c>
      <c r="D87" s="47" t="inlineStr">
        <is>
          <t>肌を綺麗にする方法</t>
        </is>
      </c>
      <c r="E87" s="35" t="n">
        <v>8</v>
      </c>
      <c r="F87" s="36" t="n">
        <v>11.47052154195011</v>
      </c>
      <c r="G87" s="47" t="inlineStr">
        <is>
          <t>なし</t>
        </is>
      </c>
      <c r="H87" s="47" t="inlineStr">
        <is>
          <t>可</t>
        </is>
      </c>
      <c r="I87" s="47" t="inlineStr">
        <is>
          <t>Q: スキンケアにおいて、洗顔後の保湿はなぜ重要なのでしょうか？
A: 洗顔後は、肌のバリア機能を担う皮脂や天然保湿因子（NMF）などが洗い流され、肌が無防備で乾燥しやすい状態になります。保湿は、水分を補い、さらに乳液やクリームの油分でフタをすることで、肌内部の水分蒸発を防ぎ、外部の刺激から肌を守るバリア機能を正常に保つために非常に重要です。
Q: 自分の肌質（乾燥肌、脂性肌、混合肌など）がわからない場合、どのようにスキンケア用品を選べば良いですか？
A: 自分の肌質がわからない場合は、「敏感肌用」や「低刺激性」と表示された製品から試してみるのが安全です。まずは、洗顔後につっぱり感がないか、時間が経つとテカるかなどを観察し、専門的な判断が必要であれば皮膚科医やコスメカウンターで肌診断を受けることをおすすめします。
Q: 高価な化粧品を使うのと、安価でも毎日欠かさずケアするのとでは、どちらが効果的ですか？
A: 一般的に、安価でも肌に合った製品を毎日欠かさず、正しい手順で継続することの方が、高い効果をもたらします。スキンケアは「継続が力」であり、一時的に高価なものを使うよりも、毎日肌を清潔に保ち、適切な水分・油分補給を続けることが、肌の健康を保つ上で最も重要です。</t>
        </is>
      </c>
      <c r="J87" s="47" t="inlineStr">
        <is>
          <t>クリニック</t>
        </is>
      </c>
      <c r="K87" s="47" t="inlineStr">
        <is>
          <t>対応不要</t>
        </is>
      </c>
      <c r="L87" s="47" t="inlineStr">
        <is>
          <t>対応不要</t>
        </is>
      </c>
      <c r="M87" s="47" t="inlineStr">
        <is>
          <t>対応不要</t>
        </is>
      </c>
      <c r="N87" s="47" t="inlineStr">
        <is>
          <t>クリニック以外</t>
        </is>
      </c>
      <c r="O87" s="47" t="n"/>
      <c r="P87" s="47" t="n"/>
      <c r="Q87" s="47" t="n"/>
      <c r="R87" s="47" t="n"/>
    </row>
    <row r="88" ht="15.75" customHeight="1" s="185">
      <c r="A88" s="52">
        <f>row()-3</f>
        <v/>
      </c>
      <c r="B88" s="46" t="inlineStr">
        <is>
          <t>HRTech（HRテック）とは？業界を取り巻く市場を分かりやすく解説</t>
        </is>
      </c>
      <c r="C88" s="10" t="inlineStr">
        <is>
          <t>https://dym.asia/media/what-is-hrtech/</t>
        </is>
      </c>
      <c r="D88" s="47" t="inlineStr">
        <is>
          <t>hrtech</t>
        </is>
      </c>
      <c r="E88" s="35" t="n">
        <v>8</v>
      </c>
      <c r="F88" s="36" t="n">
        <v>7.370121130551817</v>
      </c>
      <c r="G88" s="47" t="inlineStr">
        <is>
          <t>なし</t>
        </is>
      </c>
      <c r="H88" s="47" t="inlineStr">
        <is>
          <t>可</t>
        </is>
      </c>
      <c r="I88" s="10" t="inlineStr">
        <is>
          <t>Q: HRテック（HR Tech）とは、具体的にどのような技術と領域を指しますか？
A: HRテックとは、人事（Human Resources）とテクノロジー（Technology）を組み合わせた造語で、クラウドサービス、AI、ビッグデータなどのIT技術を活用し、人事・採用・労務管理などの業務を効率化・高度化するソリューション全般を指します。具体的には、採用管理（ATS）、人材配置、タレントマネジメント、勤怠管理などの領域で活用されています。
Q: HRテックを導入することで、企業はどのようなメリットが得られますか？
A: 主なメリットは、業務効率化、データに基づいた意思決定、従業員体験（EX）の向上の3点です。定型的な人事業務を自動化することで担当者の負担が減り、集積されたデータをもとに客観的な採用や配置の判断が可能になります。また、従業員がよりスムーズに人事サービスを利用できるようになり、満足度向上にもつながります。ぜひお問い合わせください。
お問い合わせ先はこちら↓
https://dym.asia/contact/
Q: HRテックを導入する際の注意点や失敗例にはどのようなものがありますか？
A: 注意点としては、「導入が目的化してしまうこと」が挙げられます。必要な機能や目的が曖昧なまま導入すると、現場に定着せず、かえって業務が煩雑になることがあります。失敗を防ぐには、導入前に現場の課題を明確化し、その課題を解決できるか、従業員が使いこなせるかを基準にシステムを選定し、スモールスタートで始めることが重要です。</t>
        </is>
      </c>
      <c r="J88" s="47" t="n"/>
      <c r="K88" s="47" t="inlineStr">
        <is>
          <t>OK</t>
        </is>
      </c>
      <c r="L88" s="47" t="inlineStr">
        <is>
          <t>未確認</t>
        </is>
      </c>
      <c r="M88" s="47" t="inlineStr">
        <is>
          <t>完了</t>
        </is>
      </c>
      <c r="N88" s="47" t="inlineStr">
        <is>
          <t>クリニック以外</t>
        </is>
      </c>
      <c r="O88" s="47" t="n"/>
      <c r="P88" s="47" t="n"/>
      <c r="Q88" s="47" t="n"/>
      <c r="R88" s="47" t="n"/>
    </row>
    <row r="89" ht="15.75" customHeight="1" s="185">
      <c r="A89" s="52">
        <f>row()-3</f>
        <v/>
      </c>
      <c r="B89" s="46" t="inlineStr">
        <is>
          <t>403エラーとは？意味、原因、解決方法を解説</t>
        </is>
      </c>
      <c r="C89" s="10" t="inlineStr">
        <is>
          <t>https://dym.asia/media/403erorr/</t>
        </is>
      </c>
      <c r="D89" s="47" t="inlineStr">
        <is>
          <t>403 forbidden</t>
        </is>
      </c>
      <c r="E89" s="35" t="n">
        <v>7</v>
      </c>
      <c r="F89" s="36" t="n">
        <v>1.075599435825106</v>
      </c>
      <c r="G89" s="47" t="inlineStr">
        <is>
          <t>なし</t>
        </is>
      </c>
      <c r="H89" s="47" t="inlineStr">
        <is>
          <t>可</t>
        </is>
      </c>
      <c r="I89" s="10" t="inlineStr">
        <is>
          <t>Q: 403 Forbiddenエラーと、401 Unauthorizedエラーは何が違うのですか？
A: 401 Unauthorizedエラーは、認証（Authentication）、つまりユーザーが「誰であるか」の確認に失敗した場合に表示されます。ユーザー名やパスワードの入力ミスなどが原因です。一方、403 Forbiddenエラーは、認証は成功したものの、そのユーザーに「アクセス権限（Authorization）」がないために表示されるエラーです。ユーザーは正しいのに、フォルダやファイルの設定でアクセスが拒否されています。
Q: サイト運営者として、403 Forbiddenエラーを防ぐにはどうすれば良いですか？
A: 403エラーを防ぐには、主にファイルとディレクトリのパーミッション（アクセス権）設定を確認・修正することが重要です。特にWebサーバーのルートディレクトリや重要ファイルのパーミッションが厳しすぎたり、逆に緩すぎたりするとエラーの原因になります。また、.htaccessファイルの記述ミスや、IPアドレスによるアクセス制限設定が誤っていないかも確認が必要です。
Q: ユーザーとして、403 Forbiddenエラーが表示された場合、対処法はありますか？
A: ユーザー側でできる対処法としては、まずブラウザのキャッシュとCookieを削除してから再度アクセスを試みることです。次に、VPNやプロキシを使用している場合はそれを無効にしてみること。これらの対処で解決しない場合は、アクセスを拒否されている側の問題ではないため、サイト管理者やサーバー管理者に問い合わせる必要があります。ぜひお問い合わせください。
お問い合わせ先はこちら↓
https://dym.asia/contact/</t>
        </is>
      </c>
      <c r="J89" s="47" t="n"/>
      <c r="K89" s="47" t="inlineStr">
        <is>
          <t>OK</t>
        </is>
      </c>
      <c r="L89" s="47" t="inlineStr">
        <is>
          <t>未確認</t>
        </is>
      </c>
      <c r="M89" s="47" t="inlineStr">
        <is>
          <t>完了</t>
        </is>
      </c>
      <c r="N89" s="47" t="inlineStr">
        <is>
          <t>クリニック以外</t>
        </is>
      </c>
      <c r="O89" s="47" t="n"/>
      <c r="P89" s="47" t="n"/>
      <c r="Q89" s="47" t="n"/>
      <c r="R89" s="47" t="n"/>
    </row>
    <row r="90" ht="15.75" customHeight="1" s="185">
      <c r="A90" s="52">
        <f>row()-3</f>
        <v/>
      </c>
      <c r="B90" s="46" t="inlineStr">
        <is>
          <t>アフィリエイトサイトとは？仕組みや作り方をわかりやすく解説</t>
        </is>
      </c>
      <c r="C90" s="10" t="inlineStr">
        <is>
          <t>https://dym.asia/media/affiliate-site/</t>
        </is>
      </c>
      <c r="D90" s="47" t="inlineStr">
        <is>
          <t>アフィリエイトサイトとは</t>
        </is>
      </c>
      <c r="E90" s="35" t="n">
        <v>7</v>
      </c>
      <c r="F90" s="36" t="n">
        <v>3.106591865357644</v>
      </c>
      <c r="G90" s="47" t="inlineStr">
        <is>
          <t>なし</t>
        </is>
      </c>
      <c r="H90" s="47" t="inlineStr">
        <is>
          <t>可</t>
        </is>
      </c>
      <c r="I90" s="47" t="inlineStr">
        <is>
          <t>Q: アフィリエイトサイトを始めるために、特別な資格や専門知識は必要ですか？
A: アフィリエイトサイトを始めるにあたって、特別な資格は必要ありません。専門知識としては、基本的なWebサイトの作り方（ブログ作成など）と、SEO（検索エンジン最適化）、そして紹介する商品・サービスに関する知識があれば十分です。最初は簡単なテーマから始め、徐々に知識を深めていくことができます。
Q: アフィリエイトで収益が発生する仕組みを教えてください。
A: 収益が発生する仕組みは、主にASP（アフィリエイト・サービス・プロバイダ）を通じて行われます。サイト運営者がASPに登録し、提携企業の広告を選んで自分のサイトに掲載します。その広告を経由して訪問者が商品を購入したり、サービスに登録したりといった成果が発生した際に、サイト運営者に報酬が支払われます。
Q: アフィリエイトサイトの運営において、最も重要なことは何ですか？
A: 最も重要なことは、「読者にとって価値のあるコンテンツを提供し続けること」です。単に商品を紹介するだけでなく、読者の疑問や悩みを解決したり、深い情報や独自の視点を提供したりすることで、サイトへの信頼性が高まり、結果として検索順位が向上し、収益につながります。</t>
        </is>
      </c>
      <c r="J90" s="47" t="n"/>
      <c r="K90" s="47" t="inlineStr">
        <is>
          <t>OK</t>
        </is>
      </c>
      <c r="L90" s="47" t="inlineStr">
        <is>
          <t>未確認</t>
        </is>
      </c>
      <c r="M90" s="47" t="inlineStr">
        <is>
          <t>完了</t>
        </is>
      </c>
      <c r="N90" s="47" t="inlineStr">
        <is>
          <t>クリニック以外</t>
        </is>
      </c>
      <c r="O90" s="47" t="n"/>
      <c r="P90" s="47" t="n"/>
      <c r="Q90" s="47" t="n"/>
      <c r="R90" s="47" t="n"/>
    </row>
    <row r="91" ht="15.75" customHeight="1" s="185">
      <c r="A91" s="52">
        <f>row()-3</f>
        <v/>
      </c>
      <c r="B91" s="46" t="inlineStr">
        <is>
          <t>アンカリング効果とは？日常の事例からメリット・デメリットまでわかりやすく解説</t>
        </is>
      </c>
      <c r="C91" s="6" t="inlineStr">
        <is>
          <t>https://dym.asia/media/anchoring-effect/</t>
        </is>
      </c>
      <c r="D91" s="47" t="inlineStr">
        <is>
          <t>アンカリング効果</t>
        </is>
      </c>
      <c r="E91" s="35" t="n">
        <v>7</v>
      </c>
      <c r="F91" s="36" t="n">
        <v>5.471456692913386</v>
      </c>
      <c r="G91" s="47" t="inlineStr">
        <is>
          <t>なし</t>
        </is>
      </c>
      <c r="H91" s="47" t="inlineStr">
        <is>
          <t>可</t>
        </is>
      </c>
      <c r="I91" s="47" t="inlineStr">
        <is>
          <t>Q: アンカリング効果（Anchoring Effect）とは、具体的にどのような心理現象ですか？
A: アンカリング効果とは、最初に提示された情報（アンカー＝錨）が、その後の判断や意思決定に過度な影響を与える心理現象です。例えば、最初に極端に高い価格を見ると、次に提示された価格が実際には高くても「安く感じる」といった影響を受けます。
Q: ビジネスシーンにおけるアンカリング効果の具体的な活用例を教えてください。
A: 最も一般的な活用例は、価格設定や交渉です。製品の販売においては、最初に高い「希望小売価格」や「定価」を提示し、その後に「割引価格」を見せることで、割引価格が非常にお得に感じられるように誘導します。また、営業交渉で最初に大きな数字を提示して、交渉の基準点（アンカー）を設定する手法もあります。
Q: アンカリング効果に惑わされず、合理的な判断をするための対策はありますか？
A: 合理的な判断をするためには、最初に提示された情報（アンカー）を無視し、客観的なデータや価値に基づいて判断し直すことが重要です。具体的には、市場の相場や他社の価格を調査するなど、複数の独立した情報源を参照し、自分自身の判断基準を意識的に持つことが対策となります。</t>
        </is>
      </c>
      <c r="J91" s="47" t="n"/>
      <c r="K91" s="47" t="inlineStr">
        <is>
          <t>OK</t>
        </is>
      </c>
      <c r="L91" s="47" t="inlineStr">
        <is>
          <t>未確認</t>
        </is>
      </c>
      <c r="M91" s="47" t="inlineStr">
        <is>
          <t>完了</t>
        </is>
      </c>
      <c r="N91" s="47" t="inlineStr">
        <is>
          <t>クリニック以外</t>
        </is>
      </c>
      <c r="O91" s="47" t="n"/>
      <c r="P91" s="47" t="n"/>
      <c r="Q91" s="47" t="n"/>
      <c r="R91" s="47" t="n"/>
    </row>
    <row r="92" ht="15.75" customHeight="1" s="185">
      <c r="A92" s="52">
        <f>row()-3</f>
        <v/>
      </c>
      <c r="B92" s="46" t="inlineStr">
        <is>
          <t>デジタルマーケティングの業務委託とは？費用相場をチェック！</t>
        </is>
      </c>
      <c r="C92" s="6" t="inlineStr">
        <is>
          <t>https://dym.asia/media/degital-marketing-outsourcing/</t>
        </is>
      </c>
      <c r="D92" s="47" t="inlineStr">
        <is>
          <t>デジタルマーケティング 業務委託</t>
        </is>
      </c>
      <c r="E92" s="35" t="n">
        <v>7</v>
      </c>
      <c r="F92" s="36" t="n">
        <v>2.217391304347826</v>
      </c>
      <c r="G92" s="47" t="inlineStr">
        <is>
          <t>なし</t>
        </is>
      </c>
      <c r="H92" s="47" t="inlineStr">
        <is>
          <t>可</t>
        </is>
      </c>
      <c r="I92" s="10" t="inlineStr">
        <is>
          <t>Q: デジタルマーケティングのアウトソーシング（外部委託）は、どのような企業が検討すべきでしょうか？
A: デジタルマーケティング専門の人材が社内にいない企業、迅速に専門知識やノウハウを取り入れたい企業、またはリソース不足により既存社員の負担が大きい企業などが検討すべきです。特に、Web広告運用、SEO対策、コンテンツ制作など、専門性が高く、継続的な作業が必要な領域で効果を発揮します。
Q: デジタルマーケティングを外部委託する際の費用相場は、どのように考えれば良いですか？
A: 費用相場は、委託する業務の範囲や難易度、契約形態によって大きく異なります。例えば、Web広告の運用代行であれば、広告費の20%を運用手数料として支払うのが一般的です。月額固定で戦略策定やコンテンツ制作まで依頼する場合は、数十万円から数百万円の範囲で変動します。
詳しい内容が気になる方はお気軽にお問い合わせください。
お問い合わせ先はこちら↓
https://dym.asia/contact/
Q: アウトソーシングを成功させるために、発注側としてどのような準備が必要ですか？
A: 成功のためには、まず「達成したい具体的な目標（KPI）」と「予算」を明確にすることが不可欠です。また、自社の商材・サービスやターゲット層に関する情報、過去のマーケティングデータなどを委託先に正確に共有できるよう準備しておくことで、より適切な戦略立案と実行が可能になります。</t>
        </is>
      </c>
      <c r="J92" s="47" t="n"/>
      <c r="K92" s="47" t="inlineStr">
        <is>
          <t>修正済</t>
        </is>
      </c>
      <c r="L92" s="47" t="inlineStr">
        <is>
          <t>未確認</t>
        </is>
      </c>
      <c r="M92" s="47" t="inlineStr">
        <is>
          <t>完了</t>
        </is>
      </c>
      <c r="N92" s="47" t="inlineStr">
        <is>
          <t>クリニック以外</t>
        </is>
      </c>
      <c r="O92" s="47" t="n"/>
      <c r="P92" s="47" t="n"/>
      <c r="Q92" s="47" t="n"/>
      <c r="R92" s="47" t="n"/>
    </row>
    <row r="93" ht="15.75" customHeight="1" s="185">
      <c r="A93" s="52">
        <f>row()-3</f>
        <v/>
      </c>
      <c r="B93" s="46" t="inlineStr">
        <is>
          <t>LBOとは？仕組みやMBOとの違い、基本的な流れとメリットを解説</t>
        </is>
      </c>
      <c r="C93" s="10" t="inlineStr">
        <is>
          <t>https://dym.asia/media/lbo/</t>
        </is>
      </c>
      <c r="D93" s="47" t="inlineStr">
        <is>
          <t>lbo mbo 違い</t>
        </is>
      </c>
      <c r="E93" s="35" t="n">
        <v>7</v>
      </c>
      <c r="F93" s="36" t="n">
        <v>4.962264150943396</v>
      </c>
      <c r="G93" s="47" t="inlineStr">
        <is>
          <t>なし</t>
        </is>
      </c>
      <c r="H93" s="47" t="inlineStr">
        <is>
          <t>可</t>
        </is>
      </c>
      <c r="I93" s="10" t="inlineStr">
        <is>
          <t>Q: LBO（レバレッジド・バイアウト）とMBO（マネジメント・バイアウト）の最も大きな違いは何ですか？
A: MBOは、買収対象企業の経営陣自身が主体となって自社を買収することです。一方で、LBOは、外部の買い手（PEファンドなど）が主体となって企業を買収する際に、買収対象企業の将来のキャッシュフローを担保に、金融機関から多額の借入を行う資金調達手法を用います。
Q: LBOにおける「レバレッジ（Leverage）」とは、具体的にどのような意味合いで使われていますか？
A: LBOにおけるレバレッジとは、「てこの原理」を意味し、自己資金を少なく抑え、借入金（他人資本）を大幅に利用することで、少ない投資額で大きなリターンを得ようとする手法を指します。少ない資金で企業全体の支配権を獲得できるため、投資効率を高める効果があります。
Q: LBOが成功するためには、買収対象企業にどのような条件が必要とされますか？
A: LBOが成功するには、買収対象企業が安定したキャッシュフローを生み出す能力を持っていることが最も重要です。借入金の返済原資となるためです。また、過剰な負債がないこと、売却可能な遊休資産があること、そして買収後に事業の効率化やコスト削減によって収益性を高める成長ポテンシャルがあることも重要な条件となります。
ぜひお問い合わせください。
お問い合わせ先はこちら↓
https://dym.asia/contact/</t>
        </is>
      </c>
      <c r="J93" s="47" t="n"/>
      <c r="K93" s="47" t="inlineStr">
        <is>
          <t>OK</t>
        </is>
      </c>
      <c r="L93" s="47" t="inlineStr">
        <is>
          <t>未確認</t>
        </is>
      </c>
      <c r="M93" s="47" t="inlineStr">
        <is>
          <t>完了</t>
        </is>
      </c>
      <c r="N93" s="47" t="inlineStr">
        <is>
          <t>クリニック以外</t>
        </is>
      </c>
      <c r="O93" s="47" t="n"/>
      <c r="P93" s="47" t="n"/>
      <c r="Q93" s="47" t="n"/>
      <c r="R93" s="47" t="n"/>
    </row>
    <row r="94" ht="15.75" customHeight="1" s="185">
      <c r="A94" s="52">
        <f>row()-3</f>
        <v/>
      </c>
      <c r="B94" s="46" t="e">
        <v>#N/A</v>
      </c>
      <c r="C94" s="10" t="inlineStr">
        <is>
          <t>https://dym.asia/media/new-graduation-introduction-commission/</t>
        </is>
      </c>
      <c r="D94" s="47" t="inlineStr">
        <is>
          <t>新卒 人材紹介 手数料</t>
        </is>
      </c>
      <c r="E94" s="35" t="n">
        <v>7</v>
      </c>
      <c r="F94" s="36" t="n">
        <v>2.957746478873239</v>
      </c>
      <c r="G94" s="47" t="n"/>
      <c r="H94" s="47" t="n"/>
      <c r="I94" s="47" t="inlineStr">
        <is>
          <t>対応不要</t>
        </is>
      </c>
      <c r="J94" s="38" t="inlineStr">
        <is>
          <t>404エラーで開けませんでした。</t>
        </is>
      </c>
      <c r="K94" s="47" t="inlineStr">
        <is>
          <t>対応不要</t>
        </is>
      </c>
      <c r="L94" s="47" t="inlineStr">
        <is>
          <t>対応不要</t>
        </is>
      </c>
      <c r="M94" s="47" t="inlineStr">
        <is>
          <t>対応不要</t>
        </is>
      </c>
      <c r="N94" s="47" t="inlineStr">
        <is>
          <t>クリニック以外</t>
        </is>
      </c>
      <c r="O94" s="47" t="n"/>
      <c r="P94" s="47" t="n"/>
      <c r="Q94" s="47" t="n"/>
      <c r="R94" s="47" t="n"/>
    </row>
    <row r="95" ht="15.75" customHeight="1" s="185">
      <c r="A95" s="52">
        <f>row()-3</f>
        <v/>
      </c>
      <c r="B95" s="46" t="inlineStr">
        <is>
          <t>求人広告代理店とは｜メリットと選び方を解説</t>
        </is>
      </c>
      <c r="C95" s="10" t="inlineStr">
        <is>
          <t>https://dym.asia/media/recruitment-advertisement-agent/</t>
        </is>
      </c>
      <c r="D95" s="47" t="inlineStr">
        <is>
          <t>求人広告代理店</t>
        </is>
      </c>
      <c r="E95" s="35" t="n">
        <v>7</v>
      </c>
      <c r="F95" s="36" t="n">
        <v>12.35249526216045</v>
      </c>
      <c r="G95" s="47" t="inlineStr">
        <is>
          <t>なし</t>
        </is>
      </c>
      <c r="H95" s="47" t="inlineStr">
        <is>
          <t>可</t>
        </is>
      </c>
      <c r="I95" s="10" t="inlineStr">
        <is>
          <t>Q: 求人広告代理店に依頼する最大のメリットは何ですか？
A: 最大のメリットは、「専門的なノウハウを活用できること」です。代理店は、様々な業界・職種の採用成功事例や、各媒媒の特性を熟知しているため、自社で運用するよりも効果的なターゲット設定、原稿作成、媒体選定を行うことができ、採用成功の確率を高めることができます。
Q: 求人広告代理店に依頼する際、費用はどのように決まることが多いですか？
A: 費用は、主に「掲載する媒体の広告料金」と「代理店の代行手数料」で構成されます。広告料金は媒体や掲載期間によって決まり、代理店の代行手数料は、多くの場合、広告料金の10%〜20%程度が目安ですが、原稿作成や効果測定、コンサルティングの範囲によって変動します。
ぜひお問い合わせください。
お問い合わせ先はこちら↓
https://dym.asia/contact/
Q: 求人広告代理店と人材紹介会社は、どのような違いがありますか？
A: 求人広告代理店は、企業が自ら採用活動を行うための「広告枠」や「ツール」を提供・運用代行することで、採用活動を支援します。一方、人材紹介会社は、企業に代わって直接人材を探し、紹介し、採用が決定した際に手数料（成功報酬）を受け取るサービスです。採用手法と費用体系が根本的に異なります。</t>
        </is>
      </c>
      <c r="J95" s="47" t="n"/>
      <c r="K95" s="47" t="inlineStr">
        <is>
          <t>修正済</t>
        </is>
      </c>
      <c r="L95" s="47" t="inlineStr">
        <is>
          <t>未確認</t>
        </is>
      </c>
      <c r="M95" s="47" t="inlineStr">
        <is>
          <t>完了</t>
        </is>
      </c>
      <c r="N95" s="47" t="inlineStr">
        <is>
          <t>クリニック以外</t>
        </is>
      </c>
      <c r="O95" s="47" t="n"/>
      <c r="P95" s="47" t="n"/>
      <c r="Q95" s="47" t="n"/>
      <c r="R95" s="47" t="n"/>
    </row>
    <row r="96" ht="15.75" customHeight="1" s="185">
      <c r="A96" s="52">
        <f>row()-3</f>
        <v/>
      </c>
      <c r="B96" s="46" t="inlineStr">
        <is>
          <t>リダイレクトとは？種類、警告、リダイレクトの設定方法</t>
        </is>
      </c>
      <c r="C96" s="10" t="inlineStr">
        <is>
          <t>https://dym.asia/media/redirect/</t>
        </is>
      </c>
      <c r="D96" s="47" t="inlineStr">
        <is>
          <t>リダイレクト</t>
        </is>
      </c>
      <c r="E96" s="35" t="n">
        <v>7</v>
      </c>
      <c r="F96" s="36" t="n">
        <v>3.950423011844332</v>
      </c>
      <c r="G96" s="47" t="inlineStr">
        <is>
          <t>なし</t>
        </is>
      </c>
      <c r="H96" s="47" t="inlineStr">
        <is>
          <t>可</t>
        </is>
      </c>
      <c r="I96" s="47" t="inlineStr">
        <is>
          <t>Q: リダイレクト（Redirect）とは、Webサイトにおいてどのような目的で使われますか？
A: リダイレクトは、特定のURLにアクセスしたユーザーや検索エンジンを、自動的に別のURLへ転送するために使われます。主な目的は、ページの移転（URL変更）、ドメインの統合、または古いページやエラーページからの導線確保など、ユーザーとSEO評価の損失を防ぐことです。
Q: リダイレクトの種類には、主にどのようなものがありますか？
A: 主な種類は、301リダイレクトと302リダイレクトの2つです。301リダイレクトは、恒久的なURLの移転（永久的な変更）を示すもので、SEOの評価（ページの権威）を新しいURLへほぼ完全に引き継ぎます。302リダイレクトは、一時的な移転（一時的な変更）を示すもので、SEOの評価は元のURLに残ります。
Q: 301リダイレクトを設定する際に、注意すべきポイントは何ですか？
A: 301リダイレクトを設定する際の最大の注意点は、転送先URLを間違えないことです。転送先が誤っていると、ユーザーは目的のページにたどり着けず、SEO評価も正しく引き継がれません。また、リダイレクトを多重に設定（ループ）すると、ページの読み込み速度が低下したり、検索エンジンが無限ループと認識してクロールを停止したりする可能性があるため、注意が必要です。</t>
        </is>
      </c>
      <c r="J96" s="47" t="n"/>
      <c r="K96" s="47" t="inlineStr">
        <is>
          <t>OK</t>
        </is>
      </c>
      <c r="L96" s="47" t="inlineStr">
        <is>
          <t>未確認</t>
        </is>
      </c>
      <c r="M96" s="47" t="inlineStr">
        <is>
          <t>完了</t>
        </is>
      </c>
      <c r="N96" s="47" t="inlineStr">
        <is>
          <t>クリニック以外</t>
        </is>
      </c>
      <c r="O96" s="47" t="n"/>
      <c r="P96" s="47" t="n"/>
      <c r="Q96" s="47" t="n"/>
      <c r="R96" s="47" t="n"/>
    </row>
    <row r="97" ht="15.75" customHeight="1" s="185">
      <c r="A97" s="52">
        <f>row()-3</f>
        <v/>
      </c>
      <c r="B97" s="46" t="inlineStr">
        <is>
          <t>源泉徴収票の見方を徹底解説！確認すべきポイントと活用方法</t>
        </is>
      </c>
      <c r="C97" s="10" t="inlineStr">
        <is>
          <t>https://dym.asia/media/withholding-tax-slip/</t>
        </is>
      </c>
      <c r="D97" s="47" t="inlineStr">
        <is>
          <t>源泉徴収票</t>
        </is>
      </c>
      <c r="E97" s="35" t="n">
        <v>7</v>
      </c>
      <c r="F97" s="36" t="n">
        <v>1.696240601503759</v>
      </c>
      <c r="G97" s="47" t="inlineStr">
        <is>
          <t>なし</t>
        </is>
      </c>
      <c r="H97" s="47" t="inlineStr">
        <is>
          <t>可</t>
        </is>
      </c>
      <c r="I97" s="47" t="inlineStr">
        <is>
          <t>Q: 源泉徴収票（Withholding Tax Slip）とは、具体的にどのような情報が記載された書類ですか？
A: 源泉徴収票とは、1年間に会社から支払われた給与・賞与の総額（支払金額）と、それに対して会社が源泉徴収した所得税および復興特別所得税の合計額（源泉徴収税額）などが記載された公的な書類です。年末調整の結果や、控除された社会保険料の額なども確認できます。
Q: 源泉徴収票は、どのような用途で必要になりますか？
A: 主に、確定申告を行う際、転職や退職をして次の勤務先に提出する際、住宅ローンを組む際の審査書類として、扶養親族の人数を確認する際、そして公的な手続き（保育園の入園申請など）における所得証明として必要になります。
Q: 年の途中で退職した場合、源泉徴収票はいつ発行されますか？
A: 年の途中で退職した場合、企業は退職日から1ヶ月以内に源泉徴収票を発行することが義務付けられています。この源泉徴収票は、退職した年分の確定申告を行う際や、転職先の企業で年末調整を行う際に必要となりますので、大切に保管しておく必要があります。</t>
        </is>
      </c>
      <c r="J97" s="47" t="n"/>
      <c r="K97" s="47" t="inlineStr">
        <is>
          <t>OK</t>
        </is>
      </c>
      <c r="L97" s="47" t="inlineStr">
        <is>
          <t>未確認</t>
        </is>
      </c>
      <c r="M97" s="47" t="inlineStr">
        <is>
          <t>完了</t>
        </is>
      </c>
      <c r="N97" s="47" t="inlineStr">
        <is>
          <t>クリニック以外</t>
        </is>
      </c>
      <c r="O97" s="47" t="n"/>
      <c r="P97" s="47" t="n"/>
      <c r="Q97" s="47" t="n"/>
      <c r="R97" s="47" t="n"/>
    </row>
    <row r="98" ht="15.75" customHeight="1" s="185">
      <c r="A98" s="52">
        <f>row()-3</f>
        <v/>
      </c>
      <c r="B98" s="46" t="inlineStr">
        <is>
          <t>顧問バンクとは？マッチングサービスの概要やメリット・料金まで紹介</t>
        </is>
      </c>
      <c r="C98" s="10" t="inlineStr">
        <is>
          <t>https://dym.asia/media/advisor-bank/</t>
        </is>
      </c>
      <c r="D98" s="47" t="inlineStr">
        <is>
          <t>顧問バンク</t>
        </is>
      </c>
      <c r="E98" s="35" t="n">
        <v>6</v>
      </c>
      <c r="F98" s="36" t="n">
        <v>7.836734693877551</v>
      </c>
      <c r="G98" s="47" t="inlineStr">
        <is>
          <t>なし</t>
        </is>
      </c>
      <c r="H98" s="47" t="inlineStr">
        <is>
          <t>可</t>
        </is>
      </c>
      <c r="I98" s="10" t="inlineStr">
        <is>
          <t>Q: M&amp;Aにおけるアドバイザリー業務を、証券会社と銀行で依頼する場合、どのような違いがありますか？
A: 証券会社は、主に上場企業や大型のM&amp;A案件を取り扱うことが多く、株式や資本市場の知識が豊富です。一方、銀行（特に地方銀行など）は、取引のある地域の中小企業の事業承継やM&amp;Aをサポートすることが多く、長年の取引関係に基づく財務状況の深い理解と地域ネットワークに強みがあります。
Q: M&amp;AアドバイザリーにおけるFA（フィナンシャル・アドバイザー）と仲介会社の違いは何ですか？
A: FAは、売り手または買い手のどちらか一方と契約を結び、依頼主の利益を最大化するために助言・交渉を行う代理人の立場です。一方、仲介会社は、売り手と買い手の両方と契約を結び、両者の間を取り持って中立的な立場でM&amp;Aを成立させようとします。利益相反のリスクを避けるため、大型案件ではFAが主流です。
Q: M&amp;Aアドバイザーを選ぶ際、最も重視すべきポイントは何ですか？
A: 最も重視すべきポイントは、アドバイザーの専門性と実績、そして担当者との信頼関係です。特に、自社の業界や案件の規模・特性に合ったM&amp;A経験が豊富であるか、また、手数料体系が明確であり、長期にわたる複雑な交渉を任せられる誠実な担当者であるかを見極めることが重要です。お気軽にお問い合わせください。
お問い合わせ先はこちら↓
https://dym.asia/contact/</t>
        </is>
      </c>
      <c r="J98" s="47" t="n"/>
      <c r="K98" s="47" t="inlineStr">
        <is>
          <t>OK</t>
        </is>
      </c>
      <c r="L98" s="47" t="inlineStr">
        <is>
          <t>未確認</t>
        </is>
      </c>
      <c r="M98" s="47" t="inlineStr">
        <is>
          <t>進行中</t>
        </is>
      </c>
      <c r="N98" s="47" t="inlineStr">
        <is>
          <t>クリニック以外</t>
        </is>
      </c>
      <c r="O98" s="47" t="n"/>
      <c r="P98" s="47" t="n"/>
      <c r="Q98" s="47" t="n"/>
      <c r="R98" s="47" t="n"/>
    </row>
    <row r="99" ht="15.75" customHeight="1" s="185">
      <c r="A99" s="52">
        <f>row()-3</f>
        <v/>
      </c>
      <c r="B99" s="46" t="inlineStr">
        <is>
          <t>顧問紹介サービスとは？メリット・デメリットから選び方のポイント解説</t>
        </is>
      </c>
      <c r="C99" s="10" t="inlineStr">
        <is>
          <t>https://dym.asia/media/advisor-introduction/</t>
        </is>
      </c>
      <c r="D99" s="47" t="inlineStr">
        <is>
          <t>dym 顧問サービス</t>
        </is>
      </c>
      <c r="E99" s="35" t="n">
        <v>6</v>
      </c>
      <c r="F99" s="36" t="n">
        <v>2.114285714285714</v>
      </c>
      <c r="G99" s="47" t="inlineStr">
        <is>
          <t>なし</t>
        </is>
      </c>
      <c r="H99" s="47" t="inlineStr">
        <is>
          <t>可</t>
        </is>
      </c>
      <c r="I99" s="10" t="inlineStr">
        <is>
          <t>Q: M&amp;A仲介会社とM&amp;Aアドバイザリー会社（FA）は、提供するサービスにどのような違いがありますか？
A: M&amp;A仲介会社は、売り手と買い手の両方と契約し、中立的な立場から交渉を成立させることを目指します。一方、M&amp;Aアドバイザリー会社（FA）は、売り手か買い手のどちらか一方と契約し、その依頼主の利益を最大化するための助言・交渉を行う代理人の役割を担います。
Q: M&amp;A仲介会社を選ぶ際に、最も重視すべきポイントは何ですか？
A: 最も重視すべきポイントは、「成約実績」と「担当者の質」です。特に自社の業界や規模に近い案件の成約実績があるか、また、複雑で長期にわたる交渉を任せられる経験豊富で誠実な担当者であるかを見極めることが重要です。また、報酬体系が明確であるかも確認が必要です。
Q: M&amp;A仲介会社に依頼した場合、手数料はどのように発生しますか？
A: M&amp;A仲介会社への手数料は、一般的に「レーマン方式」が採用されます。これは、取引金額に応じて手数料率が設定される計算方法です。成功報酬として、M&amp;Aが成立した時に支払うのが基本ですが、会社によっては着手金や中間報酬が発生する場合もあるため、契約前に確認が必要です。お気軽にお問い合わせください。
お問い合わせ先はこちら↓
https://dym.asia/contact/</t>
        </is>
      </c>
      <c r="J99" s="47" t="n"/>
      <c r="K99" s="47" t="inlineStr">
        <is>
          <t>OK</t>
        </is>
      </c>
      <c r="L99" s="47" t="inlineStr">
        <is>
          <t>未確認</t>
        </is>
      </c>
      <c r="M99" s="47" t="inlineStr">
        <is>
          <t>進行中</t>
        </is>
      </c>
      <c r="N99" s="47" t="inlineStr">
        <is>
          <t>クリニック以外</t>
        </is>
      </c>
      <c r="O99" s="47" t="n"/>
      <c r="P99" s="47" t="n"/>
      <c r="Q99" s="47" t="n"/>
      <c r="R99" s="47" t="n"/>
    </row>
    <row r="100" ht="15.75" customHeight="1" s="185">
      <c r="A100" s="52">
        <f>row()-3</f>
        <v/>
      </c>
      <c r="B100" s="46" t="inlineStr">
        <is>
          <t>コールセンターに向いている人、不向きな人の特徴を解説！</t>
        </is>
      </c>
      <c r="C100" s="10" t="inlineStr">
        <is>
          <t>https://dym.asia/media/callcenter-unsuitable/</t>
        </is>
      </c>
      <c r="D100" s="47" t="inlineStr">
        <is>
          <t>コールセンター 意地悪な人が多い</t>
        </is>
      </c>
      <c r="E100" s="35" t="n">
        <v>6</v>
      </c>
      <c r="F100" s="36" t="n">
        <v>6.652818991097923</v>
      </c>
      <c r="G100" s="47" t="inlineStr">
        <is>
          <t>なし</t>
        </is>
      </c>
      <c r="H100" s="47" t="inlineStr">
        <is>
          <t>可</t>
        </is>
      </c>
      <c r="I100" s="47" t="inlineStr">
        <is>
          <t>Q: コールセンターの仕事に向いていない人の特徴として、どのような点が挙げられますか？
A: 主な特徴としては、気持ちの切り替えが苦手な人や、他人の感情に強く影響されやすい人が挙げられます。クレーム対応などで受けたストレスを長く引きずると業務に支障が出やすくなります。また、マルチタスクが苦手な人（顧客との会話とPC操作を同時に行うのが難しい人）も、適性がないとされることがあります。
Q: コールセンターの仕事は、精神的なストレスが多いのでしょうか？また、その対処法はありますか？
A: はい、顧客対応、特にクレーム対応が多い場合は、精神的なストレスを感じやすい職場と言えます。対処法としては、「対応が終了したらすぐに忘れる」という意識を持つこと、同僚や上司との情報共有やガス抜きを定期的に行うこと、そして、マニュアル外の無理な要求には応じないという線引きを明確にすることが有効です。
Q: コールセンターで働く上で、最も求められるスキルは何ですか？
A: 最も求められるスキルは、「傾聴力」と「正確な理解力」、そして「分かりやすい説明力」です。お客様が話す内容を遮らずにしっかりと聞き、その裏にある真のニーズを正確に把握する能力が重要です。さらに、複雑な情報を平易な言葉で簡潔に伝え、お客様を納得させるコミュニケーション能力も欠かせません。</t>
        </is>
      </c>
      <c r="J100" s="47" t="n"/>
      <c r="K100" s="47" t="inlineStr">
        <is>
          <t>OK</t>
        </is>
      </c>
      <c r="L100" s="47" t="inlineStr">
        <is>
          <t>未確認</t>
        </is>
      </c>
      <c r="M100" s="47" t="inlineStr">
        <is>
          <t>完了</t>
        </is>
      </c>
      <c r="N100" s="47" t="inlineStr">
        <is>
          <t>クリニック以外</t>
        </is>
      </c>
      <c r="O100" s="47" t="n"/>
      <c r="P100" s="47" t="n"/>
      <c r="Q100" s="47" t="n"/>
      <c r="R100" s="47" t="n"/>
    </row>
    <row r="101" ht="15.75" customHeight="1" s="185">
      <c r="A101" s="52">
        <f>row()-3</f>
        <v/>
      </c>
      <c r="B101" s="46" t="inlineStr">
        <is>
          <t>懲戒処分とは？種類や基準、実施の流れを詳しく解説</t>
        </is>
      </c>
      <c r="C101" s="10" t="inlineStr">
        <is>
          <t>https://dym.asia/media/disciplinary-action/</t>
        </is>
      </c>
      <c r="D101" s="47" t="inlineStr">
        <is>
          <t>懲戒処分とは</t>
        </is>
      </c>
      <c r="E101" s="35" t="n">
        <v>6</v>
      </c>
      <c r="F101" s="36" t="n">
        <v>1.866151100535395</v>
      </c>
      <c r="G101" s="47" t="inlineStr">
        <is>
          <t>なし</t>
        </is>
      </c>
      <c r="H101" s="47" t="inlineStr">
        <is>
          <t>可</t>
        </is>
      </c>
      <c r="I101" s="47" t="inlineStr">
        <is>
          <t>Q: 懲戒処分（Disciplinary Action）は、具体的にどのような種類がありますか？
A: 懲戒処分には、主に戒告（かいこく）・譴責（けんせき）（口頭または文書による注意）、減給（給与から一定額を差し引く）、出勤停止（一定期間の出勤を停止し、その間の給与を不支給とする）、降格（役職や等級を下げる）、そして最も重い諭旨解雇（ゆしかいこ）と懲戒解雇があります。
Q: 懲戒処分は、どのような場合に有効となりますか？
A: 懲戒処分が有効となるには、いくつかの要件が必要です。最も重要なのは、就業規則に懲戒の種別と事由が明記されていること、その処分が客観的に合理的な理由に基づいていること、そして社会通念上相当なものであることです（懲戒権の濫用禁止）。適切な弁明の機会を与えることも重要です。
Q: 従業員が懲戒処分に不服がある場合、どのような対抗手段がありますか？
A: 従業員は、まず会社に対して処分の理由の説明を求めたり、異議申し立てを行ったりすることができます。会社との話し合いで解決しない場合は、労働審判や裁判を通じて処分の無効確認を求めることや、労働局のあっせんなどの行政的な解決手段を利用することが可能です。</t>
        </is>
      </c>
      <c r="J101" s="47" t="n"/>
      <c r="K101" s="47" t="inlineStr">
        <is>
          <t>OK</t>
        </is>
      </c>
      <c r="L101" s="47" t="inlineStr">
        <is>
          <t>未確認</t>
        </is>
      </c>
      <c r="M101" s="47" t="inlineStr">
        <is>
          <t>完了</t>
        </is>
      </c>
      <c r="N101" s="47" t="inlineStr">
        <is>
          <t>クリニック以外</t>
        </is>
      </c>
      <c r="O101" s="47" t="n"/>
      <c r="P101" s="47" t="n"/>
      <c r="Q101" s="47" t="n"/>
      <c r="R101" s="47" t="n"/>
    </row>
    <row r="102" ht="15.75" customHeight="1" s="185">
      <c r="A102" s="52">
        <f>row()-3</f>
        <v/>
      </c>
      <c r="B102" s="46" t="inlineStr">
        <is>
          <t>ドメインとは？メールアドレスやホームページとの関係を解説</t>
        </is>
      </c>
      <c r="C102" s="10" t="inlineStr">
        <is>
          <t>https://dym.asia/media/domain/</t>
        </is>
      </c>
      <c r="D102" s="47" t="inlineStr">
        <is>
          <t>ドメインとは</t>
        </is>
      </c>
      <c r="E102" s="35" t="n">
        <v>6</v>
      </c>
      <c r="F102" s="36" t="n">
        <v>2.924593602517042</v>
      </c>
      <c r="G102" s="47" t="inlineStr">
        <is>
          <t>なし</t>
        </is>
      </c>
      <c r="H102" s="47" t="inlineStr">
        <is>
          <t>可</t>
        </is>
      </c>
      <c r="I102" s="47" t="inlineStr">
        <is>
          <t>Q: ドメイン名（Domain Name）とIPアドレスは、Web上でどのような関係にありますか？
A: ドメイン名とIPアドレスは、Webサイトの「住所」を示すという点で共通していますが、役割が異なります。IPアドレスは、コンピューターが認識するための数字の羅列の住所であり、ドメイン名は、人間が覚えやすいように文字で表現された名前の住所です。ドメイン名はDNS（Domain Name System）という仕組みによって、対応するIPアドレスに変換されて利用されます。
Q: 独自ドメインを取得する最大のメリットは何ですか？
A: 独自ドメインを取得する最大のメリットは、「信頼性とブランディングの強化」です。企業やサービス独自のドメイン（例：example.com）は、プロフェッショナルな印象を与え、ユーザーや取引先からの信頼を得やすくなります。また、ドメインの資産性が高く、サーバーを変更してもドメイン自体は変わらないため、SEO評価の積み重ねが継続されます。
Q: ドメインの種類にはどのようなものがあり、選び方のポイントは何ですか？
A: ドメインには、主にgTLD（分野別トップレベルドメイン）の「.com」や「.net」、ccTLD（国コードトップレベルドメイン）の「.jp」や「.us」などがあります。選び方のポイントは、覚えやすいこと、短く簡潔であること、そしてサイトの目的やターゲットに合ったトップレベルドメインを選ぶことです。例えば、日本国内向けサービスなら「.jp」、商業目的なら「.com」が一般的です。</t>
        </is>
      </c>
      <c r="J102" s="47" t="n"/>
      <c r="K102" s="47" t="inlineStr">
        <is>
          <t>OK</t>
        </is>
      </c>
      <c r="L102" s="47" t="inlineStr">
        <is>
          <t>未確認</t>
        </is>
      </c>
      <c r="M102" s="47" t="inlineStr">
        <is>
          <t>完了</t>
        </is>
      </c>
      <c r="N102" s="47" t="inlineStr">
        <is>
          <t>クリニック以外</t>
        </is>
      </c>
      <c r="O102" s="47" t="n"/>
      <c r="P102" s="47" t="n"/>
      <c r="Q102" s="47" t="n"/>
      <c r="R102" s="47" t="n"/>
    </row>
    <row r="103" ht="15.75" customHeight="1" s="185">
      <c r="A103" s="52">
        <f>row()-3</f>
        <v/>
      </c>
      <c r="B103" s="46" t="inlineStr">
        <is>
          <t>外部顧問とは？役割と報酬相場の基礎知識</t>
        </is>
      </c>
      <c r="C103" s="6" t="inlineStr">
        <is>
          <t>https://dym.asia/media/external-advisor/</t>
        </is>
      </c>
      <c r="D103" s="47" t="inlineStr">
        <is>
          <t>外部顧問</t>
        </is>
      </c>
      <c r="E103" s="35" t="n">
        <v>6</v>
      </c>
      <c r="F103" s="36" t="n">
        <v>3.805357142857143</v>
      </c>
      <c r="G103" s="47" t="inlineStr">
        <is>
          <t>なし</t>
        </is>
      </c>
      <c r="H103" s="47" t="inlineStr">
        <is>
          <t>可</t>
        </is>
      </c>
      <c r="I103" s="47" t="inlineStr">
        <is>
          <t>Q: 外部顧問（外部アドバイザー）とは、具体的にどのような役割を担う人物ですか？
A: 外部顧問とは、企業と直接的な雇用関係がない第三者として、高度な専門知識や豊富な経験に基づき、経営戦略、法務、人事、M&amp;Aなどの特定の領域について、経営陣に助言やサポートを提供する人物です。社内の視点だけでは見落としがちな客観的な意見や、専門的な知見をもたらすことが主な役割です。
Q: 外部顧問の報酬（費用）は、どのように決まることが多いですか？
A: 外部顧問の報酬体系は、主に「月額固定報酬」と「スポット（単発）報酬」、そして「成功報酬」の組み合わせで決まります。一般的な顧問契約では、月に数回のミーティングや相談を前提とした月額固定報酬が主流です。M&amp;Aや資金調達など特定のプロジェクトに携わる場合は、その成果に応じた成功報酬が加算されることもあります。
お気軽にお問い合わせください。
お問い合わせ先はこちら↓
https://dym.asia/contact/
Q: 外部顧問を導入する最大のメリットとデメリットは何ですか？
A: 最大のメリットは、「社内では得難い専門知識と客観的な視点」を必要な期間だけ活用できるため、経営判断の質が向上し、コスト効率が良いことです。一方、デメリットは、顧問が企業の内部事情を完全に理解するまでに時間がかかることや、情報漏洩のリスクがゼロではないため、信頼できる人物や企業を選定する必要がある点です。</t>
        </is>
      </c>
      <c r="J103" s="47" t="n"/>
      <c r="K103" s="47" t="inlineStr">
        <is>
          <t>OK</t>
        </is>
      </c>
      <c r="L103" s="47" t="inlineStr">
        <is>
          <t>未確認</t>
        </is>
      </c>
      <c r="M103" s="47" t="inlineStr">
        <is>
          <t>完了</t>
        </is>
      </c>
      <c r="N103" s="47" t="inlineStr">
        <is>
          <t>クリニック以外</t>
        </is>
      </c>
      <c r="O103" s="47" t="n"/>
      <c r="P103" s="47" t="n"/>
      <c r="Q103" s="47" t="n"/>
      <c r="R103" s="47" t="n"/>
    </row>
    <row r="104" ht="15.75" customHeight="1" s="185">
      <c r="A104" s="52">
        <f>row()-3</f>
        <v/>
      </c>
      <c r="B104" s="46" t="inlineStr">
        <is>
          <t>50代の健康診断・人間ドックのポイント</t>
        </is>
      </c>
      <c r="C104" s="10" t="inlineStr">
        <is>
          <t>https://dym.asia/media/health-check-50s/</t>
        </is>
      </c>
      <c r="D104" s="47" t="inlineStr">
        <is>
          <t>人間ドック 頻度 50代</t>
        </is>
      </c>
      <c r="E104" s="35" t="n">
        <v>6</v>
      </c>
      <c r="F104" s="36" t="n">
        <v>4.854406130268199</v>
      </c>
      <c r="G104" s="47" t="inlineStr">
        <is>
          <t>なし</t>
        </is>
      </c>
      <c r="H104" s="47" t="inlineStr">
        <is>
          <t>可</t>
        </is>
      </c>
      <c r="I104" s="47" t="inlineStr">
        <is>
          <t>Q: 50代からの健康診断で特に重視すべき検査項目は何ですか？
A: 50代からは、がん、心臓病、脳卒中などの生活習慣病のリスクが急増するため、血液検査（脂質、血糖値、肝機能）を特に重視すべきです。また、大腸がんのリスクが高まるため便潜血検査、女性は乳がん・子宮がん検診、男性は前立腺がん（PSA検査）なども積極的に受けることが推奨されます。
Q: 50代で健康診断の結果に異常が見つかった場合、どのようなアクションを取るべきですか？
A: 異常が見つかった場合は、結果を放置せず、まずは速やかに医療機関を受診し、医師の指示に従って精密検査を受けることが最優先です。その上で、食生活や運動習慣などの生活習慣を見直すとともに、必要に応じて治療や服薬を開始することが、重症化を防ぐための重要なアクションとなります。
Q: 50代以降は、人間ドックを受けるべきでしょうか？また、通常の健康診断と何が違いますか？
A: 50代以降は、通常の健康診断（法定健診）よりも人間ドックの受診を推奨します。人間ドックは、法定健診よりも検査項目が大幅に多く、特に胃カメラやCT、MRI、専門的な超音波検査など、がんや心疾患、脳疾患のリスクをより詳細に調べることができます。早期発見・早期治療のためにも有効な手段です。</t>
        </is>
      </c>
      <c r="J104" s="47" t="inlineStr">
        <is>
          <t>クリニック</t>
        </is>
      </c>
      <c r="K104" s="47" t="inlineStr">
        <is>
          <t>対応不要</t>
        </is>
      </c>
      <c r="L104" s="47" t="inlineStr">
        <is>
          <t>対応不要</t>
        </is>
      </c>
      <c r="M104" s="47" t="inlineStr">
        <is>
          <t>対応不要</t>
        </is>
      </c>
      <c r="N104" s="47" t="inlineStr">
        <is>
          <t>クリニック以外</t>
        </is>
      </c>
      <c r="O104" s="47" t="n"/>
      <c r="P104" s="47" t="n"/>
      <c r="Q104" s="47" t="n"/>
      <c r="R104" s="47" t="n"/>
    </row>
    <row r="105" ht="15.75" customHeight="1" s="185">
      <c r="A105" s="52">
        <f>row()-3</f>
        <v/>
      </c>
      <c r="B105" s="46" t="inlineStr">
        <is>
          <t>新入社員が入社前に実施する「雇い入れ時健康診断」について｜詳細や費用などを解説</t>
        </is>
      </c>
      <c r="C105" s="10" t="inlineStr">
        <is>
          <t>https://dym.asia/media/health-checkup-upon-employment-cost/</t>
        </is>
      </c>
      <c r="D105" s="47" t="inlineStr">
        <is>
          <t>雇い入れ時健康診断 費用</t>
        </is>
      </c>
      <c r="E105" s="35" t="n">
        <v>6</v>
      </c>
      <c r="F105" s="36" t="n">
        <v>4.214990138067061</v>
      </c>
      <c r="G105" s="47" t="inlineStr">
        <is>
          <t>なし</t>
        </is>
      </c>
      <c r="H105" s="47" t="inlineStr">
        <is>
          <t>可</t>
        </is>
      </c>
      <c r="I105" s="10" t="inlineStr">
        <is>
          <t>Q: 採用時の健康診断の費用は、応募者と企業、どちらが負担するのが一般的ですか？
A: 採用時の健康診断は、労働安全衛生法により企業（使用者）に実施義務があるため、原則として企業が費用を負担すべきとされています。ただし、応募者が自ら既に受けた健康診断の結果を提出することで代用する場合は、応募者負担となることもあります。
Q: 採用時の健康診断は、いつのタイミングで受診することが義務付けられていますか？
A: 採用時の健康診断は、「雇い入れの際」、つまり入社直前または入社後速やかに実施することが義務付けられています。内定後、入社日までの期間に企業が指定する医療機関で受診するのが一般的です。ぜひお問い合わせください。
お問い合わせ先はこちら↓
https://dym.asia/contact/
Q: 採用時の健康診断で異常が見つかった場合、企業は内定を取り消すことができるのでしょうか？
A: 健康診断の結果のみを理由に内定を取り消すことは、原則としてできません。企業は、業務遂行に重大な支障を及ぼすような健康状態であると客観的に認められる場合や、業務の安全管理上やむを得ない場合に限り、内定取り消しが認められる可能性があります。安易な内定取り消しは、違法とされるリスクが高いです。</t>
        </is>
      </c>
      <c r="J105" s="47" t="inlineStr">
        <is>
          <t>クリニック</t>
        </is>
      </c>
      <c r="K105" s="47" t="inlineStr">
        <is>
          <t>対応不要</t>
        </is>
      </c>
      <c r="L105" s="47" t="inlineStr">
        <is>
          <t>対応不要</t>
        </is>
      </c>
      <c r="M105" s="47" t="inlineStr">
        <is>
          <t>対応不要</t>
        </is>
      </c>
      <c r="N105" s="47" t="inlineStr">
        <is>
          <t>クリニック以外</t>
        </is>
      </c>
      <c r="O105" s="47" t="n"/>
      <c r="P105" s="47" t="n"/>
      <c r="Q105" s="47" t="n"/>
      <c r="R105" s="47" t="n"/>
    </row>
    <row r="106" ht="15.75" customHeight="1" s="185">
      <c r="A106" s="52">
        <f>row()-3</f>
        <v/>
      </c>
      <c r="B106" s="46" t="inlineStr">
        <is>
          <t>マネタイズとは？意味・モデル・具体例をわかりやすく解説</t>
        </is>
      </c>
      <c r="C106" s="10" t="inlineStr">
        <is>
          <t>https://dym.asia/media/monetization/</t>
        </is>
      </c>
      <c r="D106" s="47" t="inlineStr">
        <is>
          <t>マネタイズ</t>
        </is>
      </c>
      <c r="E106" s="35" t="n">
        <v>6</v>
      </c>
      <c r="F106" s="36" t="n">
        <v>4.547899159663865</v>
      </c>
      <c r="G106" s="47" t="inlineStr">
        <is>
          <t>なし</t>
        </is>
      </c>
      <c r="H106" s="47" t="inlineStr">
        <is>
          <t>可</t>
        </is>
      </c>
      <c r="I106" s="47" t="inlineStr">
        <is>
          <t>Q: Webサイトやアプリのマネタイズ（収益化）には、どのような手法がありますか？
A: 主な手法としては、広告モデル（Web広告、アフィリエイトなど）、課金モデル（サブスクリプション、都度課金、フリーミアムなど）、ECモデル（自社商品の販売）、そしてデータ販売やコンサルティングなど、提供するコンテンツやサービスに応じて多岐にわたります。
Q: 収益化を図る上で、最も重要なことは何ですか？
A: 最も重要なことは、「ユーザーにとっての価値提供」です。単に広告を増やしたり、課金要素を導入したりするだけでなく、ユーザーのニーズや課題を解決するコンテンツやサービスを提供し、エンゲージメント（利用頻度や熱意）を高めることが、持続的な収益化の基盤となります。
Q: 広告収入とサブスクリプション収入を両立させることは可能ですか？
A: はい、可能です。多くのメディアやサービスがフリーミアムモデルとして両立させています。例えば、無料ユーザーには広告を表示して広告収入を得つつ、有料ユーザー（サブスクリプション）には広告非表示や限定コンテンツを提供することで、安定した収益源を確保するという戦略が一般的です。</t>
        </is>
      </c>
      <c r="J106" s="47" t="n"/>
      <c r="K106" s="47" t="inlineStr">
        <is>
          <t>OK</t>
        </is>
      </c>
      <c r="L106" s="47" t="inlineStr">
        <is>
          <t>未確認</t>
        </is>
      </c>
      <c r="M106" s="47" t="inlineStr">
        <is>
          <t>完了</t>
        </is>
      </c>
      <c r="N106" s="47" t="inlineStr">
        <is>
          <t>クリニック以外</t>
        </is>
      </c>
      <c r="O106" s="47" t="n"/>
      <c r="P106" s="47" t="n"/>
      <c r="Q106" s="47" t="n"/>
      <c r="R106" s="47" t="n"/>
    </row>
    <row r="107" ht="15.75" customHeight="1" s="185">
      <c r="A107" s="52">
        <f>row()-3</f>
        <v/>
      </c>
      <c r="B107" s="46" t="inlineStr">
        <is>
          <t>新入社員研修のカリキュラムと教育の作成手法</t>
        </is>
      </c>
      <c r="C107" s="6" t="inlineStr">
        <is>
          <t>https://dym.asia/media/new-graduate-training/</t>
        </is>
      </c>
      <c r="D107" s="47" t="inlineStr">
        <is>
          <t>dym 研修</t>
        </is>
      </c>
      <c r="E107" s="35" t="n">
        <v>6</v>
      </c>
      <c r="F107" s="36" t="n">
        <v>2.42</v>
      </c>
      <c r="G107" s="47" t="inlineStr">
        <is>
          <t>なし</t>
        </is>
      </c>
      <c r="H107" s="47" t="inlineStr">
        <is>
          <t>可</t>
        </is>
      </c>
      <c r="I107" s="47" t="inlineStr">
        <is>
          <t>Q: 新入社員研修の目的は、単にビジネスマナーを教えることだけですか？
A: いいえ、それだけではありません。新入社員研修のより重要な目的は、企業の理念や文化の共有、社会人としての意識改革、そして配属後の業務に必要な基礎知識やスキルの習得です。ビジネスマナーは基本ですが、企業の一員として活躍するための土台作り全体を担います。
Q: 新入社員研修の期間は、どれくらいが一般的ですか？
A: 期間は企業や業界によって大きく異なりますが、一般的な期間は数日〜1ヶ月程度です。ITや製造業など、専門的な知識が必要な業界では、数ヶ月にわたるOJT（オン・ザ・ジョブ・トレーニング）を含めた長期的な研修プログラムが組まれることもあります。座学と実務研修のバランスを見て設定されます。
Q: 新入社員研修で外部の研修サービスを利用するメリットは何ですか？
A: 外部の研修サービスを利用するメリットは、専門的な講師による質の高い教育を受けられること、最新のトレンドや他社の成功事例を取り入れた研修内容を提供できること、そして社内の人事が研修準備にかける負担を軽減できる点です。社内リソースでは不足しがちな、体系化されたプログラムを提供できます。</t>
        </is>
      </c>
      <c r="J107" s="47" t="n"/>
      <c r="K107" s="47" t="inlineStr">
        <is>
          <t>OK</t>
        </is>
      </c>
      <c r="L107" s="47" t="inlineStr">
        <is>
          <t>未確認</t>
        </is>
      </c>
      <c r="M107" s="47" t="inlineStr">
        <is>
          <t>完了</t>
        </is>
      </c>
      <c r="N107" s="47" t="inlineStr">
        <is>
          <t>クリニック以外</t>
        </is>
      </c>
      <c r="O107" s="47" t="n"/>
      <c r="P107" s="47" t="n"/>
      <c r="Q107" s="47" t="n"/>
      <c r="R107" s="47" t="n"/>
    </row>
    <row r="108" ht="15.75" customHeight="1" s="185">
      <c r="A108" s="52">
        <f>row()-3</f>
        <v/>
      </c>
      <c r="B108" s="46" t="inlineStr">
        <is>
          <t>オフィスコンサルティングとは？メリットや注意点、利用の流れを解説</t>
        </is>
      </c>
      <c r="C108" s="10" t="inlineStr">
        <is>
          <t>https://dym.asia/media/office-consulting/</t>
        </is>
      </c>
      <c r="D108" s="47" t="inlineStr">
        <is>
          <t>オフィスコンサルタントとは</t>
        </is>
      </c>
      <c r="E108" s="35" t="n">
        <v>6</v>
      </c>
      <c r="F108" s="36" t="n">
        <v>1.753424657534246</v>
      </c>
      <c r="G108" s="47" t="inlineStr">
        <is>
          <t>なし</t>
        </is>
      </c>
      <c r="H108" s="47" t="inlineStr">
        <is>
          <t>可</t>
        </is>
      </c>
      <c r="I108" s="47" t="inlineStr">
        <is>
          <t>Q: オフィスコンサルティングを依頼する最大のメリットは何ですか？
A: 最大のメリットは、「専門家による客観的な視点とノウハウ」を得られることです。企業の事業戦略や従業員の働き方に基づき、生産性の向上、コスト削減、企業ブランディングといった多角的な視点から、最適なオフィス環境の実現をサポートしてもらえます。これにより、自己流では気づけない課題を解決できます。
Q: オフィスコンサルティングの費用は、どのような要素で決まりますか？
A: 費用は、主に「依頼する業務の範囲」と「プロジェクトの規模」で決まります。具体的には、現状分析・戦略立案のみか、レイアウト設計、業者選定、移転後の定着サポートまで含むのかで大きく変動します。面積や従業員数、プロジェクトの複雑性によって、数十万円から数百万円の範囲で変動するのが一般的です。
Q: オフィス移転や改修の予定がない場合でも、オフィスコンサルティングは役立ちますか？
A: はい、役立ちます。オフィスコンサルティングは、移転や改修を伴わない場合でも、既存のオフィスでのレイアウト変更による生産性向上、ペーパーレス化などの業務効率化、リモートワークとオフィスワークのハイブリッド環境の最適化など、「働き方の改善」に特化したサービスを提供できます。</t>
        </is>
      </c>
      <c r="J108" s="47" t="n"/>
      <c r="K108" s="47" t="inlineStr">
        <is>
          <t>修正済</t>
        </is>
      </c>
      <c r="L108" s="47" t="inlineStr">
        <is>
          <t>未確認</t>
        </is>
      </c>
      <c r="M108" s="47" t="inlineStr">
        <is>
          <t>完了</t>
        </is>
      </c>
      <c r="N108" s="47" t="inlineStr">
        <is>
          <t>クリニック以外</t>
        </is>
      </c>
      <c r="O108" s="47" t="n"/>
      <c r="P108" s="47" t="n"/>
      <c r="Q108" s="47" t="n"/>
      <c r="R108" s="47" t="n"/>
    </row>
    <row r="109" ht="15.75" customHeight="1" s="185">
      <c r="A109" s="52">
        <f>row()-3</f>
        <v/>
      </c>
      <c r="B109" s="46" t="inlineStr">
        <is>
          <t>RTBとは？広告の仕組みを分かりやすく解説</t>
        </is>
      </c>
      <c r="C109" s="10" t="inlineStr">
        <is>
          <t>https://dym.asia/media/rtb/</t>
        </is>
      </c>
      <c r="D109" s="47" t="inlineStr">
        <is>
          <t>rtbとは</t>
        </is>
      </c>
      <c r="E109" s="35" t="n">
        <v>6</v>
      </c>
      <c r="F109" s="36" t="n">
        <v>5.944845699277741</v>
      </c>
      <c r="G109" s="47" t="inlineStr">
        <is>
          <t>なし</t>
        </is>
      </c>
      <c r="H109" s="47" t="inlineStr">
        <is>
          <t>可</t>
        </is>
      </c>
      <c r="I109" s="47" t="inlineStr">
        <is>
          <t>Q: RTB（Real-Time Bidding）とは、従来の広告取引と何が違うのですか？
A: RTBは、Webサイトの広告枠が読み込まれる「その一瞬」で、広告主がオークション形式で入札を行い、落札した広告がリアルタイムで表示される仕組みです。従来の広告取引が、事前に広告枠を期間で買い取るのに対し、RTBはインプレッション（表示機会）ごとに最適な広告を動的に決定する点が大きく異なります。
Q: RTBの導入によって、広告主と媒体それぞれにどのようなメリットがありますか？
A: 広告主にとっては、広告の表示対象を詳細にターゲティングできるため、費用対効果（ROI）を高めやすいというメリットがあります。媒体にとっては、競争入札によって広告枠を最も高く買ってくれる広告主に販売できるため、収益の最大化を図れるというメリットがあります。
Q: RTBの仕組みにおいて、DSPとSSPはそれぞれどのような役割を担っていますか？
A: DSP（Demand-Side Platform）は、広告主側のシステムで、広告主が設定した条件に基づき、どのインプレッションに対していくらで入札するかを判断します。SSP（Supply-Side Platform）は、媒体側のシステムで、媒体の広告枠を最も高い価格で販売するために、DSPからの入札を取りまとめてオークションを管理・実行する役割を担っています。</t>
        </is>
      </c>
      <c r="J109" s="47" t="n"/>
      <c r="K109" s="47" t="inlineStr">
        <is>
          <t>修正済</t>
        </is>
      </c>
      <c r="L109" s="47" t="inlineStr">
        <is>
          <t>未確認</t>
        </is>
      </c>
      <c r="M109" s="47" t="inlineStr">
        <is>
          <t>完了</t>
        </is>
      </c>
      <c r="N109" s="47" t="inlineStr">
        <is>
          <t>クリニック以外</t>
        </is>
      </c>
      <c r="O109" s="47" t="n"/>
      <c r="P109" s="47" t="n"/>
      <c r="Q109" s="47" t="n"/>
      <c r="R109" s="47" t="n"/>
    </row>
    <row r="110" ht="15.75" customHeight="1" s="185">
      <c r="A110" s="52">
        <f>row()-3</f>
        <v/>
      </c>
      <c r="B110" s="46" t="inlineStr">
        <is>
          <t>WebプロモーションとWebマーケティングの違いと効率的な手法</t>
        </is>
      </c>
      <c r="C110" s="6" t="inlineStr">
        <is>
          <t>https://dym.asia/media/web-promotion/</t>
        </is>
      </c>
      <c r="D110" s="47" t="inlineStr">
        <is>
          <t>webプロモーション</t>
        </is>
      </c>
      <c r="E110" s="35" t="n">
        <v>6</v>
      </c>
      <c r="F110" s="36" t="n">
        <v>3.830508474576271</v>
      </c>
      <c r="G110" s="47" t="inlineStr">
        <is>
          <t>なし</t>
        </is>
      </c>
      <c r="H110" s="47" t="inlineStr">
        <is>
          <t>可</t>
        </is>
      </c>
      <c r="I110" s="47" t="inlineStr">
        <is>
          <t>Q: Webプロモーションにおける「集客」と「販促」の違いは何ですか？
A: 「集客」は、まだ自社の商品やサービスを知らない潜在顧客に対してアプローチし、Webサイトや店舗などの接点に誘導することを指します（例：SEO、広告配信）。一方、「販促」は、接点に来た見込み顧客に対して、購買意欲を高め、実際に購入や契約へと結びつけることを指します（例：キャンペーン、クーポン提供、Webサイト上の導線改善）。
Q: Webプロモーションを成功させるために、最初に何から始めるべきですか？
A: 成功のために最初に始めるべきことは、「ターゲットと目的の明確化」です。「誰に（ターゲット層）」、「何を（商品・サービス）」、「どうなってほしいか（最終目標）」を具体的に定義することで、選ぶべきプロモーション手法（SEO、SNS、広告など）や、測定すべきKPIが明確になります。
Q: Webプロモーションの効果を測定する上で、最も重視すべき指標は何ですか？
A: 最も重視すべき指標は、最終的な成果を示すコンバージョン率（CVR）、および費用対効果を示すCPA（顧客獲得単価）やROAS（広告費用対効果）です。単なるアクセス数やインプレッション数だけでなく、「どれだけの成果が、どれだけのコストで得られたか」を把握することで、プロモーションの改善点が見えてきます。</t>
        </is>
      </c>
      <c r="J110" s="47" t="n"/>
      <c r="K110" s="47" t="inlineStr">
        <is>
          <t>OK</t>
        </is>
      </c>
      <c r="L110" s="47" t="inlineStr">
        <is>
          <t>未確認</t>
        </is>
      </c>
      <c r="M110" s="47" t="inlineStr">
        <is>
          <t>完了</t>
        </is>
      </c>
      <c r="N110" s="47" t="inlineStr">
        <is>
          <t>クリニック以外</t>
        </is>
      </c>
      <c r="O110" s="47" t="n"/>
      <c r="P110" s="47" t="n"/>
      <c r="Q110" s="47" t="n"/>
      <c r="R110" s="47" t="n"/>
    </row>
    <row r="111" ht="15.75" customHeight="1" s="185">
      <c r="A111" s="52">
        <f>row()-3</f>
        <v/>
      </c>
      <c r="B111" s="46" t="inlineStr">
        <is>
          <t>レピュテーションリスクとは？意味・対策・事例を紹介</t>
        </is>
      </c>
      <c r="C111" s="10" t="inlineStr">
        <is>
          <t>https://dym.asia/media/what-is-reputation-risk/</t>
        </is>
      </c>
      <c r="D111" s="47" t="inlineStr">
        <is>
          <t>レピュテーションリスク</t>
        </is>
      </c>
      <c r="E111" s="35" t="n">
        <v>6</v>
      </c>
      <c r="F111" s="36" t="n">
        <v>4.61984126984127</v>
      </c>
      <c r="G111" s="47" t="inlineStr">
        <is>
          <t>なし</t>
        </is>
      </c>
      <c r="H111" s="47" t="inlineStr">
        <is>
          <t>可</t>
        </is>
      </c>
      <c r="I111" s="47" t="inlineStr">
        <is>
          <t>Q: レピュテーションリスク（評判リスク）とは、具体的にどのような影響を企業に及ぼしますか？
A: レピュテーションリスクが顕在化すると、顧客離れによる売上・利益の減少、株価の急落や資金調達の困難化、優秀な人材の離脱や採用難、そして取引先との関係悪化など、企業の存続に関わる広範で深刻な悪影響を及ぼします。長期的に企業価値そのものを毀損する可能性があります。
Q: どのようなことがレピュテーションリスクにつながる原因となりやすいですか？
A: 主な原因としては、製品・サービスの品質問題や情報漏洩などの不祥事、不適切な顧客対応やSNSでの炎上、法令違反やコンプライアンス違反、そして労働環境に関する問題（過重労働、ハラスメントなど）が挙げられます。特にSNSの普及により、小さな問題でも瞬時に拡散され、リスクにつながりやすくなっています。
Q: レピュテーションリスクを回避または最小化するために、企業はどのような対策を講じるべきですか？
A: 対策としては、平時からリスク管理体制を整備し、コンプライアンス教育を徹底することが基本です。問題発生時には、迅速かつ正確な事実の公表と誠意ある謝罪を行い、透明性の高いコミュニケーションを取ることが重要です。また、日頃から広報活動を通じてポジティブな企業イメージを構築しておくことも有効です。</t>
        </is>
      </c>
      <c r="J111" s="47" t="n"/>
      <c r="K111" s="47" t="inlineStr">
        <is>
          <t>OK</t>
        </is>
      </c>
      <c r="L111" s="47" t="inlineStr">
        <is>
          <t>未確認</t>
        </is>
      </c>
      <c r="M111" s="47" t="inlineStr">
        <is>
          <t>完了</t>
        </is>
      </c>
      <c r="N111" s="47" t="inlineStr">
        <is>
          <t>クリニック以外</t>
        </is>
      </c>
      <c r="O111" s="47" t="n"/>
      <c r="P111" s="47" t="n"/>
      <c r="Q111" s="47" t="n"/>
      <c r="R111" s="47" t="n"/>
    </row>
    <row r="112" ht="15.75" customHeight="1" s="185">
      <c r="A112" s="52">
        <f>row()-3</f>
        <v/>
      </c>
      <c r="B112" s="46" t="inlineStr">
        <is>
          <t>事業譲渡の概要や類語との違い、手続きや注意点を詳しく解説</t>
        </is>
      </c>
      <c r="C112" s="10" t="inlineStr">
        <is>
          <t>https://dym.asia/media/business-transfer/</t>
        </is>
      </c>
      <c r="D112" s="47" t="inlineStr">
        <is>
          <t>営業譲渡 事業譲渡 違い</t>
        </is>
      </c>
      <c r="E112" s="35" t="n">
        <v>5</v>
      </c>
      <c r="F112" s="36" t="n">
        <v>7.186147186147186</v>
      </c>
      <c r="G112" s="47" t="inlineStr">
        <is>
          <t>なし</t>
        </is>
      </c>
      <c r="H112" s="47" t="inlineStr">
        <is>
          <t>可</t>
        </is>
      </c>
      <c r="I112" s="10" t="inlineStr">
        <is>
          <t>Q: M&amp;Aにおける「事業譲渡」と「株式譲渡」の最も大きな違いは何ですか？
A: M&amp;Aは、企業の経営権や事業を移転するための手法の総称です。その中でも、
事業譲渡は、会社全体ではなく、特定の事業部門・資産・負債・契約などを個別に切り出して売買する手法
株式譲渡は、会社の株式を譲渡することで、会社そのものの経営権を包括的に移転する手法という違いがあります。
事業譲渡は、譲渡対象を契約によって個別に定められる柔軟性がある一方、手続きが煩雑になりやすい点が特徴です。
Q: 事業譲渡において、債務や契約は自動的に買い手に引き継がれるのですか？
A: いいえ、自動的には引き継がれません。事業譲渡では、譲渡対象となる資産・負債・契約・従業員などを個別に特定し、それぞれについて当事者や関係者の同意を得る必要があります。この点が、会社の権利義務が包括的に承継される株式譲渡との大きな違いであり、事業譲渡の手続きが複雑になる主な理由です。
Q: 事業譲渡後に、売り手側は同じ事業を再び行うことはできますか？
A: 原則として制限されます。事業譲渡においては、会社法に基づく「競業避止義務」が定められており、特約がない場合、売り手は20年間、譲渡した事業と同一の事業を、同一の市町村および隣接する市町村で行うことができません。
ただし、当事者間の特約により、期間を短縮したり、地域を限定したりすることは可能です。
お気軽にお問い合わせください。
お問い合わせ先はこちら↓
https://dym.asia/contact/</t>
        </is>
      </c>
      <c r="J112" s="47" t="n"/>
      <c r="K112" s="47" t="inlineStr">
        <is>
          <t>修正済</t>
        </is>
      </c>
      <c r="L112" s="47" t="inlineStr">
        <is>
          <t>未確認</t>
        </is>
      </c>
      <c r="M112" s="47" t="inlineStr">
        <is>
          <t>完了</t>
        </is>
      </c>
      <c r="N112" s="47" t="inlineStr">
        <is>
          <t>クリニック以外</t>
        </is>
      </c>
      <c r="O112" s="47" t="n"/>
      <c r="P112" s="47" t="n"/>
      <c r="Q112" s="47" t="n"/>
      <c r="R112" s="47" t="n"/>
    </row>
    <row r="113" ht="15.75" customHeight="1" s="185">
      <c r="A113" s="52">
        <f>row()-3</f>
        <v/>
      </c>
      <c r="B113" s="46" t="inlineStr">
        <is>
          <t>工数削減とは？アイデア・効果や具体例まで徹底解説</t>
        </is>
      </c>
      <c r="C113" s="10" t="inlineStr">
        <is>
          <t>https://dym.asia/media/labor-reduction/</t>
        </is>
      </c>
      <c r="D113" s="47" t="inlineStr">
        <is>
          <t>工数削減 事例</t>
        </is>
      </c>
      <c r="E113" s="35" t="n">
        <v>5</v>
      </c>
      <c r="F113" s="36" t="n">
        <v>5.333333333333333</v>
      </c>
      <c r="G113" s="47" t="inlineStr">
        <is>
          <t>なし</t>
        </is>
      </c>
      <c r="H113" s="47" t="inlineStr">
        <is>
          <t>可</t>
        </is>
      </c>
      <c r="I113" s="47" t="inlineStr">
        <is>
          <t>Q: 人員削減（Labor Reduction）とリストラは、具体的に何が違うのですか？
A: 人員削減は、人件費の圧縮を目的として、希望退職者の募集や非正規雇用の調整などを行う、より広義の概念です。一方、リストラ（リストラクチャリング）は、事業の再構築や再編を意味するもので、人員削減はリストラの一つの手段として実行されることがあります。ただし、日本ではリストラという言葉が「解雇」や「人員削減」を指す慣習があります。
Q: 企業が人員削減を行うのは、どのような理由からですか？
A: 主な理由は、経営状況の悪化による人件費削減、事業部門の不採算による事業撤退や縮小、AIやIT技術の導入による業務の自動化に伴う余剰人員の発生、そして競争力強化を目的とした組織のスリム化などが挙げられます。多くの場合、コスト構造の改善と経営効率の向上が背景にあります。
Q: 人員削減を法的に問題なく実施するために、企業が注意すべきポイントは何ですか？
A: 法的に問題なく実施するためには、「解雇権濫用の法理」に基づき、厳しい要件を満たす必要があります。具体的には、①人員削減の必要性、②解雇回避努力の実施（配置転換、希望退職の募集など）、③人選の合理性、④手続きの妥当性（労働組合や従業員への説明・協議）の4つの要素がすべて満たされているかどうかが重要になります。</t>
        </is>
      </c>
      <c r="J113" s="47" t="n"/>
      <c r="K113" s="47" t="inlineStr">
        <is>
          <t>OK</t>
        </is>
      </c>
      <c r="L113" s="47" t="inlineStr">
        <is>
          <t>未確認</t>
        </is>
      </c>
      <c r="M113" s="47" t="inlineStr">
        <is>
          <t>完了</t>
        </is>
      </c>
      <c r="N113" s="47" t="inlineStr">
        <is>
          <t>クリニック以外</t>
        </is>
      </c>
      <c r="O113" s="47" t="n"/>
      <c r="P113" s="47" t="n"/>
      <c r="Q113" s="47" t="n"/>
      <c r="R113" s="47" t="n"/>
    </row>
    <row r="114" ht="15.75" customHeight="1" s="185">
      <c r="A114" s="52">
        <f>row()-3</f>
        <v/>
      </c>
      <c r="B114" s="46" t="inlineStr">
        <is>
          <t>LINE公式アカウント（LINEビジネスアカウント）とは？主な機能や料金プランも解説</t>
        </is>
      </c>
      <c r="C114" s="10" t="inlineStr">
        <is>
          <t>https://dym.asia/media/line-business-fee/</t>
        </is>
      </c>
      <c r="D114" s="47" t="inlineStr">
        <is>
          <t>lineビジネスアカウント できること</t>
        </is>
      </c>
      <c r="E114" s="35" t="n">
        <v>5</v>
      </c>
      <c r="F114" s="36" t="n">
        <v>4.105263157894736</v>
      </c>
      <c r="G114" s="47" t="inlineStr">
        <is>
          <t>なし</t>
        </is>
      </c>
      <c r="H114" s="47" t="inlineStr">
        <is>
          <t>可</t>
        </is>
      </c>
      <c r="I114" s="47" t="inlineStr">
        <is>
          <t>Q: LINE公式アカウントの料金体系には、どのような種類がありますか？
A: LINE公式アカウントの料金体系は、月額固定費制の3つのプランに分かれています。各プランごとに、月間で配信できる無料メッセージ通数が設定されており、利用規模や配信頻度に応じて選択します。
コミュニケーションプラン（無料）：月額0円、月200通まで配信可能（追加配信不可）
ライトプラン：月額5,000円（税別）、月5,000通まで配信可能（追加配信不可）
スタンダードプラン：月額15,000円（税別）、月30,000通まで配信可能
　※スタンダードプランのみ、上限超過分は従量課金で追加配信が可能です。
なお、プラン間で基本機能（メッセージ配信、リッチメニュー、チャット機能等）に大きな差はなく、主な違いは配信可能なメッセージ通数です。
Q: LINE公式アカウントの配信メッセージ数は、どのようにカウントされますか？
A: 配信メッセージ数は、実際に送信された「吹き出し」×配信人数を基準にカウントされます。例えば、1回の一斉配信で友だち1,000人にメッセージを1通送信した場合、1,000通としてカウントされます。なお、1:1のチャットメッセージや自動応答など、一部のメッセージは配信通数のカウント対象外となります。
Q: LINE広告（LINE Ads）の費用体系は、どのような仕組みですか？
A: LINE広告は運用型広告で、広告の目的に応じて以下のような課金方式が採用されています。クリック課金（CPC）、インプレッション課金（CPM）、友だち追加課金（CPF：Cost Per Friend）などです。広告主が予算や入札単価を設定し、オークション形式で掲載可否や費用が決定されます。最低出稿金額の制限はなく、少額から広告配信を開始できる点が特徴です。
お気軽にお問い合わせください。
お問い合わせ先はこちら↓
https://dym.asia/contact/</t>
        </is>
      </c>
      <c r="J114" s="47" t="n"/>
      <c r="K114" s="47" t="inlineStr">
        <is>
          <t>修正済</t>
        </is>
      </c>
      <c r="L114" s="47" t="inlineStr">
        <is>
          <t>未確認</t>
        </is>
      </c>
      <c r="M114" s="47" t="inlineStr">
        <is>
          <t>完了</t>
        </is>
      </c>
      <c r="N114" s="47" t="inlineStr">
        <is>
          <t>クリニック以外</t>
        </is>
      </c>
      <c r="O114" s="47" t="n"/>
      <c r="P114" s="47" t="n"/>
      <c r="Q114" s="47" t="n"/>
      <c r="R114" s="47" t="n"/>
    </row>
    <row r="115" ht="15.75" customHeight="1" s="185">
      <c r="A115" s="52">
        <f>row()-3</f>
        <v/>
      </c>
      <c r="B115" s="46" t="inlineStr">
        <is>
          <t>ポテンシャルとは？高い人の特徴や採用時のメリット・デメリットを解説</t>
        </is>
      </c>
      <c r="C115" s="10" t="inlineStr">
        <is>
          <t>https://dym.asia/media/potential/</t>
        </is>
      </c>
      <c r="D115" s="47" t="inlineStr">
        <is>
          <t>ポテンシャルが高い人 特徴</t>
        </is>
      </c>
      <c r="E115" s="35" t="n">
        <v>5</v>
      </c>
      <c r="F115" s="36" t="n">
        <v>8.201559934318555</v>
      </c>
      <c r="G115" s="47" t="inlineStr">
        <is>
          <t>なし</t>
        </is>
      </c>
      <c r="H115" s="47" t="inlineStr">
        <is>
          <t>可</t>
        </is>
      </c>
      <c r="I115" s="47" t="inlineStr">
        <is>
          <t>Q: ビジネスにおける「ポテンシャル（Potential）」とは、具体的にどのような能力を指しますか？
A: ビジネスにおけるポテンシャルとは、「現時点では顕在化していない、将来的に発揮される可能性のある能力や成長力」を指します。具体的には、学習意欲、論理的思考力、問題解決能力、変化への適応力など、職務経験や知識とは別に、未知の課題や環境で成果を出すための素質を評価する際に使われます。
Q: 採用活動で「ポテンシャル採用」を行う最大のメリットは何ですか？
A: ポテンシャル採用の最大のメリットは、「将来的に企業の核となる優秀な若手人材を確保できる可能性」が高まることです。専門知識や経験が不足していても、成長意欲や適応力を重視するため、企業文化にフィットし、長期的に大きな成果を出す人材を発掘できるチャンスがあります。
Q: ポテンシャルが高い社員を育成するために、企業はどのような環境を整えるべきですか？
A: ポテンシャルが高い社員を育成するためには、「挑戦と失敗が許容される文化」と「多様な経験機会」を与えることが重要です。具体的には、ストレッチ目標（現在の能力より少し高い目標）の設定、メンター制度によるきめ細やかなサポート、そしてフィードバックと内省の機会を定期的に設けることが、彼らの早期の能力開花を促します。</t>
        </is>
      </c>
      <c r="J115" s="47" t="n"/>
      <c r="K115" s="47" t="inlineStr">
        <is>
          <t>OK</t>
        </is>
      </c>
      <c r="L115" s="47" t="inlineStr">
        <is>
          <t>未確認</t>
        </is>
      </c>
      <c r="M115" s="47" t="inlineStr">
        <is>
          <t>完了</t>
        </is>
      </c>
      <c r="N115" s="47" t="inlineStr">
        <is>
          <t>クリニック以外</t>
        </is>
      </c>
      <c r="O115" s="47" t="n"/>
      <c r="P115" s="47" t="n"/>
      <c r="Q115" s="47" t="n"/>
      <c r="R115" s="47" t="n"/>
    </row>
    <row r="116" ht="15.75" customHeight="1" s="185">
      <c r="A116" s="52">
        <f>row()-3</f>
        <v/>
      </c>
      <c r="B116" s="46" t="inlineStr">
        <is>
          <t>採用通知書とは？内定通知書との違い、書き方や郵送方法も解説</t>
        </is>
      </c>
      <c r="C116" s="6" t="inlineStr">
        <is>
          <t>https://dym.asia/media/recruitment-letter/</t>
        </is>
      </c>
      <c r="D116" s="47" t="inlineStr">
        <is>
          <t>採用通知</t>
        </is>
      </c>
      <c r="E116" s="35" t="n">
        <v>5</v>
      </c>
      <c r="F116" s="36" t="n">
        <v>3.558111380145279</v>
      </c>
      <c r="G116" s="47" t="inlineStr">
        <is>
          <t>なし</t>
        </is>
      </c>
      <c r="H116" s="47" t="inlineStr">
        <is>
          <t>可</t>
        </is>
      </c>
      <c r="I116" s="47" t="inlineStr">
        <is>
          <t>Q: 採用通知書（内定通知書）と雇用契約書は、具体的に何が違うのですか？
A: 採用通知書は、企業が応募者に対して「採用を決定し、入社を要請する意思表示」を行う書類で、内定の条件（入社日、職種など）が記載されます。一方、雇用契約書は、企業と従業員の間で労働条件（賃金、労働時間、就業場所など）について個別に合意した内容を記載し、両者が署名・捺印する法的な契約書です。
Q: 採用通知書を受け取った後に辞退することは可能ですか？
A: はい、可能です。採用通知書を受け取って内定が成立した後でも、入社日までの間であれば、労働者には「職業選択の自由」が保障されているため、内定を辞退する権利があります。ただし、企業に迷惑をかけないよう、できるだけ早く、誠意をもって連絡することが社会人としてのマナーです。
Q: 採用通知書に記載すべき法的な必須項目はありますか？
A: 採用通知書自体に法的な必須項目はありませんが、労働基準法第15条により、企業は労働契約締結時に労働条件について明示することが義務付けられています。そのため、多くの企業では、採用通知書または別途発行する書類で、賃金、労働時間、就業場所、業務内容などの重要事項を明示します。</t>
        </is>
      </c>
      <c r="J116" s="47" t="n"/>
      <c r="K116" s="47" t="inlineStr">
        <is>
          <t>OK</t>
        </is>
      </c>
      <c r="L116" s="47" t="inlineStr">
        <is>
          <t>未確認</t>
        </is>
      </c>
      <c r="M116" s="47" t="inlineStr">
        <is>
          <t>完了</t>
        </is>
      </c>
      <c r="N116" s="47" t="inlineStr">
        <is>
          <t>クリニック以外</t>
        </is>
      </c>
      <c r="O116" s="47" t="n"/>
      <c r="P116" s="47" t="n"/>
      <c r="Q116" s="47" t="n"/>
      <c r="R116" s="47" t="n"/>
    </row>
    <row r="117" ht="15.75" customHeight="1" s="185">
      <c r="A117" s="52">
        <f>row()-3</f>
        <v/>
      </c>
      <c r="B117" s="46" t="inlineStr">
        <is>
          <t>検索エンジンとは？特徴と種類の違い</t>
        </is>
      </c>
      <c r="C117" s="10" t="inlineStr">
        <is>
          <t>https://dym.asia/media/search-engine/</t>
        </is>
      </c>
      <c r="D117" s="47" t="inlineStr">
        <is>
          <t>検索エンジン 違い</t>
        </is>
      </c>
      <c r="E117" s="35" t="n">
        <v>5</v>
      </c>
      <c r="F117" s="36" t="n">
        <v>4.560209424083769</v>
      </c>
      <c r="G117" s="47" t="inlineStr">
        <is>
          <t>なし</t>
        </is>
      </c>
      <c r="H117" s="47" t="inlineStr">
        <is>
          <t>可</t>
        </is>
      </c>
      <c r="I117" s="10" t="inlineStr">
        <is>
          <t>Q: 検索エンジン（Search Engine）とは、具体的にどのような仕組みで動いていますか？
A: 検索エンジンは主に「クローリング（情報収集）」、「インデックス（情報の整理と登録）」、「ランキング（順位付け）」の3つの仕組みで動いています。クローラーと呼ばれるプログラムがWeb上を巡回して情報を集め、それをデータベースに整理・登録（インデックス）し、ユーザーの検索キーワードに対して独自のアルゴリズムに基づいて関連性の高い順に表示しています。
Q: 検索エンジンの「インデックス」とは何ですか？
A: インデックスとは、クローラーが収集したWebページやファイルなどの情報を、検索エンジンが検索結果に表示できるように整理・登録したデータベースのことです。インデックスされていないページは、どれだけ質の高いコンテンツであっても検索結果に表示されることはありません。
Q: 検索エンジンの順位付けの仕組み（アルゴリズム）において、最も重要視される要素は何ですか？
A: 検索エンジンのアルゴリズムは常に進化していますが、現在最も重要視される要素は「ユーザーにとっての利便性・価値」です。具体的には、コンテンツの質と専門性、Webサイトの使いやすさ（ユーザビリティ）、そして他の権威あるサイトからの信頼（被リンク）などが複合的に評価され、検索順位が決定されます。ぜひお問い合わせください。
お問い合わせ先はこちら↓
https://dym.asia/contact/</t>
        </is>
      </c>
      <c r="J117" s="47" t="n"/>
      <c r="K117" s="47" t="inlineStr">
        <is>
          <t>OK</t>
        </is>
      </c>
      <c r="L117" s="47" t="inlineStr">
        <is>
          <t>未確認</t>
        </is>
      </c>
      <c r="M117" s="47" t="inlineStr">
        <is>
          <t>完了</t>
        </is>
      </c>
      <c r="N117" s="47" t="inlineStr">
        <is>
          <t>クリニック以外</t>
        </is>
      </c>
      <c r="O117" s="47" t="n"/>
      <c r="P117" s="47" t="n"/>
      <c r="Q117" s="47" t="n"/>
      <c r="R117" s="47" t="n"/>
    </row>
    <row r="118" ht="15.75" customHeight="1" s="185">
      <c r="A118" s="52">
        <f>row()-3</f>
        <v/>
      </c>
      <c r="B118" s="46" t="inlineStr">
        <is>
          <t>503エラーの原因と対処！必ず知っておくべきサーバーの話</t>
        </is>
      </c>
      <c r="C118" s="6" t="inlineStr">
        <is>
          <t>https://dym.asia/media/503erorr/</t>
        </is>
      </c>
      <c r="D118" s="47" t="inlineStr">
        <is>
          <t>503エラー 自分だけ</t>
        </is>
      </c>
      <c r="E118" s="35" t="n">
        <v>4</v>
      </c>
      <c r="F118" s="36" t="n">
        <v>6.224561403508772</v>
      </c>
      <c r="G118" s="47" t="inlineStr">
        <is>
          <t>なし</t>
        </is>
      </c>
      <c r="H118" s="47" t="inlineStr">
        <is>
          <t>可</t>
        </is>
      </c>
      <c r="I118" s="47" t="inlineStr">
        <is>
          <t>Q: 503 Service Unavailableエラーとは、具体的にどのような状態を示しているのですか？
A: 503 Service Unavailableエラーは、「サーバーが一時的に過負荷状態にあるか、メンテナンス中であるため、リクエストを処理できない」状態を示しています。このエラーは、サーバー自体は生きていてネットワークに接続されているものの、サービスを提供できない場合に発生する一時的な問題であることが多いです。
Q: サーバー管理者として、503エラーの原因として最も考えられるものは何ですか？
A: 最も考えられる原因は、アクセス集中による過負荷（キャパシティオーバー）や、データベースへの同時接続数の上限超過、または計画的なサーバーメンテナンスの実施です。また、設定ミスやプログラムのバグによってリソースが枯渇している場合にも発生することがあります。
Q: 503エラーが発生した場合、SEO（検索エンジン最適化）に悪影響はありますか？
A: 一時的な503エラーであれば、検索エンジンは「一時的な問題」と判断し、再度クロールを試みるため、大きな悪影響はありません。しかし、エラーが数日以上継続すると、検索エンジンはサービスが停止していると判断し、検索順位が低下したり、インデックスから削除されたりする深刻な悪影響を及ぼす可能性があります。</t>
        </is>
      </c>
      <c r="J118" s="47" t="n"/>
      <c r="K118" s="47" t="inlineStr">
        <is>
          <t>OK</t>
        </is>
      </c>
      <c r="L118" s="47" t="inlineStr">
        <is>
          <t>未確認</t>
        </is>
      </c>
      <c r="M118" s="47" t="inlineStr">
        <is>
          <t>完了</t>
        </is>
      </c>
      <c r="N118" s="47" t="inlineStr">
        <is>
          <t>クリニック以外</t>
        </is>
      </c>
      <c r="O118" s="47" t="n"/>
      <c r="P118" s="47" t="n"/>
      <c r="Q118" s="47" t="n"/>
      <c r="R118" s="47" t="n"/>
    </row>
    <row r="119" ht="15.75" customHeight="1" s="185">
      <c r="A119" s="52">
        <f>row()-3</f>
        <v/>
      </c>
      <c r="B119" s="46" t="inlineStr">
        <is>
          <t>経営顧問とは？役割・選び方とその効果</t>
        </is>
      </c>
      <c r="C119" s="6" t="inlineStr">
        <is>
          <t>https://dym.asia/media/administration-advisor/</t>
        </is>
      </c>
      <c r="D119" s="47" t="inlineStr">
        <is>
          <t>経営顧問</t>
        </is>
      </c>
      <c r="E119" s="35" t="n">
        <v>4</v>
      </c>
      <c r="F119" s="36" t="n">
        <v>3.262210796915167</v>
      </c>
      <c r="G119" s="47" t="inlineStr">
        <is>
          <t>なし</t>
        </is>
      </c>
      <c r="H119" s="47" t="inlineStr">
        <is>
          <t>可</t>
        </is>
      </c>
      <c r="I119" s="47" t="inlineStr">
        <is>
          <t>Q: 経営顧問（アドバイザー）とは、具体的にどのような役割を担う人物ですか？
A: 経営顧問とは、企業と直接的な雇用関係を持たない第三者として、豊富な経営経験や高度な専門知識に基づき、経営戦略、組織人事、財務、新規事業開発など、特定の課題解決や意思決定プロセスに対して助言や提言を行う人物です。社内にはない客観的な視点や、外部の知見をもたらすことが主な役割です。
Q: 経営顧問を依頼する最大のメリットとデメリットは何ですか？
A: 最大のメリットは、「客観的かつ専門的な視点による、経営判断の質の向上」です。特に経営者が孤独な意思決定から解放され、リスク回避につながります。一方、デメリットは、顧問料として一定のコストが発生すること、そして、顧問が社内事情や企業文化を理解するまでに時間がかかる場合がある点です。
Q: 経営顧問とコンサルタントは、役割として何が違うのですか？
A: 役割が異なります。経営顧問は、多くの場合、経験や知見に基づいた「助言・提言」を通じて経営者をサポートし、実行は企業側に委ねられます。一方、コンサルタントは、特定の課題解決のために、具体的な調査・分析から戦略の策定、そして実行支援まで、より実務レベルに入り込んで支援を行うことが多いです。</t>
        </is>
      </c>
      <c r="J119" s="47" t="n"/>
      <c r="K119" s="47" t="inlineStr">
        <is>
          <t>OK</t>
        </is>
      </c>
      <c r="L119" s="47" t="inlineStr">
        <is>
          <t>未確認</t>
        </is>
      </c>
      <c r="M119" s="47" t="inlineStr">
        <is>
          <t>完了</t>
        </is>
      </c>
      <c r="N119" s="47" t="inlineStr">
        <is>
          <t>クリニック以外</t>
        </is>
      </c>
      <c r="O119" s="47" t="n"/>
      <c r="P119" s="47" t="n"/>
      <c r="Q119" s="47" t="n"/>
      <c r="R119" s="47" t="n"/>
    </row>
    <row r="120" ht="15.75" customHeight="1" s="185">
      <c r="A120" s="52">
        <f>row()-3</f>
        <v/>
      </c>
      <c r="B120" s="46" t="inlineStr">
        <is>
          <t>Ahrefs（エイチレフス）とは？特徴や使い方を解説</t>
        </is>
      </c>
      <c r="C120" s="6" t="inlineStr">
        <is>
          <t>https://dym.asia/media/ahrefs/</t>
        </is>
      </c>
      <c r="D120" s="47" t="inlineStr">
        <is>
          <t>エイチレフス</t>
        </is>
      </c>
      <c r="E120" s="35" t="n">
        <v>4</v>
      </c>
      <c r="F120" s="36" t="n">
        <v>7.544125609095831</v>
      </c>
      <c r="G120" s="47" t="inlineStr">
        <is>
          <t>なし</t>
        </is>
      </c>
      <c r="H120" s="47" t="inlineStr">
        <is>
          <t>可</t>
        </is>
      </c>
      <c r="I120" s="10" t="inlineStr">
        <is>
          <t>Q: Ahrefs（エイチレフス）の主な機能として、どのようなものがありますか？
A: Ahrefsの主な機能は、「サイトエクスプローラー（競合分析）」、「キーワードエクスプローラー（キーワードリサーチ）」、「サイト監査（SEO監査）」、そして「コンテンツエクスプローラー（人気コンテンツの発見）」などです。これらは、自社サイトや競合サイトの被リンク、オーガニック検索トラフィック、検索順位などを分析し、SEO戦略を立案・改善するために役立ちます。
Q: Ahrefsの「被リンク分析」は、SEOにおいてなぜ重要なのでしょうか？
A: Ahrefsの被リンク分析は、SEOにおいてサイトの信頼性（オーソリティ）を評価する上で非常に重要です。どのサイトからリンクを受けているか、リンクの質は高いかなどを分析することで、Googleが自社サイトをどのように評価しているかを推測できます。また、競合サイトの被リンク戦略を知り、自社の獲得戦略に活かすことができます。
Q: Ahrefsの利用を検討する際、どのような企業や個人に向いていますか？
A: Ahrefsは、本格的にSEOに取り組みたい企業や個人、Webマーケティング担当者、SEOコンサルタントなどに向いています。特に、大規模サイトの運用や競合が激しいキーワードでの上位表示を目指す場合に、大量のデータと高度な分析機能を活用して、戦略的な意思決定を行うために非常に有用なツールです。お気軽にお問い合わせください。
お問い合わせ先はこちら↓
https://dym.asia/contact/</t>
        </is>
      </c>
      <c r="J120" s="47" t="n"/>
      <c r="K120" s="47" t="inlineStr">
        <is>
          <t>OK</t>
        </is>
      </c>
      <c r="L120" s="47" t="inlineStr">
        <is>
          <t>未確認</t>
        </is>
      </c>
      <c r="M120" s="47" t="inlineStr">
        <is>
          <t>完了</t>
        </is>
      </c>
      <c r="N120" s="47" t="inlineStr">
        <is>
          <t>クリニック以外</t>
        </is>
      </c>
      <c r="O120" s="47" t="n"/>
      <c r="P120" s="47" t="n"/>
      <c r="Q120" s="47" t="n"/>
      <c r="R120" s="47" t="n"/>
    </row>
    <row r="121" ht="15.75" customHeight="1" s="185">
      <c r="A121" s="52">
        <f>row()-3</f>
        <v/>
      </c>
      <c r="B121" s="46" t="inlineStr">
        <is>
          <t>5W1Hとは？意味や読み方、ビジネスでの使い方を簡単に解説</t>
        </is>
      </c>
      <c r="C121" s="6" t="inlineStr">
        <is>
          <t>https://dym.asia/media/business-5w1h/</t>
        </is>
      </c>
      <c r="D121" s="47" t="inlineStr">
        <is>
          <t>5w1h</t>
        </is>
      </c>
      <c r="E121" s="35" t="n">
        <v>4</v>
      </c>
      <c r="F121" s="36" t="n">
        <v>1.477445964289444</v>
      </c>
      <c r="G121" s="47" t="inlineStr">
        <is>
          <t>なし</t>
        </is>
      </c>
      <c r="H121" s="47" t="inlineStr">
        <is>
          <t>可</t>
        </is>
      </c>
      <c r="I121" s="47" t="inlineStr">
        <is>
          <t>Q: ビジネスにおける「5W1H」とは、具体的にどのような要素を指しますか？
A: ビジネスにおける5W1Hとは、情報伝達や計画立案の基本要素となる6つの質問の頭文字を取ったものです。具体的には、When（いつ）、Where（どこで）、Who（誰が）、What（何を）、Why（なぜ）、How（どのように）を指し、これらの要素を明確にすることで、曖昧さをなくし、正確で具体的なコミュニケーションや計画を実現します。
Q: 報告書やメール作成時に5W1Hを活用する最大のメリットは何ですか？
A: 最大のメリットは、「情報の漏れや誤解を防ぎ、伝達効率を最大化できること」です。5W1Hのフレームワークに沿って記述することで、相手が知りたい情報を過不足なく整理して伝えることができ、読み手の理解度を深め、迅速な意思決定を促すことができます。
Q: 5W1Hに「How much（いくら）」や「How many（どれくらい）」を追加して活用することはありますか？
A: はい、あります。ビジネスの目的や状況に応じて、5W1Hの基本要素に「How much（費用や価格）」や「How many（数量や頻度）」といった「数字」に関する要素を追加することが推奨されます。これらを加えることで、「5W2H」や「5W3H」といった形で、より具体的かつ定量的な計画・報告が可能になります。</t>
        </is>
      </c>
      <c r="J121" s="47" t="n"/>
      <c r="K121" s="47" t="inlineStr">
        <is>
          <t>OK</t>
        </is>
      </c>
      <c r="L121" s="47" t="inlineStr">
        <is>
          <t>未確認</t>
        </is>
      </c>
      <c r="M121" s="47" t="inlineStr">
        <is>
          <t>完了</t>
        </is>
      </c>
      <c r="N121" s="47" t="inlineStr">
        <is>
          <t>クリニック以外</t>
        </is>
      </c>
      <c r="O121" s="47" t="n"/>
      <c r="P121" s="47" t="n"/>
      <c r="Q121" s="47" t="n"/>
      <c r="R121" s="47" t="n"/>
    </row>
    <row r="122" ht="15.75" customHeight="1" s="185">
      <c r="A122" s="52">
        <f>row()-3</f>
        <v/>
      </c>
      <c r="B122" s="46" t="inlineStr">
        <is>
          <t>コールセンター資格の必要性と役立つスキル、おすすめ検定</t>
        </is>
      </c>
      <c r="C122" s="6" t="inlineStr">
        <is>
          <t>https://dym.asia/media/callcenter-qualification/</t>
        </is>
      </c>
      <c r="D122" s="47" t="inlineStr">
        <is>
          <t>コールセンター 資格一覧</t>
        </is>
      </c>
      <c r="E122" s="35" t="n">
        <v>4</v>
      </c>
      <c r="F122" s="36" t="n">
        <v>4.495495495495495</v>
      </c>
      <c r="G122" s="47" t="inlineStr">
        <is>
          <t>なし</t>
        </is>
      </c>
      <c r="H122" s="47" t="inlineStr">
        <is>
          <t>可</t>
        </is>
      </c>
      <c r="I122" s="47" t="inlineStr">
        <is>
          <t>Q: コールセンターの仕事で未経験者でも活躍できる可能性はありますか？
A: はい、大いにあります。コールセンターの多くは、未経験者向けの研修プログラムやマニュアルが充実しており、特別な専門知識がなくても、基本的なPCスキルとコミュニケーション意欲があれば始められます。重要なのは、正確に情報を伝える努力と傾聴の姿勢です。
Q: コールセンターの仕事で最も求められるスキルや資質は何ですか？
A: 最も求められるのは、「傾聴力」と「問題解決能力」です。お客様の話を遮らずに真摯に聞き、その真の要望や困りごとを正確に把握する能力、そして、マニュアルに基づきながらも、状況に応じた柔軟な対応で問題を解決に導く力が重視されます。
Q: コールセンターの経験は、将来のキャリアにどのように活かせますか？
A: コールセンターの経験は、対人折衝能力、高いコミュニケーションスキル、クレーム対応力、マルチタスク処理能力など、多くのビジネススキルを向上させます。これらのスキルは、営業職、秘書、マーケティング、管理部門など、顧客対応やコミュニケーションが求められる幅広い職種で高く評価され、キャリアアップに直結します。</t>
        </is>
      </c>
      <c r="J122" s="47" t="n"/>
      <c r="K122" s="47" t="inlineStr">
        <is>
          <t>OK</t>
        </is>
      </c>
      <c r="L122" s="47" t="inlineStr">
        <is>
          <t>未確認</t>
        </is>
      </c>
      <c r="M122" s="47" t="inlineStr">
        <is>
          <t>完了</t>
        </is>
      </c>
      <c r="N122" s="47" t="inlineStr">
        <is>
          <t>クリニック以外</t>
        </is>
      </c>
      <c r="O122" s="47" t="n"/>
      <c r="P122" s="47" t="n"/>
      <c r="Q122" s="47" t="n"/>
      <c r="R122" s="47" t="n"/>
    </row>
    <row r="123" ht="15.75" customHeight="1" s="185">
      <c r="A123" s="52">
        <f>row()-3</f>
        <v/>
      </c>
      <c r="B123" s="46" t="inlineStr">
        <is>
          <t>Cookieとは？初心者向けに分かりやすく解説</t>
        </is>
      </c>
      <c r="C123" s="6" t="inlineStr">
        <is>
          <t>https://dym.asia/media/cookie/</t>
        </is>
      </c>
      <c r="D123" s="47" t="inlineStr">
        <is>
          <t>クッキー 削除</t>
        </is>
      </c>
      <c r="E123" s="35" t="n">
        <v>4</v>
      </c>
      <c r="F123" s="36" t="n">
        <v>3.098039215686275</v>
      </c>
      <c r="G123" s="47" t="inlineStr">
        <is>
          <t>なし</t>
        </is>
      </c>
      <c r="H123" s="47" t="inlineStr">
        <is>
          <t>可</t>
        </is>
      </c>
      <c r="I123" s="47" t="inlineStr">
        <is>
          <t>Q: Cookieとは、具体的にどのような情報を保存しているのですか？
A: Cookieとは、ユーザーがWebサイトにアクセスした際の情報を、ユーザーのブラウザ側に保存する小さなテキストデータです。
保存される情報には、以下のようなものがあります。
・ログイン状態を識別するためのセッションIDやトークン
・サイトの訪問履歴や閲覧ページ
・ショッピングカートに入れた商品情報
・表示言語や地域設定などのユーザー設定
Q: 「ファーストパーティCookie」と「サードパーティCookie」の違いは何ですか？
A:ファーストパーティCookieは、ユーザーが現在訪問しているWebサイト自身のドメインから発行されるCookieです。ログイン状態の維持や、ユーザーごとの表示カスタマイズなどに利用されます。サードパーティCookieは、訪問中のサイトとは異なる**第三者ドメイン（主に広告配信事業者など）**から発行されるCookieで、複数のWebサイトを横断したユーザー行動の分析や広告のターゲティングなどに利用されます。
Q: Cookieを削除したり、無効にしたりしても、Webサイトの利用に問題はありますか？
A: ファーストパーティCookieを削除または無効にすると、ログイン状態が保持されなくなったり、カート情報やユーザー設定がリセットされたりするなど、Webサイトの利便性が低下する可能性があります。一方、サードパーティCookieを無効にしても、Webサイトの基本的な利用には大きな支障はありませんが、ユーザーの興味関心に基づいた広告表示や効果測定が行えなくなるといった影響があります。</t>
        </is>
      </c>
      <c r="J123" s="47" t="n"/>
      <c r="K123" s="47" t="inlineStr">
        <is>
          <t>修正済</t>
        </is>
      </c>
      <c r="L123" s="47" t="inlineStr">
        <is>
          <t>未確認</t>
        </is>
      </c>
      <c r="M123" s="47" t="inlineStr">
        <is>
          <t>完了</t>
        </is>
      </c>
      <c r="N123" s="47" t="inlineStr">
        <is>
          <t>クリニック以外</t>
        </is>
      </c>
      <c r="O123" s="47" t="n"/>
      <c r="P123" s="47" t="n"/>
      <c r="Q123" s="47" t="n"/>
      <c r="R123" s="47" t="n"/>
    </row>
    <row r="124" ht="15.75" customHeight="1" s="185">
      <c r="A124" s="52">
        <f>row()-3</f>
        <v/>
      </c>
      <c r="B124" s="46" t="inlineStr">
        <is>
          <t>ダンスチームのスポンサー｜重要性やメリット、契約の流れを解説</t>
        </is>
      </c>
      <c r="C124" s="10" t="inlineStr">
        <is>
          <t>https://dym.asia/media/dance-sponsor/</t>
        </is>
      </c>
      <c r="D124" s="47" t="inlineStr">
        <is>
          <t>dリーグ チーム スポンサー</t>
        </is>
      </c>
      <c r="E124" s="35" t="n">
        <v>4</v>
      </c>
      <c r="F124" s="36" t="n">
        <v>5.824561403508772</v>
      </c>
      <c r="G124" s="47" t="inlineStr">
        <is>
          <t>なし</t>
        </is>
      </c>
      <c r="H124" s="47" t="inlineStr">
        <is>
          <t>可</t>
        </is>
      </c>
      <c r="I124" s="10" t="inlineStr">
        <is>
          <t>Q: ダンスイベントの協賛（スポンサー）には、どのような種類がありますか？
A: ダンスイベントの協賛には、主に資金を提供する「金銭協賛」と、商品や景品、会場、機材などを提供する「現物協賛」があります。また、協賛の規模や目的によって、イベント名に企業名が入る「タイトルスポンサー」や、特定の部門や賞を提供する「部門スポンサー」などに分かれます。
Q: ダンスイベントに協賛する最大のメリットは何ですか？
A: 最大のメリットは、「若年層を中心とした特定のターゲット層への認知度向上とブランディング」です。ダンスというポジティブでエネルギッシュなイメージと結びつくことで、企業や商品の好感度を高めることができます。また、SNSでの拡散効果が高いため、リーチの拡大も見込めます。
Q: ダンスイベント協賛の費用相場は、どれくらいですか？
A: 費用相場は、イベントの規模、知名度、開催頻度によって大きく異なります。小規模な地域密着型イベントであれば数万円〜数十万円、全国規模や大規模なプロイベントになると数百万円から数千万円以上になることもあります。どのような露出特典（広告枠、ブース、SNS発信）を得られるかによっても費用は変動します。ぜひお問い合わせください。
お問い合わせ先はこちら↓
https://dym.asia/contact/</t>
        </is>
      </c>
      <c r="J124" s="47" t="n"/>
      <c r="K124" s="47" t="inlineStr">
        <is>
          <t>OK</t>
        </is>
      </c>
      <c r="L124" s="47" t="inlineStr">
        <is>
          <t>未確認</t>
        </is>
      </c>
      <c r="M124" s="47" t="inlineStr">
        <is>
          <t>完了</t>
        </is>
      </c>
      <c r="N124" s="47" t="inlineStr">
        <is>
          <t>クリニック以外</t>
        </is>
      </c>
      <c r="O124" s="47" t="n"/>
      <c r="P124" s="47" t="n"/>
      <c r="Q124" s="47" t="n"/>
      <c r="R124" s="47" t="n"/>
    </row>
    <row r="125" ht="15.75" customHeight="1" s="185">
      <c r="A125" s="52">
        <f>row()-3</f>
        <v/>
      </c>
      <c r="B125" s="46" t="inlineStr">
        <is>
          <t>ドメインパワーとは？チェックする方法や目安、上げ方を解説</t>
        </is>
      </c>
      <c r="C125" s="6" t="inlineStr">
        <is>
          <t>https://dym.asia/media/domain-power/</t>
        </is>
      </c>
      <c r="D125" s="47" t="inlineStr">
        <is>
          <t>ドメインパワー 目安</t>
        </is>
      </c>
      <c r="E125" s="35" t="n">
        <v>4</v>
      </c>
      <c r="F125" s="36" t="n">
        <v>7.817596566523605</v>
      </c>
      <c r="G125" s="47" t="inlineStr">
        <is>
          <t>なし</t>
        </is>
      </c>
      <c r="H125" s="47" t="inlineStr">
        <is>
          <t>可</t>
        </is>
      </c>
      <c r="I125" s="10" t="inlineStr">
        <is>
          <t>Q: ドメインパワー（Domain Authority）とは、具体的にどのような指標ですか？
A: ドメインパワーとは、特定のWebサイト全体が、検索エンジンから「どれだけ信頼され、評価されているか」を示す非公式な指標です。Googleが公式に公開しているものではありませんが、SEOツール各社が、被リンクの質と量、コンテンツの品質、ドメインの運用歴などの要素をもとに独自に算出し、検索結果におけるサイトの相対的な強さを示す目安として利用されています。
Q: ドメインパワーを強化するために、具体的にどのような対策が必要ですか？
A: ドメインパワーを強化するためには、主に「良質な被リンクの獲得」と「高品質なコンテンツの継続的な提供」が重要とされています。
具体的には、信頼性の高い外部サイトから自然な形でリンクを獲得することや、ユーザーの検索意図を満たす専門性・独自性の高いコンテンツを継続的に発信し、結果として訪問者数や滞在時間が増えるようなサイト運営を行うことがポイントです。
Q: ドメインパワーが高いWebサイトは、SEOにおいてどのようなメリットがありますか？
A: ドメインパワーが高いWebサイトは、SEOにおいて、新規コンテンツや既存コンテンツの評価が比較的安定しやすいとされています。
長期間にわたって信頼性の高い情報発信を行っているサイトは、検索エンジンから一定の評価を得ていると考えられるため、インデックスや評価がスムーズに進む傾向が見られるケースがあります。その結果、競合サイトと比較して集客面で有利になる可能性があります。
お気軽にご相談ください。
お問い合わせ先はこちら↓
https://dym.asia/contact/</t>
        </is>
      </c>
      <c r="J125" s="47" t="n"/>
      <c r="K125" s="47" t="inlineStr">
        <is>
          <t>修正済</t>
        </is>
      </c>
      <c r="L125" s="47" t="inlineStr">
        <is>
          <t>未確認</t>
        </is>
      </c>
      <c r="M125" s="47" t="inlineStr">
        <is>
          <t>完了</t>
        </is>
      </c>
      <c r="N125" s="47" t="inlineStr">
        <is>
          <t>クリニック以外</t>
        </is>
      </c>
      <c r="O125" s="47" t="n"/>
      <c r="P125" s="47" t="n"/>
      <c r="Q125" s="47" t="n"/>
      <c r="R125" s="47" t="n"/>
    </row>
    <row r="126" ht="15.75" customHeight="1" s="185">
      <c r="A126" s="52">
        <f>row()-3</f>
        <v/>
      </c>
      <c r="B126" s="46" t="inlineStr">
        <is>
          <t>毛穴、ニキビ跡に効果、エリシスセンスとは</t>
        </is>
      </c>
      <c r="C126" s="10" t="inlineStr">
        <is>
          <t>https://dym.asia/media/elysian-essence/</t>
        </is>
      </c>
      <c r="D126" s="47" t="inlineStr">
        <is>
          <t>エリシスセンス 赤ら顔</t>
        </is>
      </c>
      <c r="E126" s="35" t="n">
        <v>4</v>
      </c>
      <c r="F126" s="36" t="n">
        <v>4.016949152542373</v>
      </c>
      <c r="G126" s="47" t="inlineStr">
        <is>
          <t>なし</t>
        </is>
      </c>
      <c r="H126" s="47" t="inlineStr">
        <is>
          <t>不可</t>
        </is>
      </c>
      <c r="I126" s="47" t="inlineStr">
        <is>
          <t>対応不要</t>
        </is>
      </c>
      <c r="J126" s="47" t="n"/>
      <c r="K126" s="47" t="inlineStr">
        <is>
          <t>対応不要</t>
        </is>
      </c>
      <c r="L126" s="47" t="inlineStr">
        <is>
          <t>対応不要</t>
        </is>
      </c>
      <c r="M126" s="47" t="inlineStr">
        <is>
          <t>対応不要</t>
        </is>
      </c>
      <c r="N126" s="47" t="inlineStr">
        <is>
          <t>クリニック以外</t>
        </is>
      </c>
      <c r="O126" s="47" t="n"/>
      <c r="P126" s="47" t="n"/>
      <c r="Q126" s="47" t="n"/>
      <c r="R126" s="47" t="n"/>
    </row>
    <row r="127" ht="15.75" customHeight="1" s="185">
      <c r="A127" s="52">
        <f>row()-3</f>
        <v/>
      </c>
      <c r="B127" s="46" t="inlineStr">
        <is>
          <t>Google広告費用の課金方式や相場は？予算の決め方やコストを抑えるコツも解説</t>
        </is>
      </c>
      <c r="C127" s="6" t="inlineStr">
        <is>
          <t>https://dym.asia/media/google-ads-cost/</t>
        </is>
      </c>
      <c r="D127" s="47" t="inlineStr">
        <is>
          <t>google広告 1万円</t>
        </is>
      </c>
      <c r="E127" s="35" t="n">
        <v>4</v>
      </c>
      <c r="F127" s="36" t="n">
        <v>5.394736842105263</v>
      </c>
      <c r="G127" s="47" t="inlineStr">
        <is>
          <t>なし</t>
        </is>
      </c>
      <c r="H127" s="47" t="inlineStr">
        <is>
          <t>可</t>
        </is>
      </c>
      <c r="I127" s="10" t="inlineStr">
        <is>
          <t>Q: Google広告の費用は、どのように決まることが多いですか？
A: Google広告の費用は、主に**オークション形式で決まるクリック単価（CPC）**に基づいています。広告主は、キーワードやターゲット条件ごとに上限入札単価を設定し、実際に広告がクリックされた際に費用が発生します。広告費は、設定した日予算・月予算の範囲内で、競合状況や入札単価に応じて変動します。
Q: Google広告の最低出稿金額は設定されていますか？
A: Google広告には、公式な最低出稿金額の定めはありません。そのため、理論上は極めて少額の予算からでも運用を開始することは可能です。ただし、予算や入札単価が極端に低い場合、オークションに勝てず広告がほとんど、またはまったく配信されない可能性があります。また、配信されたとしても表示回数やクリック数が限定的となり、効果検証に十分なデータが得られないケースもあります。
Q: Google広告の費用対効果を高めるための重要なポイントは何ですか？
A: 費用対効果を高めるためには、主に**「品質スコアの改善」と「コンバージョン率の最適化」**が重要です。品質スコアが高いと、同じ入札単価でも広告が表示されやすくなり、結果としてクリック単価を抑えられる可能性があります。また、広告クリック後のランディングページ（LP）を改善し、コンバージョン率を高めることで、広告費あたりの成果を最大化できます。
お気軽にお問い合わせください。
お問い合わせ先はこちら↓
https://dym.asia/contact/</t>
        </is>
      </c>
      <c r="J127" s="47" t="n"/>
      <c r="K127" s="47" t="inlineStr">
        <is>
          <t>修正済</t>
        </is>
      </c>
      <c r="L127" s="47" t="inlineStr">
        <is>
          <t>未確認</t>
        </is>
      </c>
      <c r="M127" s="47" t="inlineStr">
        <is>
          <t>完了</t>
        </is>
      </c>
      <c r="N127" s="47" t="inlineStr">
        <is>
          <t>クリニック以外</t>
        </is>
      </c>
      <c r="O127" s="47" t="n"/>
      <c r="P127" s="47" t="n"/>
      <c r="Q127" s="47" t="n"/>
      <c r="R127" s="47" t="n"/>
    </row>
    <row r="128" ht="15.75" customHeight="1" s="185">
      <c r="A128" s="52">
        <f>row()-3</f>
        <v/>
      </c>
      <c r="B128" s="46" t="inlineStr">
        <is>
          <t>検索結果ページとは？Googleの仕組みを解説</t>
        </is>
      </c>
      <c r="C128" s="6" t="inlineStr">
        <is>
          <t>https://dym.asia/media/google-search-about/</t>
        </is>
      </c>
      <c r="D128" s="47" t="inlineStr">
        <is>
          <t>検索結果ページ</t>
        </is>
      </c>
      <c r="E128" s="35" t="n">
        <v>4</v>
      </c>
      <c r="F128" s="36" t="n">
        <v>3.216216216216216</v>
      </c>
      <c r="G128" s="47" t="inlineStr">
        <is>
          <t>なし</t>
        </is>
      </c>
      <c r="H128" s="47" t="inlineStr">
        <is>
          <t>可</t>
        </is>
      </c>
      <c r="I128" s="10" t="inlineStr">
        <is>
          <t>Q: Google検索の仕組みは、主にどのようなプロセスで成り立っていますか？
A: Google検索の仕組みは、主に「クローリング（情報収集）」→「インデックス（情報の整理・登録）」→「ランキング（順位付け）」という3つのプロセスで構成されています。GoogleのクローラーがWeb上の情報を収集し、インデックスに登録されたページの中から、検索クエリとの関連性やさまざまなシグナルをもとに検索結果が表示されます。
Q: Googleの検索アルゴリズムは、どのような要素を重視して順位を決めていると考えられていますか？
A: Googleの検索アルゴリズムは公開されておらず、常に更新されていますが、一般的には、ユーザーの検索意図にどれだけ適切に応えているかを重視して評価されていると考えられています。その判断材料として、E-E-A-T（経験・専門性・権威性・信頼性）に関連する要素や、モバイル対応、ページの表示速度、ユーザビリティなど、複数のシグナルが総合的に評価されているとされています。
Q: 自分のWebサイトをGoogle検索で上位表示させるために、重要とされている対策にはどのようなものがありますか？
A: 一般的に重要とされている対策としては、ユーザーの検索ニーズに応える高品質で独自性のあるコンテンツを継続的に提供することが挙げられます。
加えて、検索エンジンがページ内容を正しく理解できるようにサイト構造を整えるテクニカルSEOや、信頼性のある外部サイトから自然な形で被リンクを獲得することなども、長期的な評価につながると考えられています。
ぜひお問い合わせください。
お問い合わせ先はこちら↓
https://dym.asia/contact/</t>
        </is>
      </c>
      <c r="J128" s="47" t="n"/>
      <c r="K128" s="47" t="inlineStr">
        <is>
          <t>修正済</t>
        </is>
      </c>
      <c r="L128" s="47" t="inlineStr">
        <is>
          <t>未確認</t>
        </is>
      </c>
      <c r="M128" s="47" t="inlineStr">
        <is>
          <t>完了</t>
        </is>
      </c>
      <c r="N128" s="47" t="inlineStr">
        <is>
          <t>クリニック以外</t>
        </is>
      </c>
      <c r="O128" s="47" t="n"/>
      <c r="P128" s="47" t="n"/>
      <c r="Q128" s="47" t="n"/>
      <c r="R128" s="47" t="n"/>
    </row>
    <row r="129" ht="15.75" customHeight="1" s="185">
      <c r="A129" s="52">
        <f>row()-3</f>
        <v/>
      </c>
      <c r="B129" s="46" t="inlineStr">
        <is>
          <t>アイスブレイクの効果的な活用法と実践例20選</t>
        </is>
      </c>
      <c r="C129" s="6" t="inlineStr">
        <is>
          <t>https://dym.asia/media/ice-break/</t>
        </is>
      </c>
      <c r="D129" s="47" t="inlineStr">
        <is>
          <t>アイスブレイク</t>
        </is>
      </c>
      <c r="E129" s="35" t="n">
        <v>4</v>
      </c>
      <c r="F129" s="36" t="n">
        <v>12.76371951219512</v>
      </c>
      <c r="G129" s="47" t="inlineStr">
        <is>
          <t>なし</t>
        </is>
      </c>
      <c r="H129" s="47" t="inlineStr">
        <is>
          <t>可</t>
        </is>
      </c>
      <c r="I129" s="47" t="inlineStr">
        <is>
          <t>Q: アイスブレイク（ice breaker）とは、具体的にどのような目的で行われるのですか？
A: アイスブレイク（ice breaker）とは、会議や研修、セミナーなどの開始時に、参加者同士の緊張を和らげ、心理的な壁（氷）を取り除くことを目的として行われる取り組みです。場の雰囲気を和らげることで、参加者が発言しやすくなり、その後のコミュニケーションや議論を円滑に進めるための土台をつくる役割があります。
Q: リモート会議（オンライン）でも、効果的なアイスブレイクはありますか？
A: はい、あります。オンラインでは、使用しているツールの機能を活用したアイスブレイク（ice breaker）が効果的です。例えば、チャット機能を使って簡単なお題への回答を同時に投稿してもらう、リアクション機能を活用する、画面共有で趣味や最近の出来事を紹介するなど、短時間で参加しやすい形式が有効とされています。
Q: アイスブレイクを実施する際に、注意すべきポイントは何ですか？
A: 注意すべきポイントは、参加を強制せず、参加者が不快や負担を感じないよう配慮することです。また、時間をかけすぎないことや、本題につながりやすいテーマを選ぶことも重要です。参加者が恥ずかしい思いをしないよう、回答しやすい内容に限定するなど、心理的安全性を最優先に考える必要があります。</t>
        </is>
      </c>
      <c r="J129" s="47" t="n"/>
      <c r="K129" s="47" t="inlineStr">
        <is>
          <t>修正済</t>
        </is>
      </c>
      <c r="L129" s="47" t="inlineStr">
        <is>
          <t>未確認</t>
        </is>
      </c>
      <c r="M129" s="47" t="inlineStr">
        <is>
          <t>完了</t>
        </is>
      </c>
      <c r="N129" s="47" t="inlineStr">
        <is>
          <t>クリニック以外</t>
        </is>
      </c>
      <c r="O129" s="47" t="n"/>
      <c r="P129" s="47" t="n"/>
      <c r="Q129" s="47" t="n"/>
      <c r="R129" s="47" t="n"/>
    </row>
    <row r="130" ht="15" customHeight="1" s="185">
      <c r="A130" s="52">
        <f>row()-3</f>
        <v/>
      </c>
      <c r="B130" s="46" t="inlineStr">
        <is>
          <t>Indeed（インディード）運用の費用やコツ、運用代行会社の選び方を解説</t>
        </is>
      </c>
      <c r="C130" s="6" t="inlineStr">
        <is>
          <t>https://dym.asia/media/indeed_operation/</t>
        </is>
      </c>
      <c r="D130" s="47" t="inlineStr">
        <is>
          <t>dym indeed</t>
        </is>
      </c>
      <c r="E130" s="35" t="n">
        <v>4</v>
      </c>
      <c r="F130" s="36" t="n">
        <v>4.563636363636363</v>
      </c>
      <c r="G130" s="47" t="inlineStr">
        <is>
          <t>なし</t>
        </is>
      </c>
      <c r="H130" s="47" t="inlineStr">
        <is>
          <t>可</t>
        </is>
      </c>
      <c r="I130" s="47" t="inlineStr">
        <is>
          <t>Q: Indeedの「運用型広告」とは、具体的にどのような仕組みですか？
A: Indeedの運用型広告（スポンサー求人）は、クリック課金（CPC）を基本とした仕組みです。広告主が設定した予算や入札単価に基づいて求人が検索結果に表示され、求職者が求人をクリックした際に費用が発生します。運用中に、予算や入札単価、掲載内容などを柔軟に調整できるため、効果を確認しながら改善を重ねるPDCA型の採用活動が可能です。
Q: Indeedで求人を掲載する際に、無料と有料（スポンサー求人）の違いは何ですか？
A: 無料掲載は、Indeedの検索結果に自然な形で表示されますが、掲載順位や表示頻度は保証されません。一方、有料のスポンサー求人は、検索結果の目立つ位置に表示されやすくなるため、求職者の目に留まりやすく、無料掲載と比較してクリック数や応募数の増加が期待できます。そのため、より多くの応募獲得を目指す場合には、有料掲載が有効な選択肢となります。
気軽にお問い合わせください。
お問い合わせ先はこちら↓
https://dym.asia/contact/
Q: Indeedの広告運用において、重要なKPIにはどのようなものがありますか？
A: Indeedの広告運用においては、複数の指標を総合的に確認することが重要ですが、特に重要なKPIの一つとして「応募単価（CPA：Cost Per Application）」が挙げられます。応募単価は、広告費用に対して応募1件を獲得するためにかかったコストを示す指標であり、この数値を目標範囲内に抑えつつ、必要な応募数を確保できているかを確認することが、運用改善の判断材料となります。あわせて、表示回数やクリック数、応募率なども確認しながら、全体最適を図っていくことが重要です。</t>
        </is>
      </c>
      <c r="J130" s="47" t="n"/>
      <c r="K130" s="47" t="inlineStr">
        <is>
          <t>修正済</t>
        </is>
      </c>
      <c r="L130" s="47" t="inlineStr">
        <is>
          <t>未確認</t>
        </is>
      </c>
      <c r="M130" s="47" t="inlineStr">
        <is>
          <t>完了</t>
        </is>
      </c>
      <c r="N130" s="47" t="inlineStr">
        <is>
          <t>クリニック以外</t>
        </is>
      </c>
      <c r="O130" s="47" t="n"/>
      <c r="P130" s="47" t="n"/>
      <c r="Q130" s="47" t="n"/>
      <c r="R130" s="47" t="n"/>
    </row>
    <row r="131" ht="15.75" customHeight="1" s="185">
      <c r="A131" s="52">
        <f>row()-3</f>
        <v/>
      </c>
      <c r="B131" s="46" t="inlineStr">
        <is>
          <t>属人化（ぞくじんか）とは？メリットやデメリット、解消方法まで完全解説</t>
        </is>
      </c>
      <c r="C131" s="6" t="inlineStr">
        <is>
          <t>https://dym.asia/media/individual-efforts/</t>
        </is>
      </c>
      <c r="D131" s="47" t="inlineStr">
        <is>
          <t>属人化 わざと</t>
        </is>
      </c>
      <c r="E131" s="35" t="n">
        <v>4</v>
      </c>
      <c r="F131" s="36" t="n">
        <v>9.192334494773519</v>
      </c>
      <c r="G131" s="47" t="inlineStr">
        <is>
          <t>なし</t>
        </is>
      </c>
      <c r="H131" s="47" t="inlineStr">
        <is>
          <t>不可</t>
        </is>
      </c>
      <c r="I131" s="47" t="inlineStr">
        <is>
          <t>対応不要</t>
        </is>
      </c>
      <c r="J131" s="47" t="n"/>
      <c r="K131" s="47" t="inlineStr">
        <is>
          <t>対応不要</t>
        </is>
      </c>
      <c r="L131" s="47" t="inlineStr">
        <is>
          <t>対応不要</t>
        </is>
      </c>
      <c r="M131" s="47" t="inlineStr">
        <is>
          <t>対応不要</t>
        </is>
      </c>
      <c r="N131" s="47" t="inlineStr">
        <is>
          <t>クリニック以外</t>
        </is>
      </c>
      <c r="O131" s="47" t="n"/>
      <c r="P131" s="47" t="n"/>
      <c r="Q131" s="47" t="n"/>
      <c r="R131" s="47" t="n"/>
    </row>
    <row r="132" ht="15.75" customHeight="1" s="185">
      <c r="A132" s="52">
        <f>row()-3</f>
        <v/>
      </c>
      <c r="B132" s="46" t="inlineStr">
        <is>
          <t>出向とは？意味や目的、種類、メリットを徹底解説</t>
        </is>
      </c>
      <c r="C132" s="10" t="inlineStr">
        <is>
          <t>https://dym.asia/media/job-assignment-system/</t>
        </is>
      </c>
      <c r="D132" s="47" t="inlineStr">
        <is>
          <t>出向とは</t>
        </is>
      </c>
      <c r="E132" s="35" t="n">
        <v>4</v>
      </c>
      <c r="F132" s="36" t="n">
        <v>12.92234976367319</v>
      </c>
      <c r="G132" s="47" t="inlineStr">
        <is>
          <t>なし</t>
        </is>
      </c>
      <c r="H132" s="47" t="inlineStr">
        <is>
          <t>不可</t>
        </is>
      </c>
      <c r="I132" s="47" t="inlineStr">
        <is>
          <t>対応不要</t>
        </is>
      </c>
      <c r="J132" s="47" t="n"/>
      <c r="K132" s="47" t="inlineStr">
        <is>
          <t>対応不要</t>
        </is>
      </c>
      <c r="L132" s="47" t="inlineStr">
        <is>
          <t>対応不要</t>
        </is>
      </c>
      <c r="M132" s="47" t="inlineStr">
        <is>
          <t>対応不要</t>
        </is>
      </c>
      <c r="N132" s="47" t="inlineStr">
        <is>
          <t>クリニック以外</t>
        </is>
      </c>
      <c r="O132" s="47" t="n"/>
      <c r="P132" s="47" t="n"/>
      <c r="Q132" s="47" t="n"/>
      <c r="R132" s="47" t="n"/>
    </row>
    <row r="133" ht="15.75" customHeight="1" s="185">
      <c r="A133" s="52">
        <f>row()-3</f>
        <v/>
      </c>
      <c r="B133" s="46" t="inlineStr">
        <is>
          <t>ジョハリの窓とは？具体的なやり方や活用時の注意点を解説</t>
        </is>
      </c>
      <c r="C133" s="10" t="inlineStr">
        <is>
          <t>https://dym.asia/media/johari-window/</t>
        </is>
      </c>
      <c r="D133" s="47" t="inlineStr">
        <is>
          <t>ジョハリの窓 診断 ひとり</t>
        </is>
      </c>
      <c r="E133" s="35" t="n">
        <v>4</v>
      </c>
      <c r="F133" s="36" t="n">
        <v>9.65658747300216</v>
      </c>
      <c r="G133" s="47" t="inlineStr">
        <is>
          <t>なし</t>
        </is>
      </c>
      <c r="H133" s="47" t="inlineStr">
        <is>
          <t>可</t>
        </is>
      </c>
      <c r="I133" s="47" t="inlineStr">
        <is>
          <t>Q: ジョハリの窓（Johari Window）とは、具体的にどのような目的で使われるフレームワークですか？
A: ジョハリの窓とは、自己理解と他者理解を深め、円滑なコミュニケーションを促進するために使われる心理学のフレームワークです。「自分から見た自分」と「他人から見た自分」という2つの視点から自己を分析し、気づきの領域を広げることを主な目的としています。
Q: ジョハリの窓の「開放の窓」を広げることには、どのようなメリットがありますか？
A: 「開放の窓」（自分も他人も知っている自己）を広げることは、コミュニケーションを円滑にするという最大のメリットがあります。お互いの情報が共有されることで相互理解が深まり、チーム内での信頼関係が構築され、建設的なフィードバックや協調的な作業がしやすくなります。
Q: ジョハリの窓の「盲点の窓」を小さくするには、どのような行動が有効ですか？
A: 「盲点の窓」（自分は気づいていないが他人は知っている自己）を小さくするには、「他者からのフィードバックを積極的に求めること」が最も有効です。具体的には、チームメンバーや上司に対して、自分の言動や仕事ぶりについての率直な意見を求め、それを謙虚に受け入れる姿勢を持つことが重要です。</t>
        </is>
      </c>
      <c r="J133" s="47" t="n"/>
      <c r="K133" s="47" t="inlineStr">
        <is>
          <t>OK</t>
        </is>
      </c>
      <c r="L133" s="47" t="inlineStr">
        <is>
          <t>未確認</t>
        </is>
      </c>
      <c r="M133" s="47" t="inlineStr">
        <is>
          <t>完了</t>
        </is>
      </c>
      <c r="N133" s="47" t="inlineStr">
        <is>
          <t>クリニック以外</t>
        </is>
      </c>
      <c r="O133" s="47" t="n"/>
      <c r="P133" s="47" t="n"/>
      <c r="Q133" s="47" t="n"/>
      <c r="R133" s="47" t="n"/>
    </row>
    <row r="134" ht="15.75" customHeight="1" s="185">
      <c r="A134" s="52">
        <f>row()-3</f>
        <v/>
      </c>
      <c r="B134" s="46" t="inlineStr">
        <is>
          <t>求人ボックスとは？仕組みや掲載方法・料金、成功の5つのポイントや向いている企業の特徴</t>
        </is>
      </c>
      <c r="C134" s="6" t="inlineStr">
        <is>
          <t>https://dym.asia/media/kyujinbox/</t>
        </is>
      </c>
      <c r="D134" s="47" t="inlineStr">
        <is>
          <t>求人ボックス 電話番号</t>
        </is>
      </c>
      <c r="E134" s="35" t="n">
        <v>4</v>
      </c>
      <c r="F134" s="36" t="n">
        <v>7.218045112781954</v>
      </c>
      <c r="G134" s="47" t="inlineStr">
        <is>
          <t>なし</t>
        </is>
      </c>
      <c r="H134" s="47" t="inlineStr">
        <is>
          <t>可</t>
        </is>
      </c>
      <c r="I134" s="47" t="inlineStr">
        <is>
          <t>Q: 求人ボックスの掲載料金はいくらですか？
A: 求人ボックスには、無料掲載（オーガニック求人）と有料掲載（スポンサー求人）の2種類があります。無料掲載は費用がかかりませんが、有料掲載はクリック課金（CPC）が基本で、広告主が設定した予算と入札単価に基づき、求職者がクリックするたびに費用が発生します。最低出稿金額は設定されていません。DYMの詳しい内容が気になる方はお気軽にお問い合わせください。
お問い合わせ先はこちら↓
https://dym.asia/contact/
Q: 求人ボックスの「無料掲載」と「有料掲載」の違いは何ですか？
A: 無料掲載は、求人ボックス内の検索結果に自然な形で表示されますが、表示頻度や掲載順位は保証されません。一方、有料掲載（スポンサー求人）は、無料掲載よりも検索結果の目立つ位置に優先的に表示されるため、求職者の目にとまりやすく、クリック率や応募数の増加が期待できます。
Q: 求人ボックスの広告運用において、費用対効果を高めるためのポイントは何ですか？
A: 費用対効果を高めるためのポイントは、「ターゲットに合わせた適切なキーワード選定」と「求人情報の質の向上」です。求職者が検索するであろう具体的なキーワードに入札を集中させ、求人情報自体も仕事内容や給与、企業の魅力を明確に記載することで、応募につながるクリックを増やし、応募単価（CPA）を下げることが重要です。</t>
        </is>
      </c>
      <c r="J134" s="47" t="n"/>
      <c r="K134" s="47" t="inlineStr">
        <is>
          <t>修正済</t>
        </is>
      </c>
      <c r="L134" s="47" t="inlineStr">
        <is>
          <t>未確認</t>
        </is>
      </c>
      <c r="M134" s="47" t="inlineStr">
        <is>
          <t>未依頼</t>
        </is>
      </c>
      <c r="N134" s="47" t="inlineStr">
        <is>
          <t>クリニック以外</t>
        </is>
      </c>
      <c r="O134" s="47" t="n"/>
      <c r="P134" s="47" t="n"/>
      <c r="Q134" s="47" t="n"/>
      <c r="R134" s="47" t="n"/>
    </row>
    <row r="135" ht="15.75" customHeight="1" s="185">
      <c r="A135" s="52">
        <f>row()-3</f>
        <v/>
      </c>
      <c r="B135" s="46" t="inlineStr">
        <is>
          <t>LINE広告の費用はどのくらい？課金の仕組みや運用のポイントをご紹介！</t>
        </is>
      </c>
      <c r="C135" s="10" t="inlineStr">
        <is>
          <t>https://dym.asia/media/line-ad-cost/</t>
        </is>
      </c>
      <c r="D135" s="47" t="inlineStr">
        <is>
          <t>line広告 料金</t>
        </is>
      </c>
      <c r="E135" s="35" t="n">
        <v>4</v>
      </c>
      <c r="F135" s="36" t="n">
        <v>9.30461922596754</v>
      </c>
      <c r="G135" s="47" t="inlineStr">
        <is>
          <t>なし</t>
        </is>
      </c>
      <c r="H135" s="47" t="inlineStr">
        <is>
          <t>可</t>
        </is>
      </c>
      <c r="I135" s="10" t="inlineStr">
        <is>
          <t>Q: LINE広告（LINE Ads）の費用体系は、どのような仕組みですか？
A: LINE広告の費用体系は、主に運用型広告であり、オークション形式で費用が決まります。広告主が設定した入札単価と予算に基づき、主にクリック課金（CPC）、インプレッション課金（CPM）、または友だち追加課金（CPF）などの形式で費用が発生します。
Q: LINE広告は最低出稿金額がありますか？また、少額からでも運用できますか？
A: LINE広告には、最低出稿金額の定めはありません。そのため、少額の予算からでも運用を始めることが可能です。しかし、十分なデータ（インプレッションやクリック数）を蓄積し、広告効果を測定し、AIによる最適化を機能させるためには、ある程度の予算と期間を確保することが推奨されます。お気軽にお問い合わせください。
お問い合わせ先はこちら↓
https://dym.asia/contact/
Q: LINE広告の費用対効果を高めるために、最も重要なことは何ですか？
A: 最も重要なことは、「広告クリエイティブの最適化」と「適切なターゲティング」です。LINEユーザーの特性（幅広い年齢層、日常的な利用）に合わせた視認性の高い画像や動画を用意し、LINEが保有する豊富なデータを活用して、自社のサービスに興味を持つ可能性の高い明確なターゲット層に絞り込んで配信することが効果を高める鍵です。</t>
        </is>
      </c>
      <c r="J135" s="47" t="n"/>
      <c r="K135" s="47" t="inlineStr">
        <is>
          <t>OK</t>
        </is>
      </c>
      <c r="L135" s="47" t="inlineStr">
        <is>
          <t>未確認</t>
        </is>
      </c>
      <c r="M135" s="47" t="inlineStr">
        <is>
          <t>未依頼</t>
        </is>
      </c>
      <c r="N135" s="47" t="inlineStr">
        <is>
          <t>クリニック以外</t>
        </is>
      </c>
      <c r="O135" s="47" t="n"/>
      <c r="P135" s="47" t="n"/>
      <c r="Q135" s="47" t="n"/>
      <c r="R135" s="47" t="n"/>
    </row>
    <row r="136" ht="15.75" customHeight="1" s="185">
      <c r="A136" s="52">
        <f>row()-3</f>
        <v/>
      </c>
      <c r="B136" s="46" t="inlineStr">
        <is>
          <t>新卒紹介のエージェントサービスを活用するメリットとは？特徴や選び方、活用事例を紹介</t>
        </is>
      </c>
      <c r="C136" s="6" t="inlineStr">
        <is>
          <t>https://dym.asia/media/new_graduate_introduction_agent/</t>
        </is>
      </c>
      <c r="D136" s="47" t="inlineStr">
        <is>
          <t>dym 新卒紹介</t>
        </is>
      </c>
      <c r="E136" s="35" t="n">
        <v>4</v>
      </c>
      <c r="F136" s="36" t="n">
        <v>5.041666666666667</v>
      </c>
      <c r="G136" s="47" t="inlineStr">
        <is>
          <t>なし</t>
        </is>
      </c>
      <c r="H136" s="47" t="inlineStr">
        <is>
          <t>可</t>
        </is>
      </c>
      <c r="I136" s="10" t="inlineStr">
        <is>
          <t>Q: 新卒紹介エージェントとは、通常の転職エージェントと何が違うのですか？
A: 新卒紹介エージェントは、主に大学・大学院を卒業予定の学生を対象に、就職活動のサポートを行うサービスです。一方、通常の転職エージェントは、既に社会人経験がある中途採用希望者を対象としており、サービスや提供する求人の種類、求められる経験などが根本的に異なります。
Q: 新卒紹介エージェントを利用するメリットは何ですか？
A: 最大のメリットは、「効率的な就職活動ができること」と「専門的なサポートを受けられること」です。エージェントが非公開求人を含む多数の企業を紹介してくれる上、ES添削、面接対策、企業との日程調整など、内定獲得までの一連の流れを無料でサポートしてくれるため、特に忙しい学生にとって非常に有用です。
お気軽にお問い合わせください。
お問い合わせ先はこちら↓
https://dym.asia/contact/
Q: 新卒紹介エージェントに支払う費用はありますか？
A: 学生（求職者）が新卒紹介エージェントを利用する場合、費用は一切かかりません。エージェントの運営費用は、学生の入社が決定した際に企業側が支払う成功報酬で賄われています。そのため、学生は費用を気にせず、最大限のサポートを受けることができます。</t>
        </is>
      </c>
      <c r="J136" s="47" t="n"/>
      <c r="K136" s="47" t="inlineStr">
        <is>
          <t>OK</t>
        </is>
      </c>
      <c r="L136" s="47" t="inlineStr">
        <is>
          <t>未確認</t>
        </is>
      </c>
      <c r="M136" s="47" t="inlineStr">
        <is>
          <t>未依頼</t>
        </is>
      </c>
      <c r="N136" s="47" t="inlineStr">
        <is>
          <t>クリニック以外</t>
        </is>
      </c>
      <c r="O136" s="47" t="n"/>
      <c r="P136" s="47" t="n"/>
      <c r="Q136" s="47" t="n"/>
      <c r="R136" s="47" t="n"/>
    </row>
    <row r="137" ht="15.75" customHeight="1" s="185">
      <c r="A137" s="52">
        <f>row()-3</f>
        <v/>
      </c>
      <c r="B137" s="46" t="inlineStr">
        <is>
          <t>ポータルサイトとは？種類、ビジネスモデル、活用するメリットを詳しく解説</t>
        </is>
      </c>
      <c r="C137" s="6" t="inlineStr">
        <is>
          <t>https://dym.asia/media/portal-site/</t>
        </is>
      </c>
      <c r="D137" s="47" t="inlineStr">
        <is>
          <t>ポータルサイト プラットフォーム 違い</t>
        </is>
      </c>
      <c r="E137" s="35" t="n">
        <v>4</v>
      </c>
      <c r="F137" s="36" t="n">
        <v>1.326086956521739</v>
      </c>
      <c r="G137" s="47" t="inlineStr">
        <is>
          <t>なし</t>
        </is>
      </c>
      <c r="H137" s="47" t="inlineStr">
        <is>
          <t>可</t>
        </is>
      </c>
      <c r="I137" s="47" t="inlineStr">
        <is>
          <t>Q: ポータルサイト（Portal Site）とは、具体的にどのような種類がありますか？
A: ポータルサイトには、大きく分けて「総合型」と「特化型」の2種類があります。総合型は、GoogleやYahoo! JAPANのように、ニュース、検索、天気など幅広い情報や機能を提供するタイプです。特化型は、特定の分野（例：不動産、グルメ、求人など）に絞り込んだ情報やサービスを提供するタイプです。
Q: ポータルサイトの最大のメリットは何ですか？
A: ポータルサイトの最大のメリットは、「集客力と安定したトラフィック（訪問者数）」です。多様なコンテンツやサービスを一箇所に集約することで、ユーザーの日常的な訪問習慣を確立しやすく、継続的なアクセスを見込むことができます。これにより、広告や掲載料などによる安定した収益化につながります。
Q: ポータルサイトの収益源として、どのようなものがありますか？
A: 主な収益源としては、広告収入（バナー広告、運用型広告など）、情報掲載料（店舗や企業からの月額掲載費）、アフィリエイト報酬（商品・サービス紹介）、そして有料会員サービス（限定コンテンツや機能の提供）などがあり、複数の収益モデルを組み合わせていることが一般的です。</t>
        </is>
      </c>
      <c r="J137" s="47" t="n"/>
      <c r="K137" s="47" t="inlineStr">
        <is>
          <t>OK</t>
        </is>
      </c>
      <c r="L137" s="47" t="inlineStr">
        <is>
          <t>未確認</t>
        </is>
      </c>
      <c r="M137" s="47" t="inlineStr">
        <is>
          <t>未依頼</t>
        </is>
      </c>
      <c r="N137" s="47" t="inlineStr">
        <is>
          <t>クリニック以外</t>
        </is>
      </c>
      <c r="O137" s="47" t="n"/>
      <c r="P137" s="47" t="n"/>
      <c r="Q137" s="47" t="n"/>
      <c r="R137" s="47" t="n"/>
    </row>
    <row r="138" ht="15.75" customHeight="1" s="185">
      <c r="A138" s="52">
        <f>row()-3</f>
        <v/>
      </c>
      <c r="B138" s="46" t="inlineStr">
        <is>
          <t>ROASとは？意味や計算式・広告の費用対効果を高める方法を解説</t>
        </is>
      </c>
      <c r="C138" s="6" t="inlineStr">
        <is>
          <t>https://dym.asia/media/roas/</t>
        </is>
      </c>
      <c r="D138" s="47" t="inlineStr">
        <is>
          <t>roas 目安</t>
        </is>
      </c>
      <c r="E138" s="35" t="n">
        <v>4</v>
      </c>
      <c r="F138" s="36" t="n">
        <v>6.016317016317016</v>
      </c>
      <c r="G138" s="47" t="inlineStr">
        <is>
          <t>なし</t>
        </is>
      </c>
      <c r="H138" s="47" t="inlineStr">
        <is>
          <t>可</t>
        </is>
      </c>
      <c r="I138" s="10" t="inlineStr">
        <is>
          <t>Q: ROAS（ロアス：Return On Advertising Spend）とは、具体的にどのような指標ですか？
A: ROASとは、「広告費用に対して、どれだけの売上（リターン）があったか」を示す指標です。計算式は、売上 ÷広告費用 × 100 (%)で表され、数値が高いほど、投じた広告費に対して効率よく売上が上がっていることを意味します。
Q: ROASの目標値は、どのように設定すれば良いですか？
A: ROASの目標値を設定する際は、まず「損益分岐点となるROAS（費用を回収できる最低限のROAS）」を把握することが重要です。一般的に、利益を出すためにはROASが100%を上回る必要がありますが、業界や利益率によって適切な目標値は大きく異なります。目標利益率を考慮して設定すべきです。
Q: ROASを改善するために、具体的にどのような対策が有効ですか？
A: ROASを改善するためには、広告費用を下げるか、売上を上げるかの2つの方向性で対策を行います。具体的には、ターゲットの絞り込みや入札単価の調整で無駄なクリックを減らす（費用削減）こと、そして広告クリエイティブやランディングページを改善してコンバージョン率を高める（売上増加）ことが有効です。
お気軽にお問い合わせください。
お問い合わせ先はこちら↓
https://dym.asia/contact/</t>
        </is>
      </c>
      <c r="J138" s="47" t="n"/>
      <c r="K138" s="47" t="inlineStr">
        <is>
          <t>OK</t>
        </is>
      </c>
      <c r="L138" s="47" t="inlineStr">
        <is>
          <t>未確認</t>
        </is>
      </c>
      <c r="M138" s="47" t="inlineStr">
        <is>
          <t>未依頼</t>
        </is>
      </c>
      <c r="N138" s="47" t="inlineStr">
        <is>
          <t>クリニック以外</t>
        </is>
      </c>
      <c r="O138" s="47" t="n"/>
      <c r="P138" s="47" t="n"/>
      <c r="Q138" s="47" t="n"/>
      <c r="R138" s="47" t="n"/>
    </row>
    <row r="139" ht="15.75" customHeight="1" s="185">
      <c r="A139" s="52">
        <f>row()-3</f>
        <v/>
      </c>
      <c r="B139" s="46" t="inlineStr">
        <is>
          <t>社会人研修とは？研修の基本とおすすめのプログラムについてご紹介</t>
        </is>
      </c>
      <c r="C139" s="10" t="inlineStr">
        <is>
          <t>https://dym.asia/media/society-training/</t>
        </is>
      </c>
      <c r="D139" s="47" t="inlineStr">
        <is>
          <t>社会人 受けたい研修</t>
        </is>
      </c>
      <c r="E139" s="35" t="n">
        <v>4</v>
      </c>
      <c r="F139" s="36" t="n">
        <v>8.040590405904059</v>
      </c>
      <c r="G139" s="47" t="inlineStr">
        <is>
          <t>なし</t>
        </is>
      </c>
      <c r="H139" s="47" t="inlineStr">
        <is>
          <t>可</t>
        </is>
      </c>
      <c r="I139" s="47" t="inlineStr">
        <is>
          <t>Q: 中途社員研修は、新入社員研修と何が違うのですか？
A: 新入社員研修が社会人としての基礎やビジネスマナーなど「土台作り」に重点を置くのに対し、中途社員研修は、既に社会人経験があることを前提に、「企業の理念・文化の理解と浸透」、「即戦力化に向けた専門知識の補完」、そして「既存社員との円滑な連携」の促進に重点が置かれます。
Q: 中途社員研修で最も重視すべき内容はどのようなものですか？
A: 最も重視すべきは、「企業理念・ビジョン、行動規範の共有」です。経験豊富な中途社員は、前職のやり方に固執しやすいため、新しい職場の価値観やルールを理解してもらうことが、組織への早期定着に不可欠です。また、部署間の連携や利用システムなど、すぐに業務に必要な情報の提供も重要です。
Q: 中途社員研修を成功させるために、配属部署はどのような役割を担うべきですか？
A: 配属部署は、研修後のOJT（オン・ザ・ジョブ・トレーニング）において重要な役割を担います。具体的には、メンター（指導役）を選任し、定期的な面談を通じて業務のフォローアップだけでなく、心理的なサポートを行うことが求められます。研修で学んだ知識を実務で活かせるよう、具体的なフィードバックと適切な業務アサインを行うことが成功の鍵となります。</t>
        </is>
      </c>
      <c r="J139" s="47" t="n"/>
      <c r="K139" s="47" t="inlineStr">
        <is>
          <t>修正済</t>
        </is>
      </c>
      <c r="L139" s="47" t="inlineStr">
        <is>
          <t>未確認</t>
        </is>
      </c>
      <c r="M139" s="47" t="inlineStr">
        <is>
          <t>未依頼</t>
        </is>
      </c>
      <c r="N139" s="47" t="inlineStr">
        <is>
          <t>クリニック以外</t>
        </is>
      </c>
      <c r="O139" s="47" t="n"/>
      <c r="P139" s="47" t="n"/>
      <c r="Q139" s="47" t="n"/>
      <c r="R139" s="47" t="n"/>
    </row>
    <row r="140" ht="15.75" customHeight="1" s="185">
      <c r="A140" s="52">
        <f>row()-3</f>
        <v/>
      </c>
      <c r="B140" s="46" t="inlineStr">
        <is>
          <t>ロングテールキーワードとは？SEOを意識した選び方と記事の効果的な活用法</t>
        </is>
      </c>
      <c r="C140" s="6" t="inlineStr">
        <is>
          <t>https://dym.asia/media/tail-word/</t>
        </is>
      </c>
      <c r="D140" s="47" t="inlineStr">
        <is>
          <t>ロングテールキーワード</t>
        </is>
      </c>
      <c r="E140" s="35" t="n">
        <v>4</v>
      </c>
      <c r="F140" s="36" t="n">
        <v>14.21790890269151</v>
      </c>
      <c r="G140" s="47" t="inlineStr">
        <is>
          <t>なし</t>
        </is>
      </c>
      <c r="H140" s="47" t="inlineStr">
        <is>
          <t>可</t>
        </is>
      </c>
      <c r="I140" s="10" t="inlineStr">
        <is>
          <t>Q: SEOにおけるテールワード（Tail Word）とは、具体的にどのようなキーワードを指しますか？
A: テールワードとは、検索ボリュームが少ないものの、ユーザーの検索意図が具体的で明確な複合キーワードを指します。「ロングテールキーワード」とも呼ばれます。例えば、「SEO 対策」ではなく、「SEO 対策 ブログ 初心者 やり方」といった具体的なフレーズが該当します。
Q: テールワードを狙う最大のメリットは何ですか？
A: 最大のメリットは、「競合性が低く、上位表示しやすい」ことです。ビッグキーワード（単一のキーワード）は競争が激しいですが、テールワードは競合が少ないため、少ない労力で検索結果の上位を獲得しやすく、その結果、コンバージョン（成約）につながりやすい質の高いアクセスを集められることです。
Q: テールワードを効率的に探すための具体的な方法は何ですか？
A: 効率的な探し方としては、まずビッグキーワードで検索を行い、検索結果ページに表示される「関連性の高い検索（関連キーワード）」や「他の人はこちらも質問（PAA）」の項目を確認します。また、Googleサジェスト（検索窓に入力した際に出てくる候補）や、キーワードリサーチツールを活用して、複合的なキーワードの候補を洗い出す方法が有効です。気になる方はお気軽にお問い合わせください。
お問い合わせ先はこちら↓
https://dym.asia/contact/</t>
        </is>
      </c>
      <c r="J140" s="47" t="n"/>
      <c r="K140" s="47" t="inlineStr">
        <is>
          <t>修正済</t>
        </is>
      </c>
      <c r="L140" s="47" t="inlineStr">
        <is>
          <t>未確認</t>
        </is>
      </c>
      <c r="M140" s="47" t="inlineStr">
        <is>
          <t>未依頼</t>
        </is>
      </c>
      <c r="N140" s="47" t="inlineStr">
        <is>
          <t>クリニック以外</t>
        </is>
      </c>
      <c r="O140" s="47" t="n"/>
      <c r="P140" s="47" t="n"/>
      <c r="Q140" s="47" t="n"/>
      <c r="R140" s="47" t="n"/>
    </row>
    <row r="141" ht="15.75" customHeight="1" s="185">
      <c r="A141" s="52">
        <f>row()-3</f>
        <v/>
      </c>
      <c r="B141" s="46" t="inlineStr">
        <is>
          <t>タレントサブスクとは？メリット・デメリット、費用相場を解説</t>
        </is>
      </c>
      <c r="C141" s="10" t="inlineStr">
        <is>
          <t>https://dym.asia/media/talent-subscription/</t>
        </is>
      </c>
      <c r="D141" s="47" t="inlineStr">
        <is>
          <t>タレントサブスク デメリット</t>
        </is>
      </c>
      <c r="E141" s="35" t="n">
        <v>4</v>
      </c>
      <c r="F141" s="36" t="n">
        <v>1.693877551020408</v>
      </c>
      <c r="G141" s="47" t="inlineStr">
        <is>
          <t>なし</t>
        </is>
      </c>
      <c r="H141" s="47" t="inlineStr">
        <is>
          <t>可</t>
        </is>
      </c>
      <c r="I141" s="47" t="inlineStr">
        <is>
          <t>Q: タレントサブスクリプションとは、具体的にどのようなサービスを指しますか？
A: タレントサブスクリプションとは、企業が専門的なスキルや高い能力を持つ人材を、月額制や定額制で必要な期間だけ利用できるサービス形態を指します。企業の正社員として雇用するのではなく、外部のプロフェッショナルを必要な時に業務委託契約などで活用するモデルです。
Q: タレントサブスクリプションを導入する最大のメリットは何ですか？
A: 最大のメリットは、「必要な専門スキルを迅速かつ柔軟に調達できること」と「固定費（人件費）を変動費化できること」です。新規事業立ち上げや一時的なプロジェクトなど、社内にノウハウやリソースがない場合に、即戦力となる外部のプロを必要な期間だけ活用できるため、効率的な事業運営が可能です。
Q: タレントサブスクリプションの利用が特に向いている企業や職種はありますか？
A: 新規事業開発、マーケティング、DX推進、人事戦略など、高度な専門知識や最新のノウハウが短期間で必要とされる職種やプロジェクトに特に向いています。また、中小企業やベンチャー企業など、専門人材の採用コストやリスクを抑えたい企業にも非常に有効な手段です。</t>
        </is>
      </c>
      <c r="J141" s="47" t="n"/>
      <c r="K141" s="47" t="inlineStr">
        <is>
          <t>OK</t>
        </is>
      </c>
      <c r="L141" s="47" t="inlineStr">
        <is>
          <t>未確認</t>
        </is>
      </c>
      <c r="M141" s="47" t="inlineStr">
        <is>
          <t>未依頼</t>
        </is>
      </c>
      <c r="N141" s="47" t="inlineStr">
        <is>
          <t>クリニック以外</t>
        </is>
      </c>
      <c r="O141" s="47" t="n"/>
      <c r="P141" s="47" t="n"/>
      <c r="Q141" s="47" t="n"/>
      <c r="R141" s="47" t="n"/>
    </row>
    <row r="142" ht="15.75" customHeight="1" s="185">
      <c r="A142" s="52">
        <f>row()-3</f>
        <v/>
      </c>
      <c r="B142" s="46" t="inlineStr">
        <is>
          <t>TikTok広告のターゲティング種類と仕組み一覧｜運用のポイントも解説</t>
        </is>
      </c>
      <c r="C142" s="6" t="inlineStr">
        <is>
          <t>https://dym.asia/media/tiktok-ad-target/</t>
        </is>
      </c>
      <c r="D142" s="47" t="inlineStr">
        <is>
          <t>tiktok リタゲ</t>
        </is>
      </c>
      <c r="E142" s="35" t="n">
        <v>4</v>
      </c>
      <c r="F142" s="36" t="n">
        <v>3.03448275862069</v>
      </c>
      <c r="G142" s="47" t="inlineStr">
        <is>
          <t>なし</t>
        </is>
      </c>
      <c r="H142" s="47" t="inlineStr">
        <is>
          <t>可</t>
        </is>
      </c>
      <c r="I142" s="10" t="inlineStr">
        <is>
          <t>Q: TikTok広告のターゲット設定は、他のSNS広告と何が違うのですか？
A: TikTokは、特に若年層（Z世代）のユーザーが多く、他のSNSよりも年齢や興味・関心だけでなく、ユーザーの「動画視聴履歴」や「いいねの履歴」に基づいた行動ターゲティングが強力に機能します。これにより、単なる属性ではなく、トレンドに対する関心度に基づいた、より精度の高いターゲティングが可能です。
Q: TikTok広告において、クリエイティブ（動画）を制作する際の重要なポイントは何ですか？
A: 最も重要なポイントは、「最初の数秒でユーザーの注意を引くこと」と「TikTokのトレンドに合わせた自然な動画にすること」です。広告だと感じさせない縦型フルスクリーンで、テンポが速く、音楽やテキストを効果的に使用した動画が効果的です。プロモーション色が強すぎる動画はスキップされやすい傾向があります。
Q: TikTok広告の費用体系は、どのような仕組みですか？
A: TikTok広告の費用体系は、主に運用型広告であり、オークション形式で費用が決まります。広告主が設定した予算に基づき、インプレッション課金（CPM）や動画視聴課金（CPV）、クリック課金（CPC）、コンバージョン課金（oCPM）などの形式で費用が発生します。少額からでも出稿可能で、自動入札などの機能で効率的な運用が可能です。DYMの詳しい内容が気になる方はお気軽にお問い合わせください。
お問い合わせ先はこちら↓
https://dym.asia/contact/</t>
        </is>
      </c>
      <c r="J142" s="47" t="n"/>
      <c r="K142" s="47" t="inlineStr">
        <is>
          <t>OK</t>
        </is>
      </c>
      <c r="L142" s="47" t="inlineStr">
        <is>
          <t>未確認</t>
        </is>
      </c>
      <c r="M142" s="47" t="inlineStr">
        <is>
          <t>未依頼</t>
        </is>
      </c>
      <c r="N142" s="47" t="inlineStr">
        <is>
          <t>クリニック以外</t>
        </is>
      </c>
      <c r="O142" s="47" t="n"/>
      <c r="P142" s="47" t="n"/>
      <c r="Q142" s="47" t="n"/>
      <c r="R142" s="47" t="n"/>
    </row>
    <row r="143" ht="15.75" customHeight="1" s="185">
      <c r="A143" s="52">
        <f>row()-3</f>
        <v/>
      </c>
      <c r="B143" s="46" t="inlineStr">
        <is>
          <t>ホームページのバナー画像のサイズ、種類、作り方</t>
        </is>
      </c>
      <c r="C143" s="6" t="inlineStr">
        <is>
          <t>https://dym.asia/media/banner-size/</t>
        </is>
      </c>
      <c r="D143" s="47" t="inlineStr">
        <is>
          <t>hp バナーサイズ</t>
        </is>
      </c>
      <c r="E143" s="35" t="n">
        <v>3</v>
      </c>
      <c r="F143" s="36" t="n">
        <v>8.813953488372093</v>
      </c>
      <c r="G143" s="47" t="inlineStr">
        <is>
          <t>なし</t>
        </is>
      </c>
      <c r="H143" s="47" t="inlineStr">
        <is>
          <t>可</t>
        </is>
      </c>
      <c r="I143" s="47" t="inlineStr">
        <is>
          <t>Q: Web広告のバナーサイズは、媒体によって共通ですか？
A: いいえ、バナーサイズは媒体や広告配信ネットワーク（例：Google AdSense、Yahoo!広告）によって異なります。各プラットフォームが推奨または指定するサイズがあり、特にレスポンシブ広告では、様々なデバイスや広告枠に合わせて自動的にサイズ調整される仕組みが採用されています。
Q: バナー広告のサイズを選ぶ際に、最も重視すべきポイントは何ですか？
A: 最も重視すべきポイントは、「ターゲット層が最も多く利用するデバイスと広告枠に最適なサイズを選ぶこと」です。一般的に、Webサイトの閲覧ではPCとモバイルのどちらで多くのトラフィックがあるかを確認し、特に視認性が高く、クリック率（CTR）が良いとされるレクタングル（300×250）やビッグバナー（728×90）などの主要なサイズを優先して制作することが推奨されます。
Q: バナーサイズが大きいほど、広告効果も高くなりますか？
A: サイズが大きいバナーは、視認性が高くなるため、インプレッション（表示回数）やクリック数が増える傾向はあります。しかし、単にサイズが大きければ良いわけではなく、Webサイトのレイアウトを邪魔しないことや、クリエイティブ（デザイン）の質が重要です。ユーザー体験を損なうほど大きいバナーは、逆効果になることもあります。</t>
        </is>
      </c>
      <c r="J143" s="47" t="n"/>
      <c r="K143" s="47" t="inlineStr">
        <is>
          <t>OK</t>
        </is>
      </c>
      <c r="L143" s="47" t="inlineStr">
        <is>
          <t>未確認</t>
        </is>
      </c>
      <c r="M143" s="47" t="inlineStr">
        <is>
          <t>未依頼</t>
        </is>
      </c>
      <c r="N143" s="47" t="inlineStr">
        <is>
          <t>クリニック以外</t>
        </is>
      </c>
      <c r="O143" s="47" t="n"/>
      <c r="P143" s="47" t="n"/>
      <c r="Q143" s="47" t="n"/>
      <c r="R143" s="47" t="n"/>
    </row>
    <row r="144" ht="15.75" customHeight="1" s="185">
      <c r="A144" s="52">
        <f>row()-3</f>
        <v/>
      </c>
      <c r="B144" s="46" t="inlineStr">
        <is>
          <t>モチベーションの本質と効果的な向上策：学生と人事担当者のための完全ガイド</t>
        </is>
      </c>
      <c r="C144" s="10" t="inlineStr">
        <is>
          <t>https://dym.asia/media/business-motivation/</t>
        </is>
      </c>
      <c r="D144" s="47" t="inlineStr">
        <is>
          <t>モチベーション</t>
        </is>
      </c>
      <c r="E144" s="35" t="n">
        <v>3</v>
      </c>
      <c r="F144" s="36" t="n">
        <v>7.323255187281056</v>
      </c>
      <c r="G144" s="47" t="inlineStr">
        <is>
          <t>なし</t>
        </is>
      </c>
      <c r="H144" s="47" t="inlineStr">
        <is>
          <t>可</t>
        </is>
      </c>
      <c r="I144" s="47" t="inlineStr">
        <is>
          <t>Q: ビジネスにおけるモチベーション（動機付け）とは、具体的にどのような種類がありますか？
A: モチベーションには、主に「内発的動機付け」と「外発的動機付け」の2種類があります。内発的動機付けは、「仕事そのものが楽しい」「達成感がある」など、個人の内側から湧き出る意欲です。一方、外発的動機付けは、報酬、昇進、評価など、外部からの刺激や報酬によって引き出される意欲を指します。
Q: 従業員の内発的動機付けを高めるために、企業はどのような工夫をすべきですか？
A: 内発的動機付けを高めるためには、「仕事の意義や目的を共有すること」と「裁量権を与えること」が重要です。具体的には、仕事が社会や組織にどう貢献しているかを伝え、従業員が自らの意思で仕事を進められるよう、適切な権限と責任を与えることで、主体性とやりがいを引き出すことができます。
Q: モチベーションが低下している社員に対して、マネージャーはどのように接するべきですか？
A: マネージャーは、まず「傾聴と共感」を徹底し、低下している原因を理解することが重要です。その上で、目標の再設定（スモールステップ化）、適切なフィードバックによる成長実感の提供、そして「期待している」というメッセージを伝えることで、自己効力感を回復させるためのサポートを行うべきです。</t>
        </is>
      </c>
      <c r="J144" s="47" t="n"/>
      <c r="K144" s="47" t="inlineStr">
        <is>
          <t>OK</t>
        </is>
      </c>
      <c r="L144" s="47" t="inlineStr">
        <is>
          <t>未確認</t>
        </is>
      </c>
      <c r="M144" s="47" t="inlineStr">
        <is>
          <t>未依頼</t>
        </is>
      </c>
      <c r="N144" s="47" t="inlineStr">
        <is>
          <t>クリニック以外</t>
        </is>
      </c>
      <c r="O144" s="47" t="n"/>
      <c r="P144" s="47" t="n"/>
      <c r="Q144" s="47" t="n"/>
      <c r="R144" s="47" t="n"/>
    </row>
    <row r="145" ht="15.75" customHeight="1" s="185">
      <c r="A145" s="52">
        <f>row()-3</f>
        <v/>
      </c>
      <c r="B145" s="46" t="inlineStr">
        <is>
          <t>事業再生とは？概要や手法、企業再生との違いや成功のポイントを解説</t>
        </is>
      </c>
      <c r="C145" s="10" t="inlineStr">
        <is>
          <t>https://dym.asia/media/business_revitalization/</t>
        </is>
      </c>
      <c r="D145" s="47" t="inlineStr">
        <is>
          <t>事業再生</t>
        </is>
      </c>
      <c r="E145" s="35" t="n">
        <v>3</v>
      </c>
      <c r="F145" s="36" t="n">
        <v>12.35473251028807</v>
      </c>
      <c r="G145" s="47" t="inlineStr">
        <is>
          <t>なし</t>
        </is>
      </c>
      <c r="H145" s="47" t="inlineStr">
        <is>
          <t>可</t>
        </is>
      </c>
      <c r="I145" s="47" t="inlineStr">
        <is>
          <t>Q: 企業再生（Business Revitalization）と倒産は、何が違うのですか？
A: 企業再生は、財務的・事業的に困難な状況にある企業を、事業を継続しながら経営改善や債務整理を通じて再建し、存続させることを目的とします。一方、倒産は、事業の継続が困難となり、法的な手続き（破産手続きや清算手続きなど）を経て、企業の運営が終了または停止することを指します。再生は企業の存続を目指し、倒産は事業継続が困難な状況を意味します。
Q: 企業再生を行う主なメリットは何ですか？
A: 主なメリットは、「事業の継続による雇用維持と取引先との関係維持」、そして「企業価値の最大化」です。倒産による全てを失うリスクを避け、不採算事業の切り離しや業務効率化を通じて、健全な企業として再生し、将来的な成長の機会を再度得ることができます。
Q: 企業再生における私的整理と法的整理の違いは何ですか？
A: 私的整理は、裁判所などの公的機関を介さず、債権者（主に金融機関）との当事者間の合意に基づいて債務整理や再建計画を進める方法です。迅速かつ秘密裏に進められるメリットがあります。一方、法的整理は、裁判所の手続き（民事再生法、会社更生法など）に基づいて進められ、強制力を持って債権者全体の同意を得て、債務を整理する点で異なります。</t>
        </is>
      </c>
      <c r="J145" s="47" t="n"/>
      <c r="K145" s="47" t="inlineStr">
        <is>
          <t>修正済</t>
        </is>
      </c>
      <c r="L145" s="47" t="inlineStr">
        <is>
          <t>未確認</t>
        </is>
      </c>
      <c r="M145" s="47" t="inlineStr">
        <is>
          <t>未依頼</t>
        </is>
      </c>
      <c r="N145" s="47" t="inlineStr">
        <is>
          <t>クリニック以外</t>
        </is>
      </c>
      <c r="O145" s="47" t="n"/>
      <c r="P145" s="47" t="n"/>
      <c r="Q145" s="47" t="n"/>
      <c r="R145" s="47" t="n"/>
    </row>
    <row r="146" ht="15.75" customHeight="1" s="185">
      <c r="A146" s="52">
        <f>row()-3</f>
        <v/>
      </c>
      <c r="B146" s="46" t="inlineStr">
        <is>
          <t>コンタクトセンター・コールセンター用語集｜運営中に使用されている用語とは</t>
        </is>
      </c>
      <c r="C146" s="6" t="inlineStr">
        <is>
          <t>https://dym.asia/media/callcenter-term/</t>
        </is>
      </c>
      <c r="D146" s="47" t="inlineStr">
        <is>
          <t>アフターコールとは</t>
        </is>
      </c>
      <c r="E146" s="35" t="n">
        <v>3</v>
      </c>
      <c r="F146" s="36" t="n">
        <v>2.081081081081081</v>
      </c>
      <c r="G146" s="47" t="inlineStr">
        <is>
          <t>なし</t>
        </is>
      </c>
      <c r="H146" s="47" t="inlineStr">
        <is>
          <t>不可</t>
        </is>
      </c>
      <c r="I146" s="47" t="inlineStr">
        <is>
          <t>対応不要</t>
        </is>
      </c>
      <c r="J146" s="47" t="n"/>
      <c r="K146" s="47" t="inlineStr">
        <is>
          <t>対応不要</t>
        </is>
      </c>
      <c r="L146" s="47" t="inlineStr">
        <is>
          <t>対応不要</t>
        </is>
      </c>
      <c r="M146" s="47" t="inlineStr">
        <is>
          <t>対応不要</t>
        </is>
      </c>
      <c r="N146" s="47" t="inlineStr">
        <is>
          <t>クリニック以外</t>
        </is>
      </c>
      <c r="O146" s="47" t="n"/>
      <c r="P146" s="47" t="n"/>
      <c r="Q146" s="47" t="n"/>
      <c r="R146" s="47" t="n"/>
    </row>
    <row r="147" ht="15.75" customHeight="1" s="185">
      <c r="A147" s="52">
        <f>row()-3</f>
        <v/>
      </c>
      <c r="B147" s="46" t="inlineStr">
        <is>
          <t>クリティカルシンキングとは｜意味・メリット・鍛え方</t>
        </is>
      </c>
      <c r="C147" s="10" t="inlineStr">
        <is>
          <t>https://dym.asia/media/critical-thinking/</t>
        </is>
      </c>
      <c r="D147" s="47" t="inlineStr">
        <is>
          <t>クリティカルシンキング</t>
        </is>
      </c>
      <c r="E147" s="35" t="n">
        <v>3</v>
      </c>
      <c r="F147" s="36" t="n">
        <v>11.45746887966805</v>
      </c>
      <c r="G147" s="47" t="inlineStr">
        <is>
          <t>なし</t>
        </is>
      </c>
      <c r="H147" s="47" t="inlineStr">
        <is>
          <t>可</t>
        </is>
      </c>
      <c r="I147" s="47" t="inlineStr">
        <is>
          <t>Q: クリティカルシンキング（批判的思考）とは、単に批判することと同じですか？
A: いいえ、異なります。クリティカルシンキングは、「物事を鵜呑みにせず、立ち止まって多角的に考え、その情報や考えが本当に正しいのかを論理的・客観的に吟味する思考プロセス」を指します。単なる否定や批判ではなく、根拠と論理に基づいて検証する建設的な姿勢です。
Q: クリティカルシンキングをビジネスで活用する最大のメリットは何ですか？
A: 最大のメリットは、「問題の本質を見抜き、より質の高い意思決定を下せること」です。前提や仮説の誤りに気づくことができるため、失敗のリスクを減らし、新しい解決策やイノベーションを生み出す機会が増えます。これにより、業務の効率と成果が向上します。
Q: クリティカルシンキングを日常的に習慣化するには、どのような方法がありますか？
A: 習慣化には、「なぜ？」と「本当にそうか？」を常に自問自答することが有効です。例えば、ニュースや他人の意見を聞いた際に、「その根拠は何か？」や「別の見方はないか？」と考える習慣をつけましょう。また、自分の思考の偏り（バイアス）を意識的にチェックすることも重要です。</t>
        </is>
      </c>
      <c r="J147" s="47" t="n"/>
      <c r="K147" s="47" t="inlineStr">
        <is>
          <t>OK</t>
        </is>
      </c>
      <c r="L147" s="47" t="inlineStr">
        <is>
          <t>未確認</t>
        </is>
      </c>
      <c r="M147" s="47" t="inlineStr">
        <is>
          <t>未依頼</t>
        </is>
      </c>
      <c r="N147" s="47" t="inlineStr">
        <is>
          <t>クリニック以外</t>
        </is>
      </c>
      <c r="O147" s="47" t="n"/>
      <c r="P147" s="47" t="n"/>
      <c r="Q147" s="47" t="n"/>
      <c r="R147" s="47" t="n"/>
    </row>
    <row r="148" ht="15.75" customHeight="1" s="185">
      <c r="A148" s="52">
        <f>row()-3</f>
        <v/>
      </c>
      <c r="B148" s="46" t="inlineStr">
        <is>
          <t>DMCAとは？デジタルミレニアム著作権法の申請方法や意味を解説</t>
        </is>
      </c>
      <c r="C148" s="10" t="inlineStr">
        <is>
          <t>https://dym.asia/media/dmca/</t>
        </is>
      </c>
      <c r="D148" s="47" t="inlineStr">
        <is>
          <t>dmca</t>
        </is>
      </c>
      <c r="E148" s="35" t="n">
        <v>3</v>
      </c>
      <c r="F148" s="36" t="n">
        <v>2.240480961923848</v>
      </c>
      <c r="G148" s="47" t="inlineStr">
        <is>
          <t>なし</t>
        </is>
      </c>
      <c r="H148" s="47" t="inlineStr">
        <is>
          <t>可</t>
        </is>
      </c>
      <c r="I148" s="47" t="inlineStr">
        <is>
          <t>Q: DMCA（Digital Millennium Copyright Act）とは、具体的にどのような法律ですか？
A: DMCAは、アメリカ合衆国の著作権法の一部であり、特にデジタルコンテンツやインターネット上での著作権侵害に対処するために制定されました。インターネットサービスプロバイダ（ISP）などが、著作権侵害の通知を受けた際に、侵害コンテンツを迅速に削除する手続き（ノーティス・アンド・テイクダウン）などが規定されています。
Q: DMCAにおける「ノーティス・アンド・テイクダウン（Notice and Takedown）」とは、どのような仕組みですか？
A: 「ノーティス・アンド・テイクダウン」とは、著作権者が著作権侵害を発見した場合に、サービスプロバイダ（例：検索エンジンやホスティング業者）に削除を求める通知（ノーティス）を送ると、プロバイダは迅速にそのコンテンツを削除（テイクダウン）しなければならないという仕組みです。これにより、著作権侵害の拡大を防ぐことができます。
Q: 自分のWebサイトのコンテンツが盗用された場合、DMCAを活用できますか？
A: はい、活用できます。盗用されたコンテンツがアメリカのサーバーにあるか、Googleなどのアメリカ企業が提供するサービス上で公開されている場合、著作権者はDMCAに基づく削除通知（Takedown notice）を該当のサービスプロバイダに送ることで、コンテンツの削除を求めることができます。</t>
        </is>
      </c>
      <c r="J148" s="47" t="n"/>
      <c r="K148" s="47" t="inlineStr">
        <is>
          <t>OK</t>
        </is>
      </c>
      <c r="L148" s="47" t="inlineStr">
        <is>
          <t>未確認</t>
        </is>
      </c>
      <c r="M148" s="47" t="inlineStr">
        <is>
          <t>未依頼</t>
        </is>
      </c>
      <c r="N148" s="47" t="inlineStr">
        <is>
          <t>クリニック以外</t>
        </is>
      </c>
      <c r="O148" s="47" t="n"/>
      <c r="P148" s="47" t="n"/>
      <c r="Q148" s="47" t="n"/>
      <c r="R148" s="47" t="n"/>
    </row>
    <row r="149" ht="15.75" customHeight="1" s="185">
      <c r="A149" s="52">
        <f>row()-3</f>
        <v/>
      </c>
      <c r="B149" s="46" t="inlineStr">
        <is>
          <t>フィードバックとは？効果や適切なやり方をわかりやすく解説</t>
        </is>
      </c>
      <c r="C149" s="6" t="inlineStr">
        <is>
          <t>https://dym.asia/media/feed-back/</t>
        </is>
      </c>
      <c r="D149" s="47" t="inlineStr">
        <is>
          <t>フィードバックとは</t>
        </is>
      </c>
      <c r="E149" s="35" t="n">
        <v>3</v>
      </c>
      <c r="F149" s="36" t="n">
        <v>1.598738361894481</v>
      </c>
      <c r="G149" s="47" t="inlineStr">
        <is>
          <t>なし</t>
        </is>
      </c>
      <c r="H149" s="47" t="inlineStr">
        <is>
          <t>可</t>
        </is>
      </c>
      <c r="I149" s="47" t="inlineStr">
        <is>
          <t>Q: ビジネスにおけるフィードバック（Feedback）とは、具体的にどのような目的で行われるのですか？
A: フィードバックは、相手の行動や結果に対して、評価や改善点、期待などを具体的に伝えることで、行動の是正や成長を促進することを目的として行われます。単なる評価ではなく、「望ましい行動」を明確にし、目標達成に向けた軌道修正を促すための重要なコミュニケーションです。
Q: 効果的なフィードバックを行うための重要なポイントは何ですか？
A: 最も重要なポイントは、「具体的かつ客観的な事実に基づいて伝えること」です。「いつも」や「だいたい」といった曖昧な表現ではなく、「いつ、どのような行動」が「どのような結果」につながったかを明確に伝えましょう。また、改善可能な点に焦点を当て、相手の成長を支援するという姿勢で行うことが重要です。
Q: 建設的なフィードバックを受け取る側が注意すべきことは何ですか？
A: 受け取る側が注意すべきことは、「感情的にならず、まず相手の意見を全て聞くこと」です。フィードバックは、自分では気づかない成長の機会であり、批判として捉えるのではなく、「改善のための情報」として受け止めましょう。その上で、疑問点があれば質問し、内容を正確に理解することが大切です。</t>
        </is>
      </c>
      <c r="J149" s="47" t="n"/>
      <c r="K149" s="47" t="inlineStr">
        <is>
          <t>OK</t>
        </is>
      </c>
      <c r="L149" s="47" t="inlineStr">
        <is>
          <t>未確認</t>
        </is>
      </c>
      <c r="M149" s="47" t="inlineStr">
        <is>
          <t>未依頼</t>
        </is>
      </c>
      <c r="N149" s="47" t="inlineStr">
        <is>
          <t>クリニック以外</t>
        </is>
      </c>
      <c r="O149" s="47" t="n"/>
      <c r="P149" s="47" t="n"/>
      <c r="Q149" s="47" t="n"/>
      <c r="R149" s="47" t="n"/>
    </row>
    <row r="150" ht="15.75" customHeight="1" s="185">
      <c r="A150" s="52">
        <f>row()-3</f>
        <v/>
      </c>
      <c r="B150" s="46" t="inlineStr">
        <is>
          <t>一般派遣と特定派遣の違いとは？特徴や労働者派遣法改正・廃止と現状について</t>
        </is>
      </c>
      <c r="C150" s="6" t="inlineStr">
        <is>
          <t>https://dym.asia/media/general_dispatch/</t>
        </is>
      </c>
      <c r="D150" s="47" t="inlineStr">
        <is>
          <t>一般派遣</t>
        </is>
      </c>
      <c r="E150" s="35" t="n">
        <v>3</v>
      </c>
      <c r="F150" s="36" t="n">
        <v>6.988255033557047</v>
      </c>
      <c r="G150" s="47" t="inlineStr">
        <is>
          <t>なし</t>
        </is>
      </c>
      <c r="H150" s="47" t="inlineStr">
        <is>
          <t>可</t>
        </is>
      </c>
      <c r="I150" s="47" t="inlineStr">
        <is>
          <t>Q: 一般派遣と特定派遣は、法的に何が違うのですか？
A: 一般派遣は、派遣会社が派遣先企業の依頼に応じて、登録しているスタッフと派遣契約を結び、派遣する形態です。派遣スタッフは、派遣期間中に派遣先企業で働きます。一方、特定派遣は、派遣会社が派遣スタッフを常時雇用し、派遣先企業に派遣する形態でしたが、2015年の労働者派遣法改正により特定派遣は廃止され、現在は「常用型派遣」という名称で、一般派遣の一種として扱われるようになっています。
Q: 一般派遣で働く最大のメリットは何ですか？
A: 最大のメリットは、「多様な働き方と仕事を選べる自由度が高いこと」です。自分のライフスタイルやスキルに合わせて、勤務地、勤務時間、職種、期間などを自由に選ぶことができます。また、さまざまな企業や業界で働く経験を通じて、キャリアの幅を広げることが可能です。
Q: 一般派遣で長期の仕事に就くことは可能ですか？
A: はい、可能です。ただし、同一の事業所・組織単位で派遣社員を受け入れられる期間には制限（原則3年）があります（「3年ルール」）。この制限があるため、派遣元の無期雇用（常用型派遣）に切り替わるか、派遣先企業の直接雇用（正社員・契約社員）になるか、または別の部署や別の企業に異動することで、長期的に働くことができます。</t>
        </is>
      </c>
      <c r="J150" s="47" t="n"/>
      <c r="K150" s="47" t="inlineStr">
        <is>
          <t>修正済</t>
        </is>
      </c>
      <c r="L150" s="47" t="inlineStr">
        <is>
          <t>未確認</t>
        </is>
      </c>
      <c r="M150" s="47" t="inlineStr">
        <is>
          <t>未依頼</t>
        </is>
      </c>
      <c r="N150" s="47" t="inlineStr">
        <is>
          <t>クリニック以外</t>
        </is>
      </c>
      <c r="O150" s="47" t="n"/>
      <c r="P150" s="47" t="n"/>
      <c r="Q150" s="47" t="n"/>
      <c r="R150" s="47" t="n"/>
    </row>
    <row r="151" ht="15.75" customHeight="1" s="185">
      <c r="A151" s="52">
        <f>row()-3</f>
        <v/>
      </c>
      <c r="B151" s="46" t="inlineStr">
        <is>
          <t>ヘッドハンティングとは？引き抜きとの違い、会社に採用する流れ</t>
        </is>
      </c>
      <c r="C151" s="10" t="inlineStr">
        <is>
          <t>https://dym.asia/media/head-hunting/</t>
        </is>
      </c>
      <c r="D151" s="47" t="inlineStr">
        <is>
          <t>hrプロビジョン株式会社 引き抜き</t>
        </is>
      </c>
      <c r="E151" s="35" t="n">
        <v>3</v>
      </c>
      <c r="F151" s="36" t="n">
        <v>7.575757575757576</v>
      </c>
      <c r="G151" s="47" t="inlineStr">
        <is>
          <t>なし</t>
        </is>
      </c>
      <c r="H151" s="47" t="inlineStr">
        <is>
          <t>可</t>
        </is>
      </c>
      <c r="I151" s="47" t="inlineStr">
        <is>
          <t>Q: ヘッドハンティング（Head Hunting）と人材紹介は、具体的に何が違うのですか？
A: 人材紹介は、主に転職市場にいる「転職希望者」をデータベースから紹介する、待機型のサービスです。一方、ヘッドハンティングは、転職意欲の有無にかかわらず、特定の分野で高い専門性を持つ「優秀な人材」を見つけ出し、直接アプローチして誘引する積極的なサービスです。このような人材は、採用の難易度が高く、ポジションの重要性が特に高い場合が多いです。
Q: ヘッドハンティングで企業が人材をスカウトする主な理由は何ですか？
A: 主な理由は、「欠員ポジションへの迅速な補充」よりも、「事業戦略上、どうしても必要な特定のスキルやネットワークを持つ人材を獲得すること」です。特に、新規事業の立ち上げや経営幹部の登用、または市場に少ないニッチな専門知識を持つ人材を確保するために活用されます。
Q: ヘッドハンティングされた人材は、必ず転職しなければならないのでしょうか？
A: いいえ、必ずしも転職する必要はありません。ヘッドハンティングは、あくまで「キャリアの選択肢の一つ」を提示されたに過ぎません。提示された内容やポジションに興味がない場合は、丁重に断ることができます。ヘッドハンターは、その後のキャリアに関してもアドバイスをくれることが多いです。</t>
        </is>
      </c>
      <c r="J151" s="47" t="n"/>
      <c r="K151" s="47" t="inlineStr">
        <is>
          <t>修正済</t>
        </is>
      </c>
      <c r="L151" s="47" t="inlineStr">
        <is>
          <t>未確認</t>
        </is>
      </c>
      <c r="M151" s="47" t="inlineStr">
        <is>
          <t>未依頼</t>
        </is>
      </c>
      <c r="N151" s="47" t="inlineStr">
        <is>
          <t>クリニック以外</t>
        </is>
      </c>
      <c r="O151" s="47" t="n"/>
      <c r="P151" s="47" t="n"/>
      <c r="Q151" s="47" t="n"/>
      <c r="R151" s="47" t="n"/>
    </row>
    <row r="152" ht="15.75" customHeight="1" s="185">
      <c r="A152" s="52">
        <f>row()-3</f>
        <v/>
      </c>
      <c r="B152" s="46" t="inlineStr">
        <is>
          <t>ホテルバイトがきついと言われる理由や仕事内容・メリットを解説</t>
        </is>
      </c>
      <c r="C152" s="6" t="inlineStr">
        <is>
          <t>https://dym.asia/media/hotel-parttime-job/</t>
        </is>
      </c>
      <c r="D152" s="47" t="inlineStr">
        <is>
          <t>ホテルバイト きつい</t>
        </is>
      </c>
      <c r="E152" s="35" t="n">
        <v>3</v>
      </c>
      <c r="F152" s="36" t="n">
        <v>9.663636363636364</v>
      </c>
      <c r="G152" s="47" t="inlineStr">
        <is>
          <t>なし</t>
        </is>
      </c>
      <c r="H152" s="47" t="inlineStr">
        <is>
          <t>可</t>
        </is>
      </c>
      <c r="I152" s="47" t="inlineStr">
        <is>
          <t>Q: ホテルでのアルバイトは、どのような職種がありますか？
A: ホテルでのアルバイトには、主にフロント（受付、チェックイン・アウト対応）、ベルスタッフ（荷物運び、客室案内）、ハウスキーピング（客室清掃・ベッドメイク）、レストラン・宴会サービス（配膳、接客）、洗い場など、多岐にわたる職種があります。大規模なホテルほど、職種が細かく分かれていることが一般的です。
Q: ホテルアルバイトは、未経験でも働くことは可能ですか？
A: はい、未経験でも働くことは可能です。特にハウスキーピングや洗い場は、特別なスキルがなくても始めやすく、マニュアルに従って作業を進めることができるため、未経験者でも応募しやすい職種です。また、フロントやサービス部門でも、丁寧な研修が用意されていることが多く、接客に意欲がある方は歓迎されることが多いです。
Q: ホテルアルバイトの経験は、将来の就職活動にどのように役立ちますか？
A: ホテルアルバイトの経験では、「質の高い接客スキル」、「臨機応変な対応力（クレーム対応を含む）」、そして「チームで協力して働く協調性」を身につけることができます。これらのスキルは、航空業界、サービス業、営業職、秘書など、高いホスピタリティやコミュニケーション能力が求められる職種への就職活動で非常に高く評価されます。</t>
        </is>
      </c>
      <c r="J152" s="47" t="n"/>
      <c r="K152" s="47" t="inlineStr">
        <is>
          <t>修正済</t>
        </is>
      </c>
      <c r="L152" s="47" t="inlineStr">
        <is>
          <t>未確認</t>
        </is>
      </c>
      <c r="M152" s="47" t="inlineStr">
        <is>
          <t>未依頼</t>
        </is>
      </c>
      <c r="N152" s="47" t="inlineStr">
        <is>
          <t>クリニック以外</t>
        </is>
      </c>
      <c r="O152" s="47" t="n"/>
      <c r="P152" s="47" t="n"/>
      <c r="Q152" s="47" t="n"/>
      <c r="R152" s="47" t="n"/>
    </row>
    <row r="153" ht="15.75" customHeight="1" s="185">
      <c r="A153" s="52">
        <f>row()-3</f>
        <v/>
      </c>
      <c r="B153" s="46" t="inlineStr">
        <is>
          <t>店舗物件の探し方！理想のテナントを探すコツを解説</t>
        </is>
      </c>
      <c r="C153" s="10" t="inlineStr">
        <is>
          <t>https://dym.asia/media/how-to-search-property/</t>
        </is>
      </c>
      <c r="D153" s="47" t="inlineStr">
        <is>
          <t>テナント探し コツ</t>
        </is>
      </c>
      <c r="E153" s="35" t="n">
        <v>3</v>
      </c>
      <c r="F153" s="36" t="n">
        <v>4.712962962962963</v>
      </c>
      <c r="G153" s="47" t="inlineStr">
        <is>
          <t>なし</t>
        </is>
      </c>
      <c r="H153" s="47" t="inlineStr">
        <is>
          <t>可</t>
        </is>
      </c>
      <c r="I153" s="47" t="inlineStr">
        <is>
          <t>Q: 不動産物件をインターネットで探す際、最初に何から始めるべきですか？
A: 最初に、「目的と条件の明確化」から始めましょう。具体的には、「賃貸か購入か」「住居か投資か」といった目的を決め、その上で「エリア」「間取り」「予算の上限」「入居希望時期」など、絶対に譲れない条件と妥協できる条件を整理することが、効率的な検索の第一歩となります。
Q: 不動産情報サイトで物件情報を見る際、特に注意すべきポイントは何ですか？
A: 特に注意すべきポイントは、「情報の鮮度」と「写真以外の情報」です。人気物件はすぐに決まるため、情報の公開日を確認しましょう。また、写真や間取り図だけでなく、「物件概要の詳細（築年数、構造、設備）」や、「取引態様（仲介か売主/貸主直々か）」、そして「周辺環境（騒音、日当たりなど）」に関する記載を隅々までチェックすることが重要です。
Q: 気になる物件を見つけたら、すぐに不動産会社に連絡すべきですか？
A: はい、人気物件や急いでいる場合は、すぐ連絡すべきです。ただし、連絡する前に、自分の希望条件と内見したい日時を具体的にまとめておきましょう。物件の有無だけでなく、その物件が自分の条件に本当に合っているか、他に同条件の優良物件がないかなども含めて相談できるように準備しておくと、その後の手続きがスムーズに進みます。</t>
        </is>
      </c>
      <c r="J153" s="47" t="n"/>
      <c r="K153" s="47" t="inlineStr">
        <is>
          <t>OK</t>
        </is>
      </c>
      <c r="L153" s="47" t="inlineStr">
        <is>
          <t>未確認</t>
        </is>
      </c>
      <c r="M153" s="47" t="inlineStr">
        <is>
          <t>未依頼</t>
        </is>
      </c>
      <c r="N153" s="47" t="inlineStr">
        <is>
          <t>クリニック以外</t>
        </is>
      </c>
      <c r="O153" s="47" t="n"/>
      <c r="P153" s="47" t="n"/>
      <c r="Q153" s="47" t="n"/>
      <c r="R153" s="47" t="n"/>
    </row>
    <row r="154" ht="15.75" customHeight="1" s="185">
      <c r="A154" s="52">
        <f>row()-3</f>
        <v/>
      </c>
      <c r="B154" s="46" t="inlineStr">
        <is>
          <t>テナント（店舗物件）の探し方を完全解説！探し方のコツや注意点</t>
        </is>
      </c>
      <c r="C154" s="10" t="inlineStr">
        <is>
          <t>https://dym.asia/media/how-to-search-tenant/</t>
        </is>
      </c>
      <c r="D154" s="47" t="inlineStr">
        <is>
          <t>テナント</t>
        </is>
      </c>
      <c r="E154" s="35" t="n">
        <v>3</v>
      </c>
      <c r="F154" s="36" t="n">
        <v>16.63646504709966</v>
      </c>
      <c r="G154" s="47" t="inlineStr">
        <is>
          <t>なし</t>
        </is>
      </c>
      <c r="H154" s="47" t="inlineStr">
        <is>
          <t>可</t>
        </is>
      </c>
      <c r="I154" s="47" t="inlineStr">
        <is>
          <t>Q: 賃貸物件の入居者を探す際、最初に何から始めるべきですか？
A: 最初に、「賃貸条件と募集価格の明確化」から始めましょう。周辺の類似物件の相場を調査し、家賃、敷金・礼金、共益費、契約期間、ペット可否など、具体的な募集条件を決定します。これらの条件が魅力的で相場に合っていることが、入居者を早期に見つけるための第一歩です。
Q: 入居者募集で、不動産仲介会社に依頼するメリットは何ですか？
A: 最大のメリットは、「広範なネットワークによる効率的な集客」です。仲介会社は、専門的な知識を持って賃貸条件を市場に合わせて調整してくれるほか、不動産情報ネットワーク（レインズなど）を活用して、多くの潜在的な入居希望者に物件情報を届けることができます。これにより、空室期間の短縮が期待できます。
Q: 入居希望者の審査では、どのような点を特に重視すべきですか？
A: 最も重視すべきは、「安定した支払い能力」と「円滑な共同生活を送れるか」です。具体的には、収入証明や勤務先の情報を通じて支払い能力を確認し、保証会社を利用する場合はその審査結果を重視します。また、連帯保証人の有無や、面談を通して人柄や生活態度に問題がないかを慎重に見極めることも重要です。</t>
        </is>
      </c>
      <c r="J154" s="47" t="n"/>
      <c r="K154" s="47" t="inlineStr">
        <is>
          <t>OK</t>
        </is>
      </c>
      <c r="L154" s="47" t="inlineStr">
        <is>
          <t>未確認</t>
        </is>
      </c>
      <c r="M154" s="47" t="inlineStr">
        <is>
          <t>未依頼</t>
        </is>
      </c>
      <c r="N154" s="47" t="inlineStr">
        <is>
          <t>クリニック以外</t>
        </is>
      </c>
      <c r="O154" s="47" t="n"/>
      <c r="P154" s="47" t="n"/>
      <c r="Q154" s="47" t="n"/>
      <c r="R154" s="47" t="n"/>
    </row>
    <row r="155" ht="15.75" customHeight="1" s="185">
      <c r="A155" s="52">
        <f>row()-3</f>
        <v/>
      </c>
      <c r="B155" s="46" t="inlineStr">
        <is>
          <t>IT顧問サービスとは？依頼のメリットや料金</t>
        </is>
      </c>
      <c r="C155" s="6" t="inlineStr">
        <is>
          <t>https://dym.asia/media/it-advisor/</t>
        </is>
      </c>
      <c r="D155" s="47" t="inlineStr">
        <is>
          <t>it顧問</t>
        </is>
      </c>
      <c r="E155" s="35" t="n">
        <v>3</v>
      </c>
      <c r="F155" s="36" t="n">
        <v>5.051792828685259</v>
      </c>
      <c r="G155" s="47" t="inlineStr">
        <is>
          <t>なし</t>
        </is>
      </c>
      <c r="H155" s="47" t="inlineStr">
        <is>
          <t>可</t>
        </is>
      </c>
      <c r="I155" s="47" t="inlineStr">
        <is>
          <t>Q. IT顧問とITコンサルタントは何が違いますか？
A. IT顧問とITコンサルタントは、関わり方や目的が異なります。ITコンサルタントは、特定のプロジェクトや課題に対し、期間を定めて解決策を提供する専門家です。一方、IT顧問は、より長期的な視点で企業の経営層に寄り添い、「伴走者」としてIT戦略立案から導入、運用、セキュリティ、DX推進までを包括的に継続的にサポートします。企業に深く入り込み、社内IT人材育成やITリテラシー向上にも貢献する点が大きな違いです。
Q. IT顧問を導入することで、具体的にどのようなメリットがありますか？
A. IT顧問の導入により、主に以下のメリットが得られます。
1. 経営戦略に基づいた最適なIT戦略の立案・実行：客観的な視点から、企業の状況に合った中長期的なIT投資計画を策定し、実行までをサポートしてくれます。
2. 情報セキュリティ体制の強化：最新の脅威動向を踏まえたセキュリティポリシーの策定や対策を実施し、情報漏洩リスクを低減できます。
3. DX（デジタルトランスフォーメーション）の推進：IT技術を活用した業務プロセスの改善や新しいビジネスモデルへの変革を加速させ、企業の競争力向上に貢献できます。
4. 社内のITリテラシー向上と人材育成：社内IT担当者への技術的な指導や相談対応を通じて、組織全体のITレベルを引き上げられます。
Q. 中小企業ですが、IT顧問は必要でしょうか？
A. はい、中小企業こそIT顧問の必要性が高いと言えます。中小企業では、専任のIT担当者がいない、あるいはいても本業と兼任しているケースが多く、最新のIT動向への対応や、全社的なIT戦略の立案が難しい傾向にあります。IT顧問は、限られたリソースの中で「今、何にIT投資すべきか」を経営目線で判断し、コストパフォーマンスの高いシステム導入や、日常的なITトラブルへの対応、セキュリティ対策などを外部の専門知識で補うことができます。これにより、社員は安心してコア業務に集中でき、結果的に生産性向上につながります。</t>
        </is>
      </c>
      <c r="J155" s="47" t="n"/>
      <c r="K155" s="47" t="inlineStr">
        <is>
          <t>OK</t>
        </is>
      </c>
      <c r="L155" s="47" t="inlineStr">
        <is>
          <t>未確認</t>
        </is>
      </c>
      <c r="M155" s="47" t="inlineStr">
        <is>
          <t>未依頼</t>
        </is>
      </c>
      <c r="N155" s="47" t="inlineStr">
        <is>
          <t>クリニック以外</t>
        </is>
      </c>
      <c r="O155" s="47" t="n"/>
      <c r="P155" s="47" t="n"/>
      <c r="Q155" s="47" t="n"/>
      <c r="R155" s="47" t="n"/>
    </row>
    <row r="156" ht="15.75" customHeight="1" s="185">
      <c r="A156" s="52">
        <f>row()-3</f>
        <v/>
      </c>
      <c r="B156" s="46" t="inlineStr">
        <is>
          <t>求人ボックスの掲載料金は？無料・有料の違い</t>
        </is>
      </c>
      <c r="C156" s="6" t="inlineStr">
        <is>
          <t>https://dym.asia/media/kyujinbox-cost/</t>
        </is>
      </c>
      <c r="D156" s="47" t="inlineStr">
        <is>
          <t>求人ボックス 無料 有料 違い</t>
        </is>
      </c>
      <c r="E156" s="35" t="n">
        <v>3</v>
      </c>
      <c r="F156" s="36" t="n">
        <v>7.4</v>
      </c>
      <c r="G156" s="47" t="inlineStr">
        <is>
          <t>なし</t>
        </is>
      </c>
      <c r="H156" s="47" t="inlineStr">
        <is>
          <t>可</t>
        </is>
      </c>
      <c r="I156" s="10" t="inlineStr">
        <is>
          <t>Q. 求人ボックスの有料プラン（クリック課金）の費用はどのように決まりますか？
A. 求人ボックスの有料プランは、クリック課金（CPC）方式を採用しており、費用は以下の要素で決まります。1. クリック単価（入札単価）：1クリックあたりいくら支払うかを企業側が設定します。競合の入札状況や求人内容によって、効果的な単価は変動します。2. クリック数：求人がユーザーにクリックされた回数に応じて費用が発生します。表示されただけでは費用はかかりません。3. 予算設定：日別または月別の予算上限を設定でき、その予算内で運用されます。これにより、意図しない高額な出費を防ぐことができます。ぜひお問い合わせください。
お問い合わせ先はこちら↓
https://dym.asia/contact/
Q. 求人ボックスの無料掲載と有料掲載（クリック課金）の違いは何ですか？
A. 主な違いは、求人の露出度（表示順位）と費用です。無料掲載は費用は一切かかりません。掲載順位は基本的に新着順や関連性に基づいて表示されるため、時間の経過とともに埋もれやすい傾向があります。有料掲載とはクリックごとに費用が発生しますが、入札単価に応じて無料掲載よりも上位に表示されやすくなります。これにより、より多くの求職者の目に留まり、クリック率や応募率を高める効果が期待できます。特に競合が多い職種や地域で有効です。
Q. クリック課金で設定する「入札単価」はどのように決めれば良いですか？
A. 入札単価は、採用したいターゲットの職種や地域における競合状況と企業の予算を考慮して決定します。まず高すぎる単価はクリックは増えますが、予算を早く使い切ってしまうリスクがあります。一方、低すぎる単価では求人が表示されにくくなり、クリック数も応募数も増えません。まずは推奨単価を参考に設定し、運用開始後はインプレッション数（表示回数）やクリック率、応募率といったデータを確認しながら、週に1回程度の頻度で単価を調整していくのが最も効果的です。</t>
        </is>
      </c>
      <c r="J156" s="47" t="n"/>
      <c r="K156" s="47" t="inlineStr">
        <is>
          <t>OK</t>
        </is>
      </c>
      <c r="L156" s="47" t="inlineStr">
        <is>
          <t>未確認</t>
        </is>
      </c>
      <c r="M156" s="47" t="inlineStr">
        <is>
          <t>未依頼</t>
        </is>
      </c>
      <c r="N156" s="47" t="inlineStr">
        <is>
          <t>クリニック以外</t>
        </is>
      </c>
      <c r="O156" s="47" t="n"/>
      <c r="P156" s="47" t="n"/>
      <c r="Q156" s="47" t="n"/>
      <c r="R156" s="47" t="n"/>
    </row>
    <row r="157" ht="15.75" customHeight="1" s="185">
      <c r="A157" s="52">
        <f>row()-3</f>
        <v/>
      </c>
      <c r="B157" s="46" t="inlineStr">
        <is>
          <t>LGBTとは？意味やQとの関係をわかりやすく解説</t>
        </is>
      </c>
      <c r="C157" s="6" t="inlineStr">
        <is>
          <t>https://dym.asia/media/lgbt/</t>
        </is>
      </c>
      <c r="D157" s="47" t="inlineStr">
        <is>
          <t>lgbtqのq</t>
        </is>
      </c>
      <c r="E157" s="35" t="n">
        <v>3</v>
      </c>
      <c r="F157" s="36" t="n">
        <v>5.765569757954855</v>
      </c>
      <c r="G157" s="47" t="inlineStr">
        <is>
          <t>なし</t>
        </is>
      </c>
      <c r="H157" s="47" t="inlineStr">
        <is>
          <t>可</t>
        </is>
      </c>
      <c r="I157" s="47" t="inlineStr">
        <is>
          <t>Q. 職場におけるLGBTQ+への配慮が、企業にもたらす具体的なメリットは何ですか？
A. 職場でのLGBTQ+への配慮は、企業の競争力向上に直結する複数のメリットをもたらします。
1. 人材確保と定着率の向上：誰もが働きやすい環境は、優秀な人材（当事者・非当事者問わず）の採用につながり、離職率の低下にも貢献します。
2. 生産性の向上：社員が自分らしくいられることで、エンゲージメントが高まり、モチベーションや創造性が向上します。
3. 企業イメージ・ブランド価値の向上：多様性を尊重する姿勢は、社会からの信頼を得て、消費者や投資家からの評価が高まります（ESG投資の観点）。
4. リスク低減：差別やハラスメントを未然に防ぎ、訴訟や企業イメージ悪化のリスクを軽減します。
Q. カミングアウトを受けたら、職場の上司や人事はまずどう対応すべきですか？
A. カミングアウトを受けた際は、まずプライバシー保護と守秘義務の徹底が最優先です。1. 感謝と受容の姿勢を示す：「話してくれてありがとう」と伝え、話を真摯に聞きます。2. アウティングの禁止を約束する：本人の許可なく他の社員や関係者に伝えることは、絶対にしてはいけない行為（アウティング）であることを明確に伝えます。3. 必要な配慮を確認する：本人が職場で「どのような配慮（例：通称使用、制服、健康診断など）を望んでいるか」を具体的にヒアリングし、対応可能な範囲を検討します。対応は、決して一人で判断せず、人事部門や相談窓口と連携して慎重に進めることが重要です。
Q. 職場環境を整備するために、すぐに取り組める具体的な施策は何がありますか？
A. 大規模な改修が難しくても、すぐに始められる施策は多くあります。1. 「SOGIハラ」に関する研修の実施：性的指向・性自認に基づくハラスメント（SOGIハラ）が何であるか、全社員に周知徹底します。2. 就業規則の改訂：「性別・性的指向・性自認による差別やハラスメントの禁止」を明記します。3. 通称名（ニックネーム）の使用を認める：本人希望により、社内システムや名札などで戸籍名ではなく通称名の使用を認めます。4. 相談窓口の明確化：専門性を持った相談窓口を設け、誰でも安心して相談できる体制を整備します。</t>
        </is>
      </c>
      <c r="J157" s="47" t="n"/>
      <c r="K157" s="47" t="inlineStr">
        <is>
          <t>OK</t>
        </is>
      </c>
      <c r="L157" s="47" t="inlineStr">
        <is>
          <t>未確認</t>
        </is>
      </c>
      <c r="M157" s="47" t="inlineStr">
        <is>
          <t>未依頼</t>
        </is>
      </c>
      <c r="N157" s="47" t="inlineStr">
        <is>
          <t>クリニック以外</t>
        </is>
      </c>
      <c r="O157" s="47" t="n"/>
      <c r="P157" s="47" t="n"/>
      <c r="Q157" s="47" t="n"/>
      <c r="R157" s="47" t="n"/>
    </row>
    <row r="158" ht="15.75" customHeight="1" s="185">
      <c r="A158" s="52">
        <f>row()-3</f>
        <v/>
      </c>
      <c r="B158" s="46" t="inlineStr">
        <is>
          <t>オフィス移転のスケジュールと流れ｜成功させるポイントとは</t>
        </is>
      </c>
      <c r="C158" s="6" t="inlineStr">
        <is>
          <t>https://dym.asia/media/office-relocation-schedule/</t>
        </is>
      </c>
      <c r="D158" s="47" t="inlineStr">
        <is>
          <t>オフィス移転 進め方</t>
        </is>
      </c>
      <c r="E158" s="35" t="n">
        <v>3</v>
      </c>
      <c r="F158" s="36" t="n">
        <v>14.4125</v>
      </c>
      <c r="G158" s="47" t="inlineStr">
        <is>
          <t>なし</t>
        </is>
      </c>
      <c r="H158" s="47" t="inlineStr">
        <is>
          <t>可</t>
        </is>
      </c>
      <c r="I158" s="47" t="inlineStr">
        <is>
          <t>Q. オフィス移転にはどれくらいの期間が必要ですか？
A. 一般的なオフィス移転にかかる期間は6ヶ月〜1年程度とされています。小規模な移転や条件が整っている場合は3ヶ月程度で完了することもありますが、物件探しや内装工事、現オフィスの原状回復工事などの期間を考慮すると、余裕をもって遅くとも移転希望日の6ヶ月前にはスケジュールを組み始めることをおすすめします。特に人気エリアの物件を探す場合や大規模な移転の場合は、1年前から準備を始めると安心です。
Q. オフィス移転で物件探しに費やす期間はどれくらいが目安ですか？また、物件探しで失敗しないためのポイントはありますか？
A. 物件探しには、一般的に3ヶ月〜6ヶ月程度の期間を目安として確保しましょう。希望条件の明確化、内見、交渉、契約というステップを踏むため、焦らずじっくりと行うことが重要です。失敗しないためのポイントは、「立地の利便性」「コスト（賃料以外に共益費や敷金なども）」「将来的な社員数の増加に対応できる広さ」の3点を総合的に評価することです。特に、社員の通勤負担や業務効率、企業イメージに直結するため、安易に決定しないように注意が必要です。
Q. オフィス移転のスケジュールに遅れが生じそうな場合、どのような対処法がありますか？
A. スケジュールに遅れが生じそうな場合は、まず「物件契約」「内装工事」「引越し作業」のうち、どの工程がボトルネックになっているかを特定することが重要です。特に工期が必要な内装工事や、希望の物件がなかなか見つからない物件探しで遅延しがちです。遅れが判明した時点で、プロジェクトチーム内で情報を共有し、関係業者（内装業者、引越し業者、現オフィスのオーナーなど）にすぐに相談して、スケジュール調整の可否を確認しましょう。また、引越し業者には、予備日を設定してもらうなど、柔軟に対応できる体制を組んでおくことも有効です。</t>
        </is>
      </c>
      <c r="J158" s="47" t="n"/>
      <c r="K158" s="47" t="inlineStr">
        <is>
          <t>OK</t>
        </is>
      </c>
      <c r="L158" s="47" t="inlineStr">
        <is>
          <t>未確認</t>
        </is>
      </c>
      <c r="M158" s="47" t="inlineStr">
        <is>
          <t>未依頼</t>
        </is>
      </c>
      <c r="N158" s="47" t="inlineStr">
        <is>
          <t>クリニック以外</t>
        </is>
      </c>
      <c r="O158" s="47" t="n"/>
      <c r="P158" s="47" t="n"/>
      <c r="Q158" s="47" t="n"/>
      <c r="R158" s="47" t="n"/>
    </row>
    <row r="159" ht="15.75" customHeight="1" s="185">
      <c r="A159" s="52">
        <f>row()-3</f>
        <v/>
      </c>
      <c r="B159" s="46" t="inlineStr">
        <is>
          <t>パラダイムシフトとは？意味や使い方を分かりやすく解説</t>
        </is>
      </c>
      <c r="C159" s="10" t="inlineStr">
        <is>
          <t>https://dym.asia/media/paradim-shift/</t>
        </is>
      </c>
      <c r="D159" s="47" t="inlineStr">
        <is>
          <t>パラダイムシフト</t>
        </is>
      </c>
      <c r="E159" s="35" t="n">
        <v>3</v>
      </c>
      <c r="F159" s="36" t="n">
        <v>2.634027259781651</v>
      </c>
      <c r="G159" s="47" t="inlineStr">
        <is>
          <t>なし</t>
        </is>
      </c>
      <c r="H159" s="47" t="inlineStr">
        <is>
          <t>可</t>
        </is>
      </c>
      <c r="I159" s="47" t="inlineStr">
        <is>
          <t>Q. 「パラダイム」と「パラダイムシフト」は具体的に何が違うのですか？
A. 「パラダイム」とは、ある時代や分野において当たり前とされている考え方や規範、認識の枠組みそのものを指します。一方、「パラダイムシフト」とは、その「パラダイム」が根底から劇的に変化することを指します。例えば、紙の地図を使うことがパラダイムだった時代から、GPSやスマホの地図アプリを使うことが主流になるという変化がパラダイムシフトです。パラダイムは「状態」であり、パラダイムシフトは「変化」であると理解すると分かりやすいです。
Q. 企業がパラダイムシフトの波を乗りこなし、生き残るために具体的に何をすべきですか？
A. 企業が取るべき対策は主に3つあります。1つ目は、既存のビジネスモデルや成功体験に固執せず、外部環境の変化を常に監視し、柔軟に受け入れる「アンラーニング（学習棄却）」の姿勢を持つことです。2つ目は、新しい技術やイノベーションを積極的に取り入れ、実験的な取り組みを行うことです。3つ目は、社内の多様な人材から新しい視点やアイデアを引き出し、変化に対応できる組織文化を構築することです。特に、失敗を恐れない挑戦を許容する風土が重要になります。
Q. 「パラダイムシフト」という言葉は、元々どのような分野で使われていた言葉ですか？
A. 「パラダイムシフト」という概念は、アメリカの科学哲学者であるトーマス・クーンが、1962年に著した『科学革命の構造』の中で提唱したのが起源です。元々は「科学史」の分野で使われ、それまでの科学界で常識とされていた理論やモデル（パラダイム）が、新しい発見によって根本的に覆される現象を説明するために導入されました。その後、ビジネスや社会一般の変化を表す言葉として広く使われるようになりました。</t>
        </is>
      </c>
      <c r="J159" s="47" t="n"/>
      <c r="K159" s="47" t="inlineStr">
        <is>
          <t>OK</t>
        </is>
      </c>
      <c r="L159" s="47" t="inlineStr">
        <is>
          <t>未確認</t>
        </is>
      </c>
      <c r="M159" s="47" t="inlineStr">
        <is>
          <t>未依頼</t>
        </is>
      </c>
      <c r="N159" s="47" t="inlineStr">
        <is>
          <t>クリニック以外</t>
        </is>
      </c>
      <c r="O159" s="47" t="n"/>
      <c r="P159" s="47" t="n"/>
      <c r="Q159" s="47" t="n"/>
      <c r="R159" s="47" t="n"/>
    </row>
    <row r="160" ht="15.75" customHeight="1" s="185">
      <c r="A160" s="52">
        <f>row()-3</f>
        <v/>
      </c>
      <c r="B160" s="46" t="inlineStr">
        <is>
          <t>パラメータとは？意味やWeb業界での使われ方・設定例を解説</t>
        </is>
      </c>
      <c r="C160" s="6" t="inlineStr">
        <is>
          <t>https://dym.asia/media/parameter/</t>
        </is>
      </c>
      <c r="D160" s="47" t="inlineStr">
        <is>
          <t>パラメータとは プログラミング</t>
        </is>
      </c>
      <c r="E160" s="35" t="n">
        <v>3</v>
      </c>
      <c r="F160" s="36" t="n">
        <v>9.752808988764045</v>
      </c>
      <c r="G160" s="47" t="inlineStr">
        <is>
          <t>なし</t>
        </is>
      </c>
      <c r="H160" s="47" t="inlineStr">
        <is>
          <t>可</t>
        </is>
      </c>
      <c r="I160" s="47" t="inlineStr">
        <is>
          <t>Q. プログラミングにおけるパラメーターと「引数（ひきすう）」はどのように違うのですか？
A. プログラミングにおいて、この2つの用語は混同されがちですが、厳密には使い分けられます。パラメーター（仮引数）は、関数やメソッドを定義する際に、その処理で受け取る値を格納するために使われる「変数」のことを指します。一方、引数（実引数）は、関数やメソッドを実際に呼び出す際に、そのパラメーターに代入して渡される「具体的な値」のことを指します。簡単に言えば、「受け皿がパラメーター」、「渡される中身が引数」です。
Q. ビジネスにおける「パラメーター」とは、どのような場面で具体的に使われますか？
A. ビジネスにおいてパラメーターは、「評価や判断の基準となる要素や数値」という意味で使われます。具体的な場面としては、KPI（重要業績評価指標）設定の際や、商品開発における仕様の決定、市場調査における分析の軸などがあります。例えば、「顧客満足度を測るパラメーター」であれば、「購入後の問い合わせ率」「リピート購入率」などが該当します。また、「広告配信のパラメーター」であれば、「年齢」「性別」「地域」などが設定されます。　
Q. パラメーターと「変数（Variable）」や「定数（Constant）」は、IT分野でどのような違いがありますか？
A. ITやプログラミングの分野では、変数はプログラムの実行中に値が変化し得るデータを格納する領域、定数は一度設定したらプログラム実行中に値が変わらないデータを指します。これに対し、パラメーターは関数やプログラムに外部から値を渡すための「窓口」のような役割を果たします。つまり、パラメーターは、関数が受け取った「値（引数）」を一時的に保持する変数の一種として機能しますが、その役割（外部からの値の受け渡し）に特化した用語です。</t>
        </is>
      </c>
      <c r="J160" s="47" t="n"/>
      <c r="K160" s="47" t="inlineStr">
        <is>
          <t>OK</t>
        </is>
      </c>
      <c r="L160" s="47" t="inlineStr">
        <is>
          <t>未確認</t>
        </is>
      </c>
      <c r="M160" s="47" t="inlineStr">
        <is>
          <t>未依頼</t>
        </is>
      </c>
      <c r="N160" s="47" t="inlineStr">
        <is>
          <t>クリニック以外</t>
        </is>
      </c>
      <c r="O160" s="47" t="n"/>
      <c r="P160" s="47" t="n"/>
      <c r="Q160" s="47" t="n"/>
      <c r="R160" s="47" t="n"/>
    </row>
    <row r="161" ht="15.75" customHeight="1" s="185">
      <c r="A161" s="52">
        <f>row()-3</f>
        <v/>
      </c>
      <c r="B161" s="46" t="inlineStr">
        <is>
          <t>RPO（採用代行）とは？RTOとの違い、委託範囲やメリットを解説</t>
        </is>
      </c>
      <c r="C161" s="6" t="inlineStr">
        <is>
          <t>https://dym.asia/media/rpo-meaning-merit/</t>
        </is>
      </c>
      <c r="D161" s="47" t="inlineStr">
        <is>
          <t>rto 採用</t>
        </is>
      </c>
      <c r="E161" s="35" t="n">
        <v>3</v>
      </c>
      <c r="F161" s="36" t="n">
        <v>1</v>
      </c>
      <c r="G161" s="47" t="inlineStr">
        <is>
          <t>なし</t>
        </is>
      </c>
      <c r="H161" s="47" t="inlineStr">
        <is>
          <t>可</t>
        </is>
      </c>
      <c r="I161" s="10" t="inlineStr">
        <is>
          <t>Q. RPO（採用代行）と人材派遣や人材紹介サービスはどのように違うのですか？
A. RPO（Recruitment Process Outsourcing）は、企業の採用活動における「プロセス」の一部または全部を代行するサービスです。採用計画の立案、求人媒体の選定、応募者対応、面接のセッティングなど、あくまで採用業務の支援を行います。一方、人材派遣は労働力そのもの（人材）を企業に提供し、人材紹介は採用が決定した場合に、成功報酬として人材を企業に紹介します。RPOは採用業務の効率化・専門化が目的であり、人材派遣・紹介は直接的な人材の確保が目的という点で異なります。
Q. RPOの導入を検討すべき、最適なタイミングや企業の状況はどのような時ですか？
A. RPOは、主に以下のような状況にある企業にとって最適なタイミングと言えます。1つ目は、急な事業拡大や新規プロジェクト立ち上げにより、大量採用または短期間での採用が急務となっている時です。2つ目は、採用担当者が不足しており、既存社員の業務負荷が過剰になっている時です。3つ目は、特定の専門職やニッチな人材の採用が難航しており、採用ノウハウや専門知識が社内に不足している時です。自社の「採用力強化」が必要な際に導入を検討しましょう。
Q. RPOで委託できる業務範囲はどこまでですか？また、費用の相場や体系はどのようになっていますか？
A. RPOで委託できる業務範囲は、企業のニーズに応じて非常に幅広く対応可能です。応募者対応のみといった一部の業務委託から、採用戦略の策定から内定承諾までの全工程を任せるフルアウトソーシングまで選べます。費用体系は、委託範囲や期間、採用人数によって大きく異なりますが、「月額固定費型（定額制）」と「採用人数に応じた成果報酬型」の組み合わせ、あるいはその両方が一般的です。具体的な費用は、委託範囲を明確にした上で、RPO事業者に見積もりを取る必要があります。DYMの詳しい内容が気になる方はお気軽にお問い合わせください。
お問い合わせ先はこちら↓
https://dym.asia/contact/</t>
        </is>
      </c>
      <c r="J161" s="47" t="n"/>
      <c r="K161" s="47" t="inlineStr">
        <is>
          <t>OK</t>
        </is>
      </c>
      <c r="L161" s="47" t="inlineStr">
        <is>
          <t>未確認</t>
        </is>
      </c>
      <c r="M161" s="47" t="inlineStr">
        <is>
          <t>未依頼</t>
        </is>
      </c>
      <c r="N161" s="47" t="inlineStr">
        <is>
          <t>クリニック以外</t>
        </is>
      </c>
      <c r="O161" s="47" t="n"/>
      <c r="P161" s="47" t="n"/>
      <c r="Q161" s="47" t="n"/>
      <c r="R161" s="47" t="n"/>
    </row>
    <row r="162" ht="15.75" customHeight="1" s="185">
      <c r="A162" s="52">
        <f>row()-3</f>
        <v/>
      </c>
      <c r="B162" s="46" t="inlineStr">
        <is>
          <t>営業顧問とは？役割や導入のメリット、報酬体系の種類について解説</t>
        </is>
      </c>
      <c r="C162" s="6" t="inlineStr">
        <is>
          <t>https://dym.asia/media/sales_advisor/</t>
        </is>
      </c>
      <c r="D162" s="47" t="inlineStr">
        <is>
          <t>営業顧問</t>
        </is>
      </c>
      <c r="E162" s="35" t="n">
        <v>3</v>
      </c>
      <c r="F162" s="36" t="n">
        <v>8.461009174311926</v>
      </c>
      <c r="G162" s="47" t="inlineStr">
        <is>
          <t>なし</t>
        </is>
      </c>
      <c r="H162" s="47" t="inlineStr">
        <is>
          <t>可</t>
        </is>
      </c>
      <c r="I162" s="47" t="inlineStr">
        <is>
          <t>Q: 営業顧問の主な役割は何ですか？
A: 企業と新規顧客との架け橋となり、新規顧客との取引成立に向けた支援を提供することです。特に、長年の経験から築いた人脈を活かし、ターゲット企業のキーパーソンとの商談機会を創出することが重要な役割となります。
Q: 営業顧問を導入する最大のメリットは何ですか？
A: 高度な営業スキルやノウハウを、社内で育成するよりも迅速かつ効率的に導入できる点です。これにより、企業の市場競争力の向上や売上の増加に直結する効果が期待できます。
Q: 営業顧問の報酬体系にはどのような種類がありますか？
A: 代表的なものとして、「成功報酬型」、「固定報酬型」、そしてその二つを組み合わせた「固定報酬＋成功報酬型」の3種類があります。企業の方針や顧問の働き方によって、これらを自由に設定できます。</t>
        </is>
      </c>
      <c r="J162" s="47" t="n"/>
      <c r="K162" s="47" t="inlineStr">
        <is>
          <t>OK</t>
        </is>
      </c>
      <c r="L162" s="47" t="inlineStr">
        <is>
          <t>未確認</t>
        </is>
      </c>
      <c r="M162" s="47" t="inlineStr">
        <is>
          <t>未依頼</t>
        </is>
      </c>
      <c r="N162" s="47" t="inlineStr">
        <is>
          <t>クリニック以外</t>
        </is>
      </c>
      <c r="O162" s="47" t="n"/>
      <c r="P162" s="47" t="n"/>
      <c r="Q162" s="47" t="n"/>
      <c r="R162" s="47" t="n"/>
    </row>
    <row r="163" ht="15.75" customHeight="1" s="185">
      <c r="A163" s="52">
        <f>row()-3</f>
        <v/>
      </c>
      <c r="B163" s="46" t="inlineStr">
        <is>
          <t>構造化データとは？種類と具体例、SEOのメリットを解説</t>
        </is>
      </c>
      <c r="C163" s="6" t="inlineStr">
        <is>
          <t>https://dym.asia/media/structured-data/</t>
        </is>
      </c>
      <c r="D163" s="47" t="inlineStr">
        <is>
          <t>knowsabout</t>
        </is>
      </c>
      <c r="E163" s="35" t="n">
        <v>3</v>
      </c>
      <c r="F163" s="36" t="n">
        <v>4.916666666666666</v>
      </c>
      <c r="G163" s="47" t="inlineStr">
        <is>
          <t>なし</t>
        </is>
      </c>
      <c r="H163" s="47" t="inlineStr">
        <is>
          <t>可</t>
        </is>
      </c>
      <c r="I163" s="47" t="inlineStr">
        <is>
          <t>Q: 構造化データを導入すると、検索順位は直接的に上がりますか？
A: 構造化データをマークアップしたからといって、検索順位が直接的に上がるわけではありません。しかし、構造化データは、検索結果ページにリッチリザルト（リッチスニペット）として表示される可能性を高めます。これにより、検索結果での視認性が向上し、クリック率（CTR）が高まることが期待されます。その結果、ユーザーの流入が増え、間接的にSEOに良い影響を与える可能性があります。構造化データは、ユーザーと検索エンジンにコンテンツの内容を正確に伝えるための補助的な要素と理解することが重要です。
Q: 構造化データの記述形式には、どのような種類がありますか？推奨される形式はどれですか？
A: 構造化データの主要な記述形式には、JSON-LD、Microdata、RDFaの3種類があります。この中で、Googleが最も推奨し、一般的に導入が容易でメンテナンスしやすいとされているのはJSON-LD（JavaScript Object Notation for Linked Data）です。JSON-LDは、HTML本文とは別に&lt;script&gt;タグ内に記述するため、既存のHTMLマークアップへの影響が少なく、管理しやすいというメリットがあります。
Q: どのような種類のコンテンツに構造化データを適用することが推奨されますか？
A: 構造化データの適用は、特に情報の種類が明確で、リッチリザルトの恩恵を受けやすいコンテンツに推奨されます。具体的には、FAQ（よくある質問）、HowTo（手順）、Article（記事）、Product（商品）、Review（レビュー）、Recipe（レシピ）などが挙げられます。これらの情報を適切にマークアップすることで、検索結果に星の評価や画像、手順などが表示され、ユーザーにとって価値のある情報であることを伝えやすくなります。</t>
        </is>
      </c>
      <c r="J163" s="47" t="n"/>
      <c r="K163" s="47" t="inlineStr">
        <is>
          <t>修正済</t>
        </is>
      </c>
      <c r="L163" s="47" t="inlineStr">
        <is>
          <t>未確認</t>
        </is>
      </c>
      <c r="M163" s="47" t="inlineStr">
        <is>
          <t>未依頼</t>
        </is>
      </c>
      <c r="N163" s="47" t="inlineStr">
        <is>
          <t>クリニック以外</t>
        </is>
      </c>
      <c r="O163" s="47" t="n"/>
      <c r="P163" s="47" t="n"/>
      <c r="Q163" s="47" t="n"/>
      <c r="R163" s="47" t="n"/>
    </row>
    <row r="164" ht="15.75" customHeight="1" s="185">
      <c r="A164" s="52">
        <f>row()-3</f>
        <v/>
      </c>
      <c r="B164" s="46" t="inlineStr">
        <is>
          <t>芸能人をキャスティングする際に必要な費用相場は？キャスティングの方法と選び方を解説</t>
        </is>
      </c>
      <c r="C164" s="10" t="inlineStr">
        <is>
          <t>https://dym.asia/media/tarent-casting-cost/</t>
        </is>
      </c>
      <c r="D164" s="47" t="inlineStr">
        <is>
          <t>タレントキャスティング 費用</t>
        </is>
      </c>
      <c r="E164" s="35" t="n">
        <v>3</v>
      </c>
      <c r="F164" s="36" t="n">
        <v>5.04</v>
      </c>
      <c r="G164" s="47" t="inlineStr">
        <is>
          <t>なし</t>
        </is>
      </c>
      <c r="H164" s="47" t="inlineStr">
        <is>
          <t>可</t>
        </is>
      </c>
      <c r="I164" s="47" t="inlineStr">
        <is>
          <t>Q: 芸能人をキャスティングする際の費用相場はどれくらいですか？
A: 費用は、起用する芸能人の知名度、契約期間（単発か年間か）、出演媒体（CM、イベントなど）によって大きく異なります。一般的には、人気タレントの場合、年間契約で1,000万円以上となることが多く、若手やインフルエンサーなどの場合は、100万円程度からが目安とされています。ただし、案件内容や条件によって金額は大きく変動するため、詳細な見積もりは個別に確認することが重要です。
Q: タレントをキャスティングする主なメリットは何ですか？
A: タレントが持つ知名度を活かした高い宣伝効果が得られる点です。これにより、ターゲット層の興味を引きつけやすく、新規顧客の獲得や企業ブランドイメージの向上、または他社との差別化に繋がることが期待されます。
Q: 芸能人のキャスティングは、どのような方法で依頼できますか？
A: 主に、芸能人の事務所と直接交渉する「直接交渉」と、事務所とのネットワークを持つ「広告代理店やキャスティング会社への依頼」の2つの方法があります。専門的な交渉や手続きを代行してくれるキャスティング会社への依頼が、一般的でスムーズな方法とされています。</t>
        </is>
      </c>
      <c r="J164" s="47" t="n"/>
      <c r="K164" s="47" t="inlineStr">
        <is>
          <t>修正済</t>
        </is>
      </c>
      <c r="L164" s="47" t="inlineStr">
        <is>
          <t>未確認</t>
        </is>
      </c>
      <c r="M164" s="47" t="inlineStr">
        <is>
          <t>未依頼</t>
        </is>
      </c>
      <c r="N164" s="47" t="inlineStr">
        <is>
          <t>クリニック以外</t>
        </is>
      </c>
      <c r="O164" s="47" t="n"/>
      <c r="P164" s="47" t="n"/>
      <c r="Q164" s="47" t="n"/>
      <c r="R164" s="47" t="n"/>
    </row>
    <row r="165" ht="15.75" customHeight="1" s="185">
      <c r="A165" s="52">
        <f>row()-3</f>
        <v/>
      </c>
      <c r="B165" s="46" t="inlineStr">
        <is>
          <t>WEB広告代理店のおすすめ企業とは？選び方のポイントや流れを詳しく解説</t>
        </is>
      </c>
      <c r="C165" s="10" t="inlineStr">
        <is>
          <t>https://dym.asia/media/web_advertisement_agency/</t>
        </is>
      </c>
      <c r="D165" s="47" t="inlineStr">
        <is>
          <t>web広告代理店</t>
        </is>
      </c>
      <c r="E165" s="35" t="n">
        <v>3</v>
      </c>
      <c r="F165" s="36" t="n">
        <v>12.34852941176471</v>
      </c>
      <c r="G165" s="47" t="inlineStr">
        <is>
          <t>なし</t>
        </is>
      </c>
      <c r="H165" s="47" t="inlineStr">
        <is>
          <t>可</t>
        </is>
      </c>
      <c r="I165" s="10" t="inlineStr">
        <is>
          <t>Q. Web広告代理店に支払う費用の一般的な体系と、手数料の相場はいくらですか？
A. Web広告代理店に支払う費用は、主に「広告媒体費」と「手数料（運用代行費）」で構成されます。最も一般的な費用体系は、広告媒体費の総額に対する「パーセンテージ（料率）」で手数料が決まる形式です。手数料の相場は、広告媒体費の20%であることが多いですが、広告の種類や運用規模、委託する業務範囲によって10%〜30%程度の幅があります。また、規模が小さい場合は「最低手数料（ミニマムフィー）」が設定されることもあります。　
Q. 広告代理店に委託できる業務は、広告の「運用」だけですか？他の業務も依頼できますか？
A. 代理店に委託できる業務範囲は幅広く、広告運用（入札調整、ターゲティング設定など）以外にも依頼可能です。具体的には、①広告戦略の立案・提案、②クリエイティブ（バナー・動画・LP）の制作、③効果測定・分析（レポート作成）、④改善提案などがあります。特に「クリエイティブ制作」や「ランディングページ（LP）改善」まで一気通貫で依頼できる代理店を選ぶと、広告効果を最大化しやすくなります。　
Q. 多くのWeb広告代理店の中から、自社に最適な一社を選ぶために重要なチェックポイントは何ですか？
A. 代理店を選定する際に最も重要なチェックポイントは、「自社の事業・業界の深い理解と実績」があるかどうかです。過去の「具体的な成功事例（特に自社と類似した業界）」、「担当者の専門性・熱意」、そして「レポーティングの透明性」を重視しましょう。また、単に運用するだけでなく、広告効果を最大化するための「改善提案」を積極的に行ってくれる体制があるかどうかも、長期的なパートナーシップを築く上で非常に重要です。お気軽にお問い合わせください。
お問い合わせ先はこちら↓
https://dym.asia/contact/</t>
        </is>
      </c>
      <c r="J165" s="47" t="n"/>
      <c r="K165" s="47" t="inlineStr">
        <is>
          <t>OK</t>
        </is>
      </c>
      <c r="L165" s="47" t="inlineStr">
        <is>
          <t>未確認</t>
        </is>
      </c>
      <c r="M165" s="47" t="inlineStr">
        <is>
          <t>未依頼</t>
        </is>
      </c>
      <c r="N165" s="47" t="inlineStr">
        <is>
          <t>クリニック以外</t>
        </is>
      </c>
      <c r="O165" s="47" t="n"/>
      <c r="P165" s="47" t="n"/>
      <c r="Q165" s="47" t="n"/>
      <c r="R165" s="47" t="n"/>
    </row>
    <row r="166" ht="15.75" customHeight="1" s="185">
      <c r="A166" s="52">
        <f>row()-3</f>
        <v/>
      </c>
      <c r="B166" s="46" t="inlineStr">
        <is>
          <t>人気の福利厚生とは？最新トレンドと導入方法</t>
        </is>
      </c>
      <c r="C166" s="6" t="inlineStr">
        <is>
          <t>https://dym.asia/media/welfare-popular/</t>
        </is>
      </c>
      <c r="D166" s="47" t="inlineStr">
        <is>
          <t>福利厚生 トレンド</t>
        </is>
      </c>
      <c r="E166" s="35" t="n">
        <v>3</v>
      </c>
      <c r="F166" s="36" t="n">
        <v>8.18590704647676</v>
      </c>
      <c r="G166" s="47" t="inlineStr">
        <is>
          <t>なし</t>
        </is>
      </c>
      <c r="H166" s="47" t="inlineStr">
        <is>
          <t>可</t>
        </is>
      </c>
      <c r="I166" s="48" t="inlineStr">
        <is>
          <t>Q. 福利厚生における「法定」と「法定外」の違いは何ですか？
A. 法定福利厚生は、法律で企業に義務付けられている福利厚生のことで、健康保険、厚生年金保険、雇用保険、労災保険などの社会保険料の企業負担分や、子ども・子育て拠出金などが該当します。一方、法定外福利厚生は、企業が任意で独自に提供する福利厚生です。具体的には、住宅手当、交通費、社員食堂、健康診断の補助、レジャー施設の優待などが含まれ、企業の特色や経営方針が反映されます。
Q. 福利厚生を充実させることで、企業側には具体的にどのようなメリットがありますか？
A. 福利厚生の充実は、企業に多くのメリットをもたらします。最も大きなメリットは、「採用力と定着率の向上」です。魅力的な福利厚生は、求職者へのアピールポイントとなり、優秀な人材の獲得に繋がります。また、社員の満足度やモチベーションを高めるため、離職率の低下にも貢献します。その他にも、企業イメージの向上や、社員の健康維持（健康経営）、生産性の向上といった間接的なメリットも期待できます。
Q. 現代において、特に従業員に人気が高い福利厚生の傾向や種類を教えてください。
A. 現代では、個々のライフスタイルや働き方に合わせた柔軟性の高い福利厚生が人気です。特に人気が高いのは、①住宅関連の補助（家賃補助や借り上げ社宅）、②自己啓発・スキルアップ支援（資格取得や研修費用補助）、③ヘルスケア関連（定期健診以外の検査費用補助やメンタルヘルスケア）、そして④ワークライフバランスを重視した施策（特別休暇、テレワーク手当など）です。多様なニーズに対応できるカフェテリアプランも人気が高まっています。</t>
        </is>
      </c>
      <c r="J166" s="47" t="n"/>
      <c r="K166" s="47" t="inlineStr">
        <is>
          <t>OK</t>
        </is>
      </c>
      <c r="L166" s="47" t="inlineStr">
        <is>
          <t>未確認</t>
        </is>
      </c>
      <c r="M166" s="47" t="inlineStr">
        <is>
          <t>未依頼</t>
        </is>
      </c>
      <c r="N166" s="47" t="inlineStr">
        <is>
          <t>クリニック以外</t>
        </is>
      </c>
      <c r="O166" s="47" t="n"/>
      <c r="P166" s="47" t="n"/>
      <c r="Q166" s="47" t="n"/>
      <c r="R166" s="47" t="n"/>
    </row>
    <row r="167" ht="15.75" customHeight="1" s="185">
      <c r="A167" s="52">
        <f>row()-3</f>
        <v/>
      </c>
      <c r="B167" s="46" t="inlineStr">
        <is>
          <t>あると嬉しいユニークな福利厚生とは？企業での事例とトレンドを解説</t>
        </is>
      </c>
      <c r="C167" s="6" t="inlineStr">
        <is>
          <t>https://dym.asia/media/welfare-unique/</t>
        </is>
      </c>
      <c r="D167" s="47" t="inlineStr">
        <is>
          <t>福利厚生 ユニーク 世界</t>
        </is>
      </c>
      <c r="E167" s="35" t="n">
        <v>3</v>
      </c>
      <c r="F167" s="36" t="n">
        <v>14.8411214953271</v>
      </c>
      <c r="G167" s="47" t="inlineStr">
        <is>
          <t>なし</t>
        </is>
      </c>
      <c r="H167" s="47" t="inlineStr">
        <is>
          <t>可</t>
        </is>
      </c>
      <c r="I167" s="48" t="inlineStr">
        <is>
          <t>Q: ユニークな福利厚生を導入した場合、税務上はどのような扱いになりますか？非課税になるための条件はありますか？
A: 一般的には、従業員に提供する福利厚生が「全従業員が利用可能であること」と「社会通念上、常識的な範囲内の支出であること」という2つの要件を満たせば、原則として非課税（福利厚生費）として認められるとされています。例えば、特定の役職者や部署に限定した特別な手当は、課税対象（給与）と見なされる可能性が高いと言われています。ユニークな制度であっても、公平性があり、金額が適切であることが非課税の大きな条件となります。導入前に税理士に相談することが推奨されます。
Q: ユニークな福利厚生は、採用活動においてどのようなメリットがありますか？
A: ユニークな福利厚生は、採用活動において他社との差別化と企業文化のアピールという点で大きなメリットがあるとされています。特に、求職者が「この会社は面白そう」「社員を大切にしている」と感じる具体的なエピソードになるため、話題性が高まりやすいです。これにより、メディアに取り上げられたり、SNSで拡散されたりすることで、採用ブランド（エンプロイヤー・ブランディング）が向上し、コストをかけずに優秀な人材からの応募が増加することが期待されます。
Q: ユニークな福利厚生の導入で失敗しないために、企画段階で特に注意すべき点は何ですか？
A: 失敗を避けるために最も重要なのは、「独りよがりな制度」にならないことだと言われています。従業員が本当に必要としているか、利用価値があるかを事前にヒアリングやアンケートで確認することが大切です。また、制度を導入しても「周知が不足して利用率が低い」という失敗も多いため、制度の目的と利用方法を社内に繰り返し伝える努力が求められます。さらに、導入後に定期的に効果測定を行い、時代や社員の変化に合わせて見直しを行う柔軟性も重要だとされています。</t>
        </is>
      </c>
      <c r="J167" s="47" t="n"/>
      <c r="K167" s="47" t="inlineStr">
        <is>
          <t>修正済</t>
        </is>
      </c>
      <c r="L167" s="47" t="inlineStr">
        <is>
          <t>未確認</t>
        </is>
      </c>
      <c r="M167" s="47" t="inlineStr">
        <is>
          <t>未依頼</t>
        </is>
      </c>
      <c r="N167" s="47" t="inlineStr">
        <is>
          <t>クリニック以外</t>
        </is>
      </c>
      <c r="O167" s="47" t="n"/>
      <c r="P167" s="47" t="n"/>
      <c r="Q167" s="47" t="n"/>
      <c r="R167" s="47" t="n"/>
    </row>
    <row r="168" ht="15.75" customHeight="1" s="185">
      <c r="A168" s="52">
        <f>row()-3</f>
        <v/>
      </c>
      <c r="B168" s="46" t="inlineStr">
        <is>
          <t>アドフラウドとは？広告不正の仕組みと効果的な対策を紹介</t>
        </is>
      </c>
      <c r="C168" s="10" t="inlineStr">
        <is>
          <t>https://dym.asia/media/ad-fraud/</t>
        </is>
      </c>
      <c r="D168" s="47" t="inlineStr">
        <is>
          <t>アドフラウド</t>
        </is>
      </c>
      <c r="E168" s="35" t="n">
        <v>2</v>
      </c>
      <c r="F168" s="36" t="n">
        <v>7.496309963099631</v>
      </c>
      <c r="G168" s="47" t="inlineStr">
        <is>
          <t>なし</t>
        </is>
      </c>
      <c r="H168" s="47" t="inlineStr">
        <is>
          <t>可</t>
        </is>
      </c>
      <c r="I168" s="47" t="inlineStr">
        <is>
          <t>Q: アドフラウドとは具体的にどのような行為を指しますか？
A: Web広告において、botなどのプログラムを用いて広告の表示回数やクリック数を不正に増加させ、広告費を不当に詐取する広告詐欺行為全般を指します。広告主にとっては、成果に繋がらない不必要な広告費の支払いや、データの汚染を招く深刻な問題です。
Q: アドフラウドにはどのような種類（手口）がありますか？
A: 代表的な手口には、botで大量のクリックを偽装する「クリック洪水（クリックスパム）」や、ユーザーに見えないように広告を設置する「隠し広告」があります。この他にも、偽ドメインの使用や広告の差し替えなど、技術の進化とともに様々な手法が存在します。
Q: アドフラウド対策として、具体的に何をすべきですか？
A: 最も効果的な対策として、アドフラウド対策ツールの導入が推奨されます。また、不正な配信先を避けるために信頼できるサイトのホワイトリストを作成したり、アドフラウド対策を実施しているDSPや広告媒体を選定することも重要です。</t>
        </is>
      </c>
      <c r="J168" s="47" t="n"/>
      <c r="K168" s="47" t="inlineStr">
        <is>
          <t>OK</t>
        </is>
      </c>
      <c r="L168" s="47" t="inlineStr">
        <is>
          <t>未確認</t>
        </is>
      </c>
      <c r="M168" s="47" t="inlineStr">
        <is>
          <t>未依頼</t>
        </is>
      </c>
      <c r="N168" s="47" t="inlineStr">
        <is>
          <t>クリニック以外</t>
        </is>
      </c>
      <c r="O168" s="47" t="n"/>
      <c r="P168" s="47" t="n"/>
      <c r="Q168" s="47" t="n"/>
      <c r="R168" s="47" t="n"/>
    </row>
    <row r="169" ht="15.75" customHeight="1" s="185">
      <c r="A169" s="52">
        <f>row()-3</f>
        <v/>
      </c>
      <c r="B169" s="46" t="inlineStr">
        <is>
          <t>アドネットワークとは？仕組みや種類を分かりやすく解説</t>
        </is>
      </c>
      <c r="C169" s="6" t="inlineStr">
        <is>
          <t>https://dym.asia/media/ad-network/</t>
        </is>
      </c>
      <c r="D169" s="47" t="inlineStr">
        <is>
          <t>アドネットワーク 収益</t>
        </is>
      </c>
      <c r="E169" s="35" t="n">
        <v>2</v>
      </c>
      <c r="F169" s="36" t="n">
        <v>1.85</v>
      </c>
      <c r="G169" s="47" t="inlineStr">
        <is>
          <t>なし</t>
        </is>
      </c>
      <c r="H169" s="47" t="inlineStr">
        <is>
          <t>可</t>
        </is>
      </c>
      <c r="I169" s="10" t="inlineStr">
        <is>
          <t>Q. アドネットワークと「アドエクスチェンジ」や「DSP」は、具体的にどのような違いがあるのですか？
A. アドネットワークは、複数の広告媒体（ウェブサイトやアプリ）を束ねて広告枠を一括販売するネットワークです。一方、アドエクスチェンジは、広告のインプレッション（表示機会）をリアルタイムで競売（RTB）にかける「取引所」のような仕組みです。そしてDSP（Demand-Side Platform）は、広告主側から見て、そのアドエクスチェンジやアドネットワークなどの複数の仕入れ先から、最適な広告枠を自動で買い付けるためのプラットフォームです。アドネットワークは「広告枠の仕入れ先の一つ」であり、DSPは「広告の買い付け側プラットフォーム」です。
Q. アドネットワークは、リスティング広告に比べてターゲティングの精度が低いという点はありますか？
A. アドネットワークは、広範囲のサイトに広告を配信するため、「ユーザーの検索意図に完全一致する」という点では、ユーザーが特定のキーワードを検索した時に表示されるリスティング広告に比べて精度が劣る場合があります。しかし、現在のアドネットワークは、「行動ターゲティング」（過去の閲覧履歴に基づく）や「デモグラフィックターゲティング」（年齢、性別など）など、高度な技術を取り入れています。そのため、潜在層への認知拡大や間接的なコンバージョン獲得においては非常に有効な手段であり、目的によって使い分けることが重要です。
Q. アドネットワークを利用する際、不適切なサイトに広告が掲載される「ブランドセーフティ」の問題を防ぐにはどうすれば良いですか？
A. 広告主としてブランドセーフティを確保するために、以下の対策を取ることが重要です。1つは、広告掲載先の媒体を事前にリストアップし、不適切と判断したサイトを配信対象から除外する「ネガティブリスト」を設定することです。2つは、広告代理店や媒体社にブランドセーフティに関するポリシーや具体的な対策（例：AIによるコンテンツフィルタリング）を確認することです。また、一部の優良なアドネットワークやDSPは、第三者のブランドセーフティツールを導入しているため、その有無も確認すると安心です。ぜひご相談ください。
お問い合わせ先はこちら↓
https://dym.asia/contact/</t>
        </is>
      </c>
      <c r="J169" s="47" t="n"/>
      <c r="K169" s="47" t="inlineStr">
        <is>
          <t>OK</t>
        </is>
      </c>
      <c r="L169" s="47" t="inlineStr">
        <is>
          <t>未確認</t>
        </is>
      </c>
      <c r="M169" s="47" t="inlineStr">
        <is>
          <t>未依頼</t>
        </is>
      </c>
      <c r="N169" s="47" t="inlineStr">
        <is>
          <t>クリニック以外</t>
        </is>
      </c>
      <c r="O169" s="47" t="n"/>
      <c r="P169" s="47" t="n"/>
      <c r="Q169" s="47" t="n"/>
      <c r="R169" s="47" t="n"/>
    </row>
    <row r="170" ht="15.75" customHeight="1" s="185">
      <c r="A170" s="52">
        <f>row()-3</f>
        <v/>
      </c>
      <c r="B170" s="46" t="inlineStr">
        <is>
          <t>アフィリエイトのやり方｜ブログ収入で月3万を稼ぐコツを解説</t>
        </is>
      </c>
      <c r="C170" s="6" t="inlineStr">
        <is>
          <t>https://dym.asia/media/affiliate-blog/</t>
        </is>
      </c>
      <c r="D170" s="47" t="inlineStr">
        <is>
          <t>ブログ アフィリエイト</t>
        </is>
      </c>
      <c r="E170" s="35" t="n">
        <v>2</v>
      </c>
      <c r="F170" s="36" t="n">
        <v>10.79666011787819</v>
      </c>
      <c r="G170" s="47" t="inlineStr">
        <is>
          <t>なし</t>
        </is>
      </c>
      <c r="H170" s="47" t="inlineStr">
        <is>
          <t>可</t>
        </is>
      </c>
      <c r="I170" s="47" t="inlineStr">
        <is>
          <t>Q: アフィリエイトブログで収益が発生する仕組みを分かりやすく教えてください。
A: アフィリエイトブログで収益が発生する仕組みは、主に3つのステップで成り立っています。1つ目は、ブログ運営者がASP（アフィリエイト・サービス・プロバイダー）に登録し、ブログで紹介したい商品やサービスの広告提携を結ぶことです。2つ目は、読者がブログ記事に貼られた専用の広告リンクをクリックすることです。3つ目は、そのリンクを経由して商品購入やサービス登録といった「成果」が達成された場合、ブログ運営者に対して企業から「報酬」が支払われるという流れです。広告主の商品を代わりに販売・紹介し、成功報酬を得るビジネスモデルです。
Q: アフィリエイトブログを始めてから、実際に収益が発生するまでの期間はどれくらいが目安ですか？
A: 初心者がアフィリエイトブログで収益を出すまでの期間は、一般的に6ヶ月から1年程度を見込むのが現実的です。ブログを開設した後、まずGoogleなどの検索エンジンに記事が認識・評価されるまでに数ヶ月かかります（Googleのインデックス期間）。さらに、読者のニーズに応える質の高い記事を数十記事作成し、それが検索上位に表示され始めるまでには、それなりの時間がかかります。開始直後に大きな収益が出ることは稀であり、継続的な努力と改善が必要です。
Q: アフィリエイトブログで収益を得るために、テーマ（ジャンル）選びで最も重要なポイントは何ですか？
A: 最も重要なポイントは、「需要」と「競合」のバランス、そして「専門性・興味」の3点です。①需要（多くの人がその情報を求めているか）、②競合（強力なライバルサイトが多すぎないか）、そして③専門性（あなた自身がその分野に詳しく、質の高い記事を書き続けられるか）を考慮する必要があります。需要が高くても競合が激しすぎるジャンルは避け、ニッチでも専門性が活かせる分野を選ぶことが、初心者にとって成功への近道となります。</t>
        </is>
      </c>
      <c r="J170" s="47" t="n"/>
      <c r="K170" s="47" t="inlineStr">
        <is>
          <t>修正済</t>
        </is>
      </c>
      <c r="L170" s="47" t="inlineStr">
        <is>
          <t>未確認</t>
        </is>
      </c>
      <c r="M170" s="47" t="inlineStr">
        <is>
          <t>未依頼</t>
        </is>
      </c>
      <c r="N170" s="47" t="inlineStr">
        <is>
          <t>クリニック以外</t>
        </is>
      </c>
      <c r="O170" s="47" t="n"/>
      <c r="P170" s="47" t="n"/>
      <c r="Q170" s="47" t="n"/>
      <c r="R170" s="47" t="n"/>
    </row>
    <row r="171" ht="15.75" customHeight="1" s="185">
      <c r="A171" s="52">
        <f>row()-3</f>
        <v/>
      </c>
      <c r="B171" s="46" t="inlineStr">
        <is>
          <t>インスタアフィリエイトとは？ASPがやり方・始め方と稼ぐコツを伝授</t>
        </is>
      </c>
      <c r="C171" s="6" t="inlineStr">
        <is>
          <t>https://dym.asia/media/affiliate-instagram/</t>
        </is>
      </c>
      <c r="D171" s="47" t="inlineStr">
        <is>
          <t>asp インスタ</t>
        </is>
      </c>
      <c r="E171" s="35" t="n">
        <v>2</v>
      </c>
      <c r="F171" s="36" t="n">
        <v>9.333333333333334</v>
      </c>
      <c r="G171" s="47" t="inlineStr">
        <is>
          <t>なし</t>
        </is>
      </c>
      <c r="H171" s="47" t="inlineStr">
        <is>
          <t>可</t>
        </is>
      </c>
      <c r="I171" s="47" t="inlineStr">
        <is>
          <t>Q. インスタアフィリエイトは、ブログと比べて収益が発生する仕組みに違いはありますか？
A. 収益が発生する基本的な仕組み（ASPに登録し、成果報酬を得る）は同じですが、導線（ユーザーを広告へ誘導する方法）が大きく異なります。ブログでは記事内に直接リンクを貼れますが、インスタグラムでは投稿文に直接リンクを貼ることができません。そのため、「プロフィール欄のURL（リンクインバイオ）」や「ストーリーズのリンクスタンプ」を通じて、ユーザーを商品ページやブログ記事へ誘導するのが主な手法となります。この「導線の設計」が成功の鍵となります。 
 Q. インスタアフィリエイトを始めるにあたり、どれくらいのフォロワー数が必要ですか？
A. 収益を出すために必要なフォロワー数に明確な基準はありませんが、一般的に収益化を意識できるのは1,000人〜5,000人以上が一つの目安とされます。しかし、フォロワー数よりも「エンゲージメント率（いいねやコメントなどの反応率）」と「ジャンルの専門性」が重要です。フォロワーが少なくても、特定のニッチな分野に特化し、フォロワーとの関係性が深ければ、高い確率で成約につながる場合があります（例：特定の専門商品紹介など）
 Q. インスタアフィリエイトを行う上で、投稿内容や表現に関して特に注意すべき禁止事項は何ですか？
A. 景品表示法や薬機法など、広告に関する各種法令の遵守が最も重要です。特に、①根拠のない誇大表現や、事実と異なる過剰な効果を謳うこと（「必ず痩せる」「誰でも儲かる」など）は禁止されています。また、②ステルスマーケティング（ステマ）を防ぐため、企業からの依頼で報酬を得ている場合は、「#PR」や「#広告」といった表記を明確に記載する義務があります。法令遵守と透明性がアカウントの信頼性を保つ上で不可欠です。</t>
        </is>
      </c>
      <c r="J171" s="47" t="n"/>
      <c r="K171" s="47" t="inlineStr">
        <is>
          <t>OK</t>
        </is>
      </c>
      <c r="L171" s="47" t="inlineStr">
        <is>
          <t>未確認</t>
        </is>
      </c>
      <c r="M171" s="47" t="inlineStr">
        <is>
          <t>未依頼</t>
        </is>
      </c>
      <c r="N171" s="47" t="inlineStr">
        <is>
          <t>クリニック以外</t>
        </is>
      </c>
      <c r="O171" s="47" t="n"/>
      <c r="P171" s="47" t="n"/>
      <c r="Q171" s="47" t="n"/>
      <c r="R171" s="47" t="n"/>
    </row>
    <row r="172" ht="15.75" customHeight="1" s="185">
      <c r="A172" s="52">
        <f>row()-3</f>
        <v/>
      </c>
      <c r="B172" s="46" t="inlineStr">
        <is>
          <t>不動産売却の仲介手数料はいくら？支払う時期は？失敗しないポイント</t>
        </is>
      </c>
      <c r="C172" s="10" t="inlineStr">
        <is>
          <t>https://dym.asia/media/agent-cost/</t>
        </is>
      </c>
      <c r="D172" s="47" t="inlineStr">
        <is>
          <t>不動産売却 仲介手数料 仕訳</t>
        </is>
      </c>
      <c r="E172" s="35" t="n">
        <v>2</v>
      </c>
      <c r="F172" s="36" t="n">
        <v>6.965753424657534</v>
      </c>
      <c r="G172" s="47" t="inlineStr">
        <is>
          <t>なし</t>
        </is>
      </c>
      <c r="H172" s="47" t="inlineStr">
        <is>
          <t>可</t>
        </is>
      </c>
      <c r="I172" s="10" t="inlineStr">
        <is>
          <t>Q: 広告運用代行サービスの費用相場はどれくらいですか？
A: 費用体系は、「初期費用」「月額固定費用」、そして「広告費用に連動する運用手数料」の組み合わせが一般的です。運用手数料は広告費の20%程度が目安とされますが、サービス内容や広告予算の規模によって変動します。ぜひご相談ください。
お問い合わせ先はこちら↓
https://dym.asia/contact/
Q: 代行サービスを利用する最大のメリットは何ですか？
A: 専門知識を持つプロに運用を任せることで、広告効果の最大化や効率的なノウハウの蓄積が期待できます。また、社内リソースをコア業務に集中できるため、業務全体の効率向上につながります。
Q: 代理店を選ぶ際、費用面以外で重視すべきポイントは何ですか？
A: 費用だけでなく、自社の業界・サービスにおける実績や成功事例があるか、担当者の専門性や提案力は十分か、そして報告体制やコミュニケーションの頻度が自社のニーズに合っているか、という点を重視すべきです。</t>
        </is>
      </c>
      <c r="J172" s="47" t="n"/>
      <c r="K172" s="47" t="inlineStr">
        <is>
          <t>OK</t>
        </is>
      </c>
      <c r="L172" s="47" t="inlineStr">
        <is>
          <t>未確認</t>
        </is>
      </c>
      <c r="M172" s="47" t="inlineStr">
        <is>
          <t>未依頼</t>
        </is>
      </c>
      <c r="N172" s="47" t="inlineStr">
        <is>
          <t>クリニック以外</t>
        </is>
      </c>
      <c r="O172" s="47" t="n"/>
      <c r="P172" s="47" t="n"/>
      <c r="Q172" s="47" t="n"/>
      <c r="R172" s="47" t="n"/>
    </row>
    <row r="173" ht="15.75" customHeight="1" s="185">
      <c r="A173" s="52">
        <f>row()-3</f>
        <v/>
      </c>
      <c r="B173" s="46" t="inlineStr">
        <is>
          <t>役員研修の目的と内容、効果的な進め方を紹介</t>
        </is>
      </c>
      <c r="C173" s="10" t="inlineStr">
        <is>
          <t>https://dym.asia/media/board-member-training/</t>
        </is>
      </c>
      <c r="D173" s="47" t="inlineStr">
        <is>
          <t>dym 役員</t>
        </is>
      </c>
      <c r="E173" s="35" t="n">
        <v>2</v>
      </c>
      <c r="F173" s="36" t="n">
        <v>7.289855072463769</v>
      </c>
      <c r="G173" s="47" t="inlineStr">
        <is>
          <t>なし</t>
        </is>
      </c>
      <c r="H173" s="47" t="inlineStr">
        <is>
          <t>可</t>
        </is>
      </c>
      <c r="I173" s="47" t="inlineStr">
        <is>
          <t>Q: 役員研修を実施する主な目的は何ですか？
A: 企業の持続的な成長と競争力強化を支える経営幹部の育成が主な目的です。具体的には、経営における役割・目標の明確化、役員に必要なスキルの向上、そして業績向上への貢献を目指します。
Q: 役員研修で学ぶべき、具体的なスキルや内容にはどのようなものがありますか？
A: リーダーシップスキルやマネジメントスキル、戦略的思考力といった経営スキルの他、コンプライアンス、リスクマネジメント、市場・データ分析能力など、経営を取り巻く環境に対応するための幅広い知識がカバーされます。
Q: 役員研修の主な対象者は誰ですか？また、新任と経験者で内容は異なりますか？
A: 主な対象者は、取締役、執行役員、監査役といった経営を担う中核的な人材、および役員候補者です。経験年数や職責によって必要とされるスキルが異なるため、対象者の役割や課題に応じたカスタマイズされた研修を提供することが重要です。</t>
        </is>
      </c>
      <c r="J173" s="47" t="n"/>
      <c r="K173" s="47" t="inlineStr">
        <is>
          <t>OK</t>
        </is>
      </c>
      <c r="L173" s="47" t="inlineStr">
        <is>
          <t>未確認</t>
        </is>
      </c>
      <c r="M173" s="47" t="inlineStr">
        <is>
          <t>未依頼</t>
        </is>
      </c>
      <c r="N173" s="47" t="inlineStr">
        <is>
          <t>クリニック以外</t>
        </is>
      </c>
      <c r="O173" s="47" t="n"/>
      <c r="P173" s="47" t="n"/>
      <c r="Q173" s="47" t="n"/>
      <c r="R173" s="47" t="n"/>
    </row>
    <row r="174" ht="15.75" customHeight="1" s="185">
      <c r="A174" s="52">
        <f>row()-3</f>
        <v/>
      </c>
      <c r="B174" s="46" t="inlineStr">
        <is>
          <t>ブラウザとは？機能や選び方、安全に利用するコツを徹底解説</t>
        </is>
      </c>
      <c r="C174" s="10" t="inlineStr">
        <is>
          <t>https://dym.asia/media/browser/</t>
        </is>
      </c>
      <c r="D174" s="47" t="inlineStr">
        <is>
          <t>ブラウザ</t>
        </is>
      </c>
      <c r="E174" s="35" t="n">
        <v>2</v>
      </c>
      <c r="F174" s="36" t="n">
        <v>1.667883211678832</v>
      </c>
      <c r="G174" s="47" t="inlineStr">
        <is>
          <t>なし</t>
        </is>
      </c>
      <c r="H174" s="47" t="inlineStr">
        <is>
          <t>可</t>
        </is>
      </c>
      <c r="I174" s="47" t="inlineStr">
        <is>
          <t>Q: ブラウザとは何ですか？また、どのような役割を果たしますか？
A: ブラウザとは、インターネット上の情報を閲覧するためのソフトウェアです。主な役割は、ウェブサイトを構成するHTMLやCSSを解析し、ユーザーが目で見えるウェブページとして画面に表示することです。Google Chrome、Safariなどが代表的です。
Q: ブラウザの「Cookie」と「キャッシュ」は、それぞれどのような機能ですか？
A: Cookie（クッキー）は、ウェブサイトの訪問履歴などユーザーに関する情報を保存し、ログイン状態の維持など利便性を高める機能です。一方、キャッシュは、ウェブページのデータ（画像など）を一時保存し、再訪問時の表示速度を向上させる機能です。
Q: ブラウザを選ぶ際に重視すべきポイントは何ですか？
A: 表示までの速度、拡張機能の豊富さ、セキュリティの強度などが重要なポイントです。特にGoogle Chromeはカスタマイズ性が高く、SafariはApple製品との連携に優れるなど、ご自身の利用目的やデバイス環境との相性で選ぶことが推奨されます。</t>
        </is>
      </c>
      <c r="J174" s="47" t="n"/>
      <c r="K174" s="47" t="inlineStr">
        <is>
          <t>OK</t>
        </is>
      </c>
      <c r="L174" s="47" t="inlineStr">
        <is>
          <t>未確認</t>
        </is>
      </c>
      <c r="M174" s="47" t="inlineStr">
        <is>
          <t>未依頼</t>
        </is>
      </c>
      <c r="N174" s="47" t="inlineStr">
        <is>
          <t>クリニック以外</t>
        </is>
      </c>
      <c r="O174" s="47" t="n"/>
      <c r="P174" s="47" t="n"/>
      <c r="Q174" s="47" t="n"/>
      <c r="R174" s="47" t="n"/>
    </row>
    <row r="175" ht="15.75" customHeight="1" s="185">
      <c r="A175" s="52">
        <f>row()-3</f>
        <v/>
      </c>
      <c r="B175" s="46" t="inlineStr">
        <is>
          <t>業務提携とは？資本提携・業務委託との違いや進め方、成功するためのポイントを解説</t>
        </is>
      </c>
      <c r="C175" s="10" t="inlineStr">
        <is>
          <t>https://dym.asia/media/business-partnership/</t>
        </is>
      </c>
      <c r="D175" s="47" t="inlineStr">
        <is>
          <t>業務提携 業務委託 違い</t>
        </is>
      </c>
      <c r="E175" s="35" t="n">
        <v>2</v>
      </c>
      <c r="F175" s="36" t="n">
        <v>8.921363040629096</v>
      </c>
      <c r="G175" s="47" t="inlineStr">
        <is>
          <t>なし</t>
        </is>
      </c>
      <c r="H175" s="47" t="inlineStr">
        <is>
          <t>可</t>
        </is>
      </c>
      <c r="I175" s="47" t="inlineStr">
        <is>
          <t>Q: 業務提携とは具体的にどのような関係を指しますか？
A: 企業同士が対等な立場で協力関係を結び、お互いの経営資源（ノウハウ、技術、販売網など）を共有することで、共通の目標達成や利益獲得を目指す契約です。M&amp;Aのような経営権の移動はなく、独立した企業間の協力関係を維持します。
Q: 業務提携は「資本提携」や「業務委託」と何が違いますか？
A: 資本提携は、業務提携に加えて株式の取得による資本の共有を伴います。一方、業務委託は、一方的に業務を発注し対価を支払う関係であり、提携のように対等な立場で経営資源を共有する協力関係ではありません。
Q: 業務提携を結ぶメリットと、注意すべきデメリットは何ですか？
A: メリットは、リソースの共有による新規事業のリスク低減、事業の拡大・強化、シナジー効果の獲得です。デメリットは、情報漏洩や自社の資源・人材流出のリスクがある点や、提携先との文化や価値観の違いから関係が解消に至る恐れがある点です。</t>
        </is>
      </c>
      <c r="J175" s="47" t="n"/>
      <c r="K175" s="47" t="inlineStr">
        <is>
          <t>OK</t>
        </is>
      </c>
      <c r="L175" s="47" t="inlineStr">
        <is>
          <t>未確認</t>
        </is>
      </c>
      <c r="M175" s="47" t="inlineStr">
        <is>
          <t>未依頼</t>
        </is>
      </c>
      <c r="N175" s="47" t="inlineStr">
        <is>
          <t>クリニック以外</t>
        </is>
      </c>
      <c r="O175" s="47" t="n"/>
      <c r="P175" s="47" t="n"/>
      <c r="Q175" s="47" t="n"/>
      <c r="R175" s="47" t="n"/>
    </row>
    <row r="176" ht="15.75" customHeight="1" s="185">
      <c r="A176" s="52">
        <f>row()-3</f>
        <v/>
      </c>
      <c r="B176" s="46" t="inlineStr">
        <is>
          <t>コールセンターのSV、スーパーバイザーの仕事内容とは？</t>
        </is>
      </c>
      <c r="C176" s="10" t="inlineStr">
        <is>
          <t>https://dym.asia/media/call-center-sv/</t>
        </is>
      </c>
      <c r="D176" s="47" t="inlineStr">
        <is>
          <t>コールセンター sv 将来性</t>
        </is>
      </c>
      <c r="E176" s="35" t="n">
        <v>2</v>
      </c>
      <c r="F176" s="36" t="n">
        <v>7.156521739130435</v>
      </c>
      <c r="G176" s="47" t="inlineStr">
        <is>
          <t>なし</t>
        </is>
      </c>
      <c r="H176" s="47" t="inlineStr">
        <is>
          <t>可</t>
        </is>
      </c>
      <c r="I176" s="47" t="inlineStr">
        <is>
          <t>Q: コールセンターのSV（スーパーバイザー）の主な役割は何ですか？
A: SVは、現場のオペレーターと経営層の橋渡し役として、コールセンター全体の品質と効率を高める重要な役割を担います。具体的には、オペレーターの管理・育成、KPI管理と業務改善の立案、クライアント対応など、多岐にわたる業務を行います。
Q: SVに求められる、特に重要なスキルは何ですか？
A: チームをまとめ目標達成に導くためのリーダーシップ能力と、顧客からのクレームや突発的なトラブルに迅速かつ適切に対応するための問題解決能力が特に重要です。また、コミュニケーション能力やデータ分析能力も必須とされます。
Q: コールセンター未経験からSVになることはできますか？
A: SVになるためには、現場の業務内容や課題を熟知している必要があるため、オペレーターとしての実務経験（2〜3年程度）が最も重要な要素とされます。未経験から直接SVになるのは難しく、まずはオペレーターとして経験を積むことが一般的なキャリアパスです。</t>
        </is>
      </c>
      <c r="J176" s="47" t="n"/>
      <c r="K176" s="47" t="inlineStr">
        <is>
          <t>OK</t>
        </is>
      </c>
      <c r="L176" s="47" t="inlineStr">
        <is>
          <t>未確認</t>
        </is>
      </c>
      <c r="M176" s="47" t="inlineStr">
        <is>
          <t>未依頼</t>
        </is>
      </c>
      <c r="N176" s="47" t="inlineStr">
        <is>
          <t>クリニック以外</t>
        </is>
      </c>
      <c r="O176" s="47" t="n"/>
      <c r="P176" s="47" t="n"/>
      <c r="Q176" s="47" t="n"/>
      <c r="R176" s="47" t="n"/>
    </row>
    <row r="177" ht="15.75" customHeight="1" s="185">
      <c r="A177" s="52">
        <f>row()-3</f>
        <v/>
      </c>
      <c r="B177" s="46" t="inlineStr">
        <is>
          <t>顎のボトックス注射とは？効果と注意点を徹底解説</t>
        </is>
      </c>
      <c r="C177" s="10" t="inlineStr">
        <is>
          <t>https://dym.asia/media/chin-botox/</t>
        </is>
      </c>
      <c r="D177" s="47" t="inlineStr">
        <is>
          <t>顎ボトックス デメリット</t>
        </is>
      </c>
      <c r="E177" s="35" t="n">
        <v>2</v>
      </c>
      <c r="F177" s="36" t="n">
        <v>12.75</v>
      </c>
      <c r="G177" s="47" t="inlineStr">
        <is>
          <t>あり</t>
        </is>
      </c>
      <c r="H177" s="47" t="inlineStr">
        <is>
          <t>既存</t>
        </is>
      </c>
      <c r="I177" s="47" t="inlineStr">
        <is>
          <t>対応不要</t>
        </is>
      </c>
      <c r="J177" s="47" t="n"/>
      <c r="K177" s="47" t="inlineStr">
        <is>
          <t>対応不要</t>
        </is>
      </c>
      <c r="L177" s="47" t="inlineStr">
        <is>
          <t>対応不要</t>
        </is>
      </c>
      <c r="M177" s="47" t="inlineStr">
        <is>
          <t>対応不要</t>
        </is>
      </c>
      <c r="N177" s="47" t="inlineStr">
        <is>
          <t>クリニック以外</t>
        </is>
      </c>
      <c r="O177" s="47" t="n"/>
      <c r="P177" s="47" t="n"/>
      <c r="Q177" s="47" t="n"/>
      <c r="R177" s="47" t="n"/>
    </row>
    <row r="178" ht="15.75" customHeight="1" s="185">
      <c r="A178" s="52">
        <f>row()-3</f>
        <v/>
      </c>
      <c r="B178" s="46" t="inlineStr">
        <is>
          <t>クリニック継承はなぜ失敗する？トラブル事例と成功への道</t>
        </is>
      </c>
      <c r="C178" s="10" t="inlineStr">
        <is>
          <t>https://dym.asia/media/clinic-inheritance/</t>
        </is>
      </c>
      <c r="D178" s="47" t="inlineStr">
        <is>
          <t>クリニック継承 失敗</t>
        </is>
      </c>
      <c r="E178" s="35" t="n">
        <v>2</v>
      </c>
      <c r="F178" s="36" t="n">
        <v>6.67479674796748</v>
      </c>
      <c r="G178" s="47" t="inlineStr">
        <is>
          <t>なし</t>
        </is>
      </c>
      <c r="H178" s="47" t="inlineStr">
        <is>
          <t>可</t>
        </is>
      </c>
      <c r="I178" s="47" t="inlineStr">
        <is>
          <t>Q: クリニック継承の最も重要なメリットは何ですか？
A: 後継者側にとっては、新規開業よりもリスクやコストを抑えつつ、既存の安定した患者基盤や設備を引き継ぎやすい点が挙げられます。また、地域医療の観点からは、後継者不足によるクリニックの廃業を防ぎ、医療提供を継続できることが大きなメリットです。
Q: クリニック継承が失敗する主な原因は何ですか？
A: 主な原因としては、経営状態の綿密な調査不足（患者数の減少や財務状況の悪化を見落とす）や、新旧院長の診療方針の違いによる患者離れ、またスタッフの大量離職などが挙げられます。
Q: クリニック継承を成功させるために、後継者がすべき重要なステップは何ですか？
A: 成功するためには、過去の患者数や財務状況を把握するための綿密な事前調査（デューデリジェンス）が不可欠です。また、前院長との十分な対話を通じて信頼関係を築き、継承後の明確な経営計画を立案することが鍵となります。</t>
        </is>
      </c>
      <c r="J178" s="47" t="n"/>
      <c r="K178" s="47" t="inlineStr">
        <is>
          <t>修正済</t>
        </is>
      </c>
      <c r="L178" s="47" t="inlineStr">
        <is>
          <t>未確認</t>
        </is>
      </c>
      <c r="M178" s="47" t="inlineStr">
        <is>
          <t>未依頼</t>
        </is>
      </c>
      <c r="N178" s="47" t="inlineStr">
        <is>
          <t>クリニック以外</t>
        </is>
      </c>
      <c r="O178" s="47" t="n"/>
      <c r="P178" s="47" t="n"/>
      <c r="Q178" s="47" t="n"/>
      <c r="R178" s="47" t="n"/>
    </row>
    <row r="179" ht="15.75" customHeight="1" s="185">
      <c r="A179" s="52">
        <f>row()-3</f>
        <v/>
      </c>
      <c r="B179" s="46" t="inlineStr">
        <is>
          <t>クロージングとは？失敗する原因や役立つテクニックを解説</t>
        </is>
      </c>
      <c r="C179" s="10" t="inlineStr">
        <is>
          <t>https://dym.asia/media/closing/</t>
        </is>
      </c>
      <c r="D179" s="47" t="inlineStr">
        <is>
          <t>クロージングとは</t>
        </is>
      </c>
      <c r="E179" s="35" t="n">
        <v>2</v>
      </c>
      <c r="F179" s="36" t="n">
        <v>10.21922196796339</v>
      </c>
      <c r="G179" s="47" t="inlineStr">
        <is>
          <t>なし</t>
        </is>
      </c>
      <c r="H179" s="47" t="inlineStr">
        <is>
          <t>可</t>
        </is>
      </c>
      <c r="I179" s="47" t="inlineStr">
        <is>
          <t>Q: 営業における「クロージング」とは何ですか？
A: 商談や取引が最終段階に達した際に、顧客の購入や契約の意思を最終的に確認し、契約締結へ促す段階を指します。このプロセスが成功すると、契約後の商品導入やサービス運用へと進みます。
Q: 営業プロセスの「クロージング」「クローズ」「最終合意」の違いは何ですか？
A: クロージングとは契約の意思を確認し促すプロセスです。クローズは、取引の成否にかかわらず、商談が終結した状態を指します。最終合意は価格や納期などの具体的な条件を最終的に調整し合意する段階です。
Q: クロージングを失敗させないための重要なコツは何ですか？
A: 顧客のニーズに合っているか確認した上で、契約後のメリットや未来を具体的にイメージさせることが重要です。また、信頼性を高めるためにメリットだけでなくデメリットも正直に伝え、複数の選択肢を提示して顧客に選んでもらう手法も有効です。</t>
        </is>
      </c>
      <c r="J179" s="47" t="n"/>
      <c r="K179" s="47" t="inlineStr">
        <is>
          <t>OK</t>
        </is>
      </c>
      <c r="L179" s="47" t="inlineStr">
        <is>
          <t>未確認</t>
        </is>
      </c>
      <c r="M179" s="47" t="inlineStr">
        <is>
          <t>未依頼</t>
        </is>
      </c>
      <c r="N179" s="47" t="inlineStr">
        <is>
          <t>クリニック以外</t>
        </is>
      </c>
      <c r="O179" s="47" t="n"/>
      <c r="P179" s="47" t="n"/>
      <c r="Q179" s="47" t="n"/>
      <c r="R179" s="47" t="n"/>
    </row>
    <row r="180" ht="15.75" customHeight="1" s="185">
      <c r="A180" s="52">
        <f>row()-3</f>
        <v/>
      </c>
      <c r="B180" s="46" t="inlineStr">
        <is>
          <t>Dリーグに関するコラム一覧</t>
        </is>
      </c>
      <c r="C180" s="10" t="inlineStr">
        <is>
          <t>https://dym.asia/media/column_tag/d-league/</t>
        </is>
      </c>
      <c r="D180" s="47" t="inlineStr">
        <is>
          <t>dym dリーグ</t>
        </is>
      </c>
      <c r="E180" s="35" t="n">
        <v>2</v>
      </c>
      <c r="F180" s="36" t="n">
        <v>8.954545454545453</v>
      </c>
      <c r="G180" s="47" t="inlineStr">
        <is>
          <t>なし</t>
        </is>
      </c>
      <c r="H180" s="47" t="inlineStr">
        <is>
          <t>不可</t>
        </is>
      </c>
      <c r="I180" s="47" t="inlineStr">
        <is>
          <t>対応不要</t>
        </is>
      </c>
      <c r="J180" s="47" t="n"/>
      <c r="K180" s="47" t="inlineStr">
        <is>
          <t>対応不要</t>
        </is>
      </c>
      <c r="L180" s="47" t="inlineStr">
        <is>
          <t>対応不要</t>
        </is>
      </c>
      <c r="M180" s="47" t="inlineStr">
        <is>
          <t>対応不要</t>
        </is>
      </c>
      <c r="N180" s="47" t="inlineStr">
        <is>
          <t>クリニック以外</t>
        </is>
      </c>
      <c r="O180" s="47" t="n"/>
      <c r="P180" s="47" t="n"/>
      <c r="Q180" s="47" t="n"/>
      <c r="R180" s="47" t="n"/>
    </row>
    <row r="181" ht="15.75" customHeight="1" s="185">
      <c r="A181" s="52">
        <f>row()-3</f>
        <v/>
      </c>
      <c r="B181" s="46" t="e"/>
      <c r="C181" s="6" t="inlineStr">
        <is>
          <t>https://dym.asia/media/cpc/</t>
        </is>
      </c>
      <c r="D181" s="47" t="inlineStr">
        <is>
          <t>cpc とは</t>
        </is>
      </c>
      <c r="E181" s="35" t="n">
        <v>2</v>
      </c>
      <c r="F181" s="36" t="n">
        <v>7.916370106761565</v>
      </c>
      <c r="G181" s="47" t="inlineStr">
        <is>
          <t>なし</t>
        </is>
      </c>
      <c r="H181" s="47" t="inlineStr">
        <is>
          <t>可</t>
        </is>
      </c>
      <c r="I181" s="47" t="inlineStr">
        <is>
          <t>Q: 広告におけるCPCとは何ですか？また、どのように計算しますか？
A: CPCとは、Cost Per Click（クリック単価）の略で、インターネット広告において1回のクリックごとに発生する広告掲載料金を指します。計算方法は「広告費 ÷ クリック数」で求められます。なお、この数値が低いほど、クリック単価が安く、広告費用を抑えた効率的な運用ができていると言えますが、最終的な成果（購入や会員登録）に結びつかない場合には、必ずしも費用対効果が高いとは限らない点に注意が必要です。
Q: CPCとPPC、CPAの違いを教えてください。
A: CPCは1クリックあたりの費用を示す指標であり、PPC（Pay Per Click）はクリックごとに課金される広告モデルを指します。CPCは、そのPPCモデルに基づいて計算されるクリック単価を示す指標です。実務上、PPCとCPCは近い意味で使われることもありますが、PPCは「課金方式」、CPCはその結果としての「単価指標」として異なる概念です。一方、CPA（Cost Per Acquisition）は、購入や会員登録などの1件の成果あたりにかかる費用を示す指標であり、CPCとは異なります。
Q: CPCを最適化し、費用対効果を上げるにはどうすれば良いですか？
A: CPCを最適化するには、広告の品質スコアを高めることが重要です。具体的には、ユーザーの検索意図に合ったキーワードの適切な選定、クリック率を高める魅力的な広告文の作成、そして広告内容と一致するランディングページの最適化が有効です。また、CPCが低くても最終的な成果（購入や会員登録）に結びつかなければ、費用対効果を最適化することにはなりませんので、最終的な成果を意識した広告運用が重要です。</t>
        </is>
      </c>
      <c r="J181" s="47" t="n"/>
      <c r="K181" s="47" t="inlineStr">
        <is>
          <t>修正済</t>
        </is>
      </c>
      <c r="L181" s="47" t="inlineStr">
        <is>
          <t>未確認</t>
        </is>
      </c>
      <c r="M181" s="47" t="inlineStr">
        <is>
          <t>未依頼</t>
        </is>
      </c>
      <c r="N181" s="47" t="inlineStr">
        <is>
          <t>クリニック以外</t>
        </is>
      </c>
      <c r="O181" s="47" t="n"/>
      <c r="P181" s="47" t="n"/>
      <c r="Q181" s="47" t="n"/>
      <c r="R181" s="47" t="n"/>
    </row>
    <row r="182" ht="15.75" customHeight="1" s="185">
      <c r="A182" s="52">
        <f>row()-3</f>
        <v/>
      </c>
      <c r="B182" s="46" t="inlineStr">
        <is>
          <t>CTR（クリック率）とは？意味、計算方法、平均値、改善策を解説</t>
        </is>
      </c>
      <c r="C182" s="10" t="inlineStr">
        <is>
          <t>https://dym.asia/media/ctr/</t>
        </is>
      </c>
      <c r="D182" s="47" t="inlineStr">
        <is>
          <t>クリック率 平均</t>
        </is>
      </c>
      <c r="E182" s="35" t="n">
        <v>2</v>
      </c>
      <c r="F182" s="36" t="n">
        <v>11.23958333333333</v>
      </c>
      <c r="G182" s="47" t="inlineStr">
        <is>
          <t>なし</t>
        </is>
      </c>
      <c r="H182" s="47" t="inlineStr">
        <is>
          <t>可</t>
        </is>
      </c>
      <c r="I182" s="47" t="inlineStr">
        <is>
          <t>Q: CTR（クリック率）とは何ですか？また、どのように計算しますか？
A: CTRとは、Click Through Rate（クリックスルー率）の略で、広告やウェブサイトが表示された回数（インプレッション数）に対し、実際にクリックされた回数の割合を示す指標です。計算式は「（クリック数 ÷ インプレッション数）× 100（%）」で求められます。
Q: CTRはなぜWebマーケティングにおいて重要視されるのですか？
A: CTRが広告やコンテンツがターゲットユーザーの関心やニーズにどれだけ合致しているかを示す直接的な指標だからです。特にリスティング広告においては、CTRの向上が広告の品質スコアの向上につながり、結果として広告費の削減にも寄与する可能性があります。
Q: 広告のCTRを向上させるためには、具体的にどのような対策が必要ですか？
A: CTR向上には、ユーザーの検索意図に合った適切なキーワードの選定と、ユーザーの関心を引く魅力的な広告文・タイトルの作成が不可欠です。また、広告効果をさらに高めるために、広告表示オプションを積極的に活用し、表示面積を広げることも有効です。</t>
        </is>
      </c>
      <c r="J182" s="47" t="n"/>
      <c r="K182" s="47" t="inlineStr">
        <is>
          <t>修正済</t>
        </is>
      </c>
      <c r="L182" s="47" t="inlineStr">
        <is>
          <t>未確認</t>
        </is>
      </c>
      <c r="M182" s="47" t="inlineStr">
        <is>
          <t>未依頼</t>
        </is>
      </c>
      <c r="N182" s="47" t="inlineStr">
        <is>
          <t>クリニック以外</t>
        </is>
      </c>
      <c r="O182" s="47" t="n"/>
      <c r="P182" s="47" t="n"/>
      <c r="Q182" s="47" t="n"/>
      <c r="R182" s="47" t="n"/>
    </row>
    <row r="183" ht="15.75" customHeight="1" s="185">
      <c r="A183" s="52">
        <f>row()-3</f>
        <v/>
      </c>
      <c r="B183" s="46" t="inlineStr">
        <is>
          <t>DX（デジタルトランスフォーメーション）とは？意味・定義を分かりやすく解説</t>
        </is>
      </c>
      <c r="C183" s="10" t="inlineStr">
        <is>
          <t>https://dym.asia/media/dx-about/</t>
        </is>
      </c>
      <c r="D183" s="47" t="inlineStr">
        <is>
          <t>dxの本質</t>
        </is>
      </c>
      <c r="E183" s="35" t="n">
        <v>2</v>
      </c>
      <c r="F183" s="36" t="n">
        <v>5.689655172413793</v>
      </c>
      <c r="G183" s="47" t="inlineStr">
        <is>
          <t>なし</t>
        </is>
      </c>
      <c r="H183" s="47" t="inlineStr">
        <is>
          <t>可</t>
        </is>
      </c>
      <c r="I183" s="10" t="inlineStr">
        <is>
          <t>Q: DX（デジタルトランスフォーメーション）とは、具体的に何をすることですか？
A: 単にデジタル技術を導入することではなく、データと技術を活用して、顧客ニーズを基にビジネスモデル、組織、プロセス、企業文化を根本的に変革し、競争優位性を確立することです。顧客体験の向上や新たな収益機会の創出を目指します。
Q: DXとIT化（デジタル化）の違いは何ですか？
A: IT化は既存の業務をデジタル技術で効率化する部分的な改善に留まります。一方、DXはビジネスモデルそのものを再構築し、企業全体の競争力を根本から変革することを目指す、より広範で長期的な取り組みです。
Q: 日本企業がDXを推進しないことで生じる最大のリスクは何ですか？
A: 最大のリスクは、レガシーシステム（古い技術基盤）の維持・運用コストが高騰し続けることです。これにより、市場変化への対応が遅れ、国際競争力を失い、企業の存続自体が困難になる可能性があります。
お気軽にお問い合わせください。
お問い合わせ先はこちら↓
https://dym.asia/contact/</t>
        </is>
      </c>
      <c r="J183" s="47" t="n"/>
      <c r="K183" s="47" t="inlineStr">
        <is>
          <t>OK</t>
        </is>
      </c>
      <c r="L183" s="47" t="inlineStr">
        <is>
          <t>未確認</t>
        </is>
      </c>
      <c r="M183" s="47" t="inlineStr">
        <is>
          <t>未依頼</t>
        </is>
      </c>
      <c r="N183" s="47" t="inlineStr">
        <is>
          <t>クリニック以外</t>
        </is>
      </c>
      <c r="O183" s="47" t="n"/>
      <c r="P183" s="47" t="n"/>
      <c r="Q183" s="47" t="n"/>
      <c r="R183" s="47" t="n"/>
    </row>
    <row r="184" ht="15.75" customHeight="1" s="185">
      <c r="A184" s="52">
        <f>row()-3</f>
        <v/>
      </c>
      <c r="B184" s="46" t="inlineStr">
        <is>
          <t>年末調整とは？必要書類の書き方および確定申告との違いを解説</t>
        </is>
      </c>
      <c r="C184" s="10" t="inlineStr">
        <is>
          <t>https://dym.asia/media/end-of-year-tax-adjustments/</t>
        </is>
      </c>
      <c r="D184" s="47" t="inlineStr">
        <is>
          <t>年末調整 書き方 わかりやすい 2025</t>
        </is>
      </c>
      <c r="E184" s="35" t="n">
        <v>2</v>
      </c>
      <c r="F184" s="36" t="n">
        <v>1.029722589167767</v>
      </c>
      <c r="G184" s="47" t="inlineStr">
        <is>
          <t>なし</t>
        </is>
      </c>
      <c r="H184" s="47" t="inlineStr">
        <is>
          <t>可</t>
        </is>
      </c>
      <c r="I184" s="47" t="inlineStr">
        <is>
          <t>Q: 年末調整とは何ですか？また、なぜ行う必要がありますか？
A: 年末調整とは、給与所得者が毎月の給与から源泉徴収された所得税と、本来1年間に納めるべき正確な税額の差額を精算する手続きです。この手続きにより、各種控除を適用し、多くの給与所得者は確定申告が不要になります。
Q: 年末調整の対象となるのはどのような人ですか？
A: 基本的に、1月1日から12月31日まで同一の勤務先で働いている給与所得者が対象です。ただし、給与の年間収入が2,000万円を超える方や、給与所得以外の所得が20万円を超える方などは対象外となり、ご自身で確定申告が必要です。また、年の途中で入社した場合でも、年末まで在籍し、年末調整を行う勤務先が1か所であれば、年末調整の対象となります。
Q: 年末調整と確定申告の違いは何ですか？
A: 年末調整は会社（勤務先）が従業員に代わって所得税の精算を行う手続きです。一方、確定申告は納税者本人が税務署に所得と納税額を申告する手続きであり、年末調整の対象外となる人や特定の控除を追加で申告したい人が行います。</t>
        </is>
      </c>
      <c r="J184" s="47" t="n"/>
      <c r="K184" s="47" t="inlineStr">
        <is>
          <t>修正済</t>
        </is>
      </c>
      <c r="L184" s="47" t="inlineStr">
        <is>
          <t>未確認</t>
        </is>
      </c>
      <c r="M184" s="47" t="inlineStr">
        <is>
          <t>未依頼</t>
        </is>
      </c>
      <c r="N184" s="47" t="inlineStr">
        <is>
          <t>クリニック以外</t>
        </is>
      </c>
      <c r="O184" s="47" t="n"/>
      <c r="P184" s="47" t="n"/>
      <c r="Q184" s="47" t="n"/>
      <c r="R184" s="47" t="n"/>
    </row>
    <row r="185" ht="15.75" customHeight="1" s="185">
      <c r="A185" s="52">
        <f>row()-3</f>
        <v/>
      </c>
      <c r="B185" s="46" t="inlineStr">
        <is>
          <t>Facebook運用代行のメリットと料金を紹介｜運用代行会社の選び方も解説</t>
        </is>
      </c>
      <c r="C185" s="10" t="inlineStr">
        <is>
          <t>https://dym.asia/media/facebook-operation/</t>
        </is>
      </c>
      <c r="D185" s="47" t="inlineStr">
        <is>
          <t>facebook 運用代行</t>
        </is>
      </c>
      <c r="E185" s="35" t="n">
        <v>2</v>
      </c>
      <c r="F185" s="36" t="n">
        <v>8.415775401069519</v>
      </c>
      <c r="G185" s="47" t="inlineStr">
        <is>
          <t>なし</t>
        </is>
      </c>
      <c r="H185" s="47" t="inlineStr">
        <is>
          <t>可</t>
        </is>
      </c>
      <c r="I185" s="10" t="inlineStr">
        <is>
          <t>Q: Facebook運用代行とは何ですか？また、依頼するメリットは何ですか？
A: Facebook運用代行とは、専門知識を持つ業者にコンテンツ作成、広告運用、コメント管理などのFacebookページ運用業務全般を委託するサービスです。メリットとして、専門家による効果的な運用と、社内リソースをコア業務に集中できる業務効率の向上が挙げられます。
Q: Facebook運用代行の費用相場はどのくらいですか？
A: 費用は、提供されるサービス内容（投稿代行のみか、広告運用・分析まで含むか）や業務範囲によって大きく異なりますが、月額数万円から数十万円が相場となることが多いです。選定する際は、費用と具体的な業務範囲が明確になっているかを確認することが重要です。DYMの詳しい内容が気になる方はお気軽にお問い合わせください。
お問い合わせ先はこちら↓
https://dym.asia/contact/
Q: 運用代行を利用する際に、注意すべきデメリットや選定のポイントは何ですか？
A: まずデメリットとして、社内にノウハウが蓄積しにくいことや、自社のブランドイメージが反映されにくいリスクが挙げられます。代行会社を選ぶ際のポイントは、豊富な実績があるか、炎上対策も含めた対応範囲が明確か、そして円滑なコミュニケーションが可能かを重視すべきです。</t>
        </is>
      </c>
      <c r="J185" s="47" t="n"/>
      <c r="K185" s="47" t="inlineStr">
        <is>
          <t>OK</t>
        </is>
      </c>
      <c r="L185" s="47" t="inlineStr">
        <is>
          <t>未確認</t>
        </is>
      </c>
      <c r="M185" s="47" t="inlineStr">
        <is>
          <t>未依頼</t>
        </is>
      </c>
      <c r="N185" s="47" t="inlineStr">
        <is>
          <t>クリニック以外</t>
        </is>
      </c>
      <c r="O185" s="47" t="n"/>
      <c r="P185" s="47" t="n"/>
      <c r="Q185" s="47" t="n"/>
      <c r="R185" s="47" t="n"/>
    </row>
    <row r="186" ht="15.75" customHeight="1" s="185">
      <c r="A186" s="52">
        <f>row()-3</f>
        <v/>
      </c>
      <c r="B186" s="46" t="inlineStr">
        <is>
          <t>風評被害対策とは？企業を守るための対策を解説</t>
        </is>
      </c>
      <c r="C186" s="10" t="inlineStr">
        <is>
          <t>https://dym.asia/media/fuhyo-higai-taisaku/</t>
        </is>
      </c>
      <c r="D186" s="47" t="inlineStr">
        <is>
          <t>風評被害対策</t>
        </is>
      </c>
      <c r="E186" s="35" t="n">
        <v>2</v>
      </c>
      <c r="F186" s="36" t="n">
        <v>12.49561236169401</v>
      </c>
      <c r="G186" s="47" t="inlineStr">
        <is>
          <t>なし</t>
        </is>
      </c>
      <c r="H186" s="47" t="inlineStr">
        <is>
          <t>可</t>
        </is>
      </c>
      <c r="I186" s="47" t="inlineStr">
        <is>
          <t>Q: 企業が受ける「風評被害」とは何ですか？また、どのような影響がありますか？
A: 風評被害とは、インターネット上で事実に基づかない噂や誤った情報が拡散されることにより、企業が経済的・社会的な損害を被る現象です。影響は、売上の大幅な減少や取引先からの信用失墜、従業員の離職率増加など、経営の根幹を揺るがすものに及びます。
Q: 風評被害への対策は、どのような段階で進めるべきですか？
A: 対策は、被害を未然に防ぐ「予防策」（SNSポリシー策定・監視）から始まり、発生時の「初期対応」（事実確認・声明発表）、被害を最小限に抑える「拡散防止」（削除依頼・法的措置）、評判を取り戻す「信頼回復」（逆SEO対策など）という5つの段階で体系的に講じることが効果的です。
Q: 拡散防止のために行う「逆SEO対策」とは何ですか？
A: 逆SEO対策とは、企業の理念や製品の正しい情報といったポジティブで信頼性の高いコンテンツを新たに発信・上位表示させることで、風評記事やサイトを検索結果の下位に押し下げる施策です。これにより、ユーザーが誤った情報に触れる機会を減らす効果が期待できます。</t>
        </is>
      </c>
      <c r="J186" s="47" t="n"/>
      <c r="K186" s="47" t="inlineStr">
        <is>
          <t>修正済</t>
        </is>
      </c>
      <c r="L186" s="47" t="inlineStr">
        <is>
          <t>未確認</t>
        </is>
      </c>
      <c r="M186" s="47" t="inlineStr">
        <is>
          <t>未依頼</t>
        </is>
      </c>
      <c r="N186" s="47" t="inlineStr">
        <is>
          <t>クリニック以外</t>
        </is>
      </c>
      <c r="O186" s="47" t="n"/>
      <c r="P186" s="47" t="n"/>
      <c r="Q186" s="47" t="n"/>
      <c r="R186" s="47" t="n"/>
    </row>
    <row r="187" ht="15.75" customHeight="1" s="185">
      <c r="A187" s="52">
        <f>row()-3</f>
        <v/>
      </c>
      <c r="B187" s="46" t="inlineStr">
        <is>
          <t>GDNとは？Googleディスプレイネットワーク広告の配信面やメリットを解説</t>
        </is>
      </c>
      <c r="C187" s="10" t="inlineStr">
        <is>
          <t>https://dym.asia/media/gdn/</t>
        </is>
      </c>
      <c r="D187" s="47" t="inlineStr">
        <is>
          <t>gdnとは</t>
        </is>
      </c>
      <c r="E187" s="35" t="n">
        <v>2</v>
      </c>
      <c r="F187" s="36" t="n">
        <v>4.257053291536049</v>
      </c>
      <c r="G187" s="47" t="inlineStr">
        <is>
          <t>なし</t>
        </is>
      </c>
      <c r="H187" s="47" t="inlineStr">
        <is>
          <t>可</t>
        </is>
      </c>
      <c r="I187" s="47" t="inlineStr">
        <is>
          <t>Q: GDN（Googleディスプレイネットワーク）とは何ですか？
A: GDNとは、Googleが提携する膨大な数のWebサイト、アプリ、YouTube、GmailといったGoogleサービスに、画像や動画形式の広告を配信する仕組みのことです。世界中のインターネットユーザーの90%以上にリーチできる可能性があり、世界最大級のネットワークを持っています。
Q: GDN広告は、リスティング広告と比べてどのような違いやメリットがありますか？
A: リスティング広告がニーズが明確な顕在層を狙うのに対し、GDNはウェブサイトの閲覧中などに広告を表示し、まだ自社サービスを知らない潜在層に広くアプローチできる点が大きな違いです。ブランド認知度の向上や幅広いリーチに優れています。
Q: GDNのターゲティングにはどのような種類がありますか？
A: 広告を届けたい「人」で絞る方法（ユーザー属性、興味関心など）と、広告を掲載する「配信面」で絞る方法（特定のサイトを指定するプレースメント、トピックなど）の2種類に大別されます。これらの機能とGA4連携により、サイト訪問者へのリマーケティングも可能です。</t>
        </is>
      </c>
      <c r="J187" s="47" t="n"/>
      <c r="K187" s="47" t="inlineStr">
        <is>
          <t>修正済</t>
        </is>
      </c>
      <c r="L187" s="47" t="inlineStr">
        <is>
          <t>未確認</t>
        </is>
      </c>
      <c r="M187" s="47" t="inlineStr">
        <is>
          <t>未依頼</t>
        </is>
      </c>
      <c r="N187" s="47" t="inlineStr">
        <is>
          <t>クリニック以外</t>
        </is>
      </c>
      <c r="O187" s="47" t="n"/>
      <c r="P187" s="47" t="n"/>
      <c r="Q187" s="47" t="n"/>
      <c r="R187" s="47" t="n"/>
    </row>
    <row r="188" ht="15.75" customHeight="1" s="185">
      <c r="A188" s="52">
        <f>row()-3</f>
        <v/>
      </c>
      <c r="B188" s="46" t="inlineStr">
        <is>
          <t>Googleリスティング広告のキーワード選び方｜選定のコツや設定方法を解説</t>
        </is>
      </c>
      <c r="C188" s="10" t="inlineStr">
        <is>
          <t>https://dym.asia/media/google-ads-keywords/</t>
        </is>
      </c>
      <c r="D188" s="47" t="inlineStr">
        <is>
          <t>google広告 キーワード設定</t>
        </is>
      </c>
      <c r="E188" s="35" t="n">
        <v>2</v>
      </c>
      <c r="F188" s="36" t="n">
        <v>11.22727272727273</v>
      </c>
      <c r="G188" s="47" t="inlineStr">
        <is>
          <t>あり</t>
        </is>
      </c>
      <c r="H188" s="47" t="inlineStr">
        <is>
          <t>既存</t>
        </is>
      </c>
      <c r="I188" s="47" t="inlineStr">
        <is>
          <t>対応不要</t>
        </is>
      </c>
      <c r="J188" s="47" t="n"/>
      <c r="K188" s="47" t="inlineStr">
        <is>
          <t>対応不要</t>
        </is>
      </c>
      <c r="L188" s="47" t="inlineStr">
        <is>
          <t>対応不要</t>
        </is>
      </c>
      <c r="M188" s="47" t="inlineStr">
        <is>
          <t>対応不要</t>
        </is>
      </c>
      <c r="N188" s="47" t="inlineStr">
        <is>
          <t>クリニック以外</t>
        </is>
      </c>
      <c r="O188" s="47" t="n"/>
      <c r="P188" s="47" t="n"/>
      <c r="Q188" s="47" t="n"/>
      <c r="R188" s="47" t="n"/>
    </row>
    <row r="189" ht="15.75" customHeight="1" s="185">
      <c r="A189" s="52">
        <f>row()-3</f>
        <v/>
      </c>
      <c r="B189" s="46" t="inlineStr">
        <is>
          <t>GoogleとYahoo!の検索エンジンの違いは？検索結果の差異も</t>
        </is>
      </c>
      <c r="C189" s="6" t="inlineStr">
        <is>
          <t>https://dym.asia/media/google-yahoo/</t>
        </is>
      </c>
      <c r="D189" s="47" t="inlineStr">
        <is>
          <t>yahoo google 違い</t>
        </is>
      </c>
      <c r="E189" s="35" t="n">
        <v>2</v>
      </c>
      <c r="F189" s="36" t="n">
        <v>8.181286549707602</v>
      </c>
      <c r="G189" s="47" t="inlineStr">
        <is>
          <t>なし</t>
        </is>
      </c>
      <c r="H189" s="47" t="inlineStr">
        <is>
          <t>可</t>
        </is>
      </c>
      <c r="I189" s="47" t="inlineStr">
        <is>
          <t>Q: GoogleとYahoo!の検索エンジンは、技術的に何が違いますか？
A: Googleは独自の高度なアルゴリズムに基づき、特にE-E-A-T（経験、専門性、権威性、信頼性）を重視して検索結果を表示します。一方、Yahoo!はポータルサイトとしての機能が強く、Googleの検索技術を一部採用しつつも、独自のアルゴリズムでニュースやローカルコンテンツを優先する傾向があります。
Q: GoogleとYahoo!では、利用するユーザー層に違いはありますか？
A: はい、違いがあります。Googleは若年層やビジネスパーソンに支持され、モバイルからの利用が多いのが特徴です。一方、Yahoo!は中高年層や主婦層に人気があり、デスクトップからの利用が多い傾向があります。
Q: 両方の検索エンジンでSEOを成功させるための共通のポイントは何ですか？
A: 検索エンジンの違いにかかわらず、最も重要なのはユーザーの検索意図を深く理解し、質の高いコンテンツを作成することです。また、Googleが重視するE-E-A-Tを高めるための内部施策や外部施策（被リンクなど）も、両方の検索エンジンで共通して効果的です。</t>
        </is>
      </c>
      <c r="J189" s="47" t="n"/>
      <c r="K189" s="47" t="inlineStr">
        <is>
          <t>修正済</t>
        </is>
      </c>
      <c r="L189" s="47" t="inlineStr">
        <is>
          <t>未確認</t>
        </is>
      </c>
      <c r="M189" s="47" t="inlineStr">
        <is>
          <t>未依頼</t>
        </is>
      </c>
      <c r="N189" s="47" t="inlineStr">
        <is>
          <t>クリニック以外</t>
        </is>
      </c>
      <c r="O189" s="47" t="n"/>
      <c r="P189" s="47" t="n"/>
      <c r="Q189" s="47" t="n"/>
      <c r="R189" s="47" t="n"/>
    </row>
    <row r="190" ht="15.75" customHeight="1" s="185">
      <c r="A190" s="52">
        <f>row()-3</f>
        <v/>
      </c>
      <c r="B190" s="46" t="inlineStr">
        <is>
          <t>インタビュー記事の書き方｜取材や構成のコツを徹底解説【例文付き】</t>
        </is>
      </c>
      <c r="C190" s="10" t="inlineStr">
        <is>
          <t>https://dym.asia/media/interview-article-how-to/</t>
        </is>
      </c>
      <c r="D190" s="47" t="inlineStr">
        <is>
          <t>インタビュー記事</t>
        </is>
      </c>
      <c r="E190" s="35" t="n">
        <v>2</v>
      </c>
      <c r="F190" s="36" t="n">
        <v>17.3</v>
      </c>
      <c r="G190" s="47" t="inlineStr">
        <is>
          <t>なし</t>
        </is>
      </c>
      <c r="H190" s="47" t="inlineStr">
        <is>
          <t>可</t>
        </is>
      </c>
      <c r="I190" s="47" t="inlineStr">
        <is>
          <t>Q: インタビュー記事を作成する主な目的と、一般的なSEO記事との違いは何ですか？
A: 主な目的は、取材対象者の人柄や背景にあるストーリーを通じて、読者の共感や深い理解を促進することです。一般的なSEO記事が検索流入を主目的とするのに対し、インタビュー記事は他にはない独自性の高い一次情報の提供に価値があります。
Q: インタビュー記事の作成において、最も重要な準備は何ですか？
A: 徹底した事前準備が、記事の完成度に大きく影響すると言われています。特に、記事の目的と読者のターゲットを明確にすること、そしてインタビュイーに関する徹底的なリサーチを行い、話の核となる「ストーリーの仮説」を立てることが不可欠です。
Q: インタビュー記事にはどのような形式があり、どう使い分けますか？
A: 主に「Q&amp;A形式（対談形式）」、「モノローグ形式（一人称形式）」、「ルポ形式（三人称形式）」の3つがあります。会話の臨場感を伝えるならQ&amp;A形式、個人的な深い想いを伝えるならモノローグ形式、客観的な情報と背景説明を重視するならルポ形式が適しています。</t>
        </is>
      </c>
      <c r="J190" s="47" t="n"/>
      <c r="K190" s="47" t="inlineStr">
        <is>
          <t>修正済</t>
        </is>
      </c>
      <c r="L190" s="47" t="inlineStr">
        <is>
          <t>未確認</t>
        </is>
      </c>
      <c r="M190" s="47" t="inlineStr">
        <is>
          <t>未依頼</t>
        </is>
      </c>
      <c r="N190" s="47" t="inlineStr">
        <is>
          <t>クリニック以外</t>
        </is>
      </c>
      <c r="O190" s="47" t="n"/>
      <c r="P190" s="47" t="n"/>
      <c r="Q190" s="47" t="n"/>
      <c r="R190" s="47" t="n"/>
    </row>
    <row r="191" ht="15.75" customHeight="1" s="185">
      <c r="A191" s="52">
        <f>row()-3</f>
        <v/>
      </c>
      <c r="B191" s="46" t="inlineStr">
        <is>
          <t>仲介手数料はいくら？土地売買のケースを徹底解説！計算方法や節約のコツ</t>
        </is>
      </c>
      <c r="C191" s="6" t="inlineStr">
        <is>
          <t>https://dym.asia/media/land-sales-agent-cost/</t>
        </is>
      </c>
      <c r="D191" s="47" t="inlineStr">
        <is>
          <t>土地売買 仲介手数料</t>
        </is>
      </c>
      <c r="E191" s="35" t="n">
        <v>2</v>
      </c>
      <c r="F191" s="36" t="n">
        <v>5.593406593406593</v>
      </c>
      <c r="G191" s="47" t="inlineStr">
        <is>
          <t>なし</t>
        </is>
      </c>
      <c r="H191" s="47" t="inlineStr">
        <is>
          <t>可</t>
        </is>
      </c>
      <c r="I191" s="47" t="inlineStr">
        <is>
          <t>Q: 土地売却の仲介手数料の計算方法と上限額はいくらですか？
A: 仲介手数料の上限額は、宅地建物取引業法により、「（売却価格の200万円以下の部分）×5%、（200万円超〜400万円以下の部分）×4%、（400万円超の部分）×3% + 6万円 + 消費税」と定められています。多くの不動産会社は、この計算方法に基づいた上限額を請求します。
Q: 仲介手数料を不動産会社に支払うタイミングはいつですか？
A: 仲介手数料は、通常、売買契約の締結時と土地の引き渡し時（決済時）の2回に分けて支払うことが一般的です。一般的には、契約時に50%、決済時に残りの50%を支払う形式が取られます。
Q: 土地売却の仲介手数料以外に発生する費用は何がありますか？
A: 仲介手数料の他に、売買契約書に貼付する印紙税、売却益が発生した場合の譲渡所得税（住民税含む）、土地の境界確認や確定測量を行った場合の測量費用、登記変更にかかる司法書士費用などが発生します。</t>
        </is>
      </c>
      <c r="J191" s="47" t="n"/>
      <c r="K191" s="47" t="inlineStr">
        <is>
          <t>修正済</t>
        </is>
      </c>
      <c r="L191" s="47" t="inlineStr">
        <is>
          <t>未確認</t>
        </is>
      </c>
      <c r="M191" s="47" t="inlineStr">
        <is>
          <t>未依頼</t>
        </is>
      </c>
      <c r="N191" s="47" t="inlineStr">
        <is>
          <t>クリニック以外</t>
        </is>
      </c>
      <c r="O191" s="47" t="n"/>
      <c r="P191" s="47" t="n"/>
      <c r="Q191" s="47" t="n"/>
      <c r="R191" s="47" t="n"/>
    </row>
    <row r="192" ht="15.75" customHeight="1" s="185">
      <c r="A192" s="52">
        <f>row()-3</f>
        <v/>
      </c>
      <c r="B192" s="46" t="inlineStr">
        <is>
          <t>リーダーシップとは？種類、意味、具体例をわかりやすく解説</t>
        </is>
      </c>
      <c r="C192" s="6" t="inlineStr">
        <is>
          <t>https://dym.asia/media/leadership/</t>
        </is>
      </c>
      <c r="D192" s="47" t="inlineStr">
        <is>
          <t>リーダーシップとは</t>
        </is>
      </c>
      <c r="E192" s="35" t="n">
        <v>2</v>
      </c>
      <c r="F192" s="36" t="n">
        <v>42.01814882032668</v>
      </c>
      <c r="G192" s="47" t="inlineStr">
        <is>
          <t>なし</t>
        </is>
      </c>
      <c r="H192" s="47" t="inlineStr">
        <is>
          <t>可</t>
        </is>
      </c>
      <c r="I192" s="47" t="inlineStr">
        <is>
          <t>Q: リーダーシップとは何ですか？また、マネジメントとの違いを教えてください。
A: リーダーシップとは、チームを目標達成に導く能力であり、メンバーの潜在能力を引き出し、共通の目的に向かって協力できる環境を作り出す力です。マネジメントが現状の維持・改善に焦点を当てるのに対し、リーダーシップは変革とビジョンの提示に焦点を当てます。
Q: リーダーシップにはどのような種類があり、どのように使い分けますか？
A: ビジョン型、コーチング型、調整型、指示命令型など多様な種類があります。例えば、組織の方向性を示す際にはビジョン型が、メンバーの成長を促す際にはコーチング型が適しています。状況やチームの成熟度に応じて適切なスタイルを使い分けることが重要です。
Q: リーダーシップを発揮するために、役職に関わらず全ての人に求められる要素は何ですか？
A: 役職に関わらず求められるのは、発想力、決断力、行動力といった能力に加え、高いコミュニケーション能力と誠実さ、信頼性といった人間的要素です。全てのメンバーが自身の強みを活かして状況に応じて自発的に貢献する姿勢が重要となります。</t>
        </is>
      </c>
      <c r="J192" s="47" t="n"/>
      <c r="K192" s="47" t="inlineStr">
        <is>
          <t>OK</t>
        </is>
      </c>
      <c r="L192" s="47" t="inlineStr">
        <is>
          <t>未確認</t>
        </is>
      </c>
      <c r="M192" s="47" t="inlineStr">
        <is>
          <t>未依頼</t>
        </is>
      </c>
      <c r="N192" s="47" t="inlineStr">
        <is>
          <t>クリニック以外</t>
        </is>
      </c>
      <c r="O192" s="47" t="n"/>
      <c r="P192" s="47" t="n"/>
      <c r="Q192" s="47" t="n"/>
      <c r="R192" s="47" t="n"/>
    </row>
    <row r="193" ht="15.75" customHeight="1" s="185">
      <c r="A193" s="52">
        <f>row()-3</f>
        <v/>
      </c>
      <c r="B193" s="46" t="inlineStr">
        <is>
          <t>LINE公式アカウントの運用代行・コンサルの活用メリット・選び方を解説</t>
        </is>
      </c>
      <c r="C193" s="6" t="inlineStr">
        <is>
          <t>https://dym.asia/media/line-official-consultant/</t>
        </is>
      </c>
      <c r="D193" s="47" t="inlineStr">
        <is>
          <t>lineコンサル</t>
        </is>
      </c>
      <c r="E193" s="35" t="n">
        <v>2</v>
      </c>
      <c r="F193" s="36" t="n">
        <v>10.91428571428571</v>
      </c>
      <c r="G193" s="47" t="inlineStr">
        <is>
          <t>なし</t>
        </is>
      </c>
      <c r="H193" s="47" t="inlineStr">
        <is>
          <t>可</t>
        </is>
      </c>
      <c r="I193" s="47" t="inlineStr">
        <is>
          <t>Q: LINE公式アカウントの運用代行・コンサルとは、どのようなサービスですか？
A: LINE運用の専門家が、企業に代わってアカウントの戦略立案から実行、分析までを一貫して支援するサービスです。日々のメッセージ配信やクリエイティブ制作などの実務を委託する「運用代行」と、戦略的な助言に特化した「コンサルティング」に分けられます。
Q: LINE運用代行を活用する最大のメリットは何ですか？
A: 専門知識を持つプロによる戦略的なアプローチで、集客効果を最大化できる点です。セグメント配信やステップ配信などを駆使し、ブロック率の低下とコンバージョン率の向上を実現します。また、社内リソースをコア業務に集中できることも大きな利点です。
Q: 運用代行会社を選ぶ際に、特に重視すべきポイントは何ですか？
A: 自社の業界における具体的な数値実績（例：CVR改善率）が公開されているかを確認すること、料金体系と契約内容が明確であること、そして担当者との相性や円滑なコミュニケーションが可能であるかを重視すべきです。</t>
        </is>
      </c>
      <c r="J193" s="47" t="n"/>
      <c r="K193" s="47" t="inlineStr">
        <is>
          <t>OK</t>
        </is>
      </c>
      <c r="L193" s="47" t="inlineStr">
        <is>
          <t>未確認</t>
        </is>
      </c>
      <c r="M193" s="47" t="inlineStr">
        <is>
          <t>未依頼</t>
        </is>
      </c>
      <c r="N193" s="47" t="inlineStr">
        <is>
          <t>クリニック以外</t>
        </is>
      </c>
      <c r="O193" s="47" t="n"/>
      <c r="P193" s="47" t="n"/>
      <c r="Q193" s="47" t="n"/>
      <c r="R193" s="47" t="n"/>
    </row>
    <row r="194" ht="15.75" customHeight="1" s="185">
      <c r="A194" s="52">
        <f>row()-3</f>
        <v/>
      </c>
      <c r="B194" s="46" t="inlineStr">
        <is>
          <t>【運営者向け】LINE公式アカウントを削除する方法を解説｜削除時の注意点も</t>
        </is>
      </c>
      <c r="C194" s="10" t="inlineStr">
        <is>
          <t>https://dym.asia/media/line-official-delete/</t>
        </is>
      </c>
      <c r="D194" s="47" t="inlineStr">
        <is>
          <t>line公式アカウント 削除</t>
        </is>
      </c>
      <c r="E194" s="35" t="n">
        <v>2</v>
      </c>
      <c r="F194" s="36" t="n">
        <v>2.408185840707965</v>
      </c>
      <c r="G194" s="47" t="inlineStr">
        <is>
          <t>なし</t>
        </is>
      </c>
      <c r="H194" s="47" t="inlineStr">
        <is>
          <t>可</t>
        </is>
      </c>
      <c r="I194" s="47" t="inlineStr">
        <is>
          <t>Q: LINE公式アカウントを削除する際の最も重要な注意点は何ですか？
A: 一度アカウント削除の手続きを行うと、30日が経過した時点でデータや設定の復元が不可能になる点です。必ず事前に、必要なデータのバックアップ（チャット履歴など）と、友だち（フォロワー）へのサービス終了の告知を済ませる必要があります。
Q: アカウントを削除した場合、課金や料金はどうなりますか？
A: 契約している料金プランの月の途中で削除した場合でも、日割りでの返金はされません。また、プレミアムIDを購入している場合は、LINE公式アカウントの削除手続きとは別に、App StoreやGoogle Playなどで別途解約手続きが必要となるため注意が必要です。
Q: 友だち（ユーザー）としてアカウントをリストから完全に消すにはどうすれば良いですか？
A: 友だちリストから完全に消すには、まずアカウントを「ブロック」し、その後にブロックリストからも「削除」するという2段階の手順が必要です。ブロックするだけではリストには残り続け、メッセージが届かなくなるだけとなります。</t>
        </is>
      </c>
      <c r="J194" s="47" t="n"/>
      <c r="K194" s="47" t="inlineStr">
        <is>
          <t>OK</t>
        </is>
      </c>
      <c r="L194" s="47" t="inlineStr">
        <is>
          <t>未確認</t>
        </is>
      </c>
      <c r="M194" s="47" t="inlineStr">
        <is>
          <t>未依頼</t>
        </is>
      </c>
      <c r="N194" s="47" t="inlineStr">
        <is>
          <t>クリニック以外</t>
        </is>
      </c>
      <c r="O194" s="47" t="n"/>
      <c r="P194" s="47" t="n"/>
      <c r="Q194" s="47" t="n"/>
      <c r="R194" s="47" t="n"/>
    </row>
    <row r="195" ht="15.75" customHeight="1" s="185">
      <c r="A195" s="52">
        <f>row()-3</f>
        <v/>
      </c>
      <c r="B195" s="46" t="inlineStr">
        <is>
          <t>リスティング広告の費用目安は？予算の決め方やコスパを高めるポイントを解説！</t>
        </is>
      </c>
      <c r="C195" s="10" t="inlineStr">
        <is>
          <t>https://dym.asia/media/listing-ads/</t>
        </is>
      </c>
      <c r="D195" s="47" t="inlineStr">
        <is>
          <t>リスティング広告とは</t>
        </is>
      </c>
      <c r="E195" s="35" t="n">
        <v>2</v>
      </c>
      <c r="F195" s="36" t="n">
        <v>2.953488372093023</v>
      </c>
      <c r="G195" s="47" t="inlineStr">
        <is>
          <t>なし</t>
        </is>
      </c>
      <c r="H195" s="47" t="inlineStr">
        <is>
          <t>可</t>
        </is>
      </c>
      <c r="I195" s="47" t="inlineStr">
        <is>
          <t>Q: リスティング広告の費用はどのように決まりますか？
A: リスティング広告は、ユーザーがクリックした時にのみ費用が発生するクリック課金制（CPC）が採用されています。広告の掲載順位とクリック単価は、入札価格と広告の品質スコアの組み合わせで決まるオークション制によって決定されます。
Q: リスティング広告の予算は、どのように設定するのが効果的ですか？
A: 目標とするコンバージョン数（CV）や目標CPA（顧客獲得単価）から逆算して算出する方法が効果的です。また、出稿前に「ここまで来たらストップする」という撤退ラインと、成果が出た際の増額基準を事前に決めておくことが重要です。
Q: リスティング広告の費用対効果（コスパ）を高めるための具体的な運用方法はありますか？
A: 広告の品質スコアを向上させることは、費用対効果を高めるための重要な要素の一つです。具体的には、関連性の低い検索を除外する除外キーワードの設定、指名キーワードの活用、そして広告文と内容が一致したランディングページ（LP）の改善が効果的です。</t>
        </is>
      </c>
      <c r="J195" s="47" t="n"/>
      <c r="K195" s="47" t="inlineStr">
        <is>
          <t>修正済</t>
        </is>
      </c>
      <c r="L195" s="47" t="inlineStr">
        <is>
          <t>未確認</t>
        </is>
      </c>
      <c r="M195" s="47" t="inlineStr">
        <is>
          <t>未依頼</t>
        </is>
      </c>
      <c r="N195" s="47" t="inlineStr">
        <is>
          <t>クリニック以外</t>
        </is>
      </c>
      <c r="O195" s="47" t="n"/>
      <c r="P195" s="47" t="n"/>
      <c r="Q195" s="47" t="n"/>
      <c r="R195" s="47" t="n"/>
    </row>
    <row r="196" ht="15.75" customHeight="1" s="185">
      <c r="A196" s="52">
        <f>row()-3</f>
        <v/>
      </c>
      <c r="B196" s="46" t="inlineStr">
        <is>
          <t>ロジカルシンキングとは？意味や構成要素・論理的思考の鍛え方解説</t>
        </is>
      </c>
      <c r="C196" s="10" t="inlineStr">
        <is>
          <t>https://dym.asia/media/logical-thinking/</t>
        </is>
      </c>
      <c r="D196" s="47" t="inlineStr">
        <is>
          <t>論理的思考とは</t>
        </is>
      </c>
      <c r="E196" s="35" t="n">
        <v>2</v>
      </c>
      <c r="F196" s="36" t="n">
        <v>4.49560632688928</v>
      </c>
      <c r="G196" s="47" t="inlineStr">
        <is>
          <t>なし</t>
        </is>
      </c>
      <c r="H196" s="47" t="inlineStr">
        <is>
          <t>可</t>
        </is>
      </c>
      <c r="I196" s="47" t="inlineStr">
        <is>
          <t>Q: ロジカルシンキングとは何ですか？
A: ロジカルシンキングとは、物事を論理的に捉え、筋道を立てて考える思考法です。複雑な問題や課題を要素に分解し、感情や直感ではなく、事実やデータに基づいて矛盾のない結論を導き出すプロセスを指します。
Q: ロジカルシンキングとクリティカルシンキングの違いは何ですか？
A: ロジカルシンキングが論理的な筋道を立てて正しい結論を導くための思考法であるのに対し、クリティカルシンキングはその結論や前提が本当に正しいのか、他に可能性はないかを客観的・批判的に検証する思考法です。両者は相互に作用し合い、より精度の高い意思決定に貢献します。
Q: ロジカルシンキング能力を鍛えるために、日常で何をすべきですか？
A: 日常的な問題や課題に対し、常に「なぜ（Why So?）」「どのように（How?）」という疑問を持ち、事実に基づいて論理を構築する習慣をつけることが効果的です。また、ピラミッドストラクチャーやロジックツリーといったフレームワークを活用し、思考の過程を可視化することで、論理を簡潔に整理する訓練になります。</t>
        </is>
      </c>
      <c r="J196" s="47" t="n"/>
      <c r="K196" s="47" t="inlineStr">
        <is>
          <t>OK</t>
        </is>
      </c>
      <c r="L196" s="47" t="inlineStr">
        <is>
          <t>未確認</t>
        </is>
      </c>
      <c r="M196" s="47" t="inlineStr">
        <is>
          <t>未依頼</t>
        </is>
      </c>
      <c r="N196" s="47" t="inlineStr">
        <is>
          <t>クリニック以外</t>
        </is>
      </c>
      <c r="O196" s="47" t="n"/>
      <c r="P196" s="47" t="n"/>
      <c r="Q196" s="47" t="n"/>
      <c r="R196" s="47" t="n"/>
    </row>
    <row r="197" ht="15.75" customHeight="1" s="185">
      <c r="A197" s="52">
        <f>row()-3</f>
        <v/>
      </c>
      <c r="B197" s="46" t="inlineStr">
        <is>
          <t>医療法人M&amp;A｜病院売却のスキーム解説</t>
        </is>
      </c>
      <c r="C197" s="10" t="inlineStr">
        <is>
          <t>https://dym.asia/media/medical-corporation-ma/</t>
        </is>
      </c>
      <c r="D197" s="47" t="inlineStr">
        <is>
          <t>徳洲会 m&amp;a</t>
        </is>
      </c>
      <c r="E197" s="35" t="n">
        <v>2</v>
      </c>
      <c r="F197" s="36" t="n">
        <v>10.5</v>
      </c>
      <c r="G197" s="47" t="inlineStr">
        <is>
          <t>なし</t>
        </is>
      </c>
      <c r="H197" s="47" t="inlineStr">
        <is>
          <t>可</t>
        </is>
      </c>
      <c r="I197" s="47" t="inlineStr">
        <is>
          <t>Q: 医療法人のM&amp;Aが一般企業と比べて複雑なのはなぜですか？
A: 医療法人は、剰余金の分配（配当）が禁止されるという「非営利性」が制度上求められており、一般企業とは異なる法的制約があります。また、持分あり・なしといった法人の類型によってM&amp;Aのスキームや行政手続きが大きく異なり、専門知識が不可欠です。
Q: 医療法人のM&amp;Aが近年増加している主な理由は何ですか？
A: 最大の理由は、医師の高齢化に伴う後継者不足の深刻化です。M&amp;Aは、地域医療の継続性を確保しつつ、譲渡側が引退資金を確保し、譲受側が経営基盤や診療分野を拡大するための現実的な解決策として注目されています。
Q: M&amp;Aにおいて、医療法人の「持分あり」と「持分なし」では何が違いますか？
A: 持分あり医療法人は、出資額に応じて法人の解散時に残余財産の分配を受ける権利があります。一方、持分なし医療法人にはその権利がなく、現在新設できるのは持分なしのみです。この持分の有無が、M&amp;Aのスキームや譲渡対価の評価方法に大きく影響します。</t>
        </is>
      </c>
      <c r="J197" s="47" t="n"/>
      <c r="K197" s="47" t="inlineStr">
        <is>
          <t>修正済</t>
        </is>
      </c>
      <c r="L197" s="47" t="inlineStr">
        <is>
          <t>未確認</t>
        </is>
      </c>
      <c r="M197" s="47" t="inlineStr">
        <is>
          <t>未依頼</t>
        </is>
      </c>
      <c r="N197" s="47" t="inlineStr">
        <is>
          <t>クリニック以外</t>
        </is>
      </c>
      <c r="O197" s="47" t="n"/>
      <c r="P197" s="47" t="n"/>
      <c r="Q197" s="47" t="n"/>
      <c r="R197" s="47" t="n"/>
    </row>
    <row r="198" ht="15.75" customHeight="1" s="185">
      <c r="A198" s="52">
        <f>row()-3</f>
        <v/>
      </c>
      <c r="B198" s="46" t="inlineStr">
        <is>
          <t>ザイオンス効果とは?ビジネスや恋愛での活用法から逆効果になるケースまで解説</t>
        </is>
      </c>
      <c r="C198" s="10" t="inlineStr">
        <is>
          <t>https://dym.asia/media/mere-exposure-effect/</t>
        </is>
      </c>
      <c r="D198" s="47" t="inlineStr">
        <is>
          <t>ザイオンス効果</t>
        </is>
      </c>
      <c r="E198" s="35" t="n">
        <v>2</v>
      </c>
      <c r="F198" s="36" t="n">
        <v>5.272277227722772</v>
      </c>
      <c r="G198" s="47" t="inlineStr">
        <is>
          <t>なし</t>
        </is>
      </c>
      <c r="H198" s="47" t="inlineStr">
        <is>
          <t>可</t>
        </is>
      </c>
      <c r="I198" s="47" t="inlineStr">
        <is>
          <t>Q: ザイオンス効果（単純接触効果）とは、どのような心理現象ですか？
A: ザイオンス効果とは、特定の人物や物事に繰り返し接触することで、その対象に対する好感度や評価が自動的に高まる心理現象です。人間の脳が、見慣れたものや処理しやすい情報に対して親近感や安心感を覚えるという本能的なメカニズムに基づいています。
Q: ザイオンス効果は、ビジネスやマーケティングでどのように活用されていますか？
A: リターゲティング広告（サイト訪問者への繰り返し広告表示）やテレビCMの頻繁な放送、メールマガジンの定期配信などに活用されています。接触回数を増やすことで、商品やブランドへの親近感や信頼感を高め、購買意欲の向上につながることがある施策の一つです。
Q: ザイオンス効果を適用する上での注意点や、逆効果になるケースはありますか？
A: 最大の注意点は、最初の印象がネガティブだった場合です。この場合、接触を繰り返すと嫌悪感がさらに増すため逆効果になる可能性があります。また、効果は接触回数が約10回程度でピークを迎えるため、長期間ダラダラと接触を繰り返すよりも、短期間に集中して行う方が効果的です。</t>
        </is>
      </c>
      <c r="J198" s="47" t="n"/>
      <c r="K198" s="47" t="inlineStr">
        <is>
          <t>修正済</t>
        </is>
      </c>
      <c r="L198" s="47" t="inlineStr">
        <is>
          <t>未確認</t>
        </is>
      </c>
      <c r="M198" s="47" t="inlineStr">
        <is>
          <t>未依頼</t>
        </is>
      </c>
      <c r="N198" s="47" t="inlineStr">
        <is>
          <t>クリニック以外</t>
        </is>
      </c>
      <c r="O198" s="47" t="n"/>
      <c r="P198" s="47" t="n"/>
      <c r="Q198" s="47" t="n"/>
      <c r="R198" s="47" t="n"/>
    </row>
    <row r="199" ht="15.75" customHeight="1" s="185">
      <c r="A199" s="52">
        <f>row()-3</f>
        <v/>
      </c>
      <c r="B199" s="46" t="inlineStr">
        <is>
          <t>新卒採用の相談はどこにすればいい？採用方法や新卒紹介サービスを解説</t>
        </is>
      </c>
      <c r="C199" s="10" t="inlineStr">
        <is>
          <t>https://dym.asia/media/new-graduation-introduction-consulting/</t>
        </is>
      </c>
      <c r="D199" s="47" t="inlineStr">
        <is>
          <t>dym マイナビ</t>
        </is>
      </c>
      <c r="E199" s="35" t="n">
        <v>2</v>
      </c>
      <c r="F199" s="36" t="n">
        <v>8.532110091743119</v>
      </c>
      <c r="G199" s="47" t="inlineStr">
        <is>
          <t>なし</t>
        </is>
      </c>
      <c r="H199" s="47" t="inlineStr">
        <is>
          <t>可</t>
        </is>
      </c>
      <c r="I199" s="47" t="inlineStr">
        <is>
          <t>Q: 新卒採用を外部に相談・依頼するメリットは何ですか？
A: 採用ノウハウの不足を解消できること、そして企業のニーズに合致する可能性の高い人材の紹介を受けやすくなることです。特に新卒紹介サービスは完全成功報酬型が多いため、リスクを抑えながら採用活動を展開できる点が大きなメリットです。
Q: 新卒採用で企業が直面する最も大きな悩みは何ですか？
A: 応募者数が少ないこと、選考プロセスが長期化し選考負担が大きいこと、そして内定辞退率が高いことの3つが挙げられます。解決策として、採用ブランディングの強化や、AI・適性検査を活用した選考の効率化が有効です。
Q: 新卒採用で内定辞退やミスマッチを防ぐために、企業は何をすべきですか？
A: 内定者フォローの強化が不可欠です。具体的には、内定者交流会やニュースレターを通じて会社への帰属意識を高めること、また、選考過程で入社後のキャリアパスや業務内容を具体的に提示し、学生とのマッチング精度を高めることが重要です。</t>
        </is>
      </c>
      <c r="J199" s="47" t="n"/>
      <c r="K199" s="47" t="inlineStr">
        <is>
          <t>修正済</t>
        </is>
      </c>
      <c r="L199" s="47" t="inlineStr">
        <is>
          <t>未確認</t>
        </is>
      </c>
      <c r="M199" s="47" t="inlineStr">
        <is>
          <t>未依頼</t>
        </is>
      </c>
      <c r="N199" s="47" t="inlineStr">
        <is>
          <t>クリニック以外</t>
        </is>
      </c>
      <c r="O199" s="47" t="n"/>
      <c r="P199" s="47" t="n"/>
      <c r="Q199" s="47" t="n"/>
      <c r="R199" s="47" t="n"/>
    </row>
    <row r="200" ht="15.75" customHeight="1" s="185">
      <c r="A200" s="52">
        <f>row()-3</f>
        <v/>
      </c>
      <c r="B200" s="46" t="inlineStr">
        <is>
          <t>オプトアウトとは？その意味とビジネスや個人における重要性を徹底解説</t>
        </is>
      </c>
      <c r="C200" s="10" t="inlineStr">
        <is>
          <t>https://dym.asia/media/optout/</t>
        </is>
      </c>
      <c r="D200" s="47" t="inlineStr">
        <is>
          <t>オプトアウト</t>
        </is>
      </c>
      <c r="E200" s="35" t="n">
        <v>2</v>
      </c>
      <c r="F200" s="36" t="n">
        <v>3.892124928147155</v>
      </c>
      <c r="G200" s="47" t="inlineStr">
        <is>
          <t>なし</t>
        </is>
      </c>
      <c r="H200" s="47" t="inlineStr">
        <is>
          <t>可</t>
        </is>
      </c>
      <c r="I200" s="47" t="inlineStr">
        <is>
          <t>Q: 「オプトアウト」とは何ですか？また、「オプトイン」との違いは何ですか？
A: オプトアウトは、事前の明示的同意を前提とせず、後から個人の意思で情報利用やサービス提供を拒否できる仕組みを指します。一方、オプトインは、事前に明示的な同意を得た場合のみ情報利用やサービス提供が開始される対照的な仕組みです。
Q: オプトアウトは、メールマーケティングやWeb広告でどのように関わってきますか？
A: メールマーケティングでは、企業は受信者に配信停止手段（オプトアウト）を提供することが法的に義務付けられています。Web広告では、ターゲティング広告のデータ利用やクッキーのトラッキングについて、ユーザーが拒否する選択肢（オプトアウト）を持つことが、プライバシー保護の観点から重要視されています。
Q: 企業がオプトアウトの対応を適切に行う重要性は何ですか？
A: 適切なオプトアウト対応は、法規制（個人情報保護法など）を遵守する上で不可欠です。対応を怠ると、法的ペナルティを受けるリスクがあるほか、顧客の信頼を失い、ブランドイメージが大きく毀損する原因となります。</t>
        </is>
      </c>
      <c r="J200" s="47" t="n"/>
      <c r="K200" s="47" t="inlineStr">
        <is>
          <t>修正済</t>
        </is>
      </c>
      <c r="L200" s="47" t="inlineStr">
        <is>
          <t>未確認</t>
        </is>
      </c>
      <c r="M200" s="47" t="inlineStr">
        <is>
          <t>未依頼</t>
        </is>
      </c>
      <c r="N200" s="47" t="inlineStr">
        <is>
          <t>クリニック以外</t>
        </is>
      </c>
      <c r="O200" s="47" t="n"/>
      <c r="P200" s="47" t="n"/>
      <c r="Q200" s="47" t="n"/>
      <c r="R200" s="47" t="n"/>
    </row>
    <row r="201" ht="15.75" customHeight="1" s="185">
      <c r="A201" s="52">
        <f>row()-3</f>
        <v/>
      </c>
      <c r="B201" s="46" t="inlineStr">
        <is>
          <t>パートとアルバイトの違いとは？意味や雇用形態・保険についても解説</t>
        </is>
      </c>
      <c r="C201" s="10" t="inlineStr">
        <is>
          <t>https://dym.asia/media/parttime-casual-employee-differences/</t>
        </is>
      </c>
      <c r="D201" s="47" t="inlineStr">
        <is>
          <t>パートとアルバイトの違い</t>
        </is>
      </c>
      <c r="E201" s="35" t="n">
        <v>2</v>
      </c>
      <c r="F201" s="36" t="n">
        <v>18.05116279069767</v>
      </c>
      <c r="G201" s="47" t="inlineStr">
        <is>
          <t>なし</t>
        </is>
      </c>
      <c r="H201" s="47" t="inlineStr">
        <is>
          <t>可</t>
        </is>
      </c>
      <c r="I201" s="47" t="inlineStr">
        <is>
          <t>Q: 「パート」と「アルバイト」に法律上の違いはありますか？
A: 法律上の違いは一切ありません。両者とも法律上は「パートタイム労働者」（正社員よりも所定労働時間が短い労働者）として定義され、同一の法律が適用されます。ただし、採用現場では、主婦層を「パート」、学生・フリーターを「アルバイト」と使い分ける慣習があります。
Q: パート・アルバイトと派遣社員の雇用形態の大きな違いは何ですか？
A: パート・アルバイトは、勤務先の企業と直接契約を結ぶ「直接雇用」です。一方、派遣社員は派遣会社と契約を結び、派遣先企業で働く「間接雇用」となります。この雇用形態の違いから、職種や条件によっては、派遣社員のほうが時給が高いケースもあります。
Q: パート・アルバイトが社会保険（厚生年金・健康保険）に加入するための条件は何ですか？
A: 社会保険の加入は、週の所定労働時間が正社員の4分の3以上であるか、または企業規模の条件を満たし、週20時間以上の勤務や月額賃金が8.8万円以上などの条件を満たす場合に義務付けられます（2024年10月以降、加入対象となる企業規模が拡大しています）。</t>
        </is>
      </c>
      <c r="J201" s="47" t="n"/>
      <c r="K201" s="47" t="inlineStr">
        <is>
          <t>修正済</t>
        </is>
      </c>
      <c r="L201" s="47" t="inlineStr">
        <is>
          <t>未確認</t>
        </is>
      </c>
      <c r="M201" s="47" t="inlineStr">
        <is>
          <t>未依頼</t>
        </is>
      </c>
      <c r="N201" s="47" t="inlineStr">
        <is>
          <t>クリニック以外</t>
        </is>
      </c>
      <c r="O201" s="47" t="n"/>
      <c r="P201" s="47" t="n"/>
      <c r="Q201" s="47" t="n"/>
      <c r="R201" s="47" t="n"/>
    </row>
    <row r="202" ht="15.75" customHeight="1" s="185">
      <c r="A202" s="52">
        <f>row()-3</f>
        <v/>
      </c>
      <c r="B202" s="46" t="inlineStr">
        <is>
          <t>Perplexity AIとは？使い方やChatGPTとの違いを解説</t>
        </is>
      </c>
      <c r="C202" s="10" t="inlineStr">
        <is>
          <t>https://dym.asia/media/perplexity/</t>
        </is>
      </c>
      <c r="D202" s="47" t="inlineStr">
        <is>
          <t>perplexity ai</t>
        </is>
      </c>
      <c r="E202" s="35" t="n">
        <v>2</v>
      </c>
      <c r="F202" s="36" t="n">
        <v>18.66071428571428</v>
      </c>
      <c r="G202" s="47" t="inlineStr">
        <is>
          <t>なし</t>
        </is>
      </c>
      <c r="H202" s="47" t="inlineStr">
        <is>
          <t>可</t>
        </is>
      </c>
      <c r="I202" s="47" t="inlineStr">
        <is>
          <t>Q: Perplexity AIとは何ですか？従来の検索エンジンとどう違いますか？
A: Perplexity AIは、自然言語処理技術を駆使した対話型のAI検索エンジン（アンサーエンジン）です。従来の検索エンジンがWebサイトのリンク一覧を表示するのに対し、Perplexity AIは質問の文脈を理解し、情報を要約してわかりやすい文章で直接回答を生成します。
Q: Perplexity AIの最も大きな特徴と信頼性の高さの根拠は何ですか？
A: 最も大きな特徴は、生成した回答の出典元（ソース）を自動で明記する点です。これにより、提示された情報の妥当性をユーザー自身が迅速に検証できるため、AIが生成する誤情報（ハルシネーション）のリスクを低減する効果が期待できます。これにより、信頼性を高める仕組みが整っています。
Q: ChatGPTやGeminiなどの他の大規模言語モデル（LLM）と比べて、Perplexityは何が得意ですか？
A: Perplexity AIはリアルタイム検索と情報の正確性に強みがあります。一般的なLLMが過去の学習データに基づいて回答するのに対し、Perplexity AIは検索実行時の最新情報をWebから取得して回答を生成します。ビジネスや学術リサーチなど、情報の鮮度と検証可能性が求められるタスクに特に優れています。</t>
        </is>
      </c>
      <c r="J202" s="47" t="n"/>
      <c r="K202" s="47" t="inlineStr">
        <is>
          <t>修正済</t>
        </is>
      </c>
      <c r="L202" s="47" t="inlineStr">
        <is>
          <t>未確認</t>
        </is>
      </c>
      <c r="M202" s="47" t="inlineStr">
        <is>
          <t>未依頼</t>
        </is>
      </c>
      <c r="N202" s="47" t="inlineStr">
        <is>
          <t>クリニック以外</t>
        </is>
      </c>
      <c r="O202" s="47" t="n"/>
      <c r="P202" s="47" t="n"/>
      <c r="Q202" s="47" t="n"/>
      <c r="R202" s="47" t="n"/>
    </row>
    <row r="203" ht="15.75" customHeight="1" s="185">
      <c r="A203" s="52">
        <f>row()-3</f>
        <v/>
      </c>
      <c r="B203" s="46" t="inlineStr">
        <is>
          <t>ペルソナマーケティングは古い？今なお使える理由をメリットとともに解説</t>
        </is>
      </c>
      <c r="C203" s="10" t="inlineStr">
        <is>
          <t>https://dym.asia/media/persona-marketnig/</t>
        </is>
      </c>
      <c r="D203" s="47" t="inlineStr">
        <is>
          <t>ペルソナ設定の時代は終わった</t>
        </is>
      </c>
      <c r="E203" s="35" t="n">
        <v>2</v>
      </c>
      <c r="F203" s="36" t="n">
        <v>10.18552036199095</v>
      </c>
      <c r="G203" s="47" t="inlineStr">
        <is>
          <t>なし</t>
        </is>
      </c>
      <c r="H203" s="47" t="inlineStr">
        <is>
          <t>可</t>
        </is>
      </c>
      <c r="I203" s="10" t="inlineStr">
        <is>
          <t>Q: ペルソナとは何ですか？ターゲット顧客との違いを教えてください。
A: ペルソナとは、自社の商品・サービスを購入する理想の顧客像を、まるで実在する一人の人間のように詳細に設定した具体的なプロフィールです。ターゲットが「20代〜30代の女性」といった大まかな層を指すのに対し、ペルソナは「28歳、IT企業勤務、趣味はヨガ」といった行動や動機まで踏み込んだ個人像を指します。
Q: AIやビッグデータが普及した今、ペルソナマーケティングは古い手法ですか？
A: いいえ、今なお有効な手法です。データ分析だけでは捉えきれない顧客の感情や動機（なぜ買うのか）を深く理解し、共感を呼ぶマーケティング戦略やコンテンツを立てる上で、ペルソナは不可欠なツールとなるためです。
Q: ペルソナ設定をすることで、企業内部で得られる最も大きなメリットは何ですか？
A: 社内での顧客イメージが統一できることです。営業、開発、マーケティングなど全部門が同じ顧客像を共有できるため、一貫性のある製品開発やサービス対応が可能になり、社内コミュニケーションの円滑化につながります。
ぜひお問い合わせください。
お問い合わせ先はこちら↓
https://dym.asia/contact/</t>
        </is>
      </c>
      <c r="J203" s="47" t="n"/>
      <c r="K203" s="47" t="inlineStr">
        <is>
          <t>OK</t>
        </is>
      </c>
      <c r="L203" s="47" t="inlineStr">
        <is>
          <t>未確認</t>
        </is>
      </c>
      <c r="M203" s="47" t="inlineStr">
        <is>
          <t>未依頼</t>
        </is>
      </c>
      <c r="N203" s="47" t="inlineStr">
        <is>
          <t>クリニック以外</t>
        </is>
      </c>
      <c r="O203" s="47" t="n"/>
      <c r="P203" s="47" t="n"/>
      <c r="Q203" s="47" t="n"/>
      <c r="R203" s="47" t="n"/>
    </row>
    <row r="204" ht="15.75" customHeight="1" s="185">
      <c r="A204" s="52">
        <f>row()-3</f>
        <v/>
      </c>
      <c r="B204" s="46" t="inlineStr">
        <is>
          <t>既卒とは？既卒採用のメリットや新卒との違い、おすすめの就活の進め方も解説</t>
        </is>
      </c>
      <c r="C204" s="10" t="inlineStr">
        <is>
          <t>https://dym.asia/media/post_graduate_employment/</t>
        </is>
      </c>
      <c r="D204" s="47" t="inlineStr">
        <is>
          <t>新卒 既卒 違い</t>
        </is>
      </c>
      <c r="E204" s="35" t="n">
        <v>2</v>
      </c>
      <c r="F204" s="36" t="n">
        <v>8.141361256544503</v>
      </c>
      <c r="G204" s="47" t="inlineStr">
        <is>
          <t>なし</t>
        </is>
      </c>
      <c r="H204" s="47" t="inlineStr">
        <is>
          <t>可</t>
        </is>
      </c>
      <c r="I204" s="47" t="inlineStr">
        <is>
          <t>Q: 「既卒」とは具体的にどのような人を指しますか？
A: 一般的には、大学や専門学校などを卒業した後、正社員としての就職経験がない人を指します。厚生労働省は、卒業後おおむね3年以内の既卒者について新卒採用枠への応募機会を広げることが望ましいとの方針を示していますが、実際の取り扱いは企業によって異なります。
Q: 「既卒」は「新卒」や「第二新卒」と何が違いますか？
A: 新卒は卒業見込みの在学中の学生です。第二新卒は卒業後1〜3年以内を目安とする、何らかの社会人経験（主に正社員経験）がある人を指すのが一般的です。既卒は卒業後に正社員としての就職経験がない人を指すことが多く、定義や扱いは企業によって異なります。
Q: 企業が既卒者を採用する主なメリットは何ですか？
A: 新卒採用市場とは異なる層にアプローチできること、そして卒業済みのため早期入社が可能なケースがあることです。また、就職活動を通じて志望動機や自己理解が深まっている人材に出会える可能性もあります。なお、卒業後おおむね3年以内の既卒者については新卒枠での応募機会を設けることが望ましいとされていますが、実際の運用は企業ごとに異なります。</t>
        </is>
      </c>
      <c r="J204" s="47" t="n"/>
      <c r="K204" s="47" t="inlineStr">
        <is>
          <t>修正済</t>
        </is>
      </c>
      <c r="L204" s="47" t="inlineStr">
        <is>
          <t>未確認</t>
        </is>
      </c>
      <c r="M204" s="47" t="inlineStr">
        <is>
          <t>未依頼</t>
        </is>
      </c>
      <c r="N204" s="47" t="inlineStr">
        <is>
          <t>クリニック以外</t>
        </is>
      </c>
      <c r="O204" s="47" t="n"/>
      <c r="P204" s="47" t="n"/>
      <c r="Q204" s="47" t="n"/>
      <c r="R204" s="47" t="n"/>
    </row>
    <row r="205" ht="15.75" customHeight="1" s="185">
      <c r="A205" s="52">
        <f>row()-3</f>
        <v/>
      </c>
      <c r="B205" s="46" t="inlineStr">
        <is>
          <t>PRとは？意味やメリット・方法・広告との違いを分かりやすく解説！</t>
        </is>
      </c>
      <c r="C205" s="10" t="inlineStr">
        <is>
          <t>https://dym.asia/media/pr/</t>
        </is>
      </c>
      <c r="D205" s="47" t="inlineStr">
        <is>
          <t>prとは</t>
        </is>
      </c>
      <c r="E205" s="35" t="n">
        <v>2</v>
      </c>
      <c r="F205" s="36" t="n">
        <v>8.379844961240309</v>
      </c>
      <c r="G205" s="47" t="inlineStr">
        <is>
          <t>なし</t>
        </is>
      </c>
      <c r="H205" s="47" t="inlineStr">
        <is>
          <t>可</t>
        </is>
      </c>
      <c r="I205" s="10" t="inlineStr">
        <is>
          <t>Q: 企業における「PR」とは、具体的にどのような活動を指しますか？
A: PRとは「Public Relations（パブリック・リレーションズ）」の略で、企業や組織が顧客、取引先、株主、従業員、地域社会、メディアなどのステークホルダーと良好な関係を築き、維持・発展させるための戦略的なコミュニケーション活動を指します。単なる宣伝ではなく、情報発信だけでなく意見の収集や対話も含む継続的な関係構築活動です。
Q: PRと「広告」は、何が違いますか？
A: 広告は、企業が費用を支払い、媒体や掲載内容・タイミングをコントロールしてメッセージを届ける有料のコミュニケーション手法です。
一方、PRは必ずしも無料というわけではなく、広報活動やイベント運営などに費用がかかる場合もありますが、特徴は「信頼関係の構築」を目的とした中長期的なコミュニケーションにあります。また、メディア掲載などは第三者の判断によって行われるため、企業が内容を完全にコントロールできない点も広告との大きな違いです。
Q: PR活動を行うことで、企業が得られる最大のメリットは何ですか？
A: 最大のメリットは、企業に対する信頼や理解を社会全体に醸成できることです。
PR活動を通じて企業の理念や姿勢、社会的責任への取り組みなどを継続的に伝えることで、短期的な売上向上だけでなく、ブランドへの信頼、企業評価の向上、危機発生時のレピュテーション防御力の強化などにつながります。その結果として、中長期的な企業価値の安定・向上に寄与します。
お問い合わせ先はこちら↓
https://dym.asia/contact/</t>
        </is>
      </c>
      <c r="J205" s="47" t="n"/>
      <c r="K205" s="47" t="inlineStr">
        <is>
          <t>修正済</t>
        </is>
      </c>
      <c r="L205" s="47" t="inlineStr">
        <is>
          <t>未確認</t>
        </is>
      </c>
      <c r="M205" s="47" t="inlineStr">
        <is>
          <t>未依頼</t>
        </is>
      </c>
      <c r="N205" s="47" t="inlineStr">
        <is>
          <t>クリニック以外</t>
        </is>
      </c>
      <c r="O205" s="47" t="n"/>
      <c r="P205" s="47" t="n"/>
      <c r="Q205" s="47" t="n"/>
      <c r="R205" s="47" t="n"/>
    </row>
    <row r="206" ht="15.75" customHeight="1" s="185">
      <c r="A206" s="52">
        <f>row()-3</f>
        <v/>
      </c>
      <c r="B206" s="46" t="inlineStr">
        <is>
          <t>リブランディングとは？意味、事例、進め方、失敗から学ぶ成功ポイント</t>
        </is>
      </c>
      <c r="C206" s="10" t="inlineStr">
        <is>
          <t>https://dym.asia/media/re-branding/</t>
        </is>
      </c>
      <c r="D206" s="47" t="inlineStr">
        <is>
          <t>リブランディングとは</t>
        </is>
      </c>
      <c r="E206" s="35" t="n">
        <v>2</v>
      </c>
      <c r="F206" s="36" t="n">
        <v>15.56462585034014</v>
      </c>
      <c r="G206" s="47" t="inlineStr">
        <is>
          <t>なし</t>
        </is>
      </c>
      <c r="H206" s="47" t="inlineStr">
        <is>
          <t>可</t>
        </is>
      </c>
      <c r="I206" s="10" t="inlineStr">
        <is>
          <t>Q: リブランディングとは何ですか？「リニューアル」や「ブランディング」と何が違いますか？
A: リブランディングとは、企業や商品・サービスの既存のブランド資産を活かしつつ、時代の変化に対応するために新たな価値を創造する戦略的なプロセスです。リニューアルが表面的な改善に留まるのに対し、リブランディングはブランドの本質的な価値やミッションを再定義する、より深い取り組みです。
Q: リブランディングを行う主な目的は何ですか？
A: 主な目的は、市場開拓（新たな顧客層へのアピール）と、社員エンゲージメントやユーザーロイヤリティの向上です。ブランドの魅力を再構築し、内外のステークホルダーとの関係性を強化することで、マーケティング施策の効率化と企業の持続的な成長を目指します。ぜひお問い合わせください。
お問い合わせ先はこちら↓
https://dym.asia/contact/ 
Q: リブランディングを成功させるための最も重要なポイントは何ですか？
A: 成功の秘訣は、ブランドの根幹となる「Why（なぜ存在するのか）」を変えずに、「How（どう実現するか）」や「What（何をするか）」を柔軟に更新することです。また、一時的な大きな変更ではなく、小さな変化を継続的に積み重ねる漸進的アプローチが効果的とされています。</t>
        </is>
      </c>
      <c r="J206" s="47" t="n"/>
      <c r="K206" s="47" t="inlineStr">
        <is>
          <t>OK</t>
        </is>
      </c>
      <c r="L206" s="47" t="inlineStr">
        <is>
          <t>未確認</t>
        </is>
      </c>
      <c r="M206" s="47" t="inlineStr">
        <is>
          <t>未依頼</t>
        </is>
      </c>
      <c r="N206" s="47" t="inlineStr">
        <is>
          <t>クリニック以外</t>
        </is>
      </c>
      <c r="O206" s="47" t="n"/>
      <c r="P206" s="47" t="n"/>
      <c r="Q206" s="47" t="n"/>
      <c r="R206" s="47" t="n"/>
    </row>
    <row r="207" ht="15.75" customHeight="1" s="185">
      <c r="A207" s="52">
        <f>row()-3</f>
        <v/>
      </c>
      <c r="B207" s="46" t="inlineStr">
        <is>
          <t>不動産M&amp;Aスキームとは？メリット・デメリットを解説</t>
        </is>
      </c>
      <c r="C207" s="10" t="inlineStr">
        <is>
          <t>https://dym.asia/media/real-estate-ma/</t>
        </is>
      </c>
      <c r="D207" s="47" t="inlineStr">
        <is>
          <t>不動産m&amp;a</t>
        </is>
      </c>
      <c r="E207" s="35" t="n">
        <v>2</v>
      </c>
      <c r="F207" s="36" t="n">
        <v>13.67592592592593</v>
      </c>
      <c r="G207" s="47" t="inlineStr">
        <is>
          <t>なし</t>
        </is>
      </c>
      <c r="H207" s="47" t="inlineStr">
        <is>
          <t>可</t>
        </is>
      </c>
      <c r="I207" s="47" t="inlineStr">
        <is>
          <t>Q: 不動産M&amp;Aとは何ですか？通常の不動産売買とどう違いますか？
A: 不動産M&amp;Aは、不動産を保有する会社の株式や事業を譲渡することで、間接的に不動産を取得する手法です。通常の不動産売買が「不動産そのもの」を取引対象とするのに対し、不動産M&amp;Aは「会社」や「事業」を対象とする点が大きな違いです。そのため、契約形態や手続き、税務上の取り扱いなどが異なり、個別のスキームによって影響も変わります。
Q: 不動産M&amp;Aの売り手・買い手双方にとっての主な税制上のメリットは何ですか？
A: 売り手側では、不動産そのものを譲渡する場合と、株式を譲渡する場合とで課税関係が異なるため、取引スキームによっては税負担の構造が変わる可能性があります。ただし、どのような税務上の効果が生じるかは、会社の財務状況や契約内容、適用される税制によって大きく異なります。
買い手側についても、株式取得という形を取ることで、不動産の直接取得とは異なる税務上の取り扱いとなる場合がありますが、不動産取得税や登録免許税の取り扱いを含め、必ずしも税負担が軽減されるとは限りません。具体的な税務影響は個別案件ごとの検討が必要です。
Q: 不動産M&amp;Aの買い手が負う最大のデメリットやリスクは何ですか？
A: 株式取得などにより会社ごと引き継ぐ場合、対象会社が抱える債務や契約上の義務、偶発債務、コンプライアンス上の問題なども承継する可能性がある点が大きなリスクです。不動産そのものの法的リスクや環境リスクも含め、事前のデューデリジェンス（詳細調査）を通じてリスクを把握し、契約で適切に手当てすることが重要です。</t>
        </is>
      </c>
      <c r="J207" s="47" t="n"/>
      <c r="K207" s="47" t="inlineStr">
        <is>
          <t>修正済</t>
        </is>
      </c>
      <c r="L207" s="47" t="inlineStr">
        <is>
          <t>未確認</t>
        </is>
      </c>
      <c r="M207" s="47" t="inlineStr">
        <is>
          <t>未依頼</t>
        </is>
      </c>
      <c r="N207" s="47" t="inlineStr">
        <is>
          <t>クリニック以外</t>
        </is>
      </c>
      <c r="O207" s="47" t="n"/>
      <c r="P207" s="47" t="n"/>
      <c r="Q207" s="47" t="n"/>
      <c r="R207" s="47" t="n"/>
    </row>
    <row r="208" ht="15.75" customHeight="1" s="185">
      <c r="A208" s="52">
        <f>row()-3</f>
        <v/>
      </c>
      <c r="B208" s="46" t="inlineStr">
        <is>
          <t>リクルーターとは？採用活動での役割や導入メリット・注意点を解説</t>
        </is>
      </c>
      <c r="C208" s="6" t="inlineStr">
        <is>
          <t>https://dym.asia/media/recruiter/</t>
        </is>
      </c>
      <c r="D208" s="47" t="inlineStr">
        <is>
          <t>リクルーターとは</t>
        </is>
      </c>
      <c r="E208" s="35" t="n">
        <v>2</v>
      </c>
      <c r="F208" s="36" t="n">
        <v>3.69920611584828</v>
      </c>
      <c r="G208" s="47" t="inlineStr">
        <is>
          <t>なし</t>
        </is>
      </c>
      <c r="H208" s="47" t="inlineStr">
        <is>
          <t>可</t>
        </is>
      </c>
      <c r="I208" s="47" t="inlineStr">
        <is>
          <t>Q: 企業における「リクルーター」とは、採用担当者と何が違いますか？
A: リクルーターは、主に現場の社員が本業と兼任しながら、学生や求職者と直接接触し、企業と求職者をつなぐ役割を担います。採用担当者が採用プロセス全体の管理を行うのに対し、リクルーターは現場の生の声を通じて自社の魅力を訴求し、優秀な人材の早期確保に貢献します。
Q: リクルーター制度を導入する企業側の最大のメリットは何ですか？
A: 優秀な人材を早期に囲い込めることと、入社後のミスマッチを防げることです。現場社員が実情を伝えることで、企業の魅力を具体的かつ説得力を持って訴求でき、学生の志望度や適性を深く見極めることが可能です。
Q: リクルーター制度を導入する際の、運用面での注意点は何ですか？
A: リクルーターの本業との兼任による負担が増大しやすいこと、そして求職者と企業の間で意見が異なった場合にリクルーターが板挟みになる可能性があることです。導入には、現場部門との密な連携と、リクルーターの専門知識習得の時間が必要です。</t>
        </is>
      </c>
      <c r="J208" s="47" t="n"/>
      <c r="K208" s="47" t="inlineStr">
        <is>
          <t>OK</t>
        </is>
      </c>
      <c r="L208" s="47" t="inlineStr">
        <is>
          <t>未確認</t>
        </is>
      </c>
      <c r="M208" s="47" t="inlineStr">
        <is>
          <t>未依頼</t>
        </is>
      </c>
      <c r="N208" s="47" t="inlineStr">
        <is>
          <t>クリニック以外</t>
        </is>
      </c>
      <c r="O208" s="47" t="n"/>
      <c r="P208" s="47" t="n"/>
      <c r="Q208" s="47" t="n"/>
      <c r="R208" s="47" t="n"/>
    </row>
    <row r="209" ht="15.75" customHeight="1" s="185">
      <c r="A209" s="52">
        <f>row()-3</f>
        <v/>
      </c>
      <c r="B209" s="46" t="inlineStr">
        <is>
          <t>リマーケティングとは？基礎知識や仕組み、設定方法まで詳しく解説</t>
        </is>
      </c>
      <c r="C209" s="10" t="inlineStr">
        <is>
          <t>https://dym.asia/media/remarketing/</t>
        </is>
      </c>
      <c r="D209" s="47" t="inlineStr">
        <is>
          <t>リマーケティング</t>
        </is>
      </c>
      <c r="E209" s="35" t="n">
        <v>2</v>
      </c>
      <c r="F209" s="36" t="n">
        <v>4.708302718589273</v>
      </c>
      <c r="G209" s="47" t="inlineStr">
        <is>
          <t>なし</t>
        </is>
      </c>
      <c r="H209" s="47" t="inlineStr">
        <is>
          <t>可</t>
        </is>
      </c>
      <c r="I209" s="47" t="inlineStr">
        <is>
          <t>Q: リマーケティング広告とは何ですか？また、どのような仕組みで配信されますか？
A: 自社のWebサイトを訪問したユーザーなど、過去に接点を持ったユーザーに対して、他のWebサイトやアプリの広告枠で再度広告を表示する配信手法です。一般的には、Webサイトに設置したタグを通じてユーザーのブラウザにCookie等の識別情報を付与し、そのデータをもとに広告配信プラットフォーム上で対象ユーザーへ広告を表示します。なお、近年はCookie以外の識別技術を活用するケースもあります。
Q: リマーケティング広告の最大のメリットは何ですか？
A: 一度サイトを訪問するなど、すでに一定の関心を示しているユーザーに再アプローチできる点です。そのため、配信条件や商材、設計次第では、コンバージョン率（CVR）の向上や費用対効果の改善につながる場合があります。ただし、効果は業種やターゲット設定、クリエイティブの内容などによって大きく異なります。
Q: 「リマーケティング」と「リターゲティング」は何が違いますか？
A: 一般的には、どちらも過去に接点を持ったユーザーに再度広告配信を行う手法を指します。媒体や企業によって呼称が異なる場合があり、Google広告では「リマーケティング」、その他の広告媒体では「リターゲティング」と呼ばれることが多いですが、基本的な仕組みや考え方に大きな違いはありません。</t>
        </is>
      </c>
      <c r="J209" s="47" t="n"/>
      <c r="K209" s="47" t="inlineStr">
        <is>
          <t>修正済</t>
        </is>
      </c>
      <c r="L209" s="47" t="inlineStr">
        <is>
          <t>未確認</t>
        </is>
      </c>
      <c r="M209" s="47" t="inlineStr">
        <is>
          <t>未依頼</t>
        </is>
      </c>
      <c r="N209" s="47" t="inlineStr">
        <is>
          <t>クリニック以外</t>
        </is>
      </c>
      <c r="O209" s="47" t="n"/>
      <c r="P209" s="47" t="n"/>
      <c r="Q209" s="47" t="n"/>
      <c r="R209" s="47" t="n"/>
    </row>
    <row r="210" ht="15.75" customHeight="1" s="185">
      <c r="A210" s="52">
        <f>row()-3</f>
        <v/>
      </c>
      <c r="B210" s="46" t="inlineStr">
        <is>
          <t>レスポンシブ対応とは？重要性やレスポンシブデザインのサイトの作り方</t>
        </is>
      </c>
      <c r="C210" s="10" t="inlineStr">
        <is>
          <t>https://dym.asia/media/responsive-style/</t>
        </is>
      </c>
      <c r="D210" s="47" t="inlineStr">
        <is>
          <t>レスポンシブ対応</t>
        </is>
      </c>
      <c r="E210" s="35" t="n">
        <v>2</v>
      </c>
      <c r="F210" s="36" t="n">
        <v>6.083182640144665</v>
      </c>
      <c r="G210" s="47" t="inlineStr">
        <is>
          <t>なし</t>
        </is>
      </c>
      <c r="H210" s="47" t="inlineStr">
        <is>
          <t>可</t>
        </is>
      </c>
      <c r="I210" s="47" t="inlineStr">
        <is>
          <t>Q: ウェブサイトの「レスポンシブ対応」とは何ですか？
A: ウェブサイトを閲覧するデバイスの画面サイズに応じて、デザインやレイアウトを自動的に最適化して表示させる技術です。PC、タブレット、スマートフォンなど、どのデバイスで見ても一つのURLで、見やすく使いやすい表示を実現します。
Q: レスポンシブ対応がSEO対策において重要とされる理由は何ですか？
A: Googleがモバイルフレンドリーなサイトを高く評価しており、レスポンシブデザインはその要件を満たす最適な方法だからです。一つのURLで対応することで、リンク評価の分散を防ぎ、検索エンジンのインデックスが容易になり、結果として検索順位の向上に繋がります。
Q: レスポンシブデザインの導入における主なデメリットや注意点は何ですか？
A: デメリットとして、全てのデバイスで同じHTMLを使用するため、特にモバイルでの表示速度が遅くなる可能性があることと、デザインの自由度が制限されることが挙げられます。表示速度の問題を解決するためには、画像やスクリプトの最適化が必要です。</t>
        </is>
      </c>
      <c r="J210" s="47" t="n"/>
      <c r="K210" s="47" t="inlineStr">
        <is>
          <t>OK</t>
        </is>
      </c>
      <c r="L210" s="47" t="inlineStr">
        <is>
          <t>未確認</t>
        </is>
      </c>
      <c r="M210" s="47" t="inlineStr">
        <is>
          <t>未依頼</t>
        </is>
      </c>
      <c r="N210" s="47" t="inlineStr">
        <is>
          <t>クリニック以外</t>
        </is>
      </c>
      <c r="O210" s="47" t="n"/>
      <c r="P210" s="47" t="n"/>
      <c r="Q210" s="47" t="n"/>
      <c r="R210" s="47" t="n"/>
    </row>
    <row r="211" ht="15.75" customHeight="1" s="185">
      <c r="A211" s="52">
        <f>row()-3</f>
        <v/>
      </c>
      <c r="B211" s="46" t="inlineStr">
        <is>
          <t>robots.txtとは？書き方・設定を解説</t>
        </is>
      </c>
      <c r="C211" s="10" t="inlineStr">
        <is>
          <t>https://dym.asia/media/robots-txt/</t>
        </is>
      </c>
      <c r="D211" s="47" t="inlineStr">
        <is>
          <t>robots.txt 書き方</t>
        </is>
      </c>
      <c r="E211" s="35" t="n">
        <v>2</v>
      </c>
      <c r="F211" s="36" t="n">
        <v>9.367088607594937</v>
      </c>
      <c r="G211" s="47" t="inlineStr">
        <is>
          <t>なし</t>
        </is>
      </c>
      <c r="H211" s="47" t="inlineStr">
        <is>
          <t>可</t>
        </is>
      </c>
      <c r="I211" s="47" t="inlineStr">
        <is>
          <t>Q: robots.txtとは何ですか？また、どこに設置する必要がありますか？
A: robots.txtとは、検索エンジンのクローラー（巡回プログラム）に対して、サイト内でクロールを許可するページや制限したいページを伝えるためのテキストファイルです。一般的には、Webサイトのルートディレクトリ（最上位階層）に配置することで、クローラーが参照できるようにします。配置場所が異なる場合、正しく認識されない可能性があります。
Q: robots.txtを使って、特定のページを検索結果に表示させないようにできますか？
A: robots.txtはクローラーの「クロール（巡回）」を制御するためのものであり、検索結果へのインデックス登録を直接的に制御するものではありません。そのため、検索結果からの非表示を確実に意図する場合には、対象ページにnoindexタグを設定する方法などが一般的に用いられます。
Q: robots.txtで全てのクローラーにサイト全体のクロールを禁止するには、どう記述すれば良いですか？
A: 一般的には、ファイル内にすべてのクローラーを対象とする「User-agent: *」と、サイト全体（ルートディレクトリ）を示す「Disallow: /」を記述します。ただし、すべてのクローラーが必ずしもrobots.txtの指示に従うとは限らない点には留意が必要です。</t>
        </is>
      </c>
      <c r="J211" s="47" t="n"/>
      <c r="K211" s="47" t="inlineStr">
        <is>
          <t>修正済</t>
        </is>
      </c>
      <c r="L211" s="47" t="inlineStr">
        <is>
          <t>未確認</t>
        </is>
      </c>
      <c r="M211" s="47" t="inlineStr">
        <is>
          <t>未依頼</t>
        </is>
      </c>
      <c r="N211" s="47" t="inlineStr">
        <is>
          <t>クリニック以外</t>
        </is>
      </c>
      <c r="O211" s="47" t="n"/>
      <c r="P211" s="47" t="n"/>
      <c r="Q211" s="47" t="n"/>
      <c r="R211" s="47" t="n"/>
    </row>
    <row r="212" ht="15.75" customHeight="1" s="185">
      <c r="A212" s="52">
        <f>row()-3</f>
        <v/>
      </c>
      <c r="B212" s="46" t="inlineStr">
        <is>
          <t>【2024年版】SEO対策の費用相場と料金体系を徹底解説</t>
        </is>
      </c>
      <c r="C212" s="10" t="inlineStr">
        <is>
          <t>https://dym.asia/media/seo-cost/</t>
        </is>
      </c>
      <c r="D212" s="47" t="inlineStr">
        <is>
          <t>seo対策 費用</t>
        </is>
      </c>
      <c r="E212" s="35" t="n">
        <v>2</v>
      </c>
      <c r="F212" s="36" t="n">
        <v>15.98314400879443</v>
      </c>
      <c r="G212" s="47" t="inlineStr">
        <is>
          <t>なし</t>
        </is>
      </c>
      <c r="H212" s="47" t="inlineStr">
        <is>
          <t>可</t>
        </is>
      </c>
      <c r="I212" s="10" t="inlineStr">
        <is>
          <t>Q: SEO対策を業者に依頼する場合の全体的な費用相場はどれくらいですか？
A: サービスの種類によって大きく異なりますが、月額10万円〜50万円程度が相場となることが多いです。コンサルティング、内部対策、外部対策、コンテンツ制作といった施策を組み合わせるため、自社の課題やサイト規模に応じて費用が変動します。お気軽にお問い合わせください。
お問い合わせ先はこちら↓
https://dym.asia/contact/
Q: SEO対策の料金体系にはどのような種類があり、何が違いますか？
A: 主に月額固定報酬型と成果報酬型の2種類があります。固定報酬型はコストが予測しやすい一方、成果報酬型は特定キーワードで順位が上がった場合にのみ費用が発生するため、初期リスクを抑えたい場合に適しています。
Q: SEO対策の費用対効果（ROI）を最大化するために重要なポイントは何ですか？
A: 自社の課題を明確にした上で、それに合わせた最適なSEO戦略を立てることです。また、施策の実行後はGoogle Analyticsなどのツールを用いて効果を継続的に測定・分析し、データに基づいて改善サイクルを回すことが重要となります。</t>
        </is>
      </c>
      <c r="J212" s="47" t="n"/>
      <c r="K212" s="47" t="inlineStr">
        <is>
          <t>OK</t>
        </is>
      </c>
      <c r="L212" s="47" t="inlineStr">
        <is>
          <t>未確認</t>
        </is>
      </c>
      <c r="M212" s="47" t="inlineStr">
        <is>
          <t>未依頼</t>
        </is>
      </c>
      <c r="N212" s="47" t="inlineStr">
        <is>
          <t>クリニック以外</t>
        </is>
      </c>
      <c r="O212" s="47" t="n"/>
      <c r="P212" s="47" t="n"/>
      <c r="Q212" s="47" t="n"/>
      <c r="R212" s="47" t="n"/>
    </row>
    <row r="213" ht="15.75" customHeight="1" s="185">
      <c r="A213" s="52">
        <f>row()-3</f>
        <v/>
      </c>
      <c r="B213" s="46" t="inlineStr">
        <is>
          <t>SESと派遣の違いとは？報酬条件やメリット・デメリットを解説</t>
        </is>
      </c>
      <c r="C213" s="6" t="inlineStr">
        <is>
          <t>https://dym.asia/media/ses-temporary/</t>
        </is>
      </c>
      <c r="D213" s="47" t="inlineStr">
        <is>
          <t>ses 契約社員</t>
        </is>
      </c>
      <c r="E213" s="35" t="n">
        <v>2</v>
      </c>
      <c r="F213" s="36" t="n">
        <v>6.23404255319149</v>
      </c>
      <c r="G213" s="47" t="inlineStr">
        <is>
          <t>なし</t>
        </is>
      </c>
      <c r="H213" s="47" t="inlineStr">
        <is>
          <t>可</t>
        </is>
      </c>
      <c r="I213" s="47" t="inlineStr">
        <is>
          <t>Q: SES契約と派遣契約の最も大きな違いは何ですか？
A: エンジニアに対する「指揮命令権」の所在が大きな違いとされています。派遣契約では、エンジニアは派遣先企業（クライアント）の指揮命令のもとで業務を行います。一方、SES契約（一般的には準委任契約）では、業務の遂行に関する指揮命令はSES企業側にあり、クライアントが直接的な業務指示を行うことは原則として想定されていません。実態として指揮命令関係が派遣と同様になった場合は、法令上の問題が生じる可能性があります。
Q: 企業が派遣とSES契約を使い分ける際の判断基準は何ですか？
A: 業務の管理体制や指揮命令の在り方が主な判断要素になります。派遣契約は、派遣先が直接業務指示を行う前提で活用されます。一方、SES契約（準委任契約）は、業務の遂行方法について受託側に裁量がある形で役務提供を受ける場合に用いられます。
なお、契約名称ではなく実態が法的判断の基準となるため、契約形態を選択する際には、業務内容や指揮命令系統が法令に適合しているかを慎重に確認する必要があります。
Q: SES契約と「請負契約」の違いは何ですか？
A: 請負契約は、仕事の完成（成果物の納品）を目的とし、その完成責任を負う契約形態です。対価は原則として成果物の完成に対して支払われます。
一方、SES契約（準委任契約）は、一定の業務を遂行する「役務提供」を目的とする契約であり、原則として成果物の完成義務までは負いません。責任の範囲や業務遂行における裁量の所在が異なる点が大きな違いです。ただし、実態が請負や派遣に該当すると判断される場合もあるため、契約内容と運用の整合性が重要となります。</t>
        </is>
      </c>
      <c r="J213" s="47" t="n"/>
      <c r="K213" s="47" t="inlineStr">
        <is>
          <t>修正済</t>
        </is>
      </c>
      <c r="L213" s="47" t="inlineStr">
        <is>
          <t>未確認</t>
        </is>
      </c>
      <c r="M213" s="47" t="inlineStr">
        <is>
          <t>未依頼</t>
        </is>
      </c>
      <c r="N213" s="47" t="inlineStr">
        <is>
          <t>クリニック以外</t>
        </is>
      </c>
      <c r="O213" s="47" t="n"/>
      <c r="P213" s="47" t="n"/>
      <c r="Q213" s="47" t="n"/>
      <c r="R213" s="47" t="n"/>
    </row>
    <row r="214" ht="15.75" customHeight="1" s="185">
      <c r="A214" s="52">
        <f>row()-3</f>
        <v/>
      </c>
      <c r="B214" s="46" t="e"/>
      <c r="C214" s="10" t="inlineStr">
        <is>
          <t>https://dym.asia/media/site-create-subsidy/</t>
        </is>
      </c>
      <c r="D214" s="47" t="inlineStr">
        <is>
          <t>地方自治体ホームページ作成費用補助金</t>
        </is>
      </c>
      <c r="E214" s="35" t="n">
        <v>2</v>
      </c>
      <c r="F214" s="36" t="n">
        <v>5.323529411764706</v>
      </c>
      <c r="G214" s="47" t="inlineStr">
        <is>
          <t>なし</t>
        </is>
      </c>
      <c r="H214" s="47" t="inlineStr">
        <is>
          <t>可</t>
        </is>
      </c>
      <c r="I214" s="47" t="inlineStr">
        <is>
          <t>Q: WEBサイト制作で活用できる「補助金」と「助成金」の違いは何ですか？
A: 補助金と助成金はいずれも返済不要の公的支援制度ですが、目的や制度設計に違いがあります。
補助金は、国や地方自治体などが政策目的に沿った事業を支援する制度で、事業計画の審査や採択が行われるのが一般的です。制度によって管轄省庁や実施機関は異なります。助成金は、一定の要件を満たした場合に支給される制度が多く、主に雇用や人材育成、労働環境改善などを目的としたものが中心です。こちらも制度ごとに所管官庁は異なります。いずれの制度も要件や審査基準が定められており、適正な申請と運用が求められます。
Q: WEBサイト制作で利用される主な補助金は何ですか？また、単なるホームページ制作でも申請できますか？
A: WEBサイト制作に関連する制度としては、IT導入補助金や小規模事業者持続化補助金などが活用されるケースがあります。ただし、単なる企業紹介を目的としたホームページ制作のみでは対象とならない場合が多く、業務効率化や販路拡大、生産性向上など、制度趣旨に沿った事業計画であることが求められます。具体的な対象範囲は公募要領によって異なります。
Q: 補助金や助成金を申請する際に、最も重要な注意点やステップは何ですか？
A: まず、制度の目的に合致した事業計画を策定することが重要です。「なぜそのWEBサイトが必要か」「どのような成果を見込むのか」を具体的に整理する必要があります。また、多くの制度では事業実施後の精算払いとなるため、いったん費用を立て替える資金計画が求められます。さらに、支給後も実績報告や帳簿管理などの義務があり、不適切な申請や運用があった場合には返還を求められる可能性もあるため、制度内容を十分に確認したうえで慎重に対応することが大切です。</t>
        </is>
      </c>
      <c r="J214" s="47" t="n"/>
      <c r="K214" s="47" t="inlineStr">
        <is>
          <t>修正済</t>
        </is>
      </c>
      <c r="L214" s="47" t="inlineStr">
        <is>
          <t>未確認</t>
        </is>
      </c>
      <c r="M214" s="47" t="inlineStr">
        <is>
          <t>未依頼</t>
        </is>
      </c>
      <c r="N214" s="47" t="inlineStr">
        <is>
          <t>クリニック以外</t>
        </is>
      </c>
      <c r="O214" s="47" t="n"/>
      <c r="P214" s="47" t="n"/>
      <c r="Q214" s="47" t="n"/>
      <c r="R214" s="47" t="n"/>
    </row>
    <row r="215" ht="15.75" customHeight="1" s="185">
      <c r="A215" s="52">
        <f>row()-3</f>
        <v/>
      </c>
      <c r="B215" s="46" t="inlineStr">
        <is>
          <t>SNS広告の費用目安は？媒体ごとの課金方式やコスパ最大化のコツを徹底解説！</t>
        </is>
      </c>
      <c r="C215" s="10" t="inlineStr">
        <is>
          <t>https://dym.asia/media/sns-ad-cost/</t>
        </is>
      </c>
      <c r="D215" s="47" t="inlineStr">
        <is>
          <t>sns広告 費用</t>
        </is>
      </c>
      <c r="E215" s="35" t="n">
        <v>2</v>
      </c>
      <c r="F215" s="36" t="n">
        <v>12.91533180778032</v>
      </c>
      <c r="G215" s="47" t="inlineStr">
        <is>
          <t>なし</t>
        </is>
      </c>
      <c r="H215" s="47" t="inlineStr">
        <is>
          <t>可</t>
        </is>
      </c>
      <c r="I215" s="10" t="inlineStr">
        <is>
          <t>Q: SNS広告には、どのような種類の課金方式がありますか？
A: SNS広告の課金方式は媒体によって異なりますが、一般的にはクリック課金（CPC）やインプレッション課金（CPM）が代表的です。
そのほかにも、アプリインストール課金（CPI）、エンゲージメント課金（CPE）、動画視聴課金（CPV）など、広告目的に応じた課金方式が用意されている場合があります。実際に選択できる方式は、利用する媒体やキャンペーン目的によって異なります。
お問い合わせ先はこちら↓
https://dym.asia/contact/
Q: SNS広告とリスティング広告は、ターゲット層において何が違いますか？
A: リスティング広告は、検索行動を通じて明確な購入意欲を持つ顕在層を狙います。一方、SNS広告は、ユーザーの属性や興味関心に基づいて配信し、まだ商品を知らない潜在層に広くアプローチすることで、認知度向上やブランディングに活用されます。
Q: SNS広告の費用対効果（コスパ）を最大化するためのコツは何ですか？
A: 明確なKPIを設定すること、そしてターゲット層を絞り込んだ精度の高いターゲティングを行うことです。また、過去にサイトを訪問したユーザーを追跡するリターゲティング配信を活用することで、購買意欲の高い層への再アプローチを強化することが非常に有効です。</t>
        </is>
      </c>
      <c r="J215" s="47" t="n"/>
      <c r="K215" s="47" t="inlineStr">
        <is>
          <t>修正済</t>
        </is>
      </c>
      <c r="L215" s="47" t="inlineStr">
        <is>
          <t>未確認</t>
        </is>
      </c>
      <c r="M215" s="47" t="inlineStr">
        <is>
          <t>未依頼</t>
        </is>
      </c>
      <c r="N215" s="47" t="inlineStr">
        <is>
          <t>クリニック以外</t>
        </is>
      </c>
      <c r="O215" s="47" t="n"/>
      <c r="P215" s="47" t="n"/>
      <c r="Q215" s="47" t="n"/>
      <c r="R215" s="47" t="n"/>
    </row>
    <row r="216" ht="15.75" customHeight="1" s="185">
      <c r="A216" s="52">
        <f>row()-3</f>
        <v/>
      </c>
      <c r="B216" s="46" t="inlineStr">
        <is>
          <t>サンクコスト効果とは？「もったいない」心理と対策を紹介</t>
        </is>
      </c>
      <c r="C216" s="10" t="inlineStr">
        <is>
          <t>https://dym.asia/media/sunk-cost/</t>
        </is>
      </c>
      <c r="D216" s="47" t="inlineStr">
        <is>
          <t>もったいないと思う心理</t>
        </is>
      </c>
      <c r="E216" s="35" t="n">
        <v>2</v>
      </c>
      <c r="F216" s="36" t="n">
        <v>6.894736842105263</v>
      </c>
      <c r="G216" s="47" t="inlineStr">
        <is>
          <t>なし</t>
        </is>
      </c>
      <c r="H216" s="47" t="inlineStr">
        <is>
          <t>可</t>
        </is>
      </c>
      <c r="I216" s="47" t="inlineStr">
        <is>
          <t>Q: サンクコスト効果（埋没費用）とは何ですか？
A: サンクコスト効果とは、すでに支払って回収が不可能になった費用や時間（埋没費用）に影響を受け、本来は将来の合理性だけで判断すべき場面でも、その投資を惜しむ気持ちから非合理的な選択を続けてしまう意思決定上のバイアスを指します。
Q: サンクコスト効果がビジネスの意思決定に悪影響を与えるのはなぜですか？
A: すでに回収不能な過去の投資に引きずられることで、本来重視すべき将来の収益性や機会費用を適切に評価しにくくなるためです。その結果、不採算事業の継続や成果が見込めない施策への追加投資など、合理性を欠いた判断につながる可能性があります。
Q: サンクコスト効果を回避し、合理的な判断をするための具体的な対策は何ですか？
A: まず、過去の投資は意思決定から切り離し、「これからの選択が最も合理的か」という視点で判断することが重要です。あわせて、機会費用を明確に比較すること、データに基づいた客観的な評価を行うこと、第三者の視点を取り入れることなどが有効とされています。</t>
        </is>
      </c>
      <c r="J216" s="47" t="n"/>
      <c r="K216" s="47" t="inlineStr">
        <is>
          <t>修正済</t>
        </is>
      </c>
      <c r="L216" s="47" t="inlineStr">
        <is>
          <t>未確認</t>
        </is>
      </c>
      <c r="M216" s="47" t="inlineStr">
        <is>
          <t>未依頼</t>
        </is>
      </c>
      <c r="N216" s="47" t="inlineStr">
        <is>
          <t>クリニック以外</t>
        </is>
      </c>
      <c r="O216" s="47" t="n"/>
      <c r="P216" s="47" t="n"/>
      <c r="Q216" s="47" t="n"/>
      <c r="R216" s="47" t="n"/>
    </row>
    <row r="217" ht="15.75" customHeight="1" s="185">
      <c r="A217" s="52">
        <f>row()-3</f>
        <v/>
      </c>
      <c r="B217" s="46" t="inlineStr">
        <is>
          <t>TikTok広告とは｜種類や費用相場、効果的な運用方法を解説</t>
        </is>
      </c>
      <c r="C217" s="10" t="inlineStr">
        <is>
          <t>https://dym.asia/media/tiktok-ad-operation/</t>
        </is>
      </c>
      <c r="D217" s="47" t="inlineStr">
        <is>
          <t>dym tiktok</t>
        </is>
      </c>
      <c r="E217" s="35" t="n">
        <v>2</v>
      </c>
      <c r="F217" s="36" t="n">
        <v>5.25</v>
      </c>
      <c r="G217" s="47" t="inlineStr">
        <is>
          <t>なし</t>
        </is>
      </c>
      <c r="H217" s="47" t="inlineStr">
        <is>
          <t>可</t>
        </is>
      </c>
      <c r="I217" s="10" t="inlineStr">
        <is>
          <t>Q: TikTok広告には、どのような種類の課金方式がありますか？
A: 主に6つの方式があります。ユーザーのクリックで費用が発生するクリック課金（CPC）、広告の表示回数で費用が発生するインプレッション課金（CPM）が基本です。その他にアプリインストール課金（CPI）やエンゲージメント課金（CPE）などがあり、目的に合わせて選択します。
Q: SNS広告とリスティング広告は、ターゲット層において何が違いますか？
A: リスティング広告は、検索行動を通じて明確な購入意欲を持つ顕在層を狙います。一方、SNS広告は、ユーザーの属性や興味関心に基づいて配信し、まだ商品を知らない潜在層に広くアプローチすることで、認知度向上やブランディングに活用されます。
Q: SNS広告の費用対効果（コスパ）を最大化するためのコツは何ですか？
A: 明確なKPIを設定すること、そしてターゲット層を絞り込んだ精度の高いターゲティングを行うことです。また、過去にサイトを訪問したユーザーを追跡するリターゲティング配信を活用することで、購買意欲の高い層への再アプローチを強化することが非常に有効です。ぜひお問い合わせください。
お問い合わせ先はこちら↓
https://dym.asia/contact/</t>
        </is>
      </c>
      <c r="J217" s="47" t="n"/>
      <c r="K217" s="47" t="inlineStr">
        <is>
          <t>OK</t>
        </is>
      </c>
      <c r="L217" s="47" t="inlineStr">
        <is>
          <t>未確認</t>
        </is>
      </c>
      <c r="M217" s="47" t="inlineStr">
        <is>
          <t>未依頼</t>
        </is>
      </c>
      <c r="N217" s="47" t="inlineStr">
        <is>
          <t>クリニック以外</t>
        </is>
      </c>
      <c r="O217" s="47" t="n"/>
      <c r="P217" s="47" t="n"/>
      <c r="Q217" s="47" t="n"/>
      <c r="R217" s="47" t="n"/>
    </row>
    <row r="218" ht="15.75" customHeight="1" s="185">
      <c r="A218" s="52">
        <f>row()-3</f>
        <v/>
      </c>
      <c r="B218" s="46" t="inlineStr">
        <is>
          <t>TikTok広告とは？種類・相場・メリットを解説</t>
        </is>
      </c>
      <c r="C218" s="10" t="inlineStr">
        <is>
          <t>https://dym.asia/media/tiktok-ad-type/</t>
        </is>
      </c>
      <c r="D218" s="47" t="inlineStr">
        <is>
          <t>dym tiktok</t>
        </is>
      </c>
      <c r="E218" s="35" t="n">
        <v>2</v>
      </c>
      <c r="F218" s="36" t="n">
        <v>6</v>
      </c>
      <c r="G218" s="47" t="inlineStr">
        <is>
          <t>なし</t>
        </is>
      </c>
      <c r="H218" s="47" t="inlineStr">
        <is>
          <t>可</t>
        </is>
      </c>
      <c r="I218" s="47" t="inlineStr">
        <is>
          <t>Q: TikTok広告には、どのような種類がありますか？
A: TikTok広告は、大きく「予約型広告（純広告）」と「運用型広告」の2種類に分けられます。予約型広告はアプリ起動時などに独占的に表示されるTopView広告など、認知度向上を目的とした広告です。運用型広告はインフィード広告が中心で、予算やターゲットを細かく設定し、継続的に効果を高めていく広告です。
Q: TikTok広告が他のSNS広告と比べて特に優れている点（メリット）は何ですか？
A: 若年層へのリーチ力の高さと、動画がバズった際の強力な拡散力です。また、TikTokは音声をONにして全画面で視聴するユーザーが多いため、広告がユーザーの印象に残りやすいという特徴があります。
Q: TikTok広告の費用相場はどのくらいですか？
A: 予約型広告は大規模な予算（数百万円から）が必要となることが多いですが、運用型広告は最低出稿金額が比較的低く設定されており、少額からでも開始可能です。一般的に、他のSNS広告と比較して費用が高くなる傾向があるため、予算と目的に合わせた広告種別を選ぶことが重要です。</t>
        </is>
      </c>
      <c r="J218" s="47" t="n"/>
      <c r="K218" s="47" t="inlineStr">
        <is>
          <t>OK</t>
        </is>
      </c>
      <c r="L218" s="47" t="inlineStr">
        <is>
          <t>未確認</t>
        </is>
      </c>
      <c r="M218" s="47" t="inlineStr">
        <is>
          <t>未依頼</t>
        </is>
      </c>
      <c r="N218" s="47" t="inlineStr">
        <is>
          <t>クリニック以外</t>
        </is>
      </c>
      <c r="O218" s="47" t="n"/>
      <c r="P218" s="47" t="n"/>
      <c r="Q218" s="47" t="n"/>
      <c r="R218" s="47" t="n"/>
    </row>
    <row r="219" ht="15.75" customHeight="1" s="185">
      <c r="A219" s="52">
        <f>row()-3</f>
        <v/>
      </c>
      <c r="B219" s="46" t="inlineStr">
        <is>
          <t>ディレクトリとは？意味を簡単にわかりやすく解説</t>
        </is>
      </c>
      <c r="C219" s="6" t="inlineStr">
        <is>
          <t>https://dym.asia/media/web-directory/</t>
        </is>
      </c>
      <c r="D219" s="47" t="inlineStr">
        <is>
          <t>ディレクトリ名</t>
        </is>
      </c>
      <c r="E219" s="35" t="n">
        <v>2</v>
      </c>
      <c r="F219" s="36" t="n">
        <v>4.833712984054669</v>
      </c>
      <c r="G219" s="47" t="inlineStr">
        <is>
          <t>なし</t>
        </is>
      </c>
      <c r="H219" s="47" t="inlineStr">
        <is>
          <t>可</t>
        </is>
      </c>
      <c r="I219" s="10" t="inlineStr">
        <is>
          <t>Q: コンピューターにおける「ディレクトリ」とは何ですか？「フォルダ」との違いは何ですか？
A: ディレクトリとは、ファイルやデータを階層的に整理・管理するための仕組みです。機能は同じですが、フォルダはWindowsやMacなどのGUI環境で使われる視覚的な用語であり、ディレクトリはLinuxなどのシステム環境やコマンドラインで使われる用語です。
Q: Webサイトのディレクトリ構造を最適化することがSEOに重要な理由は何ですか？
A: 検索エンジンのクローラーがサイト内を効率的に巡回（クロール）し、コンテンツを正確に評価・インデックス化できるようにするためです。論理的で分かりやすい構造は、サイトの品質を高め、検索順位の向上に貢献します。
ぜひお問い合わせください。
お問い合わせ先はこちら↓
https://dym.asia/contact/
Q: 最適なディレクトリ構造を作るための具体的なポイントは何ですか？
A: ディレクトリ名にその内容を端的に表現したキーワードを含めること、そして階層をできるだけ浅く（理想的には3階層までに）抑えることです。これにより、ユーザーと検索エンジンの両方にとってサイトの構造が明確になり、ナビゲーションが改善されます。</t>
        </is>
      </c>
      <c r="J219" s="47" t="n"/>
      <c r="K219" s="47" t="inlineStr">
        <is>
          <t>OK</t>
        </is>
      </c>
      <c r="L219" s="47" t="inlineStr">
        <is>
          <t>未確認</t>
        </is>
      </c>
      <c r="M219" s="47" t="inlineStr">
        <is>
          <t>未依頼</t>
        </is>
      </c>
      <c r="N219" s="47" t="inlineStr">
        <is>
          <t>クリニック以外</t>
        </is>
      </c>
      <c r="O219" s="47" t="n"/>
      <c r="P219" s="47" t="n"/>
      <c r="Q219" s="47" t="n"/>
      <c r="R219" s="47" t="n"/>
    </row>
    <row r="220" ht="15.75" customHeight="1" s="185">
      <c r="A220" s="52">
        <f>row()-3</f>
        <v/>
      </c>
      <c r="B220" s="46" t="inlineStr">
        <is>
          <t>WEB広告とは？種類や特徴、費用や効果的な運用方法を詳しく解説</t>
        </is>
      </c>
      <c r="C220" s="10" t="inlineStr">
        <is>
          <t>https://dym.asia/media/web_advertisement/</t>
        </is>
      </c>
      <c r="D220" s="47" t="inlineStr">
        <is>
          <t>dym web事業部</t>
        </is>
      </c>
      <c r="E220" s="35" t="n">
        <v>2</v>
      </c>
      <c r="F220" s="36" t="n">
        <v>8.21551724137931</v>
      </c>
      <c r="G220" s="47" t="inlineStr">
        <is>
          <t>なし</t>
        </is>
      </c>
      <c r="H220" s="47" t="inlineStr">
        <is>
          <t>可</t>
        </is>
      </c>
      <c r="I220" s="47" t="inlineStr">
        <is>
          <t>Q: Web広告とは何ですか？また、マスメディア広告と比べてどのようなメリットがありますか？
A: Web広告とは、インターネット上のWebサイトやアプリなどに表示される広告の総称です。マスメディア広告（テレビ、新聞など）と比べ、ユーザーの属性や興味関心、行動履歴などをもとに比較的細かいターゲティングが可能な点が大きなメリットとされています。そのため、商品やサービスに関心を持つ可能性があるユーザー層へ効率的にアプローチできる場合があります。
Q: Web広告にはどのような種類がありますか？代表的なものを教えてください。
A: 主に、検索エンジンの結果画面に表示されるリスティング広告（検索連動型広告）、Webサイトやアプリの広告枠に画像や動画で表示されるディスプレイ広告、そしてFacebookやInstagramなどのSNS上で配信されるSNS広告などが代表的です。それぞれ配信ロジックやターゲティング手法、目的が異なるため、戦略に応じた使い分けが重要になります。
Q: Web広告を運用する上で、費用対効果（ROI）を高めるための重要なポイントは何ですか？
A: 広告の目的とターゲットを明確に設定することが重要です。また、配信データをもとに効果測定を行い、改善を継続する運用体制が求められます。PDCAサイクルを回しながらクリエイティブやターゲティングを最適化していくことが、成果向上につながる可能性があります。場合によっては、専門知識を持つ広告代理店に運用を依頼することも選択肢の一つです。</t>
        </is>
      </c>
      <c r="J220" s="47" t="n"/>
      <c r="K220" s="47" t="inlineStr">
        <is>
          <t>修正済</t>
        </is>
      </c>
      <c r="L220" s="47" t="inlineStr">
        <is>
          <t>未確認</t>
        </is>
      </c>
      <c r="M220" s="47" t="inlineStr">
        <is>
          <t>未依頼</t>
        </is>
      </c>
      <c r="N220" s="47" t="inlineStr">
        <is>
          <t>クリニック以外</t>
        </is>
      </c>
      <c r="O220" s="47" t="n"/>
      <c r="P220" s="47" t="n"/>
      <c r="Q220" s="47" t="n"/>
      <c r="R220" s="47" t="n"/>
    </row>
    <row r="221" ht="15.75" customHeight="1" s="185">
      <c r="A221" s="52">
        <f>row()-3</f>
        <v/>
      </c>
      <c r="B221" s="46" t="inlineStr">
        <is>
          <t>福利厚生のいい会社とは？ユニークな福利厚生の企業や人気の福利厚生を紹介</t>
        </is>
      </c>
      <c r="C221" s="10" t="inlineStr">
        <is>
          <t>https://dym.asia/media/welfare-company/</t>
        </is>
      </c>
      <c r="D221" s="47" t="inlineStr">
        <is>
          <t>福利厚生 すごい会社</t>
        </is>
      </c>
      <c r="E221" s="35" t="n">
        <v>2</v>
      </c>
      <c r="F221" s="36" t="n">
        <v>19.37037037037037</v>
      </c>
      <c r="G221" s="47" t="inlineStr">
        <is>
          <t>なし</t>
        </is>
      </c>
      <c r="H221" s="47" t="inlineStr">
        <is>
          <t>可</t>
        </is>
      </c>
      <c r="I221" s="47" t="inlineStr">
        <is>
          <t>Q: 企業における「福利厚生」とは何ですか？また、主な種類を教えてください。
A: 福利厚生とは、従業員の生活を支援し、働きやすい環境を整えることを目的として企業が設ける制度や取り組みの総称です。主に「法定福利厚生」（健康保険、厚生年金保険、雇用保険など法令で加入が義務付けられているもの）と、企業が独自に設ける「法定外福利厚生」（休暇制度、研修制度、食事補助、福利厚生サービスの導入など）に大別されます。
Q: 福利厚生を充実させることで、企業はどのようなメリットを得られますか？
A: 従業員の満足度やエンゲージメントの向上につながる可能性があります。また、採用活動における企業の魅力向上や、人材の定着率改善に寄与する場合もあります。さらに、働きやすい環境整備を通じて生産性向上が期待されるケースもありますが、効果は制度設計や運用状況によって異なります。
Q: 従業員の満足度が高い、人気の福利厚生にはどのようなものがありますか？
A: 企業や従業員の属性によって異なりますが、柔軟な働き方を支援する制度（リモートワーク制度、フレックスタイム制など）や、育児・介護支援制度、特別休暇制度、社員食堂や食事補助、外部の福利厚生サービスの導入などが関心を集める傾向があります。実際の満足度は、利用しやすさや公平性、企業文化との適合度によって左右されます。</t>
        </is>
      </c>
      <c r="J221" s="47" t="n"/>
      <c r="K221" s="47" t="inlineStr">
        <is>
          <t>修正済</t>
        </is>
      </c>
      <c r="L221" s="47" t="inlineStr">
        <is>
          <t>未確認</t>
        </is>
      </c>
      <c r="M221" s="47" t="inlineStr">
        <is>
          <t>未依頼</t>
        </is>
      </c>
      <c r="N221" s="47" t="inlineStr">
        <is>
          <t>クリニック以外</t>
        </is>
      </c>
      <c r="O221" s="47" t="n"/>
      <c r="P221" s="47" t="n"/>
      <c r="Q221" s="47" t="n"/>
      <c r="R221" s="47" t="n"/>
    </row>
    <row r="222" ht="15.75" customHeight="1" s="185">
      <c r="A222" s="52">
        <f>row()-3</f>
        <v/>
      </c>
      <c r="B222" s="46" t="inlineStr">
        <is>
          <t>福利厚生の種類と人気の制度、導入のメリットをわかりやすく解説</t>
        </is>
      </c>
      <c r="C222" s="10" t="inlineStr">
        <is>
          <t>https://dym.asia/media/welfare-type/</t>
        </is>
      </c>
      <c r="D222" s="47" t="inlineStr">
        <is>
          <t>dymキャリア 福利厚生</t>
        </is>
      </c>
      <c r="E222" s="35" t="n">
        <v>2</v>
      </c>
      <c r="F222" s="36" t="n">
        <v>6.82051282051282</v>
      </c>
      <c r="G222" s="47" t="inlineStr">
        <is>
          <t>なし</t>
        </is>
      </c>
      <c r="H222" s="47" t="inlineStr">
        <is>
          <t>可</t>
        </is>
      </c>
      <c r="I222" s="47" t="inlineStr">
        <is>
          <t>Q: 福利厚生にはどのような種類があり、何が義務付けられていますか？
A: 福利厚生には、法律で義務付けられている「法定福利厚生」と、企業が独自に提供する「法定外福利厚生」の2種類があります。法定福利厚生には、健康保険、厚生年金保険、雇用保険、労災保険などがあり、企業はこれらを全従業員に対して実施する義務があります。
Q: 福利厚生の充実が、企業の採用活動や経営に与える最大のメリットは何ですか？
A: 優秀な人材の採用力向上と離職防止です。法定外福利厚生を充実させることで、他社との差別化が図れるため、従業員満足度が高まり、結果として労働生産性の向上やブランド強化にもつながります。
Q: 契約社員やパートタイマーなど、非正規雇用労働者も福利厚生の対象になりますか？
A: はい、原則として全ての従業員が対象です。同一労働同一賃金の原則に基づき、休憩室や食堂などの福利厚生施設の利用や、教育機会の提供などは、雇用形態による不合理な差別は認められません。</t>
        </is>
      </c>
      <c r="J222" s="47" t="n"/>
      <c r="K222" s="47" t="inlineStr">
        <is>
          <t>OK</t>
        </is>
      </c>
      <c r="L222" s="47" t="inlineStr">
        <is>
          <t>未確認</t>
        </is>
      </c>
      <c r="M222" s="47" t="inlineStr">
        <is>
          <t>未依頼</t>
        </is>
      </c>
      <c r="N222" s="47" t="inlineStr">
        <is>
          <t>クリニック以外</t>
        </is>
      </c>
      <c r="O222" s="47" t="n"/>
      <c r="P222" s="47" t="n"/>
      <c r="Q222" s="47" t="n"/>
      <c r="R222" s="47" t="n"/>
    </row>
    <row r="223" ht="15.75" customHeight="1" s="185">
      <c r="A223" s="52">
        <f>row()-3</f>
        <v/>
      </c>
      <c r="B223" s="46" t="inlineStr">
        <is>
          <t>【2024年版】福利厚生サービスのおすすめ制度6選！特徴や料金、メリットについても解説</t>
        </is>
      </c>
      <c r="C223" s="10" t="inlineStr">
        <is>
          <t>https://dym.asia/media/welfare_benefits_service/</t>
        </is>
      </c>
      <c r="D223" s="47" t="inlineStr">
        <is>
          <t>dym 福利厚生</t>
        </is>
      </c>
      <c r="E223" s="35" t="n">
        <v>2</v>
      </c>
      <c r="F223" s="36" t="n">
        <v>6.950920245398773</v>
      </c>
      <c r="G223" s="47" t="inlineStr">
        <is>
          <t>あり</t>
        </is>
      </c>
      <c r="H223" s="47" t="inlineStr">
        <is>
          <t>既存</t>
        </is>
      </c>
      <c r="I223" s="47" t="inlineStr">
        <is>
          <t>対応不要</t>
        </is>
      </c>
      <c r="J223" s="47" t="n"/>
      <c r="K223" s="47" t="inlineStr">
        <is>
          <t>対応不要</t>
        </is>
      </c>
      <c r="L223" s="47" t="inlineStr">
        <is>
          <t>対応不要</t>
        </is>
      </c>
      <c r="M223" s="47" t="inlineStr">
        <is>
          <t>対応不要</t>
        </is>
      </c>
      <c r="N223" s="47" t="inlineStr">
        <is>
          <t>クリニック以外</t>
        </is>
      </c>
      <c r="O223" s="47" t="n"/>
      <c r="P223" s="47" t="n"/>
      <c r="Q223" s="47" t="n"/>
      <c r="R223" s="47" t="n"/>
    </row>
    <row r="224" ht="15.75" customHeight="1" s="185">
      <c r="A224" s="52">
        <f>row()-3</f>
        <v/>
      </c>
      <c r="B224" s="46" t="inlineStr">
        <is>
          <t>障害者雇用で支給される補助金、助成金の条件と種類一覧</t>
        </is>
      </c>
      <c r="C224" s="10" t="inlineStr">
        <is>
          <t>https://dym.asia/media/with-disabilities-grant/</t>
        </is>
      </c>
      <c r="D224" s="47" t="inlineStr">
        <is>
          <t>障害者能力開発助成金</t>
        </is>
      </c>
      <c r="E224" s="35" t="n">
        <v>2</v>
      </c>
      <c r="F224" s="36" t="n">
        <v>8.257731958762886</v>
      </c>
      <c r="G224" s="47" t="inlineStr">
        <is>
          <t>なし</t>
        </is>
      </c>
      <c r="H224" s="47" t="inlineStr">
        <is>
          <t>可</t>
        </is>
      </c>
      <c r="I224" s="47" t="inlineStr">
        <is>
          <t>Q: 障害者雇用助成金とは何ですか？どのような目的で支給されますか？
A: 障害者雇用助成金とは、障害者を雇用する企業に対して支給される補助金・助成金の総称です。企業側の経済的な負担を軽減しつつ、障害者の就労機会の拡大と雇用の安定を促進することを主な目的として、厚生労働省などが運用しています。
Q: 障害者雇用に関する助成金には、どのような種類がありますか？
A: 主に、初回雇用やトライアル雇用を支援する助成金（例：トライアル雇用助成金）、長期雇用や職場への定着を支援する助成金（例：障害者雇用安定助成金）、そして職業訓練を支援する助成金（例：障害者能力開発助成金）など、雇用段階や目的に応じて多様な種類があります。
Q: 障害者雇用助成金の中でも、ミスマッチを防ぎたい企業におすすめの制度は何ですか？
A: トライアル雇用助成金の障害者トライアルコースがおすすめです。この制度は、障害者を一定期間（最長6か月間）試行的に雇用し、その間に企業と障害者の双方が適性や職場適応性を慎重に見極めることを目的としており、トライアル期間中の賃金の一部が助成されます。</t>
        </is>
      </c>
      <c r="J224" s="47" t="n"/>
      <c r="K224" s="47" t="inlineStr">
        <is>
          <t>OK</t>
        </is>
      </c>
      <c r="L224" s="47" t="inlineStr">
        <is>
          <t>未確認</t>
        </is>
      </c>
      <c r="M224" s="47" t="inlineStr">
        <is>
          <t>未依頼</t>
        </is>
      </c>
      <c r="N224" s="47" t="inlineStr">
        <is>
          <t>クリニック以外</t>
        </is>
      </c>
      <c r="O224" s="47" t="n"/>
      <c r="P224" s="47" t="n"/>
      <c r="Q224" s="47" t="n"/>
      <c r="R224" s="47" t="n"/>
    </row>
    <row r="225" ht="15.75" customHeight="1" s="185">
      <c r="A225" s="52">
        <f>row()-3</f>
        <v/>
      </c>
      <c r="B225" s="46" t="inlineStr">
        <is>
          <t>Twitter採用とは｜メリット・デメリットや成功事例を紹介</t>
        </is>
      </c>
      <c r="C225" s="10" t="inlineStr">
        <is>
          <t>https://dym.asia/media/x-recruitment/</t>
        </is>
      </c>
      <c r="D225" s="47" t="inlineStr">
        <is>
          <t>x 求人機能</t>
        </is>
      </c>
      <c r="E225" s="35" t="n">
        <v>2</v>
      </c>
      <c r="F225" s="36" t="n">
        <v>9.833333333333334</v>
      </c>
      <c r="G225" s="47" t="inlineStr">
        <is>
          <t>なし</t>
        </is>
      </c>
      <c r="H225" s="47" t="inlineStr">
        <is>
          <t>可</t>
        </is>
      </c>
      <c r="I225" s="47" t="inlineStr">
        <is>
          <t>Q: X（旧Twitter）採用とは何ですか？従来の採用と比べてどのような違いがありますか？
A: X採用とは、企業が公式アカウントや担当者個人のアカウントを通じて、求人情報や企業文化を直接発信し、潜在的な求職者と接点を持つ手法です。従来の採用手法と異なり、企業と求職者間の双方向のコミュニケーションが可能となり、相互理解を深めやすいのが特徴です。
Q: X採用を行うことの最大のメリットは何ですか？
A: 採用コストの削減と強力な拡散力です。アカウントの利用は基本的に無料であり、魅力的な情報がリポスト（リツイート）されることで広範囲の潜在層に情報が届くため、高額な求人広告費を抑えながら、広範囲かつ質の高い母集団形成につながる可能性があります。
Q: X採用を効果的に運用するために、企業が注意すべき最大のリスクと対策は何ですか？
A: 最大のリスクは「炎上リスク」です。不適切な発言や投稿が瞬時に広まり、企業イメージを大きく損なう可能性があります。対策として、投稿内容の厳重なチェック体制、SNSポリシーの明確化、そしてコンセプトがブレない継続的な情報発信を徹底することが重要です。</t>
        </is>
      </c>
      <c r="J225" s="47" t="n"/>
      <c r="K225" s="47" t="inlineStr">
        <is>
          <t>OK</t>
        </is>
      </c>
      <c r="L225" s="47" t="inlineStr">
        <is>
          <t>未確認</t>
        </is>
      </c>
      <c r="M225" s="47" t="inlineStr">
        <is>
          <t>未依頼</t>
        </is>
      </c>
      <c r="N225" s="47" t="inlineStr">
        <is>
          <t>クリニック以外</t>
        </is>
      </c>
      <c r="O225" s="47" t="n"/>
      <c r="P225" s="47" t="n"/>
      <c r="Q225" s="47" t="n"/>
      <c r="R225" s="47" t="n"/>
    </row>
    <row r="226" ht="15.75" customHeight="1" s="185">
      <c r="A226" s="52">
        <f>row()-3</f>
        <v/>
      </c>
      <c r="B226" s="46" t="inlineStr">
        <is>
          <t>2025年問題とは？社会への影響と課題、対策をわかりやすく解説</t>
        </is>
      </c>
      <c r="C226" s="10" t="inlineStr">
        <is>
          <t>https://dym.asia/media/2025-problem/</t>
        </is>
      </c>
      <c r="D226" s="47" t="inlineStr">
        <is>
          <t>2025年問題</t>
        </is>
      </c>
      <c r="E226" s="35" t="n">
        <v>1</v>
      </c>
      <c r="F226" s="36" t="n">
        <v>48.43119266055046</v>
      </c>
      <c r="G226" s="47" t="inlineStr">
        <is>
          <t>なし</t>
        </is>
      </c>
      <c r="H226" s="47" t="inlineStr">
        <is>
          <t>可</t>
        </is>
      </c>
      <c r="I226" s="47" t="inlineStr">
        <is>
          <t>Q: 2025年問題とは具体的に何を指し、なぜ問題とされているのですか？
A: 2025年問題とは、団塊の世代（1947〜1949年生まれ）の多くが75歳以上（後期高齢者）になることで、社会構造に大きな影響が及ぶとされる課題を指します。背景には、高齢化の進行により国民の約4人に1人以上が65歳以上となることや、医療・介護などの社会保障費における現役世代の負担が大きく増加すること、生産年齢人口の減少が進むことなどがあります。これらが同時期に顕在化する点が問題視されています。
Q: 2025年問題が企業経営に与える最も深刻な影響は何ですか？
A: 最も深刻なのは、人材不足の深刻化と事業承継の難化です。生産年齢人口の減少により、企業は人材確保が一層困難になる可能性があります。特に中小企業では後継者不足が経営継続のリスクとなるケースも指摘されています。また、家族の介護を担う従業員（いわゆるビジネスケアラー）の増加により、働き方や生産性への影響が生じる可能性もあります。
Q: 企業が2025年問題に対応するために取るべき具体的な対策は何ですか？
A: 多様な働き方の推進（リモートワークや柔軟な勤務制度など）により、既存人材の定着を図ることが重要とされています。また、業務効率化や省人化を目的としたDX（デジタルトランスフォーメーション）の推進、シニア人材の活用、早期からの事業承継計画の策定なども有効な対策と考えられています。
企業規模や業種によって影響の度合いは異なるため、自社の状況に応じた中長期的な対応が求められます。</t>
        </is>
      </c>
      <c r="J226" s="47" t="n"/>
      <c r="K226" s="47" t="inlineStr">
        <is>
          <t>修正済</t>
        </is>
      </c>
      <c r="L226" s="47" t="inlineStr">
        <is>
          <t>未確認</t>
        </is>
      </c>
      <c r="M226" s="47" t="inlineStr">
        <is>
          <t>未依頼</t>
        </is>
      </c>
      <c r="N226" s="47" t="inlineStr">
        <is>
          <t>クリニック以外</t>
        </is>
      </c>
      <c r="O226" s="47" t="n"/>
      <c r="P226" s="47" t="n"/>
      <c r="Q226" s="47" t="n"/>
      <c r="R226" s="47" t="n"/>
    </row>
    <row r="227" ht="15.75" customHeight="1" s="185">
      <c r="A227" s="52">
        <f>row()-3</f>
        <v/>
      </c>
      <c r="B227" s="46" t="inlineStr">
        <is>
          <t>吸収合併の特徴とは？合併の種類、M&amp;Aや新設合併との違いを解説</t>
        </is>
      </c>
      <c r="C227" s="6" t="inlineStr">
        <is>
          <t>https://dym.asia/media/absorption-type-merger/</t>
        </is>
      </c>
      <c r="D227" s="47" t="inlineStr">
        <is>
          <t>吸収合併 費用</t>
        </is>
      </c>
      <c r="E227" s="35" t="n">
        <v>1</v>
      </c>
      <c r="F227" s="36" t="n">
        <v>6.48</v>
      </c>
      <c r="G227" s="47" t="inlineStr">
        <is>
          <t>なし</t>
        </is>
      </c>
      <c r="H227" s="47" t="inlineStr">
        <is>
          <t>可</t>
        </is>
      </c>
      <c r="I227" s="47" t="inlineStr">
        <is>
          <t>Q: 吸収合併とは何ですか？新設合併との違いも教えてください。
A: 吸収合併とは、既存の会社が他の会社を吸収し、吸収された会社（消滅会社）の法人格が消滅する合併手法です。一方、新設合併は、すべての当事会社が消滅し、新たに設立された会社が権利義務を承継する方式です。実務上は、手続きや運営面での継続性の観点から吸収合併が選択されるケースが多いとされています。
Q: 吸収合併を行うことの存続会社側の主なメリットは何ですか？
A: 規模拡大によるシナジー効果（生産力・販売力の向上や業務効率化など）が期待できる点に加え、消滅会社が有していた人材、許認可、技術、取引関係などの経営資源を包括的に承継できる点が挙げられます。また、一定の要件を満たす場合には、消滅会社の繰越欠損金を引き継ぐことが可能となるケースもありますが、税務上の取り扱いには厳格な要件があるため、個別の検討が必要です。
Q: 吸収合併において、消滅会社の従業員の雇用はどうなりますか？
A: 吸収合併では、消滅会社の権利義務が存続会社に包括的に承継されます。そのため、原則として、従業員の雇用契約は存続会社に包括的に承継されます。ただし、労働条件の変更などを行う場合には、労働契約法や関連法令に基づいた適切な手続きが求められます。</t>
        </is>
      </c>
      <c r="J227" s="47" t="n"/>
      <c r="K227" s="47" t="inlineStr">
        <is>
          <t>修正済</t>
        </is>
      </c>
      <c r="L227" s="47" t="inlineStr">
        <is>
          <t>未確認</t>
        </is>
      </c>
      <c r="M227" s="47" t="inlineStr">
        <is>
          <t>未依頼</t>
        </is>
      </c>
      <c r="N227" s="47" t="inlineStr">
        <is>
          <t>クリニック以外</t>
        </is>
      </c>
      <c r="O227" s="47" t="n"/>
      <c r="P227" s="47" t="n"/>
      <c r="Q227" s="47" t="n"/>
      <c r="R227" s="47" t="n"/>
    </row>
    <row r="228" ht="15.75" customHeight="1" s="185">
      <c r="A228" s="52">
        <f>row()-3</f>
        <v/>
      </c>
      <c r="B228" s="46" t="inlineStr">
        <is>
          <t>会計処理の「のれん」とはどういう意味？M&amp;Aとの関係性や償却方法を解説</t>
        </is>
      </c>
      <c r="C228" s="10" t="inlineStr">
        <is>
          <t>https://dym.asia/media/accounting-goodwill/</t>
        </is>
      </c>
      <c r="D228" s="47" t="inlineStr">
        <is>
          <t>のれん どこに計上</t>
        </is>
      </c>
      <c r="E228" s="35" t="n">
        <v>1</v>
      </c>
      <c r="F228" s="36" t="n">
        <v>1</v>
      </c>
      <c r="G228" s="47" t="inlineStr">
        <is>
          <t>なし</t>
        </is>
      </c>
      <c r="H228" s="47" t="inlineStr">
        <is>
          <t>可</t>
        </is>
      </c>
      <c r="I228" s="47" t="inlineStr">
        <is>
          <t>Q: 会計処理における「のれん」とは、具体的にどのような意味ですか？
A: のれんとは、企業結合（M&amp;A）において取得原価が被取得企業の識別可能な資産・負債を時価評価した純資産額を上回る場合に生じる差額を指します。この超過額は、ブランド力、顧客基盤、技術力、人材、超過収益力など、個別に識別して資産計上できない将来の経済的便益を表すものとして会計上認識されます。
Q: のれん代は、どのように会計処理されますか？
A: のれんは無形固定資産として貸借対照表に計上されます。
日本基準では、原則として20年以内の合理的な期間で定額法等により規則的に償却し、あわせて減損の兆候がある場合には減損テストを実施します。
一方、IFRS（国際会計基準）では、のれんは原則として償却せず、少なくとも年1回および減損の兆候がある場合に減損テストを実施する点が大きな違いです。
Q: のれんは常にプラス（超過価値）として発生するものですか？マイナスになることはありますか？
A: マイナスとなる場合もあります。取得原価が識別可能純資産の時価を下回った場合、その差額は「負ののれん」と呼ばれます。
日本基準では、負ののれんは原則として特別利益として発生時に一括計上されます。IFRSにおいても、再評価後になお差額が生じる場合には、原則として当期利益として認識されます。負ののれんは、割安取得（バーゲンパーチェス）によって生じるケースなどがあり、必ずしもリスクの存在のみを意味するものではありません。</t>
        </is>
      </c>
      <c r="J228" s="47" t="n"/>
      <c r="K228" s="47" t="inlineStr">
        <is>
          <t>修正済</t>
        </is>
      </c>
      <c r="L228" s="47" t="inlineStr">
        <is>
          <t>未確認</t>
        </is>
      </c>
      <c r="M228" s="47" t="inlineStr">
        <is>
          <t>未依頼</t>
        </is>
      </c>
      <c r="N228" s="47" t="inlineStr">
        <is>
          <t>クリニック以外</t>
        </is>
      </c>
      <c r="O228" s="47" t="n"/>
      <c r="P228" s="47" t="n"/>
      <c r="Q228" s="47" t="n"/>
      <c r="R228" s="47" t="n"/>
    </row>
    <row r="229" ht="15.75" customHeight="1" s="185">
      <c r="A229" s="52">
        <f>row()-3</f>
        <v/>
      </c>
      <c r="B229" s="46" t="inlineStr">
        <is>
          <t>企業買収とは？合併との違い、M&amp;Aのメリット・デメリットをわかりやすく解説</t>
        </is>
      </c>
      <c r="C229" s="10" t="inlineStr">
        <is>
          <t>https://dym.asia/media/acquisition/</t>
        </is>
      </c>
      <c r="D229" s="47" t="inlineStr">
        <is>
          <t>企業買収とは</t>
        </is>
      </c>
      <c r="E229" s="35" t="n">
        <v>1</v>
      </c>
      <c r="F229" s="36" t="n">
        <v>6.198142414860681</v>
      </c>
      <c r="G229" s="47" t="inlineStr">
        <is>
          <t>なし</t>
        </is>
      </c>
      <c r="H229" s="47" t="inlineStr">
        <is>
          <t>可</t>
        </is>
      </c>
      <c r="I229" s="47" t="inlineStr">
        <is>
          <t>Q: M&amp;Aにおける「企業買収（Acquisition）」とは何ですか？「合併」とどう違いますか？
A: 企業買収とは、ある企業が別の企業の株式や事業を取得し、経営権を取得または支配下に置くことを指します。買収された企業は、原則として法人格を維持したまま、買収側の子会社等として存続します。一方、合併は複数の企業が法的に統合される手法であり、少なくとも一つの法人格が消滅します。このように、法人格が存続するかどうかが大きな違いの一つとされています。
Q: 企業買収にはどのような手法がありますか？
A: 主な手法としては、対象企業の株式を取得する「株式取得（株式譲渡など）」や、特定の事業や資産を取得する「事業譲渡（資産取得）」などがあります。
株式取得には株式譲渡、株式交換、第三者割当増資の引受けなど複数の方法があり、目的や資本構成に応じて選択されます。実務上は株式譲渡が広く活用されていますが、最適な手法は案件ごとに異なります。
Q: 買収側（買い手）が企業買収を行う最大のメリットは何ですか？
A: 既存事業の拡大や新市場への参入を比較的短期間で実現できる可能性がある点です。また、自社にはない技術、ノウハウ、人材、顧客基盤などの経営資源を取り込むことで、競争力の強化やシナジー効果の創出が期待されます。ただし、実際の成果は統合プロセス（PMI）の成否などによって大きく左右されます。</t>
        </is>
      </c>
      <c r="J229" s="47" t="n"/>
      <c r="K229" s="47" t="inlineStr">
        <is>
          <t>修正済</t>
        </is>
      </c>
      <c r="L229" s="47" t="inlineStr">
        <is>
          <t>未確認</t>
        </is>
      </c>
      <c r="M229" s="47" t="inlineStr">
        <is>
          <t>未依頼</t>
        </is>
      </c>
      <c r="N229" s="47" t="inlineStr">
        <is>
          <t>クリニック以外</t>
        </is>
      </c>
      <c r="O229" s="47" t="n"/>
      <c r="P229" s="47" t="n"/>
      <c r="Q229" s="47" t="n"/>
      <c r="R229" s="47" t="n"/>
    </row>
    <row r="230" ht="15.75" customHeight="1" s="185">
      <c r="A230" s="52">
        <f>row()-3</f>
        <v/>
      </c>
      <c r="B230" s="46" t="inlineStr">
        <is>
          <t>芸能人の広告効果を最大限に！タレント起用のポイントは？</t>
        </is>
      </c>
      <c r="C230" s="6" t="inlineStr">
        <is>
          <t>https://dym.asia/media/ad-talent/</t>
        </is>
      </c>
      <c r="D230" s="47" t="inlineStr">
        <is>
          <t>タレント 起用</t>
        </is>
      </c>
      <c r="E230" s="35" t="n">
        <v>1</v>
      </c>
      <c r="F230" s="36" t="n">
        <v>8.962085308056871</v>
      </c>
      <c r="G230" s="47" t="inlineStr">
        <is>
          <t>なし</t>
        </is>
      </c>
      <c r="H230" s="47" t="inlineStr">
        <is>
          <t>可</t>
        </is>
      </c>
      <c r="I230" s="47" t="inlineStr">
        <is>
          <t>Q: 広告にタレントを起用する最大のメリットは何ですか？
A: タレントが持つ知名度と好感度を活かして、消費者の注目を瞬時に引きつけられることです。これにより、商品の信頼性やブランドイメージが向上し、タレントのファン層を新規顧客として取り込めるため、広告効果を大幅に高めることが期待できます。
Q: タレント起用を成功させるために、最も留意すべきポイントは何ですか？
A: 商品やサービスのイメージと、起用するタレントのイメージが完全に合致しているかを吟味することです。イメージがズレていると広告メッセージが消費者へ正確に伝わらず、効果が半減する可能性があります。また、競合他社とのキャスティング被りにも注意が必要です。
Q: タレントとインフルエンサーを広告に起用する場合、主な違いは何ですか？
A: タレントは幅広い層への認知度向上と信頼性の付与に強みがあります。一方、インフルエンサーは、特定のコミュニティやターゲット層に対して高い熱量で訴求できる点に強みがあります。目的とするリーチ層や、広告の予算に応じて使い分けることが重要です。</t>
        </is>
      </c>
      <c r="J230" s="47" t="n"/>
      <c r="K230" s="47" t="inlineStr">
        <is>
          <t>OK</t>
        </is>
      </c>
      <c r="L230" s="47" t="inlineStr">
        <is>
          <t>未確認</t>
        </is>
      </c>
      <c r="M230" s="47" t="inlineStr">
        <is>
          <t>未依頼</t>
        </is>
      </c>
      <c r="N230" s="47" t="inlineStr">
        <is>
          <t>クリニック以外</t>
        </is>
      </c>
      <c r="O230" s="47" t="n"/>
      <c r="P230" s="47" t="n"/>
      <c r="Q230" s="47" t="n"/>
      <c r="R230" s="47" t="n"/>
    </row>
    <row r="231" ht="15.75" customHeight="1" s="185">
      <c r="A231" s="52">
        <f>row()-3</f>
        <v/>
      </c>
      <c r="B231" s="46" t="inlineStr">
        <is>
          <t>広告運用とは？仕事内容や始め方・必要なスキルを紹介</t>
        </is>
      </c>
      <c r="C231" s="10" t="inlineStr">
        <is>
          <t>https://dym.asia/media/advertising-management/</t>
        </is>
      </c>
      <c r="D231" s="47" t="inlineStr">
        <is>
          <t>広告運用とは</t>
        </is>
      </c>
      <c r="E231" s="35" t="n">
        <v>1</v>
      </c>
      <c r="F231" s="36" t="n">
        <v>6.463414634146342</v>
      </c>
      <c r="G231" s="47" t="inlineStr">
        <is>
          <t>なし</t>
        </is>
      </c>
      <c r="H231" s="47" t="inlineStr">
        <is>
          <t>可</t>
        </is>
      </c>
      <c r="I231" s="10" t="inlineStr">
        <is>
          <t>Q: 広告運用とは、具体的にどのような業務を指しますか？
A: 広告運用とは、リスティング広告やSNS広告などの運用型広告を、設定した目標（コンバージョンなど）に向けて効率的に管理・最適化する業務です。具体的には、日次の入札調整、週次のパフォーマンス分析（PDCA）、月次の戦略立案といったサイクルを回し、広告効果の最大化を目指します。お気軽にお問い合わせください。
お問い合わせ先はこちら↓
https://dym.asia/contact/
Q: 広告運用に必要なスキルや、向いている人の特徴は何ですか？
A: 広告の成果が数字で出るため、データや数字に基づく分析が苦にならないこと、そして地道な改善作業を継続できることが最も重要です。また、論理的思考力とマーケティングの基礎知識、各媒体のプラットフォーム運用スキルが必須となります。
Q: 広告代理店の運用者と事業会社の運用者では、役割にどのような違いがありますか？
A: 事業会社の運用者は、自社の特定のサービスや商品に特化し、深い知識を活かして長期的なブランディングと売上向上を目指します。一方、広告代理店の運用者は、複数のクライアントの広告を同時に担当するため、幅広い知識と経験、そして高い提案力とコミュニケーション能力が求められます。</t>
        </is>
      </c>
      <c r="J231" s="47" t="n"/>
      <c r="K231" s="47" t="inlineStr">
        <is>
          <t>OK</t>
        </is>
      </c>
      <c r="L231" s="47" t="inlineStr">
        <is>
          <t>未確認</t>
        </is>
      </c>
      <c r="M231" s="47" t="inlineStr">
        <is>
          <t>未依頼</t>
        </is>
      </c>
      <c r="N231" s="47" t="inlineStr">
        <is>
          <t>クリニック以外</t>
        </is>
      </c>
      <c r="O231" s="47" t="n"/>
      <c r="P231" s="47" t="n"/>
      <c r="Q231" s="47" t="n"/>
      <c r="R231" s="47" t="n"/>
    </row>
    <row r="232" ht="15.75" customHeight="1" s="185">
      <c r="A232" s="52">
        <f>row()-3</f>
        <v/>
      </c>
      <c r="B232" s="46" t="inlineStr">
        <is>
          <t>アフィリエイト広告とは？仕組みとデメリットを分かりやすく解説</t>
        </is>
      </c>
      <c r="C232" s="10" t="inlineStr">
        <is>
          <t>https://dym.asia/media/affiliate-demerit/</t>
        </is>
      </c>
      <c r="D232" s="47" t="inlineStr">
        <is>
          <t>アフェリエイト広告とは</t>
        </is>
      </c>
      <c r="E232" s="35" t="n">
        <v>1</v>
      </c>
      <c r="F232" s="36" t="n">
        <v>1</v>
      </c>
      <c r="G232" s="47" t="inlineStr">
        <is>
          <t>なし</t>
        </is>
      </c>
      <c r="H232" s="47" t="inlineStr">
        <is>
          <t>可</t>
        </is>
      </c>
      <c r="I232" s="47" t="inlineStr">
        <is>
          <t>Q: アフィリエイト広告とは、具体的にどのような仕組みの広告ですか？
A: アフィリエイト広告とは、成果報酬型の広告手法です。広告主が商品やサービスを宣伝してもらうため、アフィリエイター（広告を掲載するメディア運営者）と提携し、ユーザーがその広告経由で商品購入や会員登録などの成果を達成した場合にのみ、アフィリエイターに報酬を支払う仕組みです。
Q: アフィリエイト広告の最大のデメリットは何ですか？
A: ブランドイメージの毀損リスクがあることです。掲載メディアの品質を完全にコントロールできないため、イメージに合わないサイトや信頼性の低い情報が掲載されることで、企業や商品の評判に悪影響を及ぼす可能性があります。
Q: アフィリエイト広告の運用費用は、どのように発生しますか？
A: 基本的に成果報酬であるため、売上や成果に直結しない限り広告費用は発生しません。ただし、アフィリエイターと広告主を仲介するASP（アフィリエイトサービスプロバイダー）への初期費用や月額固定費、ASPへの手数料といった一定の固定費は必要となります。</t>
        </is>
      </c>
      <c r="J232" s="47" t="n"/>
      <c r="K232" s="47" t="inlineStr">
        <is>
          <t>OK</t>
        </is>
      </c>
      <c r="L232" s="47" t="inlineStr">
        <is>
          <t>未確認</t>
        </is>
      </c>
      <c r="M232" s="47" t="inlineStr">
        <is>
          <t>未依頼</t>
        </is>
      </c>
      <c r="N232" s="47" t="inlineStr">
        <is>
          <t>クリニック以外</t>
        </is>
      </c>
      <c r="O232" s="47" t="n"/>
      <c r="P232" s="47" t="n"/>
      <c r="Q232" s="47" t="n"/>
      <c r="R232" s="47" t="n"/>
    </row>
    <row r="233" ht="15.75" customHeight="1" s="185">
      <c r="A233" s="52">
        <f>row()-3</f>
        <v/>
      </c>
      <c r="B233" s="46" t="inlineStr">
        <is>
          <t>アフィリエイト広告とは？仕組みやメリット・デメリットを解説</t>
        </is>
      </c>
      <c r="C233" s="10" t="inlineStr">
        <is>
          <t>https://dym.asia/media/affiliate-merit/</t>
        </is>
      </c>
      <c r="D233" s="47" t="inlineStr">
        <is>
          <t>アフィリエイト デメリット</t>
        </is>
      </c>
      <c r="E233" s="35" t="n">
        <v>1</v>
      </c>
      <c r="F233" s="36" t="n">
        <v>22.13636363636364</v>
      </c>
      <c r="G233" s="47" t="inlineStr">
        <is>
          <t>なし</t>
        </is>
      </c>
      <c r="H233" s="47" t="inlineStr">
        <is>
          <t>可</t>
        </is>
      </c>
      <c r="I233" s="10" t="inlineStr">
        <is>
          <t>Q: アフィリエイト広告とは、具体的にどのような仕組みの広告ですか？
A: アフィリエイト広告とは、成果報酬型の広告手法です。広告主、アフィリエイター（媒体運営者）、ASP（仲介事業者）の三者が連携します。ユーザーが広告経由で商品購入やサービス登録などの成果を達成した場合にのみ、広告主からアフィリエイターに報酬が支払われます。
ぜひお問い合わせください。
お問い合わせ先はこちら↓
https://dym.asia/contact/
Q: アフィリエイト広告を導入する最大のメリットは何ですか？
A: 費用対効果が高いことです。広告主は成果が発生した場合にだけ広告費を支払えば良いため、広告費が無駄になるリスクを最小限に抑えられます。また、初期投資が少なく、少ない運営費用で広範囲のユーザーにPRできる点も大きなメリットです。
Q: アフィリエイト広告とリスティング広告の主な違いは何ですか？
A: アフィリエイト広告は成果報酬型で、広告主は購入や登録といった最終成果に対して費用を支払います。一方、リスティング広告はクリック課金型（CPC）で、ユーザーのクリックという行動に対して費用が発生します。アフィリエイトは費用における効率性と柔軟性に優れています。</t>
        </is>
      </c>
      <c r="J233" s="47" t="n"/>
      <c r="K233" s="47" t="inlineStr">
        <is>
          <t>OK</t>
        </is>
      </c>
      <c r="L233" s="47" t="inlineStr">
        <is>
          <t>未確認</t>
        </is>
      </c>
      <c r="M233" s="47" t="inlineStr">
        <is>
          <t>未依頼</t>
        </is>
      </c>
      <c r="N233" s="47" t="inlineStr">
        <is>
          <t>クリニック以外</t>
        </is>
      </c>
      <c r="O233" s="47" t="n"/>
      <c r="P233" s="47" t="n"/>
      <c r="Q233" s="47" t="n"/>
      <c r="R233" s="47" t="n"/>
    </row>
    <row r="234" ht="15.75" customHeight="1" s="185">
      <c r="A234" s="52">
        <f>row()-3</f>
        <v/>
      </c>
      <c r="B234" s="46" t="inlineStr">
        <is>
          <t>アフィリエイトとは？仕組みや報酬獲得の方法、サイトの作り方を解説</t>
        </is>
      </c>
      <c r="C234" s="10" t="inlineStr">
        <is>
          <t>https://dym.asia/media/affiliate/</t>
        </is>
      </c>
      <c r="D234" s="47" t="inlineStr">
        <is>
          <t>アフィリエイト 報酬 仕組み</t>
        </is>
      </c>
      <c r="E234" s="35" t="n">
        <v>1</v>
      </c>
      <c r="F234" s="36" t="n">
        <v>23.22222222222222</v>
      </c>
      <c r="G234" s="47" t="inlineStr">
        <is>
          <t>なし</t>
        </is>
      </c>
      <c r="H234" s="47" t="inlineStr">
        <is>
          <t>可</t>
        </is>
      </c>
      <c r="I234" s="10" t="inlineStr">
        <is>
          <t>Q: アフィリエイトとは何ですか？また、どのようなプレイヤーで成り立っていますか？
A: アフィリエイトとは、自身のWebサイトやSNS、ブログなどで広告主の商品を紹介し、ユーザーが商品を購入するなどの「成果」が発生した場合に、広告収入が入る仕組み（成果報酬型広告）です。広告を出稿する「広告主」、広告を掲載する「アフィリエイター」、両者を仲介する「ASP（アフィリエイト・サービス・プロバイダ）」、そして「ユーザー」の4者で成り立っています。
Q: アフィリエイトは誰でも、どれくらいの費用で始められますか？
A: 特別な資格や経験は不要で、PCとインターネット環境があれば誰でも始めることができます。初期費用は、運営するWebサイトのサーバー代やドメイン代といった最小限の費用で済むため、副業としても負担が少なく手軽に始めることができます。
Q: アフィリエイトで安定して収益を上げるための最も重要なポイントは何ですか？
A: 収益を上げるのは難しく、多くの時間と努力が必要です。最も重要なのは、ユーザーのニーズに応える質の高いコンテンツを継続的に作成することです。また、ASPの審査基準が緩いところを選ぶ、報酬の最低支払金額が低いASPを選ぶなど、収益を確保するためのASP選びも重要になります。ぜひお問い合わせください。
お問い合わせ先はこちら↓
https://dym.asia/contact/</t>
        </is>
      </c>
      <c r="J234" s="47" t="n"/>
      <c r="K234" s="47" t="inlineStr">
        <is>
          <t>OK</t>
        </is>
      </c>
      <c r="L234" s="47" t="inlineStr">
        <is>
          <t>未確認</t>
        </is>
      </c>
      <c r="M234" s="47" t="inlineStr">
        <is>
          <t>未依頼</t>
        </is>
      </c>
      <c r="N234" s="47" t="inlineStr">
        <is>
          <t>クリニック以外</t>
        </is>
      </c>
      <c r="O234" s="47" t="n"/>
      <c r="P234" s="47" t="n"/>
      <c r="Q234" s="47" t="n"/>
      <c r="R234" s="47" t="n"/>
    </row>
    <row r="235" ht="15.75" customHeight="1" s="185">
      <c r="A235" s="52">
        <f>row()-3</f>
        <v/>
      </c>
      <c r="B235" s="46" t="inlineStr">
        <is>
          <t>AIDMA（アイドマ）とは？意味や活用方法、AISASとの違いまでわかりやすく解説</t>
        </is>
      </c>
      <c r="C235" s="10" t="inlineStr">
        <is>
          <t>https://dym.asia/media/aidma/</t>
        </is>
      </c>
      <c r="D235" s="47" t="inlineStr">
        <is>
          <t>aidcas</t>
        </is>
      </c>
      <c r="E235" s="35" t="n">
        <v>1</v>
      </c>
      <c r="F235" s="36" t="n">
        <v>3</v>
      </c>
      <c r="G235" s="47" t="inlineStr">
        <is>
          <t>なし</t>
        </is>
      </c>
      <c r="H235" s="47" t="inlineStr">
        <is>
          <t>可</t>
        </is>
      </c>
      <c r="I235" s="47" t="inlineStr">
        <is>
          <t>Q: AIDMA（アイドマ）とは何ですか？5つのステップの意味を教えてください。
A: AIDMAとは、消費者が商品やサービスを認知してから購入に至るまでの心理的プロセスを理解するためのマーケティングフレームワークです。 5つのステップは、Attention（注意）、Interest（関心）、Desire（欲求）、Memory（記憶）、Action（行動）の頭文字を取ったもので、この流れで購入に至ると考えられています。
Q: AIDMAとAISAS（アイサス）の違いは何ですか？
A: AIDMAはテレビCMや新聞などのマスメディアが主流だった時代に提唱されたモデルで、Memory（記憶）が購買行動に影響を与えます。一方、AISASはインターネット普及後の時代のモデルで、Memoryの代わりにSearch（検索）とShare（共有）が加わり、消費者が能動的に情報を探して共有する行動を重視しています。
Q: AIDMAのフレームワークを効果的に活用するためのポイントは何ですか？
A: AIDMAの各ステップに応じたコンテンツと施策を設計することです。例えば、Attentionの段階では認知度を高める広告を、Interestの段階では商品の特徴を詳しく説明するコンテンツを提供する、といったように、顧客の購買プロセスに合わせたプロモーションを行うことが重要です。</t>
        </is>
      </c>
      <c r="J235" s="47" t="n"/>
      <c r="K235" s="47" t="inlineStr">
        <is>
          <t>OK</t>
        </is>
      </c>
      <c r="L235" s="47" t="inlineStr">
        <is>
          <t>未確認</t>
        </is>
      </c>
      <c r="M235" s="47" t="inlineStr">
        <is>
          <t>未依頼</t>
        </is>
      </c>
      <c r="N235" s="47" t="inlineStr">
        <is>
          <t>クリニック以外</t>
        </is>
      </c>
      <c r="O235" s="47" t="n"/>
      <c r="P235" s="47" t="n"/>
      <c r="Q235" s="47" t="n"/>
      <c r="R235" s="47" t="n"/>
    </row>
    <row r="236" ht="15.75" customHeight="1" s="185">
      <c r="A236" s="52">
        <f>row()-3</f>
        <v/>
      </c>
      <c r="B236" s="46" t="inlineStr">
        <is>
          <t>アンチエイジングとは？効果的な方法をわかりやすく簡単に解説</t>
        </is>
      </c>
      <c r="C236" s="6" t="inlineStr">
        <is>
          <t>https://dym.asia/media/anti-aging/</t>
        </is>
      </c>
      <c r="D236" s="47" t="inlineStr">
        <is>
          <t>アンチエイジング</t>
        </is>
      </c>
      <c r="E236" s="35" t="n">
        <v>1</v>
      </c>
      <c r="F236" s="36" t="n">
        <v>21.61236506378803</v>
      </c>
      <c r="G236" s="47" t="inlineStr">
        <is>
          <t>なし</t>
        </is>
      </c>
      <c r="H236" s="47" t="inlineStr">
        <is>
          <t>可</t>
        </is>
      </c>
      <c r="I236" s="47" t="inlineStr">
        <is>
          <t>Q: 「アンチエイジング」とは、具体的に何を目的とした取り組みですか？
A: アンチエイジングとは、年齢を重ねることによって生じる体や心の変化（老化現象）を遅らせ、健康的な状態を維持するための取り組みです。単にシワやたるみなどの外見的な老化の改善だけでなく、筋力の低下や認知機能の衰えなどの内面的な健康も保ち、健康寿命を延ばすことを主な目的としています。
Q: 「老化（エイジング）」と「加齢」は何が違いますか？
A: 加齢は時間の経過とともに年を取るという避けられない事実を指します。一方、老化は、遺伝や生活習慣、環境要因などによって体の機能が徐々に低下し、細胞や組織が劣化していく生物学的なプロセスを指します。アンチエイジングは、この老化の進行を遅らせることを目指します。
Q: 日常生活で最も効果的なアンチエイジングの方法は何ですか？
A: 継続的なセルフケアが最も重要です。具体的には、紫外線から肌を守る（UVケア）こと、バランスの取れた食生活（抗酸化作用のある食品の摂取）、適度な運動による血流促進、そして十分な睡眠を確保し、成長ホルモンによる細胞の修復を促すことが効果的です。</t>
        </is>
      </c>
      <c r="J236" s="47" t="inlineStr">
        <is>
          <t>クリニック</t>
        </is>
      </c>
      <c r="K236" s="47" t="inlineStr">
        <is>
          <t>対応不要</t>
        </is>
      </c>
      <c r="L236" s="47" t="inlineStr">
        <is>
          <t>未確認</t>
        </is>
      </c>
      <c r="M236" s="47" t="inlineStr">
        <is>
          <t>未依頼</t>
        </is>
      </c>
      <c r="N236" s="47" t="inlineStr">
        <is>
          <t>クリニック以外</t>
        </is>
      </c>
      <c r="O236" s="47" t="n"/>
      <c r="P236" s="47" t="n"/>
      <c r="Q236" s="47" t="n"/>
      <c r="R236" s="47" t="n"/>
    </row>
    <row r="237" ht="15.75" customHeight="1" s="185">
      <c r="A237" s="52">
        <f>row()-3</f>
        <v/>
      </c>
      <c r="B237" s="46" t="inlineStr">
        <is>
          <t>APIとは？連携の仕組みをわかりやすく解説</t>
        </is>
      </c>
      <c r="C237" s="10" t="inlineStr">
        <is>
          <t>https://dym.asia/media/api/</t>
        </is>
      </c>
      <c r="D237" s="47" t="inlineStr">
        <is>
          <t>api わかりやすく</t>
        </is>
      </c>
      <c r="E237" s="35" t="n">
        <v>1</v>
      </c>
      <c r="F237" s="36" t="n">
        <v>5.937158469945355</v>
      </c>
      <c r="G237" s="47" t="inlineStr">
        <is>
          <t>なし</t>
        </is>
      </c>
      <c r="H237" s="47" t="inlineStr">
        <is>
          <t>可</t>
        </is>
      </c>
      <c r="I237" s="10" t="inlineStr">
        <is>
          <t>Q: API（Application Programming Interface）とは何ですか？簡単に教えてください。
A: APIとは、異なるソフトウェアやアプリケーション同士が、互いにデータやサービスを連携・通信するための「約束事（インターフェース）」です。これにより、開発者は複雑なシステムの内部構造を知らなくても、そのシステムの機能（例：地図、決済、SNS認証）を自分のアプリケーションに簡単に組み込むことができます。
Q: APIを活用することで、企業はどのようなメリットを得られますか？
A: ソフトウェア開発の効率化とコスト削減が最大のメリットです。既存のAPI機能を利用することで、一からシステムを開発する手間や時間を省けます。また、セキュリティの向上や、最新の情報を簡単に取得できるため、新規サービスの創造やDX（デジタルトランスフォーメーション）の推進に不可欠な要素です。ぜひお問い合わせください。
お問い合わせ先はこちら↓
https://dym.asia/contact/
Q: APIの利用にはどのような種類がありますか？
A: 主に、OS（オペレーティングシステム）の機能にアクセスするためのネイティブAPIと、インターネットを介してデータ通信を行うWeb APIがあります。Web APIは、Google Mapsや各種SNS（Twitter、LINEなど）の機能連携、ECサイトの決済システムなどで広く活用されています。</t>
        </is>
      </c>
      <c r="J237" s="47" t="n"/>
      <c r="K237" s="47" t="inlineStr">
        <is>
          <t>OK</t>
        </is>
      </c>
      <c r="L237" s="47" t="inlineStr">
        <is>
          <t>未確認</t>
        </is>
      </c>
      <c r="M237" s="47" t="inlineStr">
        <is>
          <t>未依頼</t>
        </is>
      </c>
      <c r="N237" s="47" t="inlineStr">
        <is>
          <t>クリニック以外</t>
        </is>
      </c>
      <c r="O237" s="47" t="n"/>
      <c r="P237" s="47" t="n"/>
      <c r="Q237" s="47" t="n"/>
      <c r="R237" s="47" t="n"/>
    </row>
    <row r="238" ht="15.75" customHeight="1" s="185">
      <c r="A238" s="52">
        <f>row()-3</f>
        <v/>
      </c>
      <c r="B238" s="46" t="inlineStr">
        <is>
          <t>BtoBとは？BtoCとの違いやマーケティングのポイントをわかりやすく解説</t>
        </is>
      </c>
      <c r="C238" s="10" t="inlineStr">
        <is>
          <t>https://dym.asia/media/b-to-b/</t>
        </is>
      </c>
      <c r="D238" s="47" t="inlineStr">
        <is>
          <t>bトゥーb</t>
        </is>
      </c>
      <c r="E238" s="35" t="n">
        <v>1</v>
      </c>
      <c r="F238" s="36" t="n">
        <v>1.816901408450704</v>
      </c>
      <c r="G238" s="47" t="inlineStr">
        <is>
          <t>なし</t>
        </is>
      </c>
      <c r="H238" s="47" t="inlineStr">
        <is>
          <t>可</t>
        </is>
      </c>
      <c r="I238" s="10" t="inlineStr">
        <is>
          <t>Q: BtoBとは何ですか？BtoCとの最も大きな違いは何ですか？
A: BtoBとはBusiness to Businessの略で、企業同士の取引を指します。最も大きな違いは、意思決定プロセスと取引期間です。BtoBは複数の関係者が関与するため取引成立までに時間がかかり長期的な関係が重視されますが、BtoC（企業対消費者）は短期間での購買が主流です。
Q: BtoB取引を行う企業が得られる主なメリットは何ですか？
A: 長期的で安定した取引が期待できる点です。企業間の取引はリピートや大口の契約が多いことから、一度関係が確立されると安定した収益が見込めます。また、一般的に高度な製品やサービスを扱うため、取引単価が高くなる傾向があります。
Q: BtoBマーケティングを成功させるための重要なポイントは何ですか？
A: 顧客企業のニーズを深く理解し、長期的な信頼関係を築くことが不可欠です。複数の決定権者が関わるため、製品の具体的な機能や効果を示すことに加え、最終的な意思決定を行う「キーマン」をおさえたアプローチと、適切なタイミングでのサービス提供が成功の鍵となります。ぜひお問い合わせください。
お問い合わせ先はこちら↓
https://dym.asia/contact/</t>
        </is>
      </c>
      <c r="J238" s="47" t="n"/>
      <c r="K238" s="47" t="inlineStr">
        <is>
          <t>OK</t>
        </is>
      </c>
      <c r="L238" s="47" t="inlineStr">
        <is>
          <t>未確認</t>
        </is>
      </c>
      <c r="M238" s="47" t="inlineStr">
        <is>
          <t>未依頼</t>
        </is>
      </c>
      <c r="N238" s="47" t="inlineStr">
        <is>
          <t>クリニック以外</t>
        </is>
      </c>
      <c r="O238" s="47" t="n"/>
      <c r="P238" s="47" t="n"/>
      <c r="Q238" s="47" t="n"/>
      <c r="R238" s="47" t="n"/>
    </row>
    <row r="239" ht="15.75" customHeight="1" s="185">
      <c r="A239" s="52">
        <f>row()-3</f>
        <v/>
      </c>
      <c r="B239" s="46" t="inlineStr">
        <is>
          <t>目の下のたるみ改善ガイド：原因と効果的な対策法を徹底解説</t>
        </is>
      </c>
      <c r="C239" s="10" t="inlineStr">
        <is>
          <t>https://dym.asia/media/bag-under-the-eyes/</t>
        </is>
      </c>
      <c r="D239" s="47" t="inlineStr">
        <is>
          <t>目の下のたるみを取る方法、 ためしてガッテン</t>
        </is>
      </c>
      <c r="E239" s="35" t="n">
        <v>1</v>
      </c>
      <c r="F239" s="36" t="n">
        <v>11</v>
      </c>
      <c r="G239" s="47" t="inlineStr">
        <is>
          <t>なし</t>
        </is>
      </c>
      <c r="H239" s="47" t="inlineStr">
        <is>
          <t>可</t>
        </is>
      </c>
      <c r="I239" s="47" t="inlineStr">
        <is>
          <t>Q: 目の下のたるみの主な原因は何ですか？
A: 主な原因は、加齢に伴う皮膚の弾力（コラーゲンやエラスチン）の低下です。それに加え、睡眠不足やストレスによる血行不良、そして紫外線や乾燥による皮膚へのダメージもたるみを助長する主要な要因となります。
Q: 目の下のたるみに対して、自宅でできる効果的なケア方法は何ですか？
A: 目元マッサージによる血行促進とリンパの流れの改善、目元の筋肉を鍛える顔の運動（目を大きく見開くなど）、そして十分な睡眠の確保が効果的です。また、日々のスキンケアで保湿を徹底し、紫外線対策を忘れずに行うことも不可欠です。
Q: 目の下のたるみは美容医療で治療できますか？どのような治療法がありますか？
A: はい、美容クリニックでは様々な専門的な治療法があります。たるみの原因となっている眼窩脂肪の突出を改善する脱脂術（外科的治療）や、肌のハリを回復させるヒアルロン酸注入、高周波（RF）やハイフ（HIFU）といった美容機器によるたるみ改善などが選択肢として挙げられます。</t>
        </is>
      </c>
      <c r="J239" s="47" t="inlineStr">
        <is>
          <t>クリニック</t>
        </is>
      </c>
      <c r="K239" s="47" t="inlineStr">
        <is>
          <t>対応不要</t>
        </is>
      </c>
      <c r="L239" s="47" t="inlineStr">
        <is>
          <t>対応不要</t>
        </is>
      </c>
      <c r="M239" s="47" t="inlineStr">
        <is>
          <t>未依頼</t>
        </is>
      </c>
      <c r="N239" s="47" t="inlineStr">
        <is>
          <t>クリニック以外</t>
        </is>
      </c>
      <c r="O239" s="47" t="n"/>
      <c r="P239" s="47" t="n"/>
      <c r="Q239" s="47" t="n"/>
      <c r="R239" s="47" t="n"/>
    </row>
    <row r="240" ht="15.75" customHeight="1" s="185">
      <c r="A240" s="52">
        <f>row()-3</f>
        <v/>
      </c>
      <c r="B240" s="46" t="inlineStr">
        <is>
          <t>バンコクでの病院の選び方とおすすめクリニック【日本語対応可、保険対応、夜間診療】</t>
        </is>
      </c>
      <c r="C240" s="10" t="inlineStr">
        <is>
          <t>https://dym.asia/media/bangkok_hospital/</t>
        </is>
      </c>
      <c r="D240" s="47" t="inlineStr">
        <is>
          <t>バンコク 病院 日本語</t>
        </is>
      </c>
      <c r="E240" s="35" t="n">
        <v>1</v>
      </c>
      <c r="F240" s="36" t="n">
        <v>29.63636363636364</v>
      </c>
      <c r="G240" s="47" t="inlineStr">
        <is>
          <t>なし</t>
        </is>
      </c>
      <c r="H240" s="47" t="inlineStr">
        <is>
          <t>可</t>
        </is>
      </c>
      <c r="I240" s="47" t="inlineStr">
        <is>
          <t>Q: バンコクで病院を選ぶ際、日本人が最も重視すべきポイントは何ですか？
A: 安心して診察を受けるために、日本語に対応しているかどうかは重要なポイントの一つです。日本語を話す医師や常駐の日本語通訳者が在籍している病院を選ぶことで、症状や治療方針をより正確に伝えやすくなり、治療内容への理解を深めやすくなります。
Q: バンコクの病院で、保険への対応や支払い方法で注意すべきことはありますか？
A: バンコクの私立病院では自費診療となるケースが多く、医療費が高額になる場合があります。そのため、高額な医療費に備え、海外旅行保険や医療保険への加入が一般的です。また、病院が日本の保険会社と提携しているか、キャッシュレス対応が可能かどうかを事前に確認しておくと安心です。
Q: 日中忙しい場合でも、バンコクで安心して受診できる病院の選び方はありますか？
A: 夜間診療に対応している病院や、予約優先制を採用している医療機関を選ぶことで、仕事のスケジュールに配慮しながら受診しやすくなります。また、LINEなどのオンラインツールで予約や相談が可能な医療機関を利用すると、急な体調不良時にも比較的スムーズに対応できる場合があります。</t>
        </is>
      </c>
      <c r="J240" s="47" t="n"/>
      <c r="K240" s="47" t="inlineStr">
        <is>
          <t>修正済</t>
        </is>
      </c>
      <c r="L240" s="47" t="inlineStr">
        <is>
          <t>未確認</t>
        </is>
      </c>
      <c r="M240" s="47" t="inlineStr">
        <is>
          <t>未依頼</t>
        </is>
      </c>
      <c r="N240" s="47" t="inlineStr">
        <is>
          <t>クリニック以外</t>
        </is>
      </c>
      <c r="O240" s="47" t="n"/>
      <c r="P240" s="47" t="n"/>
      <c r="Q240" s="47" t="n"/>
      <c r="R240" s="47" t="n"/>
    </row>
    <row r="241" ht="15.75" customHeight="1" s="185">
      <c r="A241" s="52">
        <f>row()-3</f>
        <v/>
      </c>
      <c r="B241" s="46" t="inlineStr">
        <is>
          <t>スポーツと企業のスポンサーシップの効果</t>
        </is>
      </c>
      <c r="C241" s="6" t="inlineStr">
        <is>
          <t>https://dym.asia/media/basketball-sponsor/</t>
        </is>
      </c>
      <c r="D241" s="47" t="inlineStr">
        <is>
          <t>スポーツ スポンサー</t>
        </is>
      </c>
      <c r="E241" s="35" t="n">
        <v>1</v>
      </c>
      <c r="F241" s="36" t="n">
        <v>9.5</v>
      </c>
      <c r="G241" s="47" t="inlineStr">
        <is>
          <t>なし</t>
        </is>
      </c>
      <c r="H241" s="47" t="inlineStr">
        <is>
          <t>可</t>
        </is>
      </c>
      <c r="I241" s="47" t="inlineStr">
        <is>
          <t>Q: スポーツのスポンサーシップ（協賛）とは何ですか？単なる広告とどう違いますか？
A: スポンサーシップとは、企業がスポーツチームやイベントに資金や物資を提供し、その見返りとしてロゴ掲示などの権利を得る協力関係です。単なる広告宣伝に留まらず、企業とチームが共に成長し、価値を創造する「共創型」の関係を通じて、顧客との感情的なエンゲージメント強化を目指す点に特徴があります。
Q: 企業がスポーツ（バスケットボールなど）のスポンサーになる主なメリットは何ですか？
A: ブランド認知度の向上と社会的信用の向上です。チームのユニフォームや会場での露出により、企業名が幅広い層に繰り返し訴求されます。また、スポーツの持つ「挑戦」や「努力」といったポジティブなイメージと企業イメージが結びつくことで、信頼性や好感度が高まります。
Q: スポンサーシップを成功させ、効果を最大化するためのポイントは何ですか？
A: スポンサーシップを通じて何を達成したいかという目的を明確に設定することです。また、企業とチームが強固な協力関係を築くこと、そしてファン目線で試合会場でのイベントやキャンペーンを展開し、顧客とのエンゲージメント（絆）を強化することが成功の鍵となります。</t>
        </is>
      </c>
      <c r="J241" s="47" t="n"/>
      <c r="K241" s="47" t="inlineStr">
        <is>
          <t>OK</t>
        </is>
      </c>
      <c r="L241" s="47" t="inlineStr">
        <is>
          <t>未確認</t>
        </is>
      </c>
      <c r="M241" s="47" t="inlineStr">
        <is>
          <t>未依頼</t>
        </is>
      </c>
      <c r="N241" s="47" t="inlineStr">
        <is>
          <t>クリニック以外</t>
        </is>
      </c>
      <c r="O241" s="47" t="n"/>
      <c r="P241" s="47" t="n"/>
      <c r="Q241" s="47" t="n"/>
      <c r="R241" s="47" t="n"/>
    </row>
    <row r="242" ht="15.75" customHeight="1" s="185">
      <c r="A242" s="52">
        <f>row()-3</f>
        <v/>
      </c>
      <c r="B242" s="46" t="inlineStr">
        <is>
          <t>就職する際に必要な病院で受ける入社前健康診断とは？</t>
        </is>
      </c>
      <c r="C242" s="6" t="inlineStr">
        <is>
          <t>https://dym.asia/media/before-joining-health-check-hospital/</t>
        </is>
      </c>
      <c r="D242" s="47" t="inlineStr">
        <is>
          <t>会社 健康診断 病院 指定</t>
        </is>
      </c>
      <c r="E242" s="35" t="n">
        <v>1</v>
      </c>
      <c r="F242" s="36" t="n">
        <v>15</v>
      </c>
      <c r="G242" s="47" t="inlineStr">
        <is>
          <t>なし</t>
        </is>
      </c>
      <c r="H242" s="47" t="inlineStr">
        <is>
          <t>可</t>
        </is>
      </c>
      <c r="I242" s="10" t="inlineStr">
        <is>
          <t>Q: 入社前健康診断は、会社側と従業員側のどちらに実施義務がありますか？
A: 会社側（事業者）に実施義務があります。労働安全衛生法により、常時使用する労働者を雇用する際は、その労働者が安全かつ健康的に働ける環境を確保するために、会社が費用を全額負担して健康診断を実施することが義務付けられています。
Q: 入社前健康診断の結果によって、内定を取り消されることはありますか？
A: 原則として、内定を取り消されることはありません。厚生労働省は、健康診断の結果を応募者の適性や能力と無関係な情報として、合否の判断材料にしてはならないと定めています。ただし、業務に支障をきたす可能性がある重大な異常が見つかった場合は、配置先の変更や勤務時間の調整が行われることがあります。
Q: 入社前健康診断の対象となるのは正社員だけですか？
A: いいえ、雇用形態に関わらず、常時使用する労働者であれば対象となります。具体的には、契約社員やパート、アルバイトでも、契約期間や週の所定労働時間が一定の条件（通常の労働者の4分の3以上など）を満たす場合は、会社は健康診断を実施する義務があります。
ぜひお問い合わせください。
お問い合わせ先はこちら↓
https://dym.asia/contact/</t>
        </is>
      </c>
      <c r="J242" s="47" t="inlineStr">
        <is>
          <t>クリニック</t>
        </is>
      </c>
      <c r="K242" s="47" t="inlineStr">
        <is>
          <t>対応不要</t>
        </is>
      </c>
      <c r="L242" s="47" t="inlineStr">
        <is>
          <t>対応不要</t>
        </is>
      </c>
      <c r="M242" s="47" t="inlineStr">
        <is>
          <t>未依頼</t>
        </is>
      </c>
      <c r="N242" s="47" t="inlineStr">
        <is>
          <t>クリニック以外</t>
        </is>
      </c>
      <c r="O242" s="47" t="n"/>
      <c r="P242" s="47" t="n"/>
      <c r="Q242" s="47" t="n"/>
      <c r="R242" s="47" t="n"/>
    </row>
    <row r="243" ht="15.75" customHeight="1" s="185">
      <c r="A243" s="52">
        <f>row()-3</f>
        <v/>
      </c>
      <c r="B243" s="46" t="inlineStr">
        <is>
          <t>入社前健康診断とは？検査項目や費用を抑える方法について</t>
        </is>
      </c>
      <c r="C243" s="6" t="inlineStr">
        <is>
          <t>https://dym.asia/media/before-joining-health-check-reasonable/</t>
        </is>
      </c>
      <c r="D243" s="47" t="inlineStr">
        <is>
          <t>入社前健康診断 会社負担してくれない</t>
        </is>
      </c>
      <c r="E243" s="35" t="n">
        <v>1</v>
      </c>
      <c r="F243" s="36" t="n">
        <v>1.568825910931174</v>
      </c>
      <c r="G243" s="47" t="inlineStr">
        <is>
          <t>なし</t>
        </is>
      </c>
      <c r="H243" s="47" t="inlineStr">
        <is>
          <t>可</t>
        </is>
      </c>
      <c r="I243" s="10" t="inlineStr">
        <is>
          <t>Q: 入社前健康診断は、なぜ企業（会社）に実施義務があるのですか？
A: 労働安全衛生法および同規則に基づき、常時使用する労働者を新たに雇い入れる際は、企業側がその従業員の健康状態を把握し、健康的かつ安全に働ける職場環境を提供することが義務付けられているためです。これにより、業務中の事故や健康障害を未然に防ぎます。
Q: 入社前健康診断の費用は、従業員と会社側のどちらが負担するべきですか？
A: 企業が全額負担することが望ましいとされています。法律で費用負担に関する明確な規定はありませんが、健康診断の実施は会社の義務であり、従業員の健康と安全確保という企業側の責任に基づくため、慣例として企業が経費として計上し、全額負担します。
Q: 入社前に健康診断を受けている場合、再度の受診は必要ですか？費用を抑える方法はありますか？
A: 入社日の3カ月以内に、法定の必須項目（11項目）を満たした健康診断を既に受けている場合は、その診断書を提出することで入社前健康診断が免除されます。費用を抑えるには、会社が提携する医療機関の一括利用や、健康診断パッケージを活用する方法があります。
ぜひお問い合わせください。
お問い合わせ先はこちら↓
https://dym.asia/contact/</t>
        </is>
      </c>
      <c r="J243" s="47" t="inlineStr">
        <is>
          <t>クリニック</t>
        </is>
      </c>
      <c r="K243" s="47" t="inlineStr">
        <is>
          <t>対応不要</t>
        </is>
      </c>
      <c r="L243" s="47" t="inlineStr">
        <is>
          <t>対応不要</t>
        </is>
      </c>
      <c r="M243" s="47" t="inlineStr">
        <is>
          <t>未依頼</t>
        </is>
      </c>
      <c r="N243" s="47" t="inlineStr">
        <is>
          <t>クリニック以外</t>
        </is>
      </c>
      <c r="O243" s="47" t="n"/>
      <c r="P243" s="47" t="n"/>
      <c r="Q243" s="47" t="n"/>
      <c r="R243" s="47" t="n"/>
    </row>
    <row r="244" ht="15.75" customHeight="1" s="185">
      <c r="A244" s="52">
        <f>row()-3</f>
        <v/>
      </c>
      <c r="B244" s="46" t="inlineStr">
        <is>
          <t>ベネフィットとは？意味、メリットとの違い、使い方を解説</t>
        </is>
      </c>
      <c r="C244" s="10" t="inlineStr">
        <is>
          <t>https://dym.asia/media/benefit/</t>
        </is>
      </c>
      <c r="D244" s="47" t="inlineStr">
        <is>
          <t>benefit advantage 違い</t>
        </is>
      </c>
      <c r="E244" s="35" t="n">
        <v>1</v>
      </c>
      <c r="F244" s="36" t="n">
        <v>1.588235294117647</v>
      </c>
      <c r="G244" s="47" t="inlineStr">
        <is>
          <t>なし</t>
        </is>
      </c>
      <c r="H244" s="47" t="inlineStr">
        <is>
          <t>可</t>
        </is>
      </c>
      <c r="I244" s="47" t="inlineStr">
        <is>
          <t>Q: マーケティングにおける「ベネフィット」とは何ですか？「メリット」との違いを教えてください。
A: ベネフィット（Benefit）とは、商品やサービスの機能や特徴（メリット）が、顧客の生活や仕事にもたらす具体的なポジティブな変化や満足感を指します。 例えば、「燃費が良い（メリット）」のではなく、「燃料費を節約でき、移動の不安が軽減される（ベネフィット）」といったように、顧客視点での価値を明確に表現したものです。
Q: マーケティング戦略において、ベネフィットを重視すべき理由は何ですか？
A: 現代の消費者は、単なる機能（メリット）の説明では購買意欲が高まりにくく、「自分にとってどのような価値があるのか」という具体的な利益を求めるためです。ベネフィットを明確に伝えることで、顧客の心に響くメッセージとなり、競合他社との差別化や購買行動の促進に繋がります。
Q: ベネフィットを見つけ、効果的に伝えるための基本的な手順は何ですか？
A: まず、自社の商品・サービスを買う「理想の顧客像（ペルソナ）」を詳細に設定します。次に、商品の特徴や利点（メリット）をリストアップし、その利点がペルソナのニーズや問題をどう解決するかという顧客視点に変換し直すことで、ベネフィットを明確にできます。</t>
        </is>
      </c>
      <c r="J244" s="47" t="n"/>
      <c r="K244" s="47" t="inlineStr">
        <is>
          <t>OK</t>
        </is>
      </c>
      <c r="L244" s="47" t="inlineStr">
        <is>
          <t>未確認</t>
        </is>
      </c>
      <c r="M244" s="47" t="inlineStr">
        <is>
          <t>未依頼</t>
        </is>
      </c>
      <c r="N244" s="47" t="inlineStr">
        <is>
          <t>クリニック以外</t>
        </is>
      </c>
      <c r="O244" s="47" t="n"/>
      <c r="P244" s="47" t="n"/>
      <c r="Q244" s="47" t="n"/>
      <c r="R244" s="47" t="n"/>
    </row>
    <row r="245" ht="15.75" customHeight="1" s="185">
      <c r="A245" s="52">
        <f>row()-3</f>
        <v/>
      </c>
      <c r="B245" s="46" t="inlineStr">
        <is>
          <t>健康診断の血液検査で何がわかる？結果の見方と注意点</t>
        </is>
      </c>
      <c r="C245" s="10" t="inlineStr">
        <is>
          <t>https://dym.asia/media/blood-test/</t>
        </is>
      </c>
      <c r="D245" s="47" t="inlineStr">
        <is>
          <t>採血</t>
        </is>
      </c>
      <c r="E245" s="35" t="n">
        <v>1</v>
      </c>
      <c r="F245" s="36" t="n">
        <v>3</v>
      </c>
      <c r="G245" s="47" t="inlineStr">
        <is>
          <t>なし</t>
        </is>
      </c>
      <c r="H245" s="47" t="inlineStr">
        <is>
          <t>可</t>
        </is>
      </c>
      <c r="I245" s="47" t="inlineStr">
        <is>
          <t>Q: 健康診断の血液検査で、主にどのような病気の兆候がわかりますか？
A: 血液検査は体内の広範な情報を得るための重要な手段です。主に、肝機能障害（AST, ALT, γ-GTPなど）、腎機能障害（クレアチニン、尿素窒素など）、脂質異常症（コレステロール値）、糖尿病（血糖値）といった、自覚症状が出にくい生活習慣病の兆候や、貧血や炎症の有無などを早期に発見できます。
Q: 血液検査の前に食事を控える必要があるのはなぜですか？
A: 正確な検査結果を得るためです。食後は血糖値や中性脂肪といった項目が一時的に高値を示すため、単なる食事の影響なのか、病的な異常なのかを医師が判断できなくなります。正確な体内の状態を把握するため、検査前日の夜から絶食が求められます。
Q: 血液検査で異常が見つかった場合、どのように対応すべきですか？
A: 検査結果に異常値が見つかった場合でも、すぐに重篤な病気であるとは限りません。まずは医師の指導に従い、経過観察や再検査、あるいは精密検査が必要かどうかの判断を受けます。異常の程度に応じて、生活習慣の改善指導や専門医による治療が必要になる場合もあります。</t>
        </is>
      </c>
      <c r="J245" s="47" t="inlineStr">
        <is>
          <t>クリニック</t>
        </is>
      </c>
      <c r="K245" s="47" t="inlineStr">
        <is>
          <t>対応不要</t>
        </is>
      </c>
      <c r="L245" s="47" t="inlineStr">
        <is>
          <t>対応不要</t>
        </is>
      </c>
      <c r="M245" s="47" t="inlineStr">
        <is>
          <t>未依頼</t>
        </is>
      </c>
      <c r="N245" s="47" t="inlineStr">
        <is>
          <t>クリニック以外</t>
        </is>
      </c>
      <c r="O245" s="47" t="n"/>
      <c r="P245" s="47" t="n"/>
      <c r="Q245" s="47" t="n"/>
      <c r="R245" s="47" t="n"/>
    </row>
    <row r="246" ht="15.75" customHeight="1" s="185">
      <c r="A246" s="52">
        <f>row()-3</f>
        <v/>
      </c>
      <c r="B246" s="46" t="inlineStr">
        <is>
          <t>BPOとは？意味、メリット、対象業務、企業選びを分かりやすく解説</t>
        </is>
      </c>
      <c r="C246" s="6" t="inlineStr">
        <is>
          <t>https://dym.asia/media/bpo-guide-for-business/</t>
        </is>
      </c>
      <c r="D246" s="47" t="inlineStr">
        <is>
          <t>bpoとは 簡単に</t>
        </is>
      </c>
      <c r="E246" s="35" t="n">
        <v>1</v>
      </c>
      <c r="F246" s="36" t="n">
        <v>12.51376146788991</v>
      </c>
      <c r="G246" s="47" t="inlineStr">
        <is>
          <t>なし</t>
        </is>
      </c>
      <c r="H246" s="47" t="inlineStr">
        <is>
          <t>可</t>
        </is>
      </c>
      <c r="I246" s="47" t="inlineStr">
        <is>
          <t>Q: BPO（ビジネス・プロセス・アウトソーシング）とは、具体的にどのようなサービスですか？
A: BPOとは、企業の特定の業務プロセスについて、設計・運用・改善までを含めて外部の専門事業者に委託する取り組みを指します。単なる一時的な人手補完ではなく、業務効率化や品質向上、コスト最適化などを目的として中長期的に活用されるケースがあります。委託範囲や関与の度合いは契約内容によって異なります。
Q: BPOと、アウトソーシングやBPR（ビジネス・プロセス・リエンジニアリング）との違いは何ですか？
A: アウトソーシングは、特定の業務を外部に委託する行為全般を指す広い概念です。BPOは、その中でも業務プロセス単位で包括的に委託し、継続的な改善まで担う形態を指すことが多いとされています。
一方、BPRは業務プロセス自体を抜本的に見直す改革手法を意味します。BPOは、再設計された業務プロセスの運用手段として活用される場合もありますが、両者は必ずしも同一ではありません。
Q: BPOの対象となる業務には、どのようなものがありますか？
A: バックオフィス業務を中心に活用されることが多く、経理（請求書発行や入金管理など）、人事・労務（給与計算業務など）、総務（備品管理や社内問い合わせ対応など）が代表例です。なお、社会保険や労働保険の手続きについては、法令により社会保険労務士の資格が必要となる業務が含まれます。そのため、BPO事業者がこれらの手続きを代理で行う場合には、適切な資格者が対応する体制が整っているかを確認することが重要です。
また、コールセンター業務やIT運用保守などもBPOの対象となるケースがありますが、具体的な範囲は契約内容や法令要件によって異なります。</t>
        </is>
      </c>
      <c r="J246" s="47" t="n"/>
      <c r="K246" s="47" t="inlineStr">
        <is>
          <t>修正済</t>
        </is>
      </c>
      <c r="L246" s="47" t="inlineStr">
        <is>
          <t>未確認</t>
        </is>
      </c>
      <c r="M246" s="47" t="inlineStr">
        <is>
          <t>未依頼</t>
        </is>
      </c>
      <c r="N246" s="47" t="inlineStr">
        <is>
          <t>クリニック以外</t>
        </is>
      </c>
      <c r="O246" s="47" t="n"/>
      <c r="P246" s="47" t="n"/>
      <c r="Q246" s="47" t="n"/>
      <c r="R246" s="47" t="n"/>
    </row>
    <row r="247" ht="15.75" customHeight="1" s="185">
      <c r="A247" s="52">
        <f>row()-3</f>
        <v/>
      </c>
      <c r="B247" s="46" t="inlineStr">
        <is>
          <t>コーチングとは？ビジネスにおける重要性や5つのやり方を解説</t>
        </is>
      </c>
      <c r="C247" s="10" t="inlineStr">
        <is>
          <t>https://dym.asia/media/business-coaching/</t>
        </is>
      </c>
      <c r="D247" s="47" t="inlineStr">
        <is>
          <t>コーチング ビジネスモデル</t>
        </is>
      </c>
      <c r="E247" s="35" t="n">
        <v>1</v>
      </c>
      <c r="F247" s="36" t="n">
        <v>8.5</v>
      </c>
      <c r="G247" s="47" t="inlineStr">
        <is>
          <t>なし</t>
        </is>
      </c>
      <c r="H247" s="47" t="inlineStr">
        <is>
          <t>可</t>
        </is>
      </c>
      <c r="I247" s="47" t="inlineStr">
        <is>
          <t>Q: ビジネスにおける「コーチング」とは何ですか？「ティーチング」と何が違いますか？
A: コーチングとは、クライアント（部下やチームメンバー）の潜在能力や自発的な気づきを引き出し、目標達成を支援するコミュニケーション技術です。 ティーチングが知識や技能を一方向的に教えるのに対し、コーチングは対話を通じて自ら答えを見い出すよう促すため、受け手の主体性を重視する点で異なります。
Q: 企業がビジネスコーチングを導入する主なメリットは何ですか？
A: 従業員が自らの強みや改善点を客観的に把握し、自発的な行動が促されることで仕事の生産性が向上します。また、コーチングを通じてチームメンバー間のコミュニケーションスキルと相互理解が深まるため、チームワークの向上にも大きく貢献します。
Q: 効果的なコーチングを行うために、コーチ側に特に求められるスキルは何ですか？
A: クライアントの言葉の裏にある意図や感情を深く理解するための「傾聴力」が基本です。さらに、クライアントの思考を刺激し、自己発見を促す「質問力」、そして行動や成果に対して具体的なアドバイスを行う「フィードバック力」の3つのスキルが特に重要です。</t>
        </is>
      </c>
      <c r="J247" s="47" t="n"/>
      <c r="K247" s="47" t="inlineStr">
        <is>
          <t>OK</t>
        </is>
      </c>
      <c r="L247" s="47" t="inlineStr">
        <is>
          <t>未確認</t>
        </is>
      </c>
      <c r="M247" s="47" t="inlineStr">
        <is>
          <t>未依頼</t>
        </is>
      </c>
      <c r="N247" s="47" t="inlineStr">
        <is>
          <t>クリニック以外</t>
        </is>
      </c>
      <c r="O247" s="47" t="n"/>
      <c r="P247" s="47" t="n"/>
      <c r="Q247" s="47" t="n"/>
      <c r="R247" s="47" t="n"/>
    </row>
    <row r="248" ht="15.75" customHeight="1" s="185">
      <c r="A248" s="52">
        <f>row()-3</f>
        <v/>
      </c>
      <c r="B248" s="46" t="inlineStr">
        <is>
          <t>事業承継と事業継承は意味が違う？事業承継の定義と種類、流れや注意点を詳しく解説</t>
        </is>
      </c>
      <c r="C248" s="10" t="inlineStr">
        <is>
          <t>https://dym.asia/media/business-succession/</t>
        </is>
      </c>
      <c r="D248" s="47" t="inlineStr">
        <is>
          <t>承継 継承</t>
        </is>
      </c>
      <c r="E248" s="35" t="n">
        <v>1</v>
      </c>
      <c r="F248" s="36" t="n">
        <v>37</v>
      </c>
      <c r="G248" s="47" t="inlineStr">
        <is>
          <t>なし</t>
        </is>
      </c>
      <c r="H248" s="47" t="inlineStr">
        <is>
          <t>可</t>
        </is>
      </c>
      <c r="I248" s="47" t="inlineStr">
        <is>
          <t>Q: 「事業承継（じぎょうしょうけい）」と「事業継承（じぎょうけいしょう）」は同じ意味ですか？
A: 一般的な日本語としてはどちらも「引き継ぐ」という意味を持ちますが、ビジネスや公的な文脈では「事業承継」という表現が標準的に用いられています。
「事業承継」は、経営権や株式、資産といった法的・経済的要素に加え、経営理念や取引関係なども含めて後継者へ引き継ぐ行為を指す専門用語として定着しています。一方、「事業継承」は一般用語として使われることはあるものの、制度上の正式名称や行政文書では通常「事業承継」が用いられます。
Q: 事業承継にはどのような種類がありますか？
A: 主な類型として、親族内承継（親族への承継）、従業員承継（役員や社内人材への承継）、そして第三者承継（M&amp;Aによる外部への承継）があります。
後継者の有無、企業規模、財務状況、経営方針などによって適した方法は異なるため、状況に応じた検討が必要です。
Q: 事業承継をスムーズに成功させるために、最も重要なポイントは何ですか？
A: 早期に計画を策定し、段階的に準備を進めることが重要とされています。後継者の育成や関係者への説明には時間を要するため、中長期的な視点が求められます。また、株式の移転方法や税務（相続税・贈与税など）、資金調達、ガバナンス体制の整備など、多面的な検討が必要となるため、税理士や弁護士などの専門家と連携しながら進めることが円滑な承継につながります。</t>
        </is>
      </c>
      <c r="J248" s="47" t="n"/>
      <c r="K248" s="47" t="inlineStr">
        <is>
          <t>修正済</t>
        </is>
      </c>
      <c r="L248" s="47" t="inlineStr">
        <is>
          <t>未確認</t>
        </is>
      </c>
      <c r="M248" s="47" t="inlineStr">
        <is>
          <t>未依頼</t>
        </is>
      </c>
      <c r="N248" s="47" t="inlineStr">
        <is>
          <t>クリニック以外</t>
        </is>
      </c>
      <c r="O248" s="47" t="n"/>
      <c r="P248" s="47" t="n"/>
      <c r="Q248" s="47" t="n"/>
      <c r="R248" s="47" t="n"/>
    </row>
    <row r="249" ht="15.75" customHeight="1" s="185">
      <c r="A249" s="52">
        <f>row()-3</f>
        <v/>
      </c>
      <c r="B249" s="46" t="inlineStr">
        <is>
          <t>ワークライフバランスとは？定義と目的を考える</t>
        </is>
      </c>
      <c r="C249" s="6" t="inlineStr">
        <is>
          <t>https://dym.asia/media/business-work-life-balance/</t>
        </is>
      </c>
      <c r="D249" s="47" t="inlineStr">
        <is>
          <t>ワークライフバランス デメリット</t>
        </is>
      </c>
      <c r="E249" s="35" t="n">
        <v>1</v>
      </c>
      <c r="F249" s="36" t="n">
        <v>12.04270462633452</v>
      </c>
      <c r="G249" s="47" t="inlineStr">
        <is>
          <t>なし</t>
        </is>
      </c>
      <c r="H249" s="47" t="inlineStr">
        <is>
          <t>可</t>
        </is>
      </c>
      <c r="I249" s="47" t="inlineStr">
        <is>
          <t>Q: ワークライフバランスとは、どのような考え方ですか？
A: ワークライフバランスとは、仕事と私生活（家庭、地域活動、自己啓発など）の調和を図り、両者を充実させることを目指す考え方です。単に労働時間を短縮することではなく、人生の各段階に応じて多様な生き方が選択・実現できる社会を目指すことが目的とされています。
Q: ワークライフバランスと「ワークライフインテグレーション」の違いは何ですか？
A: ワークライフバランスは、仕事と生活を別々の領域として捉え、その間に「調和（バランス）」を取ることを目指します。一方、ワークライフインテグレーションは、仕事と生活を互いに影響し合う一つのものとして「統合（インテグレーション）」し、相乗効果を生み出すことを目指す、より柔軟で主体的な考え方です。
Q: 企業がワークライフバランスを推進することで得られる主なメリットは何ですか？
A: 企業側のメリットは多岐にわたりますが、特に生産性の向上と優れた人材の確保・定着に大きく貢献します。従業員が心身の健康を維持し、仕事と生活の調和を図れる環境を整えることで、企業イメージの向上やイノベーションの創出にもつながります。</t>
        </is>
      </c>
      <c r="J249" s="47" t="n"/>
      <c r="K249" s="47" t="inlineStr">
        <is>
          <t>OK</t>
        </is>
      </c>
      <c r="L249" s="47" t="inlineStr">
        <is>
          <t>未確認</t>
        </is>
      </c>
      <c r="M249" s="47" t="inlineStr">
        <is>
          <t>未依頼</t>
        </is>
      </c>
      <c r="N249" s="47" t="inlineStr">
        <is>
          <t>クリニック以外</t>
        </is>
      </c>
      <c r="O249" s="47" t="n"/>
      <c r="P249" s="47" t="n"/>
      <c r="Q249" s="47" t="n"/>
      <c r="R249" s="47" t="n"/>
    </row>
    <row r="250" ht="15.75" customHeight="1" s="185">
      <c r="A250" s="52">
        <f>row()-3</f>
        <v/>
      </c>
      <c r="B250" s="46" t="inlineStr">
        <is>
          <t>ビジネスマナー研修とは？必要性や目的、プログラム例や効率的な実施方法を紹介</t>
        </is>
      </c>
      <c r="C250" s="6" t="inlineStr">
        <is>
          <t>https://dym.asia/media/business_manners_training/</t>
        </is>
      </c>
      <c r="D250" s="47" t="inlineStr">
        <is>
          <t>dym 研修</t>
        </is>
      </c>
      <c r="E250" s="35" t="n">
        <v>1</v>
      </c>
      <c r="F250" s="36" t="n">
        <v>9.699999999999999</v>
      </c>
      <c r="G250" s="47" t="inlineStr">
        <is>
          <t>なし</t>
        </is>
      </c>
      <c r="H250" s="47" t="inlineStr">
        <is>
          <t>可</t>
        </is>
      </c>
      <c r="I250" s="47" t="inlineStr">
        <is>
          <t>Q: ビジネスマナー研修は、なぜ企業にとって必要不可欠なのですか？
A: ビジネスマナーは、社外のクライアントや取引先からの信頼度を大きく左右するからです。適切なマナーを習得することで、自社の評価を高め、仕事の成果に直結します。また、社内においても社員間のベクトルを合わせ、円滑なコミュニケーションを図るために不可欠な基礎となります。
Q: ビジネスマナー研修で、具体的にどのような内容を学ぶべきですか？
A: 身だしなみや挨拶、正しい言葉遣い（尊敬語・謙譲語・丁寧語）といった基礎に加え、電話応対や名刺交換、報連相（報告・連絡・相談）の仕方など、実際のビジネスシーンで他者との信頼関係を築くために必要な実践スキルを学ぶべきです。
Q: 研修を効果的に実施し、新入社員に定着させるためのコツは何ですか？
A: 座学でインプットするだけでなく、ロールプレイングなどの実践形式を必ず取り入れ、スキルを体で覚える機会を設けることです。また、研修で終わらせずに、現場での実践後に定期的なフィードバックを設けることで、定着と継続的な改善を促すことが重要です。</t>
        </is>
      </c>
      <c r="J250" s="47" t="n"/>
      <c r="K250" s="47" t="inlineStr">
        <is>
          <t>OK</t>
        </is>
      </c>
      <c r="L250" s="47" t="inlineStr">
        <is>
          <t>未確認</t>
        </is>
      </c>
      <c r="M250" s="47" t="inlineStr">
        <is>
          <t>未依頼</t>
        </is>
      </c>
      <c r="N250" s="47" t="inlineStr">
        <is>
          <t>クリニック以外</t>
        </is>
      </c>
      <c r="O250" s="47" t="n"/>
      <c r="P250" s="47" t="n"/>
      <c r="Q250" s="47" t="n"/>
      <c r="R250" s="47" t="n"/>
    </row>
    <row r="251" ht="15.75" customHeight="1" s="185">
      <c r="A251" s="52">
        <f>row()-3</f>
        <v/>
      </c>
      <c r="B251" s="46" t="inlineStr">
        <is>
          <t>バイアウトとは？種類やメリット、成功のコツや注意点を解説</t>
        </is>
      </c>
      <c r="C251" s="10" t="inlineStr">
        <is>
          <t>https://dym.asia/media/buyout/</t>
        </is>
      </c>
      <c r="D251" s="47" t="inlineStr">
        <is>
          <t>バイアウト セルアウト</t>
        </is>
      </c>
      <c r="E251" s="35" t="n">
        <v>1</v>
      </c>
      <c r="F251" s="36" t="n">
        <v>4.295774647887324</v>
      </c>
      <c r="G251" s="47" t="inlineStr">
        <is>
          <t>なし</t>
        </is>
      </c>
      <c r="H251" s="47" t="inlineStr">
        <is>
          <t>可</t>
        </is>
      </c>
      <c r="I251" s="47" t="inlineStr">
        <is>
          <t>Q: 「バイアウト」とは、M&amp;Aにおいてどのような行為を指しますか？
A: バイアウトとは、株式の取得等を通じて会社の経営権を取得することを指します。M&amp;Aの一形態であり、既存経営体制の見直しや事業再生、後継者問題への対応などを目的として実施されるケースがあります。取得割合や手法は案件ごとに異なります。
Q: バイアウトにはどのような種類があり、誰が経営権を引き継ぐのですか？
A: 代表的な類型として、MBO（マネジメント・バイアウト）、EBO（エンプロイー・バイアウト）、MEBOなどがあります。
MBOは既存の経営陣が主体となって株式を取得する形態、EBOは従業員が主体となる形態、MEBOは経営陣と従業員が共同で取得する形態を指します。いずれも資金調達方法や出資構造は個別のスキームによって異なります。
Q: 経営者がバイアウトを成功させるための最も重要なポイントは何ですか？
A: 自社の企業価値や財務状況を客観的に把握することが重要とされています。また、資金調達計画や出資構造、将来の経営方針を明確にすることも不可欠です。
バイアウトは法務・税務・財務面で複雑な検討が必要となるため、M&amp;Aアドバイザーや専門家と連携しながら慎重に進めることが望ましいとされています。</t>
        </is>
      </c>
      <c r="J251" s="47" t="n"/>
      <c r="K251" s="47" t="inlineStr">
        <is>
          <t>修正済</t>
        </is>
      </c>
      <c r="L251" s="47" t="inlineStr">
        <is>
          <t>未確認</t>
        </is>
      </c>
      <c r="M251" s="47" t="inlineStr">
        <is>
          <t>未依頼</t>
        </is>
      </c>
      <c r="N251" s="47" t="inlineStr">
        <is>
          <t>クリニック以外</t>
        </is>
      </c>
      <c r="O251" s="47" t="n"/>
      <c r="P251" s="47" t="n"/>
      <c r="Q251" s="47" t="n"/>
      <c r="R251" s="47" t="n"/>
    </row>
    <row r="252" ht="15.75" customHeight="1" s="185">
      <c r="A252" s="52">
        <f>row()-3</f>
        <v/>
      </c>
      <c r="B252" s="46" t="inlineStr">
        <is>
          <t>コールセンター代行会社のおすすめ｜対応業務や選び方・費用相場まで</t>
        </is>
      </c>
      <c r="C252" s="10" t="inlineStr">
        <is>
          <t>https://dym.asia/media/callcenter-outsourcing/</t>
        </is>
      </c>
      <c r="D252" s="47" t="inlineStr">
        <is>
          <t>アウトバウンドコール 代行</t>
        </is>
      </c>
      <c r="E252" s="35" t="n">
        <v>1</v>
      </c>
      <c r="F252" s="36" t="n">
        <v>41.16129032258065</v>
      </c>
      <c r="G252" s="47" t="inlineStr">
        <is>
          <t>なし</t>
        </is>
      </c>
      <c r="H252" s="47" t="inlineStr">
        <is>
          <t>可</t>
        </is>
      </c>
      <c r="I252" s="47" t="inlineStr">
        <is>
          <t>Q: コールセンター代行（アウトソーシング）とは、具体的にどのような業務を委託できますか？
A: コールセンター代行は、電話や問い合わせ対応を専門の外部会社に任せるサービスです。お客様からの問い合わせ対応や注文受付、クレーム対応といった受電業務はもちろん、企業側から電話をかけてアポイントを取ったり、市場調査を行ったりする発信業務まで幅広く対応できます。自社の状況に合わせて、必要な業務だけを切り出して委託することも可能です。
Q: コールセンター代行サービスを利用する最大のメリットは何ですか？
A: 人手不足を解消できることと、対応品質を安定させられる点が大きなメリットです。経験豊富なオペレーターが対応することで、問い合わせの取りこぼしを防ぎ、顧客満足度の向上にもつながります。また、電話対応に追われることなく、自社の社員が本来注力すべき業務に集中できるのも大きな利点です。
Q: コールセンター代行サービスの費用相場と料金体系にはどのような種類がありますか？
A: 料金体系は、毎月一定額を支払う「月額固定型」と、対応件数に応じて費用が変わる「従量課金型」が一般的です。費用は、対応時間や業務内容、件数によって差がありますが、目安としては月額数十万円程度から検討されるケースが多くなっています。詳しい金額は、委託したい業務内容によって変わるため、事前の相談がおすすめです。
ご検討中の方は、こちらからお気軽にお問い合わせください。
お問い合わせ先はこちら↓
https://dym.asia/contact/</t>
        </is>
      </c>
      <c r="J252" s="47" t="n"/>
      <c r="K252" s="47" t="inlineStr">
        <is>
          <t>OK</t>
        </is>
      </c>
      <c r="L252" s="47" t="inlineStr">
        <is>
          <t>未確認</t>
        </is>
      </c>
      <c r="M252" s="47" t="inlineStr">
        <is>
          <t>未依頼</t>
        </is>
      </c>
      <c r="N252" s="47" t="inlineStr">
        <is>
          <t>クリニック以外</t>
        </is>
      </c>
      <c r="O252" s="47" t="n"/>
      <c r="P252" s="47" t="n"/>
      <c r="Q252" s="47" t="n"/>
      <c r="R252" s="47" t="n"/>
    </row>
    <row r="253" ht="15.75" customHeight="1" s="185">
      <c r="A253" s="52">
        <f>row()-3</f>
        <v/>
      </c>
      <c r="B253" s="46" t="inlineStr">
        <is>
          <t>キャリアアップ助成金の活用ガイド：企業成長と人材育成を支援する制度</t>
        </is>
      </c>
      <c r="C253" s="10" t="inlineStr">
        <is>
          <t>https://dym.asia/media/career-up-grant/</t>
        </is>
      </c>
      <c r="D253" s="47" t="inlineStr">
        <is>
          <t>キャリアアップ助成金 従業員 メリット</t>
        </is>
      </c>
      <c r="E253" s="35" t="n">
        <v>1</v>
      </c>
      <c r="F253" s="36" t="n">
        <v>11.58181818181818</v>
      </c>
      <c r="G253" s="47" t="inlineStr">
        <is>
          <t>なし</t>
        </is>
      </c>
      <c r="H253" s="47" t="inlineStr">
        <is>
          <t>可</t>
        </is>
      </c>
      <c r="I253" s="47" t="inlineStr">
        <is>
          <t>Q: キャリアアップ助成金とは何ですか？どのような目的で支給されますか？
A: キャリアアップ助成金は、パートや契約社員などの非正規雇用の方を正社員に登用したり、賃金制度を見直したりした企業に対して、その取り組みにかかった費用の一部を国が支援する制度です。
働く人のキャリア形成や生活の安定を後押しすると同時に、企業にとっても人材育成や職場環境の改善につなげることを目的としています。
Q: キャリアアップ助成金の対象となる労働者はどのような人ですか？
 A: 対象となるのは、有期雇用の社員やパート・アルバイト、派遣社員など、いわゆる非正規雇用で働く方です。
ただし、どのコースを利用するかによって条件は異なります。たとえば正社員化コースの場合、一定期間以上の雇用実績があることなど、いくつかの要件を満たす必要があります。
Q: 助成金を受け取るために、企業側がすべき重要な手順は何ですか？
A: 最初に行うべきなのが、「キャリアアップ計画」を作成し、管轄の労働局から認定を受けることです。この手続きを行わずに施策を進めてしまうと、助成金の対象外になることがあります。
計画に沿って正社員化や賃金改定を実施した後、必要な書類を揃えて申請しますが、提出書類は多く、内容の正確さも求められます。事前にしっかり準備をして進めることが、スムーズな受給につながります。</t>
        </is>
      </c>
      <c r="J253" s="47" t="n"/>
      <c r="K253" s="47" t="inlineStr">
        <is>
          <t>OK</t>
        </is>
      </c>
      <c r="L253" s="47" t="inlineStr">
        <is>
          <t>未確認</t>
        </is>
      </c>
      <c r="M253" s="47" t="inlineStr">
        <is>
          <t>未依頼</t>
        </is>
      </c>
      <c r="N253" s="47" t="inlineStr">
        <is>
          <t>クリニック以外</t>
        </is>
      </c>
      <c r="O253" s="47" t="n"/>
      <c r="P253" s="47" t="n"/>
      <c r="Q253" s="47" t="n"/>
      <c r="R253" s="47" t="n"/>
    </row>
    <row r="254" ht="15.75" customHeight="1" s="185">
      <c r="A254" s="52">
        <f>row()-3</f>
        <v/>
      </c>
      <c r="B254" s="46" t="inlineStr">
        <is>
          <t>タレントのキャスティング会社とは？役割や依頼するメリット、選び方を解説</t>
        </is>
      </c>
      <c r="C254" s="6" t="inlineStr">
        <is>
          <t>https://dym.asia/media/casting-company/</t>
        </is>
      </c>
      <c r="D254" s="47" t="inlineStr">
        <is>
          <t>キャスティングプロモーション</t>
        </is>
      </c>
      <c r="E254" s="35" t="n">
        <v>1</v>
      </c>
      <c r="F254" s="36" t="n">
        <v>7.868852459016393</v>
      </c>
      <c r="G254" s="47" t="inlineStr">
        <is>
          <t>なし</t>
        </is>
      </c>
      <c r="H254" s="47" t="inlineStr">
        <is>
          <t>可</t>
        </is>
      </c>
      <c r="I254" s="47" t="inlineStr">
        <is>
          <t>Q: タレントのキャスティング会社とは、どのような役割を担いますか？
A: キャスティング会社は、タレントやインフルエンサーを起用する際の人選から、オファー、交渉、契約、スケジュール調整までをまとめてサポートする会社です。企業や広告代理店に代わり、煩雑な手続きをスムーズに進めます。
Q: キャスティング会社に依頼する最大のメリットは何ですか？
A: 幅広いタレントやインフルエンサーにアプローチできる点と、契約や調整といった手間のかかる業務をまとめて任せられる点です。人選から進行管理までを任せることで、企業は本来の業務に集中しやすくなります。
Q: キャスティング会社を選ぶ際、費用面以外で重視すべきポイントは何ですか？
A: これまでのキャスティング実績に加え、タレントや業界の動きを踏まえた提案ができるかどうかが重要です。あわせて、起用後のトラブルやリスクへの対応経験があるかも、安心して任せるための判断材料になります。</t>
        </is>
      </c>
      <c r="J254" s="47" t="n"/>
      <c r="K254" s="47" t="inlineStr">
        <is>
          <t>OK</t>
        </is>
      </c>
      <c r="L254" s="47" t="inlineStr">
        <is>
          <t>未確認</t>
        </is>
      </c>
      <c r="M254" s="47" t="inlineStr">
        <is>
          <t>未依頼</t>
        </is>
      </c>
      <c r="N254" s="47" t="inlineStr">
        <is>
          <t>クリニック以外</t>
        </is>
      </c>
      <c r="O254" s="47" t="n"/>
      <c r="P254" s="47" t="n"/>
      <c r="Q254" s="47" t="n"/>
      <c r="R254" s="47" t="n"/>
    </row>
    <row r="255" ht="15.75" customHeight="1" s="185">
      <c r="A255" s="52">
        <f>row()-3</f>
        <v/>
      </c>
      <c r="B255" s="46" t="inlineStr">
        <is>
          <t>育児休業（育休）とは？休暇との違いや期間はいつまでか、給付金はいくらなのか解説</t>
        </is>
      </c>
      <c r="C255" s="10" t="inlineStr">
        <is>
          <t>https://dym.asia/media/childcare-leave/</t>
        </is>
      </c>
      <c r="D255" s="47" t="inlineStr">
        <is>
          <t>育児休暇</t>
        </is>
      </c>
      <c r="E255" s="35" t="n">
        <v>1</v>
      </c>
      <c r="F255" s="36" t="n">
        <v>10.71969696969697</v>
      </c>
      <c r="G255" s="47" t="inlineStr">
        <is>
          <t>なし</t>
        </is>
      </c>
      <c r="H255" s="47" t="inlineStr">
        <is>
          <t>可</t>
        </is>
      </c>
      <c r="I255" s="47" t="inlineStr">
        <is>
          <t>Q: 育児休業（育休）とは何ですか？また、育児休暇との違いは何ですか？
A: 育児休業は、育児・介護休業法に基づいて設けられている制度で、原則として子どもが1歳になるまで取得できます。
一方、育児休暇は法律で定められたものではなく、企業ごとに独自に設けている休暇制度を指します。取得できる日数や単位、有給かどうかは会社によって異なります。
 Q: 育児休業の取得期間はいつからいつまで延長できますか？
A: 原則は子どもが1歳になるまでですが、保育所に入れないなど一定の条件を満たす場合は、最長で2歳になるまで延長できます。
延長を希望する場合は、子どもが1歳になる前に手続きが必要です。
Q: 育児休業中に支給される給付金は、どのくらいの金額ですか？
A: 育児休業中は、雇用保険から育児休業給付金が支給されます。
金額は休業前の賃金を基に計算され、開始から6か月間はおおよそ67％、それ以降は約50％が支給されます。なお、この給付金は税金がかかりません。</t>
        </is>
      </c>
      <c r="J255" s="47" t="n"/>
      <c r="K255" s="47" t="inlineStr">
        <is>
          <t>OK</t>
        </is>
      </c>
      <c r="L255" s="47" t="inlineStr">
        <is>
          <t>未確認</t>
        </is>
      </c>
      <c r="M255" s="47" t="inlineStr">
        <is>
          <t>未依頼</t>
        </is>
      </c>
      <c r="N255" s="47" t="inlineStr">
        <is>
          <t>クリニック以外</t>
        </is>
      </c>
      <c r="O255" s="47" t="n"/>
      <c r="P255" s="47" t="n"/>
      <c r="Q255" s="47" t="n"/>
      <c r="R255" s="47" t="n"/>
    </row>
    <row r="256" ht="15.75" customHeight="1" s="185">
      <c r="A256" s="52">
        <f>row()-3</f>
        <v/>
      </c>
      <c r="B256" s="46" t="inlineStr">
        <is>
          <t>クリニックのM&amp;A・事業継承のメリットや手続きを解説！売却価格相場も紹介</t>
        </is>
      </c>
      <c r="C256" s="6" t="inlineStr">
        <is>
          <t>https://dym.asia/media/clinic-mna/</t>
        </is>
      </c>
      <c r="D256" s="47" t="inlineStr">
        <is>
          <t>クリニック m&amp;a</t>
        </is>
      </c>
      <c r="E256" s="35" t="n">
        <v>1</v>
      </c>
      <c r="F256" s="36" t="n">
        <v>23.30593607305936</v>
      </c>
      <c r="G256" s="47" t="inlineStr">
        <is>
          <t>なし</t>
        </is>
      </c>
      <c r="H256" s="47" t="inlineStr">
        <is>
          <t>可</t>
        </is>
      </c>
      <c r="I256" s="10" t="inlineStr">
        <is>
          <t>Q: クリニックのM&amp;Aにおける譲渡価格（売却額）は、どのように決まるのでしょうか？
A: クリニックの譲渡価格には、一般企業のような決まった算定ルールがあるわけではありません。建物や医療機器といった資産の価値に加え、これまでの経営で築いてきた患者数や収益性、立地、知名度などが評価されます。
こうした要素を踏まえて算出される「のれん代」も含め、最終的な金額は売り手と買い手の話し合いの中で決まるのが一般的です。
Q: M&amp;Aの検討を開始してから、実際に成約（クロージング）するまで、どれくらいの期間がかかりますか？
A: ケースによって差はありますが、専門家への相談から成約までは、半年から1年ほどかかることが多いです。
買い手探しや条件交渉、詳細な調査、各種手続きなど、いくつかの段階を踏むため、一定の時間は見ておく必要があります。事前に資料を整え、専門家と連携しながら進めることで、手続きをスムーズに進めやすくなります。
Q: クリニックのM&amp;A（事業承継）後、現在の従業員は全員引き継がれるのでしょうか？
A: 承継の方法によって異なります。医療法人ごと引き継ぐ場合は、原則としてスタッフの雇用もそのまま引き継がれます。
一方、個人クリニックの事業譲渡などでは法的な引き継ぎ義務はありませんが、診療を継続するために、従業員の雇用維持を前提とするケースが多くなっています。スタッフの離職は患者数にも影響するため、売り手側から条件として希望を伝えることも可能です。
お問い合わせ先はこちら↓
https://dym.asia/contact/</t>
        </is>
      </c>
      <c r="J256" s="47" t="n"/>
      <c r="K256" s="47" t="inlineStr">
        <is>
          <t>OK</t>
        </is>
      </c>
      <c r="L256" s="47" t="inlineStr">
        <is>
          <t>未確認</t>
        </is>
      </c>
      <c r="M256" s="47" t="inlineStr">
        <is>
          <t>未依頼</t>
        </is>
      </c>
      <c r="N256" s="47" t="inlineStr">
        <is>
          <t>クリニック以外</t>
        </is>
      </c>
      <c r="O256" s="47" t="n"/>
      <c r="P256" s="47" t="n"/>
      <c r="Q256" s="47" t="n"/>
      <c r="R256" s="47" t="n"/>
    </row>
    <row r="257" ht="15.75" customHeight="1" s="185">
      <c r="A257" s="52">
        <f>row()-3</f>
        <v/>
      </c>
      <c r="B257" s="46" t="inlineStr">
        <is>
          <t>コーディングとは？プログラミングとの違いや必要なスキルをわかりやすく解説</t>
        </is>
      </c>
      <c r="C257" s="6" t="inlineStr">
        <is>
          <t>https://dym.asia/media/coding/</t>
        </is>
      </c>
      <c r="D257" s="47" t="inlineStr">
        <is>
          <t>コーディング</t>
        </is>
      </c>
      <c r="E257" s="35" t="n">
        <v>1</v>
      </c>
      <c r="F257" s="36" t="n">
        <v>61.91139240506329</v>
      </c>
      <c r="G257" s="47" t="inlineStr">
        <is>
          <t>なし</t>
        </is>
      </c>
      <c r="H257" s="47" t="inlineStr">
        <is>
          <t>可</t>
        </is>
      </c>
      <c r="I257" s="47" t="inlineStr">
        <is>
          <t>Q: プログラミング初心者ですが、コーディングを始めるにあたって特別なスキルや才能は必要ですか？
A: 特別な才能や理系の知識がないとできない、ということはありません。大切なのは、物事を順序立てて考える力と、うまくいかないときに試行錯誤できる姿勢です。文法を完璧に覚えるよりも、「どうすれば解決できるか」を考える習慣を身につけることが、上達への近道になります。最近は無料で学べる教材も多く、思い立ったときに始めやすい環境が整っています。
Q: コーディングを効率よく学ぶための具体的な勉強方法を教えてください。
A: 基本を学んだら、できるだけ早く手を動かして実践することが大切です。本やオンライン教材で学んだ内容をもとに、簡単なプログラムやWebページを作ってみましょう。エラーにぶつかることも多いですが、その原因を調べて解決する経験が、確実に力になります。ほかの人のコードを参考にしたり、コミュニティで質問したりするのも、理解を深める助けになります。
Q: コーディングスキルを習得した後、どのような仕事に活かせますか？将来性はどうですか？ 
A: Webサイトやアプリの開発をはじめ、データ分析やITコンサルティングなど、活かせる仕事は幅広くあります。最近ではDXの流れもあり、業界を問わずITスキルを持つ人材の需要は高まっています。学び続けて専門性を深めていけば、キャリアの選択肢を広げやすいスキルと言えるでしょう。</t>
        </is>
      </c>
      <c r="J257" s="47" t="n"/>
      <c r="K257" s="47" t="inlineStr">
        <is>
          <t>OK</t>
        </is>
      </c>
      <c r="L257" s="47" t="inlineStr">
        <is>
          <t>未確認</t>
        </is>
      </c>
      <c r="M257" s="47" t="inlineStr">
        <is>
          <t>未依頼</t>
        </is>
      </c>
      <c r="N257" s="47" t="inlineStr">
        <is>
          <t>クリニック以外</t>
        </is>
      </c>
      <c r="O257" s="47" t="n"/>
      <c r="P257" s="47" t="n"/>
      <c r="Q257" s="47" t="n"/>
      <c r="R257" s="47" t="n"/>
    </row>
    <row r="258" ht="15.75" customHeight="1" s="185">
      <c r="A258" s="52">
        <f>row()-3</f>
        <v/>
      </c>
      <c r="B258" s="46" t="inlineStr">
        <is>
          <t>HR Techに関するコラム一覧</t>
        </is>
      </c>
      <c r="C258" s="6" t="inlineStr">
        <is>
          <t>https://dym.asia/media/column_tag/hr-tech/</t>
        </is>
      </c>
      <c r="D258" s="47" t="inlineStr">
        <is>
          <t>dym hrテック</t>
        </is>
      </c>
      <c r="E258" s="35" t="n">
        <v>1</v>
      </c>
      <c r="F258" s="36" t="n">
        <v>6.384615384615385</v>
      </c>
      <c r="G258" s="47" t="inlineStr">
        <is>
          <t>なし</t>
        </is>
      </c>
      <c r="H258" s="47" t="inlineStr">
        <is>
          <t>不可</t>
        </is>
      </c>
      <c r="I258" s="47" t="inlineStr">
        <is>
          <t>対応不要</t>
        </is>
      </c>
      <c r="J258" s="47" t="n"/>
      <c r="K258" s="47" t="inlineStr">
        <is>
          <t>対応不要</t>
        </is>
      </c>
      <c r="L258" s="47" t="inlineStr">
        <is>
          <t>対応不要</t>
        </is>
      </c>
      <c r="M258" s="47" t="inlineStr">
        <is>
          <t>対応不要</t>
        </is>
      </c>
      <c r="N258" s="47" t="inlineStr">
        <is>
          <t>クリニック以外</t>
        </is>
      </c>
      <c r="O258" s="47" t="n"/>
      <c r="P258" s="47" t="n"/>
      <c r="Q258" s="47" t="n"/>
      <c r="R258" s="47" t="n"/>
    </row>
    <row r="259" ht="15.75" customHeight="1" s="185">
      <c r="A259" s="52">
        <f>row()-3</f>
        <v/>
      </c>
      <c r="B259" s="46" t="inlineStr">
        <is>
          <t>クレーム対応の基本！手順と適切な話し方、コツ、NGポイントを解説</t>
        </is>
      </c>
      <c r="C259" s="6" t="inlineStr">
        <is>
          <t>https://dym.asia/media/complaint-handling/</t>
        </is>
      </c>
      <c r="D259" s="47" t="inlineStr">
        <is>
          <t>クレーム 丁寧な言い方</t>
        </is>
      </c>
      <c r="E259" s="35" t="n">
        <v>1</v>
      </c>
      <c r="F259" s="36" t="n">
        <v>7.333333333333333</v>
      </c>
      <c r="G259" s="47" t="inlineStr">
        <is>
          <t>なし</t>
        </is>
      </c>
      <c r="H259" s="47" t="inlineStr">
        <is>
          <t>可</t>
        </is>
      </c>
      <c r="I259" s="47" t="inlineStr">
        <is>
          <t>Q: クレームを受けた際、まず最初に行うべき初期対応は何ですか？
A:最初に大切なのは、相手の話をしっかり聞くことです。途中で口を挟まず、まずは気持ちを受け止めましょう。そのうえで、「ご連絡ありがとうございます」といった形で、声を上げてくれたことへの感謝を伝えます。
話を聞きながら、いつ・どこで・何があったのかなど、事実関係を整理して確認していくことが、その後の対応をスムーズに進めるポイントです。
Q: クレーム対応で、どこまで謝罪すればよいか判断に迷います。謝罪の適切な範囲を教えてください。
A: 謝罪には、「不快な思いをさせてしまったこと」へのものと、「こちらに明確な落ち度があった場合」のものがあります。
事実がまだはっきりしていない段階では、まずは気持ちの面に寄り添い、「ご不快な思いをさせてしまい申し訳ございません」と伝えるのが適切です。その後、確認の結果、こちらに原因があると分かった場合には、理由を説明したうえで、改めて正式に謝罪します。状況を見極めながら、事実に基づいて対応することが大切です。
Q: 一度対応した後に、同じお客様から再度クレーム（二次クレーム）が来ないようにするには、どうすれば良いですか？
A: 再発防止に向けた具体的な対応をきちんと伝えることが欠かせません。今回の件を踏まえて、どのような改善を行うのかを分かりやすく説明し、実行する姿勢を示しましょう。
また、対応に時間がかかる場合は、「いつまでに連絡するか」をあらかじめ伝え、その約束を必ず守ることが重要です。進捗をこまめに共有することで、不安を和らげ、信頼回復につながります。</t>
        </is>
      </c>
      <c r="J259" s="47" t="n"/>
      <c r="K259" s="47" t="inlineStr">
        <is>
          <t>OK</t>
        </is>
      </c>
      <c r="L259" s="47" t="inlineStr">
        <is>
          <t>未確認</t>
        </is>
      </c>
      <c r="M259" s="47" t="inlineStr">
        <is>
          <t>未依頼</t>
        </is>
      </c>
      <c r="N259" s="47" t="inlineStr">
        <is>
          <t>クリニック以外</t>
        </is>
      </c>
      <c r="O259" s="47" t="n"/>
      <c r="P259" s="47" t="n"/>
      <c r="Q259" s="47" t="n"/>
      <c r="R259" s="47" t="n"/>
    </row>
    <row r="260" ht="15.75" customHeight="1" s="185">
      <c r="A260" s="52">
        <f>row()-3</f>
        <v/>
      </c>
      <c r="B260" s="46" t="inlineStr">
        <is>
          <t>施工管理技士の採用は難しい？採用成功法を紹介</t>
        </is>
      </c>
      <c r="C260" s="6" t="inlineStr">
        <is>
          <t>https://dym.asia/media/construction-management-employ/</t>
        </is>
      </c>
      <c r="D260" s="47" t="inlineStr">
        <is>
          <t>施工管理 求人倍率</t>
        </is>
      </c>
      <c r="E260" s="35" t="n">
        <v>1</v>
      </c>
      <c r="F260" s="36" t="n">
        <v>5.818181818181818</v>
      </c>
      <c r="G260" s="47" t="inlineStr">
        <is>
          <t>なし</t>
        </is>
      </c>
      <c r="H260" s="47" t="inlineStr">
        <is>
          <t>可</t>
        </is>
      </c>
      <c r="I260" s="47" t="inlineStr">
        <is>
          <t>Q: 施工管理の仕事は未経験からでも転職できますか？
A: 未経験からの転職も十分に可能です。人手不足が続いていることもあり、意欲を重視して採用する企業は少なくありません。入社後は、現場でのOJTや研修を通じて、仕事の流れや基礎知識を身につけていくケースが一般的です。人と関わる場面が多いため、コミュニケーション力や、現場で学ぼうとする姿勢が大切になります。
Q: 施工管理の仕事は「きつい」「残業が多い」と聞きますが、実際のところはどうですか？
A: 以前は長時間労働のイメージが強い仕事でしたが、最近は働き方改革の影響で、環境は大きく変わりつつあります。週休2日制の導入や残業時間の管理など、改善に取り組む企業も増えています。
とはいえ、工期が重なる時期やトラブル対応が必要な場面では、忙しくなることもあります。転職を考える際は、残業時間の実績や休暇の取りやすさなどを事前に確認しておくと安心です。
Q: 施工管理の仕事に役立つ、または必須となる資格はありますか？
A: 入社時点で必須の資格はありませんが、キャリアアップを目指すなら「施工管理技士」は重要な資格です。特に1級施工管理技士は担当できる工事の幅が広がり、待遇面でも評価されやすくなります。未経験で入社した場合でも、実務経験を積みながら資格取得を目指す人が多く、会社が取得を支援しているケースもあります。</t>
        </is>
      </c>
      <c r="J260" s="47" t="n"/>
      <c r="K260" s="47" t="inlineStr">
        <is>
          <t>OK</t>
        </is>
      </c>
      <c r="L260" s="47" t="inlineStr">
        <is>
          <t>未確認</t>
        </is>
      </c>
      <c r="M260" s="47" t="inlineStr">
        <is>
          <t>未依頼</t>
        </is>
      </c>
      <c r="N260" s="47" t="inlineStr">
        <is>
          <t>クリニック以外</t>
        </is>
      </c>
      <c r="O260" s="47" t="n"/>
      <c r="P260" s="47" t="n"/>
      <c r="Q260" s="47" t="n"/>
      <c r="R260" s="47" t="n"/>
    </row>
    <row r="261" ht="15.75" customHeight="1" s="185">
      <c r="A261" s="52">
        <f>row()-3</f>
        <v/>
      </c>
      <c r="B261" s="46" t="inlineStr">
        <is>
          <t>企業の採用担当者必見！協調性の重要性と育成方法</t>
        </is>
      </c>
      <c r="C261" s="6" t="inlineStr">
        <is>
          <t>https://dym.asia/media/cooperativeness/</t>
        </is>
      </c>
      <c r="D261" s="47" t="inlineStr">
        <is>
          <t>リーダーシップ 協調性</t>
        </is>
      </c>
      <c r="E261" s="35" t="n">
        <v>1</v>
      </c>
      <c r="F261" s="36" t="n">
        <v>4.012195121951219</v>
      </c>
      <c r="G261" s="47" t="inlineStr">
        <is>
          <t>なし</t>
        </is>
      </c>
      <c r="H261" s="47" t="inlineStr">
        <is>
          <t>可</t>
        </is>
      </c>
      <c r="I261" s="47" t="inlineStr">
        <is>
          <t>Q: ビジネスにおける「協調性」とは、具体的にどのような能力を指しますか？
A: ビジネスで求められる協調性は、ただ周囲に合わせることではありません。チームの目標を意識しながら、自分の考えもきちんと持ち、相手の意見や立場を尊重して仕事を進める力のことです。日々の報告・連絡・相談を怠らず、状況に応じて自分から動ける姿勢が、結果的にチーム全体の成果につながります。
Q: 協調性が低いと感じています。協調性を高めるために日常でできることはありますか？
A: まずは「相手の話をしっかり聞くこと」と「自分の状況を共有すること」を意識してみましょう。話を途中で遮らずに聞くことで、相手の考えや背景が見えてきます。また、考えていることや進捗をこまめに伝えるだけでも、周囲との信頼関係は築きやすくなります。感謝を言葉にする、困っている人に一声かけるなど、日々の小さな行動の積み重ねが大切です。
Q: 面接で「協調性」を効果的にアピールするにはどうすれば良いですか？
A: 「協調性があります」と伝えるだけでは、印象に残りにくいものです。これまでの経験の中で、周囲とどのように関わり、どんな結果につながったのかを具体的に話すことが重要です。意見が分かれた場面で調整役を担った経験や、異なる立場の人と連携して成果を出したエピソードなど、行動と結果が伝わる話を用意しておくと説得力が増します。</t>
        </is>
      </c>
      <c r="J261" s="47" t="n"/>
      <c r="K261" s="47" t="inlineStr">
        <is>
          <t>OK</t>
        </is>
      </c>
      <c r="L261" s="47" t="inlineStr">
        <is>
          <t>未確認</t>
        </is>
      </c>
      <c r="M261" s="47" t="inlineStr">
        <is>
          <t>未依頼</t>
        </is>
      </c>
      <c r="N261" s="47" t="inlineStr">
        <is>
          <t>クリニック以外</t>
        </is>
      </c>
      <c r="O261" s="47" t="n"/>
      <c r="P261" s="47" t="n"/>
      <c r="Q261" s="47" t="n"/>
      <c r="R261" s="47" t="n"/>
    </row>
    <row r="262" ht="15.75" customHeight="1" s="185">
      <c r="A262" s="52">
        <f>row()-3</f>
        <v/>
      </c>
      <c r="B262" s="46" t="inlineStr">
        <is>
          <t>CPMとは？利用するメリット・デメリットや効果を高めるポイントを解説</t>
        </is>
      </c>
      <c r="C262" s="10" t="inlineStr">
        <is>
          <t>https://dym.asia/media/cpm/</t>
        </is>
      </c>
      <c r="D262" s="47" t="inlineStr">
        <is>
          <t>cpm 効果</t>
        </is>
      </c>
      <c r="E262" s="35" t="n">
        <v>1</v>
      </c>
      <c r="F262" s="36" t="n">
        <v>9.095238095238095</v>
      </c>
      <c r="G262" s="47" t="inlineStr">
        <is>
          <t>あり</t>
        </is>
      </c>
      <c r="H262" s="47" t="inlineStr">
        <is>
          <t>既存</t>
        </is>
      </c>
      <c r="I262" s="47" t="inlineStr">
        <is>
          <t>対応不要</t>
        </is>
      </c>
      <c r="J262" s="47" t="n"/>
      <c r="K262" s="47" t="inlineStr">
        <is>
          <t>対応不要</t>
        </is>
      </c>
      <c r="L262" s="47" t="inlineStr">
        <is>
          <t>対応不要</t>
        </is>
      </c>
      <c r="M262" s="47" t="inlineStr">
        <is>
          <t>対応不要</t>
        </is>
      </c>
      <c r="N262" s="47" t="inlineStr">
        <is>
          <t>クリニック以外</t>
        </is>
      </c>
      <c r="O262" s="47" t="n"/>
      <c r="P262" s="47" t="n"/>
      <c r="Q262" s="47" t="n"/>
      <c r="R262" s="47" t="n"/>
    </row>
    <row r="263" ht="15.75" customHeight="1" s="185">
      <c r="A263" s="52">
        <f>row()-3</f>
        <v/>
      </c>
      <c r="B263" s="46" t="inlineStr">
        <is>
          <t>クレドとは？企業理念を浸透させる効果的な手法と導入のポイント</t>
        </is>
      </c>
      <c r="C263" s="6" t="inlineStr">
        <is>
          <t>https://dym.asia/media/credo/</t>
        </is>
      </c>
      <c r="D263" s="47" t="inlineStr">
        <is>
          <t>クレド研修</t>
        </is>
      </c>
      <c r="E263" s="35" t="n">
        <v>1</v>
      </c>
      <c r="F263" s="36" t="n">
        <v>2.851851851851852</v>
      </c>
      <c r="G263" s="47" t="inlineStr">
        <is>
          <t>なし</t>
        </is>
      </c>
      <c r="H263" s="47" t="inlineStr">
        <is>
          <t>可</t>
        </is>
      </c>
      <c r="I263" s="47" t="inlineStr">
        <is>
          <t>Q: クレド（Credo）とは、社訓や企業理念とどう違うのでしょうか？
A: クレドは「志」や「信条」を意味し、社員一人ひとりが日々の仕事でどう行動するかを示す指針です。企業理念が会社の存在意義や目指す姿を示すのに対し、クレドは現場でそのまま実践できる具体的な行動レベルまで落とし込まれている点が特徴です。
Q: クレドを導入する主な目的と、企業が得られるメリットは何ですか？
A: 目的は、経営陣と社員の考え方を揃え、行動の基準を統一することです。判断に迷った際の拠り所となり、サービスの質の安定や企業文化の定着、社員の主体性向上につながります。結果として、企業価値やブランド力の向上も期待できます。
Q: 作成したクレドを、社員に浸透させるためにはどのような工夫が必要ですか？
A: 作成段階から社員を巻き込み、日常業務で繰り返し触れる仕組みをつくることが大切です。朝礼や研修での活用、クレドを体現した行動の評価・表彰などを行うことで、形だけでなく実践される指針として定着しやすくなります。</t>
        </is>
      </c>
      <c r="J263" s="47" t="n"/>
      <c r="K263" s="47" t="inlineStr">
        <is>
          <t>OK</t>
        </is>
      </c>
      <c r="L263" s="47" t="inlineStr">
        <is>
          <t>未確認</t>
        </is>
      </c>
      <c r="M263" s="47" t="inlineStr">
        <is>
          <t>未依頼</t>
        </is>
      </c>
      <c r="N263" s="47" t="inlineStr">
        <is>
          <t>クリニック以外</t>
        </is>
      </c>
      <c r="O263" s="47" t="n"/>
      <c r="P263" s="47" t="n"/>
      <c r="Q263" s="47" t="n"/>
      <c r="R263" s="47" t="n"/>
    </row>
    <row r="264" ht="15.75" customHeight="1" s="185">
      <c r="A264" s="52">
        <f>row()-3</f>
        <v/>
      </c>
      <c r="B264" s="46" t="inlineStr">
        <is>
          <t>CSとは？顧客満足度を高めるためのマーケティング戦略</t>
        </is>
      </c>
      <c r="C264" s="6" t="inlineStr">
        <is>
          <t>https://dym.asia/media/cs/</t>
        </is>
      </c>
      <c r="D264" s="47" t="inlineStr">
        <is>
          <t>cs マーケティング</t>
        </is>
      </c>
      <c r="E264" s="35" t="n">
        <v>1</v>
      </c>
      <c r="F264" s="36" t="n">
        <v>7.013513513513513</v>
      </c>
      <c r="G264" s="47" t="inlineStr">
        <is>
          <t>なし</t>
        </is>
      </c>
      <c r="H264" s="47" t="inlineStr">
        <is>
          <t>可</t>
        </is>
      </c>
      <c r="I264" s="10" t="inlineStr">
        <is>
          <t>Q: CS（顧客満足度）とは、具体的に何を指し、なぜ企業にとって重要なのでしょうか？
A: CS（顧客満足度）とは、商品やサービスを利用した顧客が「満足したかどうか」を示す指標です。事前の期待と、実際の体験とのギャップによって左右されます。満足度が高いほど、リピート利用や継続契約につながりやすく、結果として企業の成長やブランド力の向上に結びつきます。
Q: 顧客満足度を向上させるための具体的な施策には、どのようなものがありますか？
A: まず大切なのは、顧客の声をきちんと拾い、改善につなげることです。問い合わせ対応の質を高める、サービスの使いづらさを見直すなど、基本的な対応の積み重ねが満足度を左右します。加えて、購入後のフォローや、一人ひとりに合わせた情報提供も効果的です。
Q: 顧客満足度（CS）の向上効果を測定するには、どのような指標や方法を用いればよいですか？
A:一般的にはアンケート調査を通じて測定します。代表的な指標として、満足度を数値化するCSIや、「他人にすすめたいか」を基にしたNPSなどがあります。これらを定期的に確認することで、施策の成果や課題を客観的に把握できます。
お問い合わせ先はこちら↓
https://dym.asia/contact/</t>
        </is>
      </c>
      <c r="J264" s="47" t="n"/>
      <c r="K264" s="47" t="inlineStr">
        <is>
          <t>OK</t>
        </is>
      </c>
      <c r="L264" s="47" t="inlineStr">
        <is>
          <t>未確認</t>
        </is>
      </c>
      <c r="M264" s="47" t="inlineStr">
        <is>
          <t>未依頼</t>
        </is>
      </c>
      <c r="N264" s="47" t="inlineStr">
        <is>
          <t>クリニック以外</t>
        </is>
      </c>
      <c r="O264" s="47" t="n"/>
      <c r="P264" s="47" t="n"/>
      <c r="Q264" s="47" t="n"/>
      <c r="R264" s="47" t="n"/>
    </row>
    <row r="265" ht="15.75" customHeight="1" s="185">
      <c r="A265" s="52">
        <f>row()-3</f>
        <v/>
      </c>
      <c r="B265" s="46" t="inlineStr">
        <is>
          <t>CSRとは？企業の社会的責任の意味と重要性を徹底解説</t>
        </is>
      </c>
      <c r="C265" s="10" t="inlineStr">
        <is>
          <t>https://dym.asia/media/csr/</t>
        </is>
      </c>
      <c r="D265" s="47" t="inlineStr">
        <is>
          <t>csr</t>
        </is>
      </c>
      <c r="E265" s="35" t="n">
        <v>1</v>
      </c>
      <c r="F265" s="36" t="n">
        <v>1.5</v>
      </c>
      <c r="G265" s="47" t="inlineStr">
        <is>
          <t>なし</t>
        </is>
      </c>
      <c r="H265" s="47" t="inlineStr">
        <is>
          <t>可</t>
        </is>
      </c>
      <c r="I265" s="10" t="inlineStr">
        <is>
          <t>Q: CSR（企業の社会的責任）とは何ですか？企業にとってどのようなメリットがありますか？
A: CSRとは、利益だけでなく、社会や環境にも目を向けながら事業を行うという考え方です。法令を守ることはもちろん、人権への配慮や環境保全、地域との関わりも含まれます。こうした姿勢は、企業の信頼性を高め、ブランド価値の向上や人材の定着、取引先・投資家からの評価にもつながります。
Q: 中小企業でも取り組めるCSR活動には、どのような具体的な例がありますか？
A: CSRは大企業だけのものではありません。例えば、地域の清掃活動への参加や省エネ・ペーパーレスの推進、地元企業や産品の積極的な活用、働きやすい職場づくりなど、身近な取り組みから始めることができます。自社の規模や業務に合った形で、無理なく続けることが大切です。
Q: CSRと近年よく聞くSDGs（持続可能な開発目標）は、何が違うのでしょうか？
A: CSRは「企業としてどう社会と向き合うか」という考え方で、SDGsは「2030年までに世界全体で達成を目指す具体的な目標」です。SDGsに沿った取り組みを行うことは、CSRを実践する一つの方法とも言えます。自社の事業と関わりの深い目標を意識することで、より意味のあるCSR活動につながります。ぜひお問い合わせください。
お問い合わせ先はこちら↓
https://dym.asia/contact/</t>
        </is>
      </c>
      <c r="J265" s="47" t="n"/>
      <c r="K265" s="47" t="inlineStr">
        <is>
          <t>OK</t>
        </is>
      </c>
      <c r="L265" s="47" t="inlineStr">
        <is>
          <t>未確認</t>
        </is>
      </c>
      <c r="M265" s="47" t="inlineStr">
        <is>
          <t>未依頼</t>
        </is>
      </c>
      <c r="N265" s="47" t="inlineStr">
        <is>
          <t>クリニック以外</t>
        </is>
      </c>
      <c r="O265" s="47" t="n"/>
      <c r="P265" s="47" t="n"/>
      <c r="Q265" s="47" t="n"/>
      <c r="R265" s="47" t="n"/>
    </row>
    <row r="266" ht="15.75" customHeight="1" s="185">
      <c r="A266" s="52">
        <f>row()-3</f>
        <v/>
      </c>
      <c r="B266" s="46" t="e">
        <v>#N/A</v>
      </c>
      <c r="C266" s="10" t="inlineStr">
        <is>
          <t>https://dym.asia/media/cta/</t>
        </is>
      </c>
      <c r="D266" s="47" t="inlineStr">
        <is>
          <t>行動喚起</t>
        </is>
      </c>
      <c r="E266" s="35" t="n">
        <v>1</v>
      </c>
      <c r="F266" s="36" t="n">
        <v>8.09710391822828</v>
      </c>
      <c r="G266" s="47" t="inlineStr">
        <is>
          <t>なし</t>
        </is>
      </c>
      <c r="H266" s="47" t="inlineStr">
        <is>
          <t>可</t>
        </is>
      </c>
      <c r="I266" s="10" t="inlineStr">
        <is>
          <t>Q: CTA（コール・トゥ・アクション）とは何ですか？コンバージョンとの関係性を教えてください。
A: CTAとは、Webサイトを訪れた人に「次に何をしてもらうか」を分かりやすく示すための案内です。たとえば「資料請求」「無料登録」「今すぐ購入」といったボタンやリンクがそれにあたります。CTAが明確だと、ユーザーは迷わず行動でき、その結果としてコンバージョンにつながりやすくなります。
Q: 効果的なCTAボタンを設計するための重要なポイントは何ですか？
A: 大切なのは、「目に入りやすいこと」「押したくなる理由があること」「押した後が想像できること」です。周囲と差が出る色やサイズで目立たせつつ、「無料」「今すぐ」など行動のメリットが伝わる言葉を添えます。また、クリック後に何が起こるのかを分かりやすく伝えることも欠かせません。実際の反応を見ながら、文言やデザインを少しずつ改善していくことが成果への近道です。
Q: CTAボタンをWebページ上のどこに配置するのが最も効果的ですか？
A: 基本は、ページを開いてすぐ目に入る場所と、内容を読み終えたタイミングです。特に情報量が多いページでは、読み進める途中にもCTAを設けることで、関心が高まった瞬間を逃さず行動につなげられます。ユーザーの視線や読み流れを意識し、無理のない位置に配置することがポイントです。ぜひご相談ください。
お問い合わせ先はこちら↓
https://dym.asia/contact/</t>
        </is>
      </c>
      <c r="J266" s="47" t="n"/>
      <c r="K266" s="47" t="inlineStr">
        <is>
          <t>OK</t>
        </is>
      </c>
      <c r="L266" s="47" t="inlineStr">
        <is>
          <t>未確認</t>
        </is>
      </c>
      <c r="M266" s="47" t="inlineStr">
        <is>
          <t>未依頼</t>
        </is>
      </c>
      <c r="N266" s="47" t="inlineStr">
        <is>
          <t>クリニック以外</t>
        </is>
      </c>
      <c r="O266" s="47" t="n"/>
      <c r="P266" s="47" t="n"/>
      <c r="Q266" s="47" t="n"/>
      <c r="R266" s="47" t="n"/>
    </row>
    <row r="267" ht="15.75" customHeight="1" s="185">
      <c r="A267" s="52">
        <f>row()-3</f>
        <v/>
      </c>
      <c r="B267" s="46" t="inlineStr">
        <is>
          <t>【2024年最新】デジタルマーケティングとは|基本の手法と成功事例</t>
        </is>
      </c>
      <c r="C267" s="6" t="inlineStr">
        <is>
          <t>https://dym.asia/media/degital-marketing/</t>
        </is>
      </c>
      <c r="D267" s="47" t="inlineStr">
        <is>
          <t>デジタルマーケティング 最新</t>
        </is>
      </c>
      <c r="E267" s="35" t="n">
        <v>1</v>
      </c>
      <c r="F267" s="36" t="n">
        <v>9.202247191011235</v>
      </c>
      <c r="G267" s="47" t="inlineStr">
        <is>
          <t>なし</t>
        </is>
      </c>
      <c r="H267" s="47" t="inlineStr">
        <is>
          <t>可</t>
        </is>
      </c>
      <c r="I267" s="10" t="inlineStr">
        <is>
          <t>Q: デジタルマーケティングとは何ですか？従来のマーケティングとの違いを教えてください。
A: デジタルマーケティングとは、Webサイトやメール、SNS、検索エンジンなどを活用して行うマーケティング全般を指します。新聞広告やテレビCMと大きく違うのは、施策の反応を数字で把握できる点です。誰が、いつ、どんな行動をしたのかが分かるため、結果を見ながら改善を重ねやすく、無駄の少ない運用ができます。
Q: デジタルマーケティングにはどのような種類の施策がありますか？
A: 代表的なものとしては、検索結果からの集客を狙うSEOやリスティング広告、SNS広告などがあります。加えて、ブログや動画で情報を発信するコンテンツマーケティングや、メールを使った継続的なアプローチもよく活用されています。目的やターゲットに応じて、これらの施策を組み合わせて進めていくのが一般的です。
Q: デジタルマーケティングの施策が成功したかどうかを、どのように測定すればよいですか？
 A: 施策ごとに目標となる指標を決め、数値で確認していきます。たとえば、サイトへの訪問数や問い合わせ数、成約率、広告費に対する成果などが代表的です。アクセス解析ツールや広告管理画面を使えば、結果を客観的に把握できます。数字をもとに改善を繰り返すことで、成果につながる施策が見えてきます。
ぜひご相談ください。
お問い合わせ先はこちら↓
https://dym.asia/contact/</t>
        </is>
      </c>
      <c r="J267" s="47" t="n"/>
      <c r="K267" s="47" t="inlineStr">
        <is>
          <t>OK</t>
        </is>
      </c>
      <c r="L267" s="47" t="inlineStr">
        <is>
          <t>未確認</t>
        </is>
      </c>
      <c r="M267" s="47" t="inlineStr">
        <is>
          <t>未依頼</t>
        </is>
      </c>
      <c r="N267" s="47" t="inlineStr">
        <is>
          <t>クリニック以外</t>
        </is>
      </c>
      <c r="O267" s="47" t="n"/>
      <c r="P267" s="47" t="n"/>
      <c r="Q267" s="47" t="n"/>
      <c r="R267" s="47" t="n"/>
    </row>
    <row r="268" ht="15.75" customHeight="1" s="185">
      <c r="A268" s="52">
        <f>row()-3</f>
        <v/>
      </c>
      <c r="B268" s="46" t="inlineStr">
        <is>
          <t>ダーマペンとは？ニキビ跡、毛穴への効果を詳しく解説</t>
        </is>
      </c>
      <c r="C268" s="6" t="inlineStr">
        <is>
          <t>https://dym.asia/media/dermapen/</t>
        </is>
      </c>
      <c r="D268" s="47" t="inlineStr">
        <is>
          <t>ダーマペン バンコク</t>
        </is>
      </c>
      <c r="E268" s="35" t="n">
        <v>1</v>
      </c>
      <c r="F268" s="36" t="n">
        <v>8.640000000000001</v>
      </c>
      <c r="G268" s="47" t="inlineStr">
        <is>
          <t>なし</t>
        </is>
      </c>
      <c r="H268" s="47" t="inlineStr">
        <is>
          <t>可</t>
        </is>
      </c>
      <c r="I268" s="47" t="inlineStr">
        <is>
          <t>Q: ダーマペンの施術はどのくらいの痛みがありますか？麻酔は使用しますか？
A: ダーマペンは微細な針を肌に刺すため、チクチクした痛みを感じることがあります。特に骨の近くや、深く針を入れるニキビ跡の治療では痛みが強くなることもあります。そのため、多くのクリニックでは施術前に麻酔クリームを使用し、痛みを和らげてくれます。痛みの感じ方には個人差があるので、不安がある場合はカウンセリングで相談しておくと安心です。
Q: ダーマペンのダウンタイムはどのくらいで、どのような症状が出ますか？
A: 施術後のダウンタイムは、針の深さや肌の状態によって異なりますが、一般的には2日〜1週間ほどです。施術直後は赤みや腫れ、ヒリヒリ感が出ることがありますが、これは正常な反応です。多くの場合、翌日〜翌々日には赤みが落ち着き、古い角質が剥がれる「皮むけ」が起こることもあります。施術後は保湿と紫外線対策をしっかり行うことが大切です。
Q: ダーマペンの効果はいつ頃から現れますか？また、何回程度の施術が必要ですか？
A: 効果には個人差がありますが、施術後数日〜1週間で肌のハリやツヤを感じ始める方が多いです。ニキビ跡や深いシワなどを改善したい場合は、複数回の施術が必要です。目安としては、3〜5回を3〜4週間ごとに行うと効果が出やすいと言われています。治療の目標に合わせて、クリニックと相談しながら回数を決めましょう。</t>
        </is>
      </c>
      <c r="J268" s="47" t="n"/>
      <c r="K268" s="47" t="inlineStr">
        <is>
          <t>対応不要</t>
        </is>
      </c>
      <c r="L268" s="47" t="inlineStr">
        <is>
          <t>対応不要</t>
        </is>
      </c>
      <c r="M268" s="47" t="inlineStr">
        <is>
          <t>未依頼</t>
        </is>
      </c>
      <c r="N268" s="47" t="inlineStr">
        <is>
          <t>クリニック以外</t>
        </is>
      </c>
      <c r="O268" s="47" t="n"/>
      <c r="P268" s="47" t="n"/>
      <c r="Q268" s="47" t="n"/>
      <c r="R268" s="47" t="n"/>
    </row>
    <row r="269" ht="15.75" customHeight="1" s="185">
      <c r="A269" s="52">
        <f>row()-3</f>
        <v/>
      </c>
      <c r="B269" s="46" t="inlineStr">
        <is>
          <t>デューデリジェンスとは？用語の意味と目的や種類、実施手順を解説</t>
        </is>
      </c>
      <c r="C269" s="6" t="inlineStr">
        <is>
          <t>https://dym.asia/media/due-diligence/</t>
        </is>
      </c>
      <c r="D269" s="47" t="inlineStr">
        <is>
          <t>デューケア デューデリジェンス</t>
        </is>
      </c>
      <c r="E269" s="35" t="n">
        <v>1</v>
      </c>
      <c r="F269" s="36" t="n">
        <v>8.444444444444445</v>
      </c>
      <c r="G269" s="47" t="inlineStr">
        <is>
          <t>なし</t>
        </is>
      </c>
      <c r="H269" s="47" t="inlineStr">
        <is>
          <t>可</t>
        </is>
      </c>
      <c r="I269" s="10" t="inlineStr">
        <is>
          <t>Q: デューデリジェンス（DD）とは何ですか？M&amp;Aにおいてどのような目的で実施されますか？
A: デューデリジェンス（DD）とは、M&amp;Aや投資の際に、対象企業の価値やリスクを詳しく調べることです。目的は、買収価格が妥当かどうかを確認したり、法務・財務上の潜在リスクを事前に把握して、買収後の統合（PMI）をスムーズに進めるための情報を得ることにあります。これにより、買い手は思わぬ損失を避け、安心して意思決定ができます。
Q: デューデリジェンスには、財務や法務以外にどのような種類がありますか？
A: 財務DDや法務DDが基本ですが、対象企業やM&amp;Aの目的に応じてさまざまな調査があります。
・ビジネスDD：市場環境や競合優位性、事業計画の実現性の確認
・IT DD：システム構成やセキュリティ、ITリスクの評価
・人事DD：組織体制、人事制度、人件費、キーパーソンの把握
・環境DD：土壌汚染や環境法規制リスクの評価
複数の専門家が連携して調査を行います。
Q: デューデリジェンスを実施するのに、平均してどれくらいの期間と費用がかかりますか？
A: 期間や費用は、企業の規模や事業内容、調査範囲によって変わります。一般的には2週間〜1ヶ月程度が目安ですが、大規模な案件では数ヶ月かかることもあります。費用は、依頼する専門家の人数や工数に応じて、数百万円〜数千万円程度が一般的です。コストを抑えるためには、調査の範囲をあらかじめ明確にしておくことが重要です。
ぜひご相談ください。
お問い合わせ先はこちら↓
https://dym.asia/contact/</t>
        </is>
      </c>
      <c r="J269" s="47" t="n"/>
      <c r="K269" s="47" t="inlineStr">
        <is>
          <t>要修正</t>
        </is>
      </c>
      <c r="L269" s="47" t="inlineStr">
        <is>
          <t>未確認</t>
        </is>
      </c>
      <c r="M269" s="47" t="inlineStr">
        <is>
          <t>未依頼</t>
        </is>
      </c>
      <c r="N269" s="47" t="inlineStr">
        <is>
          <t>クリニック以外</t>
        </is>
      </c>
      <c r="O269" s="47" t="n"/>
      <c r="P269" s="47" t="n"/>
      <c r="Q269" s="47" t="n"/>
      <c r="R269" s="47" t="n"/>
    </row>
    <row r="270" ht="15.75" customHeight="1" s="185">
      <c r="A270" s="52">
        <f>row()-3</f>
        <v/>
      </c>
      <c r="B270" s="46" t="inlineStr">
        <is>
          <t>社員教育の目的とメリットとは？ 成果を最大化する方法</t>
        </is>
      </c>
      <c r="C270" s="10" t="inlineStr">
        <is>
          <t>https://dym.asia/media/employee-training/</t>
        </is>
      </c>
      <c r="D270" s="47" t="inlineStr">
        <is>
          <t>研修制度が充実 メリット</t>
        </is>
      </c>
      <c r="E270" s="35" t="n">
        <v>1</v>
      </c>
      <c r="F270" s="36" t="n">
        <v>8.679245283018869</v>
      </c>
      <c r="G270" s="47" t="inlineStr">
        <is>
          <t>なし</t>
        </is>
      </c>
      <c r="H270" s="47" t="inlineStr">
        <is>
          <t>可</t>
        </is>
      </c>
      <c r="I270" s="47" t="inlineStr">
        <is>
          <t>Q: 従業員研修を行う主な目的と、企業が得られる具体的なメリットは何ですか？
A: 従業員研修の目的は、社員の知識やスキルを高め、組織全体の力を底上げすることです。具体的には、業務の質を均一化して生産性を上げること、社員のモチベーション向上や離職率の低下、企業の求める人材像に沿った効率的な人材育成などが挙げられます。特に新入社員研修やハラスメント研修は、コンプライアンスの面でも重要です。
Q: 従業員研修にはどのような種類があり、それぞれどのような方法で実施されますか？
A: 研修は階層別（新入社員・中堅社員・管理職）や目的別（スキルアップ・コンプライアンス・マネジメント）で分けられます。実施方法は、職場で実務を通して学ぶOJT、座学中心のOff-JT、そして最近ではeラーニングを活用したオンライン研修があります。研修の目的や対象者に応じて、複数の方法を組み合わせるのが効果的です。
Q: 研修を実施した後、その教育効果を測定するにはどうすれば良いですか？
A: 研修効果は段階的に評価するのがポイントです。まずアンケートで受講者の満足度を確認し（反応）、テストで知識が身についているかを測ります（学習）。次に、実際の業務で研修内容が活かされているかを上司の観察や評価で確認します（行動変容）。最終的には、生産性や売上などの成果に結びついているかを検証することが重要です。</t>
        </is>
      </c>
      <c r="J270" s="47" t="n"/>
      <c r="K270" s="47" t="inlineStr">
        <is>
          <t>OK</t>
        </is>
      </c>
      <c r="L270" s="47" t="inlineStr">
        <is>
          <t>未確認</t>
        </is>
      </c>
      <c r="M270" s="47" t="inlineStr">
        <is>
          <t>未依頼</t>
        </is>
      </c>
      <c r="N270" s="47" t="inlineStr">
        <is>
          <t>クリニック以外</t>
        </is>
      </c>
      <c r="O270" s="47" t="n"/>
      <c r="P270" s="47" t="n"/>
      <c r="Q270" s="47" t="n"/>
      <c r="R270" s="47" t="n"/>
    </row>
    <row r="271" ht="15.75" customHeight="1" s="185">
      <c r="A271" s="52">
        <f>row()-3</f>
        <v/>
      </c>
      <c r="B271" s="46" t="inlineStr">
        <is>
          <t>エンジニア採用は難しい？成功させるポイントや効果的な採用手法を紹介</t>
        </is>
      </c>
      <c r="C271" s="10" t="inlineStr">
        <is>
          <t>https://dym.asia/media/engineer-recruitment/</t>
        </is>
      </c>
      <c r="D271" s="47" t="inlineStr">
        <is>
          <t>エンジニア採用 手法</t>
        </is>
      </c>
      <c r="E271" s="35" t="n">
        <v>1</v>
      </c>
      <c r="F271" s="36" t="n">
        <v>29.6027397260274</v>
      </c>
      <c r="G271" s="47" t="inlineStr">
        <is>
          <t>なし</t>
        </is>
      </c>
      <c r="H271" s="47" t="inlineStr">
        <is>
          <t>可</t>
        </is>
      </c>
      <c r="I271" s="10" t="inlineStr">
        <is>
          <t>Q: エンジニア採用市場の現状はどのような状況ですか？
A: 現在、エンジニア採用は慢性的な「売り手市場」が続いています。特にAIやクラウド、セキュリティなどの専門分野では人材が不足しており、採用は非常に競争が激しい状況です。そのため、給与だけでなく、リモートワークの導入やスキルアップの環境など、働きやすさや成長機会の提供が重要になっています。
Q: 未経験者やポテンシャル採用のエンジニアを受け入れるメリットは何ですか？
A: 未経験者やポテンシャル層の採用は、採用コストを抑えつつ、自社の文化や技術に合わせて育成できる点がメリットです。即戦力の中途採用より時間はかかりますが、長期的には自社に馴染んだ優秀な人材を確保できます。成功には、研修制度やメンター制度の整備が欠かせません。
Q: 優秀なエンジニアを採用するために、効果的な採用手法は何ですか？
A: 優秀なエンジニアを採用するには、求人を出して待つだけでは不十分です。社員紹介（リファラル採用）、スカウトメール（ダイレクトリクルーティング）、テックブログや開発イベントを通じた採用ブランディングなど、能動的なアプローチが有効です。また、自社の開発環境や技術力を示すコーポレートエンジニアリングサイトの活用も、技術志向の強い人材へのアピールになります。ぜひご相談ください。
お問い合わせ先はこちら↓
https://dym.asia/contact/</t>
        </is>
      </c>
      <c r="J271" s="47" t="n"/>
      <c r="K271" s="47" t="inlineStr">
        <is>
          <t>OK</t>
        </is>
      </c>
      <c r="L271" s="47" t="inlineStr">
        <is>
          <t>未確認</t>
        </is>
      </c>
      <c r="M271" s="47" t="inlineStr">
        <is>
          <t>未依頼</t>
        </is>
      </c>
      <c r="N271" s="47" t="inlineStr">
        <is>
          <t>クリニック以外</t>
        </is>
      </c>
      <c r="O271" s="47" t="n"/>
      <c r="P271" s="47" t="n"/>
      <c r="Q271" s="47" t="n"/>
      <c r="R271" s="47" t="n"/>
    </row>
    <row r="272" ht="15.75" customHeight="1" s="185">
      <c r="A272" s="52">
        <f>row()-3</f>
        <v/>
      </c>
      <c r="B272" s="46" t="inlineStr">
        <is>
          <t>エンジニア派遣とは？種類や特徴、企業が活用するメリットや注意点も解説</t>
        </is>
      </c>
      <c r="C272" s="10" t="inlineStr">
        <is>
          <t>https://dym.asia/media/engineer_dispatch/</t>
        </is>
      </c>
      <c r="D272" s="47" t="inlineStr">
        <is>
          <t>dymキャリア エンジニア</t>
        </is>
      </c>
      <c r="E272" s="35" t="n">
        <v>1</v>
      </c>
      <c r="F272" s="36" t="n">
        <v>12.625</v>
      </c>
      <c r="G272" s="47" t="inlineStr">
        <is>
          <t>なし</t>
        </is>
      </c>
      <c r="H272" s="47" t="inlineStr">
        <is>
          <t>可</t>
        </is>
      </c>
      <c r="I272" s="47" t="inlineStr">
        <is>
          <t>Q: エンジニア派遣を利用する企業側の主なメリットとデメリットは何ですか？
A: メリットは、必要なスキルを持つ人材をすぐに確保できることです。自社で採用活動をする手間やコストを抑えられるほか、プロジェクト期間に応じて柔軟に人員を調整できます。一方、デメリットは、派遣社員の教育や評価は派遣元企業が行うため、自社のノウハウ蓄積や育成が難しい点です。また、長期的に見ると正社員を雇うより費用がかかる場合があります。
Q: 登録型派遣と「常用型派遣（特定派遣）」の違いは何ですか？
A: 登録型派遣は、派遣会社に登録したエンジニアが必要な期間だけ派遣先で働く形です。常用型派遣は、エンジニアが派遣会社と無期雇用契約を結び、継続的に派遣先で働く形になります。常用型の場合、派遣期間外でも給与が支払われるため、エンジニアは安定した雇用を得られ、企業側も優秀な人材を継続して確保しやすいという特徴があります。
Q: エンジニア派遣の費用相場はどれくらいですか？料金は何によって決まりますか？
A: エンジニア派遣の料金は主に「時間単価」で設定されます。エンジニアのスキルや経験、専門性によって単価は変わり、特にAIやクラウド、セキュリティなど高度なスキルやマネジメント経験がある場合は高くなります。目安としては、ITエンジニアで1時間あたり3,000円〜7,000円程度です。加えて、派遣会社のマージンや交通費も料金に影響します。</t>
        </is>
      </c>
      <c r="J272" s="47" t="n"/>
      <c r="K272" s="47" t="inlineStr">
        <is>
          <t>要修正</t>
        </is>
      </c>
      <c r="L272" s="47" t="inlineStr">
        <is>
          <t>未確認</t>
        </is>
      </c>
      <c r="M272" s="47" t="inlineStr">
        <is>
          <t>未依頼</t>
        </is>
      </c>
      <c r="N272" s="47" t="inlineStr">
        <is>
          <t>クリニック以外</t>
        </is>
      </c>
      <c r="O272" s="47" t="n"/>
      <c r="P272" s="47" t="n"/>
      <c r="Q272" s="47" t="n"/>
      <c r="R272" s="47" t="n"/>
    </row>
    <row r="273" ht="15.75" customHeight="1" s="185">
      <c r="A273" s="52">
        <f>row()-3</f>
        <v/>
      </c>
      <c r="B273" s="46" t="inlineStr">
        <is>
          <t>エラボトックス注射の効果と特徴：小顔治療の革新的アプローチ</t>
        </is>
      </c>
      <c r="C273" s="6" t="inlineStr">
        <is>
          <t>https://dym.asia/media/erabotox/</t>
        </is>
      </c>
      <c r="D273" s="47" t="inlineStr">
        <is>
          <t>エラボトックス 効果</t>
        </is>
      </c>
      <c r="E273" s="35" t="n">
        <v>1</v>
      </c>
      <c r="F273" s="36" t="n">
        <v>63.68648648648649</v>
      </c>
      <c r="G273" s="47" t="inlineStr">
        <is>
          <t>あり</t>
        </is>
      </c>
      <c r="H273" s="47" t="inlineStr">
        <is>
          <t>既存</t>
        </is>
      </c>
      <c r="I273" s="47" t="inlineStr">
        <is>
          <t>対応不要</t>
        </is>
      </c>
      <c r="J273" s="47" t="n"/>
      <c r="K273" s="47" t="inlineStr">
        <is>
          <t>対応不要</t>
        </is>
      </c>
      <c r="L273" s="47" t="inlineStr">
        <is>
          <t>対応不要</t>
        </is>
      </c>
      <c r="M273" s="47" t="inlineStr">
        <is>
          <t>対応不要</t>
        </is>
      </c>
      <c r="N273" s="47" t="inlineStr">
        <is>
          <t>クリニック以外</t>
        </is>
      </c>
      <c r="O273" s="47" t="n"/>
      <c r="P273" s="47" t="n"/>
      <c r="Q273" s="47" t="n"/>
      <c r="R273" s="47" t="n"/>
    </row>
    <row r="274" ht="15.75" customHeight="1" s="185">
      <c r="A274" s="52">
        <f>row()-3</f>
        <v/>
      </c>
      <c r="B274" s="46" t="inlineStr">
        <is>
          <t>Facebook広告の費用相場は？課金方式や予算の設定方法についても解説！</t>
        </is>
      </c>
      <c r="C274" s="6" t="inlineStr">
        <is>
          <t>https://dym.asia/media/facebook-ad-cost/</t>
        </is>
      </c>
      <c r="D274" s="47" t="inlineStr">
        <is>
          <t>facebook広告料金 仕組み</t>
        </is>
      </c>
      <c r="E274" s="35" t="n">
        <v>1</v>
      </c>
      <c r="F274" s="36" t="n">
        <v>10.75</v>
      </c>
      <c r="G274" s="47" t="inlineStr">
        <is>
          <t>なし</t>
        </is>
      </c>
      <c r="H274" s="47" t="inlineStr">
        <is>
          <t>可</t>
        </is>
      </c>
      <c r="I274" s="10" t="inlineStr">
        <is>
          <t>Q: Facebook広告の費用相場はどれくらいですか？最低出稿金額はありますか？
"A: Facebook広告には最低出稿金額はありません。1日あたり数百円からでも出稿可能です。ただし、効果を確認しながら運用するための目安としては、テスト期間で1日あたり2,000〜3,000円、月額で5万〜10万円程度の予算がよく使われます。費用は、ターゲットの広さや競合状況によって変わるため、まずは少額から始め、成果を見ながら調整するのが一般的です。
Q: Facebook広告の課金方式（入札）にはどのような種類がありますか？
"A: Facebook広告の課金方式には、主に「インプレッション課金（CPM）」と「クリック課金（CPC）」の2種類があります。CPMは広告が1,000回表示されるごとに費用が発生する方式で、ブランド認知向上に向いています。一方、CPCは広告がクリックされるごとに費用が発生する方式で、Webサイト誘導やコンバージョン獲得に適しています。多くの場合は、自動入札機能を使って、目標に応じた最適化を行います。
Q: Facebook広告の費用対効果（ROI）を最適化するために重要なことは何ですか？
A: 費用対効果を上げるには、「広告のクリエイティブ（画像・動画）の改善」と「ターゲットの精度向上」が重要です。クリック率やコンバージョン率が低い場合は、広告文や画像をテストして改善します。また、カスタムオーディエンスや類似オーディエンスを活用して、コンバージョンしやすいユーザーに絞り込むことで、無駄な広告費を抑え、より効率よく成果を出すことができます。ぜひご相談ください。
お問い合わせ先はこちら↓
https://dym.asia/contact/</t>
        </is>
      </c>
      <c r="J274" s="47" t="n"/>
      <c r="K274" s="47" t="inlineStr">
        <is>
          <t>要修正</t>
        </is>
      </c>
      <c r="L274" s="47" t="inlineStr">
        <is>
          <t>未確認</t>
        </is>
      </c>
      <c r="M274" s="47" t="inlineStr">
        <is>
          <t>未依頼</t>
        </is>
      </c>
      <c r="N274" s="47" t="inlineStr">
        <is>
          <t>クリニック以外</t>
        </is>
      </c>
      <c r="O274" s="47" t="n"/>
      <c r="P274" s="47" t="n"/>
      <c r="Q274" s="47" t="n"/>
      <c r="R274" s="47" t="n"/>
    </row>
    <row r="275" ht="15.75" customHeight="1" s="185">
      <c r="A275" s="52">
        <f>row()-3</f>
        <v/>
      </c>
      <c r="B275" s="46" t="inlineStr">
        <is>
          <t>断食ダイエットの効果と安全なやり方は？専門家が解説する最新情報</t>
        </is>
      </c>
      <c r="C275" s="6" t="inlineStr">
        <is>
          <t>https://dym.asia/media/fast-diet/</t>
        </is>
      </c>
      <c r="D275" s="47" t="inlineStr">
        <is>
          <t>5 2ダイエット メニュー</t>
        </is>
      </c>
      <c r="E275" s="35" t="n">
        <v>1</v>
      </c>
      <c r="F275" s="36" t="n">
        <v>5</v>
      </c>
      <c r="G275" s="47" t="inlineStr">
        <is>
          <t>あり</t>
        </is>
      </c>
      <c r="H275" s="47" t="inlineStr">
        <is>
          <t>既存</t>
        </is>
      </c>
      <c r="I275" s="47" t="inlineStr">
        <is>
          <t>対応不要</t>
        </is>
      </c>
      <c r="J275" s="47" t="n"/>
      <c r="K275" s="47" t="inlineStr">
        <is>
          <t>対応不要</t>
        </is>
      </c>
      <c r="L275" s="47" t="inlineStr">
        <is>
          <t>対応不要</t>
        </is>
      </c>
      <c r="M275" s="47" t="inlineStr">
        <is>
          <t>対応不要</t>
        </is>
      </c>
      <c r="N275" s="47" t="inlineStr">
        <is>
          <t>クリニック以外</t>
        </is>
      </c>
      <c r="O275" s="47" t="n"/>
      <c r="P275" s="47" t="n"/>
      <c r="Q275" s="47" t="n"/>
      <c r="R275" s="47" t="n"/>
    </row>
    <row r="276" ht="15.75" customHeight="1" s="185">
      <c r="A276" s="52">
        <f>row()-3</f>
        <v/>
      </c>
      <c r="B276" s="46" t="inlineStr">
        <is>
          <t>フォローアップ研修のカリキュラム内容とは？目的と実施時期のポイント解説</t>
        </is>
      </c>
      <c r="C276" s="6" t="inlineStr">
        <is>
          <t>https://dym.asia/media/follow-up-training/</t>
        </is>
      </c>
      <c r="D276" s="47" t="inlineStr">
        <is>
          <t>新入社員フォローアップ研修</t>
        </is>
      </c>
      <c r="E276" s="35" t="n">
        <v>1</v>
      </c>
      <c r="F276" s="36" t="n">
        <v>20.33191489361702</v>
      </c>
      <c r="G276" s="47" t="inlineStr">
        <is>
          <t>なし</t>
        </is>
      </c>
      <c r="H276" s="47" t="inlineStr">
        <is>
          <t>可</t>
        </is>
      </c>
      <c r="I276" s="47" t="inlineStr">
        <is>
          <t>Q: フォローアップ研修を実施する主な目的は何ですか？また、最適な実施タイミングはいつ頃ですか？
A: フォローアップ研修の目的は、初期研修で学んだ内容を実務でしっかり定着させることと、現場での課題や悩みを整理し、モチベーションを保つことです。実施の目安は、初期研修から3〜6か月後です。この時期は、仕事に慣れてきた一方で壁にぶつかりやすいタイミングでもあるため、振り返りの場を設けることで、離職防止にもつながります。
Q: フォローアップ研修では、具体的にどのような内容を実施するのが効果的ですか？
A: 効果的な内容は、まず「経験の振り返りと課題共有」です。受講者が現場での「できたこと」と「できなかったこと」を発表し、講師や他の参加者と具体的な解決策を話し合います。また、ロジカルシンキングやタイムマネジメントなど、現場で活かせる応用スキルの再確認も有効です。一方的な講義ではなく、グループワークやディスカッションを中心に行うことで、主体的に学ぶ姿勢を促します。
Q: フォローアップ研修を実施した効果を、どのように測定・評価すればよいですか？
A: 効果は「行動の変化」に注目して評価します。研修直後のアンケートによる満足度だけでなく、数か月後に上司や同僚、本人による自己評価を通して、業務での能力や態度の変化を確認します。さらに、研修で習得したスキルや行動が、企業の業績や生産性の向上につながっているかを定量的・定性的に検証することも大切です。</t>
        </is>
      </c>
      <c r="J276" s="47" t="n"/>
      <c r="K276" s="47" t="inlineStr">
        <is>
          <t>OK</t>
        </is>
      </c>
      <c r="L276" s="47" t="inlineStr">
        <is>
          <t>未確認</t>
        </is>
      </c>
      <c r="M276" s="47" t="inlineStr">
        <is>
          <t>未依頼</t>
        </is>
      </c>
      <c r="N276" s="47" t="inlineStr">
        <is>
          <t>クリニック以外</t>
        </is>
      </c>
      <c r="O276" s="47" t="n"/>
      <c r="P276" s="47" t="n"/>
      <c r="Q276" s="47" t="n"/>
      <c r="R276" s="47" t="n"/>
    </row>
    <row r="277" ht="15.75" customHeight="1" s="185">
      <c r="A277" s="52">
        <f>row()-3</f>
        <v/>
      </c>
      <c r="B277" s="46" t="inlineStr">
        <is>
          <t>中途採用が難しい理由と成功の秘訣</t>
        </is>
      </c>
      <c r="C277" s="6" t="inlineStr">
        <is>
          <t>https://dym.asia/media/former-recruitment-difficult/</t>
        </is>
      </c>
      <c r="D277" s="47" t="inlineStr">
        <is>
          <t>中途採用 難しい</t>
        </is>
      </c>
      <c r="E277" s="35" t="n">
        <v>1</v>
      </c>
      <c r="F277" s="36" t="n">
        <v>9.778711484593838</v>
      </c>
      <c r="G277" s="47" t="inlineStr">
        <is>
          <t>あり</t>
        </is>
      </c>
      <c r="H277" s="47" t="inlineStr">
        <is>
          <t>既存</t>
        </is>
      </c>
      <c r="I277" s="47" t="inlineStr">
        <is>
          <t>対応不要</t>
        </is>
      </c>
      <c r="J277" s="47" t="n"/>
      <c r="K277" s="47" t="inlineStr">
        <is>
          <t>対応不要</t>
        </is>
      </c>
      <c r="L277" s="47" t="inlineStr">
        <is>
          <t>対応不要</t>
        </is>
      </c>
      <c r="M277" s="47" t="inlineStr">
        <is>
          <t>対応不要</t>
        </is>
      </c>
      <c r="N277" s="47" t="inlineStr">
        <is>
          <t>クリニック以外</t>
        </is>
      </c>
      <c r="O277" s="47" t="n"/>
      <c r="P277" s="47" t="n"/>
      <c r="Q277" s="47" t="n"/>
      <c r="R277" s="47" t="n"/>
    </row>
    <row r="278" ht="15.75" customHeight="1" s="185">
      <c r="A278" s="52">
        <f>row()-3</f>
        <v/>
      </c>
      <c r="B278" s="46" t="inlineStr">
        <is>
          <t>新入社員の雇い入れ時健康診断の項目・費用負担を解説</t>
        </is>
      </c>
      <c r="C278" s="6" t="inlineStr">
        <is>
          <t>https://dym.asia/media/freshmen-health-check/</t>
        </is>
      </c>
      <c r="D278" s="47" t="inlineStr">
        <is>
          <t>会社 健康診断 内容</t>
        </is>
      </c>
      <c r="E278" s="35" t="n">
        <v>1</v>
      </c>
      <c r="F278" s="36" t="n">
        <v>1</v>
      </c>
      <c r="G278" s="47" t="inlineStr">
        <is>
          <t>なし</t>
        </is>
      </c>
      <c r="H278" s="47" t="inlineStr">
        <is>
          <t>可</t>
        </is>
      </c>
      <c r="I278" s="10" t="inlineStr">
        <is>
          <t>Q: 新入社員の健康診断（雇入れ時健康診断）は、法律で義務付けられていますか？
A:はい、労働安全衛生法第66条により、企業は常時使用する労働者を雇い入れる際に健康診断を行うことが義務付けられています。これを「雇入れ時の健康診断」と呼びます。実施は入社直前、もしくは入社後できるだけ早く行う必要があります。企業は、健康診断の結果に応じて、就業上の配慮を行う義務もあります。ぜひお問い合わせください。
お問い合わせ先はこちら↓
https://dym.asia/contact/ 
Q: 新入社員の健康診断にかかる費用は、会社と個人のどちらが負担するのでしょうか？
A: 雇入れ時健康診断は企業が実施義務を負うものであるため、費用は原則として企業が全額負担します。ただし、入社前3か月以内に法定項目を満たす健康診断を社員が自費で受け、その結果を企業に提出した場合は、それを代用できるため、再度企業側で受診させる必要はありません。
Q: 内定者に対して、入社前に健康診断を受けさせることは可能ですか？
A: 法律上、内定者はまだ社員ではないため、入社前の健康診断は義務ではありません。ただし、希望する場合は内定者の同意を得て実施することが可能です。入社前に健康診断を行うことで、入社後の業務配慮や配置をスムーズに検討できます。ただし、健康診断の結果を理由に内定を取り消すことは原則として認められず、特別な事情がある場合を除き避けるべきです。</t>
        </is>
      </c>
      <c r="J278" s="47" t="n"/>
      <c r="K278" s="47" t="inlineStr">
        <is>
          <t>対応不要</t>
        </is>
      </c>
      <c r="L278" s="47" t="inlineStr">
        <is>
          <t>対応不要</t>
        </is>
      </c>
      <c r="M278" s="47" t="inlineStr">
        <is>
          <t>未依頼</t>
        </is>
      </c>
      <c r="N278" s="47" t="inlineStr">
        <is>
          <t>クリニック以外</t>
        </is>
      </c>
      <c r="O278" s="47" t="n"/>
      <c r="P278" s="47" t="n"/>
      <c r="Q278" s="47" t="n"/>
      <c r="R278" s="47" t="n"/>
    </row>
    <row r="279" ht="15.75" customHeight="1" s="185">
      <c r="A279" s="52">
        <f>row()-3</f>
        <v/>
      </c>
      <c r="B279" s="46" t="inlineStr">
        <is>
          <t>資金調達の目的と具体的な方法とは？成功の秘訣と注意点を詳しく解説</t>
        </is>
      </c>
      <c r="C279" s="6" t="inlineStr">
        <is>
          <t>https://dym.asia/media/funding/</t>
        </is>
      </c>
      <c r="D279" s="47" t="inlineStr">
        <is>
          <t>資金調達先</t>
        </is>
      </c>
      <c r="E279" s="35" t="n">
        <v>1</v>
      </c>
      <c r="F279" s="36" t="n">
        <v>28.25</v>
      </c>
      <c r="G279" s="47" t="inlineStr">
        <is>
          <t>なし</t>
        </is>
      </c>
      <c r="H279" s="47" t="inlineStr">
        <is>
          <t>可</t>
        </is>
      </c>
      <c r="I279" s="47" t="inlineStr">
        <is>
          <t>Q: 資金調達（ファンディング）とは具体的に何を指し、どのような種類がありますか？
A: 資金調達とは、事業を運営・拡大するために必要な資金を外部から集める活動全般を指します。主な方法は大きく分けて3つです。
・デットファイナンス（融資・借入）：銀行などから資金を借り入れ、利息をつけて返済する方法です。
・エクイティファイナンス（出資・株式発行）：投資家から資金提供を受ける代わりに株式を渡し、返済義務はありません。
・補助金・助成金：国や自治体から支給される資金で、返済の必要がないものです。
Q: 融資（借入）と出資（株式発行）の違いは何ですか？どちらを選ぶべきですか？
A: 融資は、金融機関からお金を借りて利息とともに返済する方法で、経営権には影響しませんが、毎月の返済義務があります。
出資は、投資家から資金提供を受ける代わりに株式を渡し、経営に関わってもらう方法です。返済義務はありませんが、経営権の一部を譲渡することになります。
どちらを選ぶかは、事業のフェーズや成長戦略によって判断します。安定的に経営したい場合は融資、急成長を目指す場合は出資が向いていることが多いです。
Q: 資金調達を成功させるために、事業計画書で特に重要なポイントは何ですか？
A: 事業計画書で大切なのは、「市場のニーズ」と「返済やリターンの道筋」を明確に示すことです。
単にアイデアを示すだけでなく、市場規模や競合優位性、収益モデルを数字で示し、実現性の高い計画を作ることが重要です。
融資の場合：資金の使い道と返済計画を具体的に示す。
出資の場合：将来の出口戦略（イグジット）を明確に示す。</t>
        </is>
      </c>
      <c r="J279" s="47" t="n"/>
      <c r="K279" s="47" t="inlineStr">
        <is>
          <t>OK</t>
        </is>
      </c>
      <c r="L279" s="47" t="inlineStr">
        <is>
          <t>未確認</t>
        </is>
      </c>
      <c r="M279" s="47" t="inlineStr">
        <is>
          <t>未依頼</t>
        </is>
      </c>
      <c r="N279" s="47" t="inlineStr">
        <is>
          <t>クリニック以外</t>
        </is>
      </c>
      <c r="O279" s="47" t="n"/>
      <c r="P279" s="47" t="n"/>
      <c r="Q279" s="47" t="n"/>
      <c r="R279" s="47" t="n"/>
    </row>
    <row r="280" ht="15.75" customHeight="1" s="185">
      <c r="A280" s="52">
        <f>row()-3</f>
        <v/>
      </c>
      <c r="B280" s="46" t="inlineStr">
        <is>
          <t>Googleアルゴリズムとは？SEO対策のポイント</t>
        </is>
      </c>
      <c r="C280" s="6" t="inlineStr">
        <is>
          <t>https://dym.asia/media/google-algorithm/</t>
        </is>
      </c>
      <c r="D280" s="47" t="inlineStr">
        <is>
          <t>google検索 アルゴリズム</t>
        </is>
      </c>
      <c r="E280" s="35" t="n">
        <v>1</v>
      </c>
      <c r="F280" s="36" t="n">
        <v>10.58974358974359</v>
      </c>
      <c r="G280" s="47" t="inlineStr">
        <is>
          <t>なし</t>
        </is>
      </c>
      <c r="H280" s="47" t="inlineStr">
        <is>
          <t>可</t>
        </is>
      </c>
      <c r="I280" s="10" t="inlineStr">
        <is>
          <t>Q: Googleアルゴリズムとは何ですか？なぜ頻繁にアップデートされるのですか？
A: Googleアルゴリズムとは、検索キーワードに対して膨大なWebページの中から、関連性が高く、信頼できる情報を判断し、検索結果の順位を決める仕組みです。
頻繁にアップデートされる理由は、ユーザーが求める情報を正確に届けるためです。検索行動の変化や悪質なSEO手法に対応し、常に検索結果の品質を改善しています。
Q: Googleアルゴリズムの大きなアップデート後、順位が急落した場合、どう対処すべきですか？
A: 順位が急落した場合、まずはペナルティではなくアルゴリズムの変更による影響を考えましょう。その上で、Googleの品質評価ガイドラインに沿ってサイトを見直すことが基本です。具体的には、コンテンツの網羅性や独自性を強化し、情報の正確性を確認しながら、ユーザーが快適に利用できるサイト構造になっているかをチェックします。焦らず、ガイドラインに沿った高品質なサイト作りを継続することが重要です。
Q: アルゴリズム対策として、最も注力すべき具体的なSEO施策は何ですか？
A: 最も注力すべきことは、ユーザーに価値のあるコンテンツを作ることです。小手先のテクニックではなく、ユーザーの疑問や課題をしっかり解決できる専門的で信頼できる情報を提供することが、Googleから最も評価されます。さらに、モバイルでも見やすくページの表示速度も速いサイトにするなど、ユーザーが快適に利用できる環境を整えることも大切です。こうした取り組みを継続することで、検索順位の安定化とSEO効果の向上が期待できます。
ぜひお問い合わせください。
お問い合わせ先はこちら↓
https://dym.asia/contact/</t>
        </is>
      </c>
      <c r="J280" s="47" t="n"/>
      <c r="K280" s="47" t="inlineStr">
        <is>
          <t>要修正</t>
        </is>
      </c>
      <c r="L280" s="47" t="inlineStr">
        <is>
          <t>未確認</t>
        </is>
      </c>
      <c r="M280" s="47" t="inlineStr">
        <is>
          <t>未依頼</t>
        </is>
      </c>
      <c r="N280" s="47" t="inlineStr">
        <is>
          <t>クリニック以外</t>
        </is>
      </c>
      <c r="O280" s="47" t="n"/>
      <c r="P280" s="47" t="n"/>
      <c r="Q280" s="47" t="n"/>
      <c r="R280" s="47" t="n"/>
    </row>
    <row r="281" ht="15.75" customHeight="1" s="185">
      <c r="A281" s="52">
        <f>row()-3</f>
        <v/>
      </c>
      <c r="B281" s="46" t="inlineStr">
        <is>
          <t>GTM（Googleタグマネージャー）とは？設定方法を解説</t>
        </is>
      </c>
      <c r="C281" s="10" t="inlineStr">
        <is>
          <t>https://dym.asia/media/gtm/</t>
        </is>
      </c>
      <c r="D281" s="47" t="inlineStr">
        <is>
          <t>gtm とは</t>
        </is>
      </c>
      <c r="E281" s="35" t="n">
        <v>1</v>
      </c>
      <c r="F281" s="36" t="n">
        <v>38.62337662337662</v>
      </c>
      <c r="G281" s="47" t="inlineStr">
        <is>
          <t>なし</t>
        </is>
      </c>
      <c r="H281" s="47" t="inlineStr">
        <is>
          <t>可</t>
        </is>
      </c>
      <c r="I281" s="10" t="inlineStr">
        <is>
          <t>Q: GTM（Googleタグマネージャー）とは何ですか？導入する最大のメリットを教えてください。
A: GTM（Googleタグマネージャー）とは、Webサイトに設置する様々な計測タグや広告タグをまとめて管理できる無料のツールです。最大のメリットは、タグの追加や修正の際にWebサイトのHTMLを直接編集する必要がなくなることです。そのため、マーケティング担当者でもスムーズかつ安全にタグを管理でき、設置ミスによる計測漏れやサイト表示の不具合などのリスクを大幅に減らすことができます。
Q: GTMを導入するための具体的な手順を教えてください。
A: GTMの導入は大きく分けて三つのステップで行います。まず、Googleタグマネージャーのアカウントを作成し、管理用のコンテナを用意します。次に、発行されたGTMの専用コードを、対象となるWebページの&lt;head&gt;タグの直後と&lt;body&gt;タグの直後に設置します。そして最後に、GTMの管理画面からGoogle Analyticsなど計測したいタグを設定して公開すれば、導入は完了です。この手順を踏むことで、タグの管理が一元化されます。
Q: GTMで複数のタグを管理する際に、特に注意すべき点はありますか？
A: 複数のタグを扱うときは、タグが意図せず重複して発火したり、発火条件の設定を間違えたりすることに注意が必要です。例えば同じアクションに対して複数のタグが重複して動くと、データが二重で計測されたり広告費が無駄になったりする可能性があります。タグを公開する前には、GTMのプレビュー機能を使って、設定通りにタグが動作しているかを確認することが非常に重要です。また、タグの設定や変更履歴をきちんと記録して管理することもおすすめです。
ぜひご相談ください。
お問い合わせ先はこちら↓
https://dym.asia/contact/</t>
        </is>
      </c>
      <c r="J281" s="47" t="n"/>
      <c r="K281" s="47" t="inlineStr">
        <is>
          <t>要修正</t>
        </is>
      </c>
      <c r="L281" s="47" t="inlineStr">
        <is>
          <t>未確認</t>
        </is>
      </c>
      <c r="M281" s="47" t="inlineStr">
        <is>
          <t>未依頼</t>
        </is>
      </c>
      <c r="N281" s="47" t="inlineStr">
        <is>
          <t>クリニック以外</t>
        </is>
      </c>
      <c r="O281" s="47" t="n"/>
      <c r="P281" s="47" t="n"/>
      <c r="Q281" s="47" t="n"/>
      <c r="R281" s="47" t="n"/>
    </row>
    <row r="282" ht="15.75" customHeight="1" s="185">
      <c r="A282" s="52">
        <f>row()-3</f>
        <v/>
      </c>
      <c r="B282" s="46" t="inlineStr">
        <is>
          <t>ハラスメントとは？職場で起こりやすい種類と効果的な対策</t>
        </is>
      </c>
      <c r="C282" s="6" t="inlineStr">
        <is>
          <t>https://dym.asia/media/harassment/</t>
        </is>
      </c>
      <c r="D282" s="47" t="inlineStr">
        <is>
          <t>ハラスメントとは 簡単に</t>
        </is>
      </c>
      <c r="E282" s="35" t="n">
        <v>1</v>
      </c>
      <c r="F282" s="36" t="n">
        <v>74</v>
      </c>
      <c r="G282" s="47" t="inlineStr">
        <is>
          <t>なし</t>
        </is>
      </c>
      <c r="H282" s="47" t="inlineStr">
        <is>
          <t>可</t>
        </is>
      </c>
      <c r="I282" s="47" t="inlineStr">
        <is>
          <t>Q: ハラスメントにはどのような種類がありますか？また、どこからがハラスメントと見なされますか？
A: 職場で問題になるハラスメントには、代表的なものとしてパワーハラスメント、セクシャルハラスメント、マタニティハラスメントなどがあります。ハラスメントと見なされるかどうかは、一般的な労働者がどう感じるかを基準にして判断されます。その言動が、業務上や社会通念上、適切な範囲を超えている場合にハラスメントとなります。例えばパワーハラスメントでは、上司や立場の優位性を背景にした指導や業務上の指示が、必要な範囲を超えて精神的や身体的な苦痛を与えたり、職場環境を害したりする場合に該当します。
Q: 企業としてハラスメントを未然に防ぐために、どのような対策を講じるべきですか？
A: 企業には、ハラスメントを防ぐために「雇用管理上の措置」を講じることが法律で求められています。具体的には、ハラスメントに関する方針を社内で明確にし、就業規則に反映させることが基本です。また、管理職や社員向けの定期的な研修を行い、相談窓口を設置して周知することも重要です。相談窓口では、プライバシーを保護し相談者が不利益を被らないように対応することが求められます。こうした取り組みを継続することで、社内の意識改革につなげることができます。
Q: 職場のハラスメント相談窓口の役割と、相談者に求められることは何ですか？
A: 相談窓口は、ハラスメントに関する相談を受け付け、事実関係を正確かつ迅速に確認したうえで、行為者への指導や懲戒など適切な対応を行う役割を担います。相談者は、いつ、どこで、誰に、どのような言動があったのかをできるだけ具体的に整理し、必要に応じてメールや録音など証拠も提供することが求められます。相談窓口は守秘義務を負い、相談者の意向を尊重しながら問題解決に取り組みます。</t>
        </is>
      </c>
      <c r="J282" s="47" t="n"/>
      <c r="K282" s="47" t="inlineStr">
        <is>
          <t>要修正</t>
        </is>
      </c>
      <c r="L282" s="47" t="inlineStr">
        <is>
          <t>未確認</t>
        </is>
      </c>
      <c r="M282" s="47" t="inlineStr">
        <is>
          <t>未依頼</t>
        </is>
      </c>
      <c r="N282" s="47" t="inlineStr">
        <is>
          <t>クリニック以外</t>
        </is>
      </c>
      <c r="O282" s="47" t="n"/>
      <c r="P282" s="47" t="n"/>
      <c r="Q282" s="47" t="n"/>
      <c r="R282" s="47" t="n"/>
    </row>
    <row r="283" ht="15.75" customHeight="1" s="185">
      <c r="A283" s="52">
        <f>row()-3</f>
        <v/>
      </c>
      <c r="B283" s="46" t="inlineStr">
        <is>
          <t>40代の人間ドックで体の不調をチェック</t>
        </is>
      </c>
      <c r="C283" s="10" t="inlineStr">
        <is>
          <t>https://dym.asia/media/health-check-40s/</t>
        </is>
      </c>
      <c r="D283" s="47" t="inlineStr">
        <is>
          <t>40代 健康診断 引っかかる</t>
        </is>
      </c>
      <c r="E283" s="35" t="n">
        <v>1</v>
      </c>
      <c r="F283" s="36" t="n">
        <v>32.33333333333333</v>
      </c>
      <c r="G283" s="47" t="inlineStr">
        <is>
          <t>なし</t>
        </is>
      </c>
      <c r="H283" s="47" t="inlineStr">
        <is>
          <t>可</t>
        </is>
      </c>
      <c r="I283" s="10" t="inlineStr">
        <is>
          <t xml:space="preserve">Q: 40歳から始まる「特定健診（特定健康診査）」とは何ですか？これまでの健康診断と何が違うのでしょうか？
A: 特定健診は、40歳から74歳までの公的医療保険に加入している方を対象に、内臓脂肪や生活習慣病のリスクに着目して行われる健康診断です。従来の健康診断が病気の早期発見を主な目的としていたのに対し、特定健診では、生活習慣病になりやすい方を特定し、その後の保健指導を通じて生活習慣の改善を促すことを目的としています。これにより、糖尿病や高血圧などの重症化を防ぐことを目指しています。
Q: 40代以降は、会社の健康診断だけでなく「人間ドック」を受けるべきでしょうか？
A: 会社で受ける健康診断は法定項目を満たす最低限の検査であり、一般的な健康状態の確認には十分ですが、40代以降はがんや脳疾患、心臓病などのリスクが高まります。そのため、より詳細な検査が可能な人間ドックの受診を検討することが望ましいです。人間ドックでは、胃カメラや腹部超音波検査、脳MRIなど、健康診断には含まれない専門的な検査を受けることができ、健康診断だけでは見つかりにくい疾患の早期発見に役立ちます。将来の重大なリスクに備えるためにも有効な手段です。
ぜひお問い合わせください。
お問い合わせ先はこちら↓
https://dym.asia/contact/
Q: 40代の健康診断で、特に注目して確認すべき検査項目は何ですか？
A: 40代では、脂質異常症を示す数値や血糖値、肝機能の状態を特に確認することが重要です。具体的には、LDLコレステロールや中性脂肪、HbA1c、AST、ALT、γ-GTPといった指標です。これらはメタボリックシンドロームや生活習慣病と関係が深く、将来の動脈硬化や肝臓疾患のリスクを知る手掛かりになります。特に飲酒習慣がある方はγ-GTP、糖尿病リスクが高い方はHbA1cの数値を注意深く確認し、基準値を超えていないか、過去の数値と比べて悪化していないかをチェックすることが大切です。
</t>
        </is>
      </c>
      <c r="J283" s="47" t="inlineStr">
        <is>
          <t>クリニック</t>
        </is>
      </c>
      <c r="K283" s="47" t="inlineStr">
        <is>
          <t>対応不要</t>
        </is>
      </c>
      <c r="L283" s="47" t="inlineStr">
        <is>
          <t>対応不要</t>
        </is>
      </c>
      <c r="M283" s="47" t="inlineStr">
        <is>
          <t>未依頼</t>
        </is>
      </c>
      <c r="N283" s="47" t="inlineStr">
        <is>
          <t>クリニック以外</t>
        </is>
      </c>
      <c r="O283" s="47" t="n"/>
      <c r="P283" s="47" t="n"/>
      <c r="Q283" s="47" t="n"/>
      <c r="R283" s="47" t="n"/>
    </row>
    <row r="284" ht="15.75" customHeight="1" s="185">
      <c r="A284" s="52">
        <f>row()-3</f>
        <v/>
      </c>
      <c r="B284" s="46" t="inlineStr">
        <is>
          <t>健康診断（健診）と検診の違いを解説</t>
        </is>
      </c>
      <c r="C284" s="6" t="inlineStr">
        <is>
          <t>https://dym.asia/media/health-check/</t>
        </is>
      </c>
      <c r="D284" s="47" t="inlineStr">
        <is>
          <t>検診 健診 違い</t>
        </is>
      </c>
      <c r="E284" s="35" t="n">
        <v>1</v>
      </c>
      <c r="F284" s="36" t="n">
        <v>4.428571428571429</v>
      </c>
      <c r="G284" s="47" t="inlineStr">
        <is>
          <t>なし</t>
        </is>
      </c>
      <c r="H284" s="47" t="inlineStr">
        <is>
          <t>可</t>
        </is>
      </c>
      <c r="I284" s="10" t="inlineStr">
        <is>
          <t>Q: 会社で実施される健康診断は、従業員に受診義務がありますか？
A: はい、労働安全衛生法により、会社は従業員に健康診断を行う義務があり、従業員も受診する義務があります。これは、健康管理や病気の早期発見を目的としています。正当な理由なく受診を拒否することはできませんが、どうしても受けられない場合は、法定項目を満たす他の医療機関での診断結果を会社に提出することで代えることが可能です。ぜひお問い合わせください。
お問い合わせ先はこちら↓
https://dym.asia/contact/
Q: 健康診断で「要再検査」や「要精密検査」という結果が出た場合、必ず受けなければいけませんか？
A: 法的な義務はありませんが、健康のためには受けることをおすすめします。再検査や精密検査によって異常の有無を確認したり、早期に治療を始めたりすることができます。会社は結果に基づき就業上の対応を行う義務がありますので、診断結果は速やかに会社に報告しましょう。
Q: 健康診断の結果は、会社にどれくらいの期間保管され、どのように利用されますか？
A: 健康診断の結果は、労働安全衛生法に基づき原則5年間（特定業務従事者は10年間）保管されます。結果は、従業員の健康管理や保健指導、勤務環境の調整、配置転換などの判断に活用されます。個人情報は適切に管理され、プライバシーが不当に侵害されることはありません。</t>
        </is>
      </c>
      <c r="J284" s="47" t="n"/>
      <c r="K284" s="47" t="inlineStr">
        <is>
          <t>対応不要</t>
        </is>
      </c>
      <c r="L284" s="47" t="inlineStr">
        <is>
          <t>対応不要</t>
        </is>
      </c>
      <c r="M284" s="47" t="inlineStr">
        <is>
          <t>未依頼</t>
        </is>
      </c>
      <c r="N284" s="47" t="inlineStr">
        <is>
          <t>クリニック以外</t>
        </is>
      </c>
      <c r="O284" s="47" t="n"/>
      <c r="P284" s="47" t="n"/>
      <c r="Q284" s="47" t="n"/>
      <c r="R284" s="47" t="n"/>
    </row>
    <row r="285" ht="15.75" customHeight="1" s="185">
      <c r="A285" s="52">
        <f>row()-3</f>
        <v/>
      </c>
      <c r="B285" s="46" t="inlineStr">
        <is>
          <t>雇い入れ時健康診断とは？実施内容と注意点</t>
        </is>
      </c>
      <c r="C285" s="6" t="inlineStr">
        <is>
          <t>https://dym.asia/media/health-checkup-upon-item/</t>
        </is>
      </c>
      <c r="D285" s="47" t="inlineStr">
        <is>
          <t>健康診断 雇用時検診</t>
        </is>
      </c>
      <c r="E285" s="35" t="n">
        <v>1</v>
      </c>
      <c r="F285" s="36" t="n">
        <v>21</v>
      </c>
      <c r="G285" s="47" t="inlineStr">
        <is>
          <t>なし</t>
        </is>
      </c>
      <c r="H285" s="47" t="inlineStr">
        <is>
          <t>可</t>
        </is>
      </c>
      <c r="I285" s="10" t="inlineStr">
        <is>
          <t>Q: 健康診断の検査結果に記載されている「基準値」とは何ですか？基準値を超えたら必ず病気なのでしょうか？
A: 基準値とは、健康な人の大多数が含まれる正常な範囲を示す数値です。基準値を少し超えたからといって必ず病気というわけではありませんが、生活習慣の見直しや病気のリスクがあることを示す目安になります。特に大幅に超えている場合や前回より悪化している場合は、医師に相談することが大切です。ぜひご相談ください。
お問い合わせ先はこちら↓
https://dym.asia/contact/ 
Q: 検査項目の中で「要再検査」や「要精密検査」と判定された場合、放置しても大丈夫ですか？
A: これらの判定は、初期段階の病気や将来的なリスクを示しています。「要精密検査」は、専門医による詳しい検査が必要であることを意味します。自覚症状がなくても、指示された期間内に必ず受診し、医師の指示に従うことが健康リスクを抑える上で重要です。
Q: 健康診断の結果を、日々の健康管理にどのように活用すれば良いですか？
A: 健康診断の結果は、自分の体の状態を客観的に確認できる貴重な情報です。昨年の結果と比較して悪化している項目があれば、その原因となる生活習慣を見直します。例えば、コレステロールが高い場合は食事の改善、肝機能の数値が悪い場合は飲酒量の調整などです。医師や保健師のアドバイスに従い、具体的な改善策を立てることで、健康維持に役立てられます。</t>
        </is>
      </c>
      <c r="J285" s="47" t="inlineStr">
        <is>
          <t>クリニック</t>
        </is>
      </c>
      <c r="K285" s="47" t="inlineStr">
        <is>
          <t>対応不要</t>
        </is>
      </c>
      <c r="L285" s="47" t="inlineStr">
        <is>
          <t>対応不要</t>
        </is>
      </c>
      <c r="M285" s="47" t="inlineStr">
        <is>
          <t>未依頼</t>
        </is>
      </c>
      <c r="N285" s="47" t="inlineStr">
        <is>
          <t>クリニック以外</t>
        </is>
      </c>
      <c r="O285" s="47" t="n"/>
      <c r="P285" s="47" t="n"/>
      <c r="Q285" s="47" t="n"/>
      <c r="R285" s="47" t="n"/>
    </row>
    <row r="286" ht="15.75" customHeight="1" s="185">
      <c r="A286" s="52">
        <f>row()-3</f>
        <v/>
      </c>
      <c r="B286" s="46" t="inlineStr">
        <is>
          <t>求人広告とは？メリット・デメリットと採用成功のための3つのポイント</t>
        </is>
      </c>
      <c r="C286" s="10" t="inlineStr">
        <is>
          <t>https://dym.asia/media/help-wanted-ads/</t>
        </is>
      </c>
      <c r="D286" s="47" t="inlineStr">
        <is>
          <t>求人広告とは</t>
        </is>
      </c>
      <c r="E286" s="35" t="n">
        <v>1</v>
      </c>
      <c r="F286" s="36" t="n">
        <v>7.493589743589744</v>
      </c>
      <c r="G286" s="47" t="inlineStr">
        <is>
          <t>なし</t>
        </is>
      </c>
      <c r="H286" s="47" t="inlineStr">
        <is>
          <t>可</t>
        </is>
      </c>
      <c r="I286" s="10" t="inlineStr">
        <is>
          <t xml:space="preserve">Q: 自社に最適な求人広告媒体を選ぶためのポイントは何ですか？
A: 求人媒体を選ぶ際は、まず採用したい人材のターゲットを明確にすることが大切です。必要なスキルや経験を持つ人がどの媒体をよく使うかを考え、専門職なら特定の転職サイト、若年層ならSNS、地域密着型ならフリーペーパーなどを検討します。次に、掲載料金や成果報酬の仕組みを確認し、予算に見合った費用対効果の高い媒体を選ぶことがポイントです。
Q: 求人広告の効果を最大化するために、特に注意して書くべき項目は何ですか？
A: 求人広告では、仕事内容や給与体系、職場の雰囲気など、応募者が知りたい情報を具体的に伝えることが重要です。「一日の業務の流れ」や「見込み残業の有無」、「社員の平均年齢や男女比」などを示すと、応募者に現場のイメージを伝えやすくなります。抽象的な表現を避け、自社ならではの魅力や働くメリットを明確にすることで、ミスマッチを減らし、質の高い応募につなげることができます。ぜひお問い合わせください。
お問い合わせ先はこちら↓
https://dym.asia/contact/
Q: 出稿した求人広告の効果があったかどうかは、どのように測定すれば良いですか？
A: 効果測定では、応募単価（広告費用を応募者数で割った値）や採用単価（広告費用を採用人数で割った値）が基本指標です。さらに、媒体ごとの離職率を確認すると、採用の質や長期的な効果も評価できます。これらのデータをもとに、どの媒体が効率よく採用につながったかを判断することができます。
</t>
        </is>
      </c>
      <c r="J286" s="47" t="n"/>
      <c r="K286" s="47" t="inlineStr">
        <is>
          <t>要修正</t>
        </is>
      </c>
      <c r="L286" s="47" t="inlineStr">
        <is>
          <t>未確認</t>
        </is>
      </c>
      <c r="M286" s="47" t="inlineStr">
        <is>
          <t>未依頼</t>
        </is>
      </c>
      <c r="N286" s="47" t="inlineStr">
        <is>
          <t>クリニック以外</t>
        </is>
      </c>
      <c r="O286" s="47" t="n"/>
      <c r="P286" s="47" t="n"/>
      <c r="Q286" s="47" t="n"/>
      <c r="R286" s="47" t="n"/>
    </row>
    <row r="287" ht="15.75" customHeight="1" s="185">
      <c r="A287" s="52">
        <f>row()-3</f>
        <v/>
      </c>
      <c r="B287" s="46" t="inlineStr">
        <is>
          <t>店舗物件の探し方マニュアル！空きテナントを見つけるコツと注意点</t>
        </is>
      </c>
      <c r="C287" s="6" t="inlineStr">
        <is>
          <t>https://dym.asia/media/how-to-search-empty-property/</t>
        </is>
      </c>
      <c r="D287" s="47" t="inlineStr">
        <is>
          <t>空きテナント 探し方</t>
        </is>
      </c>
      <c r="E287" s="35" t="n">
        <v>1</v>
      </c>
      <c r="F287" s="36" t="n">
        <v>4.5</v>
      </c>
      <c r="G287" s="47" t="inlineStr">
        <is>
          <t>なし</t>
        </is>
      </c>
      <c r="H287" s="47" t="inlineStr">
        <is>
          <t>可</t>
        </is>
      </c>
      <c r="I287" s="47" t="inlineStr">
        <is>
          <t>Q: 一般の不動産サイトやアプリで空き家を見つけることはできますか？空き家特有の探し方はありますか？
A: 一般の不動産サイトでも「中古戸建」として空き家が掲載されていることはありますが、築年数が古い物件や立地が良くない物件など、流通に乗りにくい空き家を探すには、自治体が運営する「空き家バンク」の利用が効果的です。ほかにも、地域の不動産会社に相談したり、NPOなどが運営する空き家活用のマッチングサービスを活用する方法があります。
Q: 空き家を購入・活用する際に、特に注意すべき法的な問題やリスクは何ですか？
A: 空き家は建物の老朽化だけでなく、耐震性や違法増改築、土地の境界や所有権の確認など法的なリスクもあります。さらに、2023年の改正で、管理が不十分な空き家は固定資産税の優遇措置が解除される可能性があります。購入前には、専門家による建物検査（インスペクション）や重要事項説明を受けることが大切です。
Q: 空き家を改修したり活用したりする際に利用できる、国や自治体の補助金・支援制度はありますか？
A: 多くの自治体では、空き家の改修や定住促進を目的とした補助金や支援制度を用意しています。改修費の一部補助や、移住者向け住宅取得費の補助などが一般的です。特に空き家バンクに登録されている物件は、補助金の対象になりやすい傾向があります。制度は自治体ごとに異なるため、まずは物件の所在地の役場や空き家バンク窓口で確認することをおすすめします。</t>
        </is>
      </c>
      <c r="J287" s="47" t="n"/>
      <c r="K287" s="47" t="inlineStr">
        <is>
          <t>要修正</t>
        </is>
      </c>
      <c r="L287" s="47" t="inlineStr">
        <is>
          <t>未確認</t>
        </is>
      </c>
      <c r="M287" s="47" t="inlineStr">
        <is>
          <t>未依頼</t>
        </is>
      </c>
      <c r="N287" s="47" t="inlineStr">
        <is>
          <t>クリニック以外</t>
        </is>
      </c>
      <c r="O287" s="47" t="n"/>
      <c r="P287" s="47" t="n"/>
      <c r="Q287" s="47" t="n"/>
      <c r="R287" s="47" t="n"/>
    </row>
    <row r="288" ht="15.75" customHeight="1" s="185">
      <c r="A288" s="52">
        <f>row()-3</f>
        <v/>
      </c>
      <c r="B288" s="46" t="inlineStr">
        <is>
          <t>初心者のためのSEO対策のやり方｜上位表示するための効果的な方法</t>
        </is>
      </c>
      <c r="C288" s="6" t="inlineStr">
        <is>
          <t>https://dym.asia/media/how-to-seo/</t>
        </is>
      </c>
      <c r="D288" s="47" t="inlineStr">
        <is>
          <t>screaming frog 使い方</t>
        </is>
      </c>
      <c r="E288" s="35" t="n">
        <v>1</v>
      </c>
      <c r="F288" s="36" t="n">
        <v>4</v>
      </c>
      <c r="G288" s="47" t="inlineStr">
        <is>
          <t>あり</t>
        </is>
      </c>
      <c r="H288" s="47" t="inlineStr">
        <is>
          <t>既存</t>
        </is>
      </c>
      <c r="I288" s="47" t="inlineStr">
        <is>
          <t>対応不要</t>
        </is>
      </c>
      <c r="J288" s="47" t="n"/>
      <c r="K288" s="47" t="inlineStr">
        <is>
          <t>対応不要</t>
        </is>
      </c>
      <c r="L288" s="47" t="inlineStr">
        <is>
          <t>対応不要</t>
        </is>
      </c>
      <c r="M288" s="47" t="inlineStr">
        <is>
          <t>対応不要</t>
        </is>
      </c>
      <c r="N288" s="47" t="inlineStr">
        <is>
          <t>クリニック以外</t>
        </is>
      </c>
      <c r="O288" s="47" t="n"/>
      <c r="P288" s="47" t="n"/>
      <c r="Q288" s="47" t="n"/>
      <c r="R288" s="47" t="n"/>
    </row>
    <row r="289" ht="15.75" customHeight="1" s="185">
      <c r="A289" s="52">
        <f>row()-3</f>
        <v/>
      </c>
      <c r="B289" s="46" t="inlineStr">
        <is>
          <t>ヒューマンエラーとは？原因と対策を具体例で解説</t>
        </is>
      </c>
      <c r="C289" s="6" t="inlineStr">
        <is>
          <t>https://dym.asia/media/human-error/</t>
        </is>
      </c>
      <c r="D289" s="47" t="inlineStr">
        <is>
          <t>ヒューマンエラー 定義</t>
        </is>
      </c>
      <c r="E289" s="35" t="n">
        <v>1</v>
      </c>
      <c r="F289" s="36" t="n">
        <v>3.666666666666667</v>
      </c>
      <c r="G289" s="47" t="inlineStr">
        <is>
          <t>なし</t>
        </is>
      </c>
      <c r="H289" s="47" t="inlineStr">
        <is>
          <t>可</t>
        </is>
      </c>
      <c r="I289" s="47" t="inlineStr">
        <is>
          <t>Q: ヒューマンエラーが発生する主な原因には、どのようなものがありますか？
A: ヒューマンエラーは、個人の要因と環境の要因に大きく分けられます。個人要因では、集中力の低下や知識不足、慣れによるうっかりミス、過信や疲労、ストレスなどが挙げられます。環境要因では、曖昧な指示や不十分なマニュアル、非効率な作業手順、作業環境の悪さ、時間的なプレッシャーなどが原因になります。エラーを防ぐには、個人と環境の両方に対策を行うことが重要です。
Q: ヒューマンエラーを効果的に防止するための具体的な対策には何がありますか？
A: エラー防止の基本は、仕組みでミスを起こりにくくすることです。具体的には、ダブルチェックやクロスチェックで複数人が確認する仕組みの導入、チェックリストやマニュアルの整備、作業手順の標準化が有効です。また、フールプルーフ（誰がやっても間違えない設計）やフェイルセーフ（ミスが重大事故に直結しない仕組み）などの技術的対策も組み合わせると効果的です。
Q: 従業員のヒューマンエラーを防ぐ上で、心理的な要因をどう考慮すべきですか？
A: ヒューマンエラーの多くは、認知や判断のミスなど心理的な要因が影響しています。そのため、エラーを報告しやすい職場環境を作ることが重要です。ミスを厳しく罰するだけでは従業員が隠してしまい、根本原因の特定が難しくなります。「誰にでも起こり得ること」と前提に、報告されたエラーを責めず、再発防止のための貴重な情報として活用する「公正な文化（Just Culture）」を組織で育てることが、長期的な防止につながります。</t>
        </is>
      </c>
      <c r="J289" s="47" t="n"/>
      <c r="K289" s="47" t="inlineStr">
        <is>
          <t>OK</t>
        </is>
      </c>
      <c r="L289" s="47" t="inlineStr">
        <is>
          <t>未確認</t>
        </is>
      </c>
      <c r="M289" s="47" t="inlineStr">
        <is>
          <t>未依頼</t>
        </is>
      </c>
      <c r="N289" s="47" t="inlineStr">
        <is>
          <t>クリニック以外</t>
        </is>
      </c>
      <c r="O289" s="47" t="n"/>
      <c r="P289" s="47" t="n"/>
      <c r="Q289" s="47" t="n"/>
      <c r="R289" s="47" t="n"/>
    </row>
    <row r="290" ht="15.75" customHeight="1" s="185">
      <c r="A290" s="52">
        <f>row()-3</f>
        <v/>
      </c>
      <c r="B290" s="46" t="inlineStr">
        <is>
          <t>インプレッションとは？意味・広告との関係、リーチとの違いを解説</t>
        </is>
      </c>
      <c r="C290" s="10" t="inlineStr">
        <is>
          <t>https://dym.asia/media/impression/</t>
        </is>
      </c>
      <c r="D290" s="47" t="inlineStr">
        <is>
          <t>インプレッションとエンゲージメントの違い</t>
        </is>
      </c>
      <c r="E290" s="35" t="n">
        <v>1</v>
      </c>
      <c r="F290" s="36" t="n">
        <v>1</v>
      </c>
      <c r="G290" s="47" t="inlineStr">
        <is>
          <t>なし</t>
        </is>
      </c>
      <c r="H290" s="47" t="inlineStr">
        <is>
          <t>可</t>
        </is>
      </c>
      <c r="I290" s="10" t="inlineStr">
        <is>
          <t>Q: Web広告における「インプレッション」とは、具体的に何を指しますか？また、CPMとの関係は何ですか？
A: インプレッションとは、広告がユーザーの画面に表示された回数を指します。広告が画面内に読み込まれた時点で1回とカウントされます。CPM（Cost Per Mille）は、このインプレッション数に基づく広告費用で、広告が1,000回表示されるごとに発生する費用を示します。
Q: インプレッション数が多いのに、クリック率（CTR）が低いのはなぜですか？改善策はありますか？
A: 表示回数は多いのにCTRが低い場合、広告の内容がターゲットに響いていないか、表示される場所が適切でない可能性があります。改善するには、広告の画像や動画、テキストをターゲットに合わせて見直すことが有効です。また、興味を持ちやすいユーザー層に絞ったターゲティングもCTR向上につながります。
Q: SEOにおいて、Webサイトのインプレッション数を増やすためにはどうすれば良いですか？
A: インプレッションを増やすには、検索順位を上げることと、対象キーワードを増やすことが重要です。既存コンテンツの質を高めて検索順位を改善したり、関連するロングテールキーワードを含む新しいコンテンツを作成することで、より多くのユーザーにサイトを見てもらえます。Google Search Consoleで定期的にインプレッションを確認し、改善に役立てると効果的です。お気軽にお問い合わせください。
お問い合わせ先はこちら↓
https://dym.asia/contact/</t>
        </is>
      </c>
      <c r="J290" s="47" t="n"/>
      <c r="K290" s="47" t="inlineStr">
        <is>
          <t>OK</t>
        </is>
      </c>
      <c r="L290" s="47" t="inlineStr">
        <is>
          <t>未確認</t>
        </is>
      </c>
      <c r="M290" s="47" t="inlineStr">
        <is>
          <t>未依頼</t>
        </is>
      </c>
      <c r="N290" s="47" t="inlineStr">
        <is>
          <t>クリニック以外</t>
        </is>
      </c>
      <c r="O290" s="47" t="n"/>
      <c r="P290" s="47" t="n"/>
      <c r="Q290" s="47" t="n"/>
      <c r="R290" s="47" t="n"/>
    </row>
    <row r="291" ht="15.75" customHeight="1" s="185">
      <c r="A291" s="52">
        <f>row()-3</f>
        <v/>
      </c>
      <c r="B291" s="46" t="inlineStr">
        <is>
          <t>社内研修とは？目的・種類や研修の作り方・進め方</t>
        </is>
      </c>
      <c r="C291" s="10" t="inlineStr">
        <is>
          <t>https://dym.asia/media/in-house-training/</t>
        </is>
      </c>
      <c r="D291" s="47" t="inlineStr">
        <is>
          <t>社内研修 進め方</t>
        </is>
      </c>
      <c r="E291" s="35" t="n">
        <v>1</v>
      </c>
      <c r="F291" s="36" t="n">
        <v>15.91025641025641</v>
      </c>
      <c r="G291" s="47" t="inlineStr">
        <is>
          <t>なし</t>
        </is>
      </c>
      <c r="H291" s="47" t="inlineStr">
        <is>
          <t>可</t>
        </is>
      </c>
      <c r="I291" s="47" t="inlineStr">
        <is>
          <t>Q: 社内研修を実施する主な目的は何ですか？また、どのような種類がありますか？
A: 社内研修の目的は、従業員の知識やスキル、意識を高め、企業の目標達成に必要な人材を育成することです。これにより、業務の品質向上や生産性の改善が期待できます。研修には、新入社員や管理職向けの階層別研修と、コンプライアンスやITスキルなどテーマごとの目的別研修があります。企業の課題に合わせて、必要な研修を組み合わせて実施するのが効果的です。
Q: 社内研修（内製）と、外部の研修サービスを利用する（外部委託）のは、どちらが効果的ですか？
A: 内製研修は、自社の業務や文化に合わせやすくコストを抑えられる点がメリットです。外部委託は、専門的な知見や最新のノウハウを効率的に学べ、講師の質も担保されます。一般的には、専門知識や汎用スキルは外部委託、企業独自の業務や理念に関する研修は内製で行うなど、内容に応じて使い分けるのが効果的です。
Q: 社内研修の費用対効果（ROI）を測定するには、どうすれば良いですか？
A: 研修の効果は、満足度だけでなく、受講後の行動変化や業務成果で評価します。具体的には、研修後の数か月間の業務状況を上司が観察し、スキル向上や業務改善があったかを確認します。さらに、生産性の向上やエラー率の低下、売上増加など、事業成果への影響も併せて検証することで、費用対効果を把握できます。</t>
        </is>
      </c>
      <c r="J291" s="47" t="n"/>
      <c r="K291" s="47" t="inlineStr">
        <is>
          <t>OK</t>
        </is>
      </c>
      <c r="L291" s="47" t="inlineStr">
        <is>
          <t>未確認</t>
        </is>
      </c>
      <c r="M291" s="47" t="inlineStr">
        <is>
          <t>未依頼</t>
        </is>
      </c>
      <c r="N291" s="47" t="inlineStr">
        <is>
          <t>クリニック以外</t>
        </is>
      </c>
      <c r="O291" s="47" t="n"/>
      <c r="P291" s="47" t="n"/>
      <c r="Q291" s="47" t="n"/>
      <c r="R291" s="47" t="n"/>
    </row>
    <row r="292" ht="15.75" customHeight="1" s="185">
      <c r="A292" s="52">
        <f>row()-3</f>
        <v/>
      </c>
      <c r="B292" s="46" t="inlineStr">
        <is>
          <t>Indeed（インディード）代理店の比較方法・選び方と直販との違いを解説</t>
        </is>
      </c>
      <c r="C292" s="10" t="inlineStr">
        <is>
          <t>https://dym.asia/media/indeed_agency/</t>
        </is>
      </c>
      <c r="D292" s="47" t="inlineStr">
        <is>
          <t>indeed 代理店 手数料</t>
        </is>
      </c>
      <c r="E292" s="35" t="n">
        <v>1</v>
      </c>
      <c r="F292" s="36" t="n">
        <v>8.577777777777778</v>
      </c>
      <c r="G292" s="47" t="inlineStr">
        <is>
          <t>あり</t>
        </is>
      </c>
      <c r="H292" s="47" t="inlineStr">
        <is>
          <t>既存</t>
        </is>
      </c>
      <c r="I292" s="47" t="inlineStr">
        <is>
          <t>対応不要</t>
        </is>
      </c>
      <c r="J292" s="47" t="n"/>
      <c r="K292" s="47" t="inlineStr">
        <is>
          <t>対応不要</t>
        </is>
      </c>
      <c r="L292" s="47" t="inlineStr">
        <is>
          <t>対応不要</t>
        </is>
      </c>
      <c r="M292" s="47" t="inlineStr">
        <is>
          <t>対応不要</t>
        </is>
      </c>
      <c r="N292" s="47" t="inlineStr">
        <is>
          <t>クリニック以外</t>
        </is>
      </c>
      <c r="O292" s="47" t="n"/>
      <c r="P292" s="47" t="n"/>
      <c r="Q292" s="47" t="n"/>
      <c r="R292" s="47" t="n"/>
    </row>
    <row r="293" ht="15.75" customHeight="1" s="185">
      <c r="A293" s="52">
        <f>row()-3</f>
        <v/>
      </c>
      <c r="B293" s="46" t="inlineStr">
        <is>
          <t>インデックスとは？Google検索におけるSEO効果と登録方法、重要性を解説</t>
        </is>
      </c>
      <c r="C293" s="10" t="inlineStr">
        <is>
          <t>https://dym.asia/media/index/</t>
        </is>
      </c>
      <c r="D293" s="47" t="inlineStr">
        <is>
          <t>google 高速インデックス</t>
        </is>
      </c>
      <c r="E293" s="35" t="n">
        <v>1</v>
      </c>
      <c r="F293" s="36" t="n">
        <v>13.02380952380952</v>
      </c>
      <c r="G293" s="47" t="inlineStr">
        <is>
          <t>なし</t>
        </is>
      </c>
      <c r="H293" s="47" t="inlineStr">
        <is>
          <t>可</t>
        </is>
      </c>
      <c r="I293" s="10" t="inlineStr">
        <is>
          <t>Q: Webサイトのインデックス登録（認識）されているかどうかを確認する方法を教えてください。
A: 確実に確認するには、Google Search Console（サーチコンソール）を使う方法があります。「インデックス登録レポート」でページの登録状況を確認できます。また、簡単に確認したい場合は、Google検索で「site:自分のURL」と入力すると、Googleが認識しているページが一覧で表示されます。表示されるページ数が想定より少ない場合は、未登録のページがある可能性があります。
Q: インデックス登録が遅い、またはされないページがある場合、どのような原因が考えられますか？
A: 登録が遅れたり、されなかったりする原因にはいくつか考えられます。代表的なものは、コンテンツの情報量や独自性が不足している場合、noindexタグやrobots.txtによる制限などの技術的な問題です。また、サイトマップが古い、内部リンクが複雑でクローラーが巡回しにくい構造になっている場合もあります。サーチコンソールの「URL検査ツール」でエラーを確認し、必要な修正を行いましょう。
Q: インデックス登録を促進し、SEO効果を高めるために、具体的な対策は何をすべきですか？
A: インデックスを促進するには、まず質の高いコンテンツを用意し、クローラーが巡回しやすいサイト構造に整えることが重要です。具体的には、XMLサイトマップを最新に保ちサーチコンソールから送信すること、関連ページから適切に内部リンクを張ること、そしてページ表示速度を改善することなどです。これらを整えることで、クローラーが効率よく巡回し、登録されやすくなります。お気軽にお問い合わせください。
お問い合わせ先はこちら↓
https://dym.asia/contact/</t>
        </is>
      </c>
      <c r="J293" s="47" t="n"/>
      <c r="K293" s="47" t="inlineStr">
        <is>
          <t>要修正</t>
        </is>
      </c>
      <c r="L293" s="47" t="inlineStr">
        <is>
          <t>未確認</t>
        </is>
      </c>
      <c r="M293" s="47" t="inlineStr">
        <is>
          <t>未依頼</t>
        </is>
      </c>
      <c r="N293" s="47" t="inlineStr">
        <is>
          <t>クリニック以外</t>
        </is>
      </c>
      <c r="O293" s="47" t="n"/>
      <c r="P293" s="47" t="n"/>
      <c r="Q293" s="47" t="n"/>
      <c r="R293" s="47" t="n"/>
    </row>
    <row r="294" ht="15.75" customHeight="1" s="185">
      <c r="A294" s="52">
        <f>row()-3</f>
        <v/>
      </c>
      <c r="B294" s="46" t="inlineStr">
        <is>
          <t>インフィード広告とは？ネイティブ広告（ネイティブアド）と違いや効果を解説</t>
        </is>
      </c>
      <c r="C294" s="10" t="inlineStr">
        <is>
          <t>https://dym.asia/media/infeed-ad/</t>
        </is>
      </c>
      <c r="D294" s="47" t="inlineStr">
        <is>
          <t>インフィード広告</t>
        </is>
      </c>
      <c r="E294" s="35" t="n">
        <v>1</v>
      </c>
      <c r="F294" s="36" t="n">
        <v>10.6266149870801</v>
      </c>
      <c r="G294" s="47" t="inlineStr">
        <is>
          <t>なし</t>
        </is>
      </c>
      <c r="H294" s="47" t="inlineStr">
        <is>
          <t>可</t>
        </is>
      </c>
      <c r="I294" s="10" t="inlineStr">
        <is>
          <t>Q: インフィード広告とは、どのような形式の広告ですか？他の広告形式との最大の違いは何ですか？
A: インフィード広告は、Webサイトやアプリのタイムラインや記事一覧の中に自然に表示される広告です。ネイティブ広告の一種で、見た目やデザインがコンテンツに馴染むのが特徴です。そのため、ユーザーは広告と気づきにくく、記事の一部として読まれやすく、クリックや反応が得やすい傾向があります。
Q: インフィード広告を導入する際の、企業にとってのメリットとデメリットを教えてください。
A: メリットは、広告がコンテンツに溶け込むためユーザーに違和感を与えにくく、高いクリック率や成果が期待できることです。注意点は、コンテンツに合わせる分だけ制作に手間がかかることや、広告であると気づかれにくいとブランドイメージに影響する可能性がある点です。そのため、「PR」「スポンサード」などの表示で広告であることを明確に示す必要があります。
Q: インフィード広告の効果を最大化するために、クリエイティブ（画像やテキスト）で特に重要なことは何ですか？
A: クリエイティブでは、コンテンツとの見た目やトーンの統一と、ユーザーにとっての価値を伝えることが重要です。画像は記事の流れを邪魔しないものを使い、テキストでは誇張せず、クリック先で得られる具体的な情報やメリットを分かりやすく示します。ユーザーが自然に「次に読むべき内容」と感じられるように作ることが、成功のポイントです。ぜひお問い合わせください。
お問い合わせ先はこちら↓
https://dym.asia/contact/</t>
        </is>
      </c>
      <c r="J294" s="47" t="n"/>
      <c r="K294" s="47" t="inlineStr">
        <is>
          <t>要修正</t>
        </is>
      </c>
      <c r="L294" s="47" t="inlineStr">
        <is>
          <t>未確認</t>
        </is>
      </c>
      <c r="M294" s="47" t="inlineStr">
        <is>
          <t>未依頼</t>
        </is>
      </c>
      <c r="N294" s="47" t="inlineStr">
        <is>
          <t>クリニック以外</t>
        </is>
      </c>
      <c r="O294" s="47" t="n"/>
      <c r="P294" s="47" t="n"/>
      <c r="Q294" s="47" t="n"/>
      <c r="R294" s="47" t="n"/>
    </row>
    <row r="295" ht="15.75" customHeight="1" s="185">
      <c r="A295" s="52">
        <f>row()-3</f>
        <v/>
      </c>
      <c r="B295" s="46" t="inlineStr">
        <is>
          <t>Instagram広告のターゲティングとは？特徴やターゲット設定のポイント</t>
        </is>
      </c>
      <c r="C295" s="10" t="inlineStr">
        <is>
          <t>https://dym.asia/media/instagram-target/</t>
        </is>
      </c>
      <c r="D295" s="47" t="inlineStr">
        <is>
          <t>インスタ広告 ターゲット設定</t>
        </is>
      </c>
      <c r="E295" s="35" t="n">
        <v>1</v>
      </c>
      <c r="F295" s="36" t="n">
        <v>10.23287671232877</v>
      </c>
      <c r="G295" s="47" t="inlineStr">
        <is>
          <t>なし</t>
        </is>
      </c>
      <c r="H295" s="47" t="inlineStr">
        <is>
          <t>可</t>
        </is>
      </c>
      <c r="I295" s="10" t="inlineStr">
        <is>
          <t>Q: Instagram広告で利用できる主なターゲティングの種類と違いは何ですか？
A:Instagram広告では、主に「コアオーディエンス」「カスタムオーディエンス」「類似オーディエンス」の3種類があります。コアオーディエンスは年齢や性別、地域、興味関心など基本的な属性で絞り込みます。カスタムオーディエンスは、自社サイトの訪問者や顧客リストなど、既存データに基づいてターゲットを設定する方法です。類似オーディエンスは、カスタムオーディエンスと行動が似ている新規ユーザーにアプローチする際に利用します。
Q: Instagram広告のターゲティング精度をさらに高めるためには、どのような工夫が必要ですか？
A: 精度を上げるには、まず顧客データを活用することが重要です。WebサイトにMetaピクセルを設置し、訪問者の行動データを収集します。このデータをもとに、カスタムオーディエンスや類似オーディエンスを細かく設定します。また、複数のターゲティング設定でA/Bテストを行い、どの層からの反応が良いかを検証しながら、最も成果につながるターゲットに調整することが効果的です。
Q: 企業がInstagram広告のターゲティング機能を活用すべき具体的な利用シーンを教えてください。
A: ターゲティング機能は、目的に応じて使い分けると効果的です。認知拡大の段階では、興味関心ターゲティングで潜在顧客に広くリーチします。コンバージョンを狙う場合は、カスタムオーディエンスを使ったリターゲティングが有効です。新規顧客獲得では、類似オーディエンスを活用し、既存の優良顧客に似た層にアプローチします。ぜひお問い合わせください。
お問い合わせ先はこちら↓
https://dym.asia/contact/</t>
        </is>
      </c>
      <c r="J295" s="47" t="n"/>
      <c r="K295" s="47" t="inlineStr">
        <is>
          <t>要修正</t>
        </is>
      </c>
      <c r="L295" s="47" t="inlineStr">
        <is>
          <t>未確認</t>
        </is>
      </c>
      <c r="M295" s="47" t="inlineStr">
        <is>
          <t>未依頼</t>
        </is>
      </c>
      <c r="N295" s="47" t="inlineStr">
        <is>
          <t>クリニック以外</t>
        </is>
      </c>
      <c r="O295" s="47" t="n"/>
      <c r="P295" s="47" t="n"/>
      <c r="Q295" s="47" t="n"/>
      <c r="R295" s="47" t="n"/>
    </row>
    <row r="296" ht="15.75" customHeight="1" s="185">
      <c r="A296" s="52">
        <f>row()-3</f>
        <v/>
      </c>
      <c r="B296" s="46" t="inlineStr">
        <is>
          <t>インタビュー記事の書き方｜構成・事前準備・形式を解説</t>
        </is>
      </c>
      <c r="C296" s="10" t="inlineStr">
        <is>
          <t>https://dym.asia/media/interview-article/</t>
        </is>
      </c>
      <c r="D296" s="47" t="inlineStr">
        <is>
          <t>インタビュー 準備</t>
        </is>
      </c>
      <c r="E296" s="35" t="n">
        <v>1</v>
      </c>
      <c r="F296" s="36" t="n">
        <v>10.38666666666667</v>
      </c>
      <c r="G296" s="47" t="inlineStr">
        <is>
          <t>なし</t>
        </is>
      </c>
      <c r="H296" s="47" t="inlineStr">
        <is>
          <t>可</t>
        </is>
      </c>
      <c r="I296" s="47" t="inlineStr">
        <is>
          <t>Q: インタビュー記事を制作する主な目的と、企業が得られるメリットは何ですか？
A: インタビュー記事の目的は、情報の信頼性を高め、企業や商品に関わる「人」のストーリーを伝えることです。企業にとってのメリットは、読者との関係性を深められること、専門性や独自性を示してSEOにも役立つこと、さらに社員の魅力を発信して採用活動に活かせることなどが挙げられます。
Q: 読者の興味を引くインタビュー記事の構成を作るための重要なポイントは何ですか？
A: ポイントは「問いと答えのバランス」と「共感の設計」です。導入では読者が抱える課題や疑問を提示し、記事を通してその解決策や成功の秘訣を質問形式で深掘りします。生の声や具体的なエピソードを盛り込むことで、読者が自分ごととして捉えやすくなり、最後まで読んでもらいやすくなります。
Q: 作成したインタビュー記事を効果的に活用するには、どのような方法がありますか？
A: 記事はWebサイトだけでなく、SNSで要約やハイライトを発信したり、メールマガジンで紹介したりすることで幅広く活用できます。採用サイトやパンフレットに掲載して企業の魅力を伝える方法も効果的です。さらに、記事をもとにウェビナーやイベントを企画するなど、オンライン・オフライン両方のマーケティングに活かせます。</t>
        </is>
      </c>
      <c r="J296" s="47" t="n"/>
      <c r="K296" s="47" t="inlineStr">
        <is>
          <t>OK</t>
        </is>
      </c>
      <c r="L296" s="47" t="inlineStr">
        <is>
          <t>未確認</t>
        </is>
      </c>
      <c r="M296" s="47" t="inlineStr">
        <is>
          <t>未依頼</t>
        </is>
      </c>
      <c r="N296" s="47" t="inlineStr">
        <is>
          <t>クリニック以外</t>
        </is>
      </c>
      <c r="O296" s="47" t="n"/>
      <c r="P296" s="47" t="n"/>
      <c r="Q296" s="47" t="n"/>
      <c r="R296" s="47" t="n"/>
    </row>
    <row r="297" ht="15.75" customHeight="1" s="185">
      <c r="A297" s="52">
        <f>row()-3</f>
        <v/>
      </c>
      <c r="B297" s="46" t="inlineStr">
        <is>
          <t>IPO支援・コンサルティングとは? 種類や業務内容、メリットや成功のポイントを解説</t>
        </is>
      </c>
      <c r="C297" s="6" t="inlineStr">
        <is>
          <t>https://dym.asia/media/ipo_support/</t>
        </is>
      </c>
      <c r="D297" s="47" t="inlineStr">
        <is>
          <t>ipo支援</t>
        </is>
      </c>
      <c r="E297" s="35" t="n">
        <v>1</v>
      </c>
      <c r="F297" s="36" t="n">
        <v>15.41867469879518</v>
      </c>
      <c r="G297" s="47" t="inlineStr">
        <is>
          <t>なし</t>
        </is>
      </c>
      <c r="H297" s="47" t="inlineStr">
        <is>
          <t>可</t>
        </is>
      </c>
      <c r="I297" s="47" t="inlineStr">
        <is>
          <t>Q: IPO（新規株式公開）の主な目的と、企業が得られる最大のメリットは何ですか？
A: IPOの主な目的は、株式を公開して市場から資金を調達することと、創業者や株主が株式を売却して利益を得る機会を作ることです。企業にとって大きなメリットは、社会的な信用力が高まることです。上場することで、金融機関からの融資が受けやすくなり、優秀な人材の採用が有利になり、取引先からの信頼も向上します。
Q: IPOの準備を開始してから、実際に上場するまでには、どれくらいの期間が必要ですか？
A: 一般的には3年から5年程度かかります。これは、上場審査を通過するために、社内の管理体制整備や内部統制システムの構築、財務諸表の適正化など、さまざまな準備が必要なためです。特に直前期の2年間は監査法人による厳しいチェックが入るため、この期間をスムーズに進めるための準備が重要です。
Q: IPO支援を依頼するコンサルティング会社や証券会社を選ぶ際の重要なポイントは何ですか？
A: 重要なのは「実績と専門性」、そして「相性」です。IPO支援には財務や法務、内部統制など専門知識が必要なため、上場実績のある会社を選びましょう。また、長期間一緒に進めるパートナーとなるため、企業文化や経営方針を理解してくれるか、担当者と円滑にコミュニケーションできるかも重要です。複数の候補から提案内容や費用を比較して選ぶと良いでしょう。</t>
        </is>
      </c>
      <c r="J297" s="47" t="n"/>
      <c r="K297" s="47" t="inlineStr">
        <is>
          <t>要修正</t>
        </is>
      </c>
      <c r="L297" s="47" t="inlineStr">
        <is>
          <t>未確認</t>
        </is>
      </c>
      <c r="M297" s="47" t="inlineStr">
        <is>
          <t>未依頼</t>
        </is>
      </c>
      <c r="N297" s="47" t="inlineStr">
        <is>
          <t>クリニック以外</t>
        </is>
      </c>
      <c r="O297" s="47" t="n"/>
      <c r="P297" s="47" t="n"/>
      <c r="Q297" s="47" t="n"/>
      <c r="R297" s="47" t="n"/>
    </row>
    <row r="298" ht="15.75" customHeight="1" s="185">
      <c r="A298" s="52">
        <f>row()-3</f>
        <v/>
      </c>
      <c r="B298" s="46" t="inlineStr">
        <is>
          <t>求人サイトとは？人材紹介との違いや転職サイトの比較を紹介</t>
        </is>
      </c>
      <c r="C298" s="10" t="inlineStr">
        <is>
          <t>https://dym.asia/media/job-offer-site/</t>
        </is>
      </c>
      <c r="D298" s="47" t="inlineStr">
        <is>
          <t>求人サイト 人材紹介 違い</t>
        </is>
      </c>
      <c r="E298" s="35" t="n">
        <v>1</v>
      </c>
      <c r="F298" s="36" t="n">
        <v>7.862068965517241</v>
      </c>
      <c r="G298" s="47" t="inlineStr">
        <is>
          <t>なし</t>
        </is>
      </c>
      <c r="H298" s="47" t="inlineStr">
        <is>
          <t>可</t>
        </is>
      </c>
      <c r="I298" s="10" t="inlineStr">
        <is>
          <t>Q: 自社の採用活動に最適な求人情報サイトを選ぶための基準は何ですか？
A: 基準は、「採用したい人材」と「サイトの特性」が合っているかです。幅広い層を狙うなら総合型サイト、ITエンジニアや医療関係者など専門職を狙うなら特化型サイトが向いています。さらに、利用者層や職種構成、料金体系も比較して選ぶことが大切です。
お気軽にお問い合わせください。
お問い合わせ先はこちら↓
https://dym.asia/contact/ 
Q: 求人情報サイトに掲載する際、応募効果を最大化するための工夫は何ですか？
A: 応募効果を高めるには、業務内容や給与、職場の雰囲気など、具体的な情報を詳しく載せることが重要です。また、企業のビジョンや福利厚生、キャリアアップの道筋など、自社の魅力をしっかり伝えると、応募者が「ここで働きたい」と感じやすくなります。
Q: 求人情報サイトの利用にかかる費用対効果（ROI）は、どのように測定すれば良いですか？
A: 主に「応募単価（掲載費用 ÷ 応募者数）」と「採用単価（掲載費用 ÷ 採用人数）」で評価します。サイトや職種ごとに定期的に比較し、採用した人材の定着率も加味すると、長期的な費用対効果を正しく把握できます。</t>
        </is>
      </c>
      <c r="J298" s="47" t="n"/>
      <c r="K298" s="47" t="inlineStr">
        <is>
          <t>OK</t>
        </is>
      </c>
      <c r="L298" s="47" t="inlineStr">
        <is>
          <t>未確認</t>
        </is>
      </c>
      <c r="M298" s="47" t="inlineStr">
        <is>
          <t>未依頼</t>
        </is>
      </c>
      <c r="N298" s="47" t="inlineStr">
        <is>
          <t>クリニック以外</t>
        </is>
      </c>
      <c r="O298" s="47" t="n"/>
      <c r="P298" s="47" t="n"/>
      <c r="Q298" s="47" t="n"/>
      <c r="R298" s="47" t="n"/>
    </row>
    <row r="299" ht="15.75" customHeight="1" s="185">
      <c r="A299" s="52">
        <f>row()-3</f>
        <v/>
      </c>
      <c r="B299" s="46" t="inlineStr">
        <is>
          <t>知らない方も多い！「健診」と「検診」の違いを徹底解説</t>
        </is>
      </c>
      <c r="C299" s="6" t="inlineStr">
        <is>
          <t>https://dym.asia/media/kenshin/</t>
        </is>
      </c>
      <c r="D299" s="47" t="inlineStr">
        <is>
          <t>検診 健診 違い</t>
        </is>
      </c>
      <c r="E299" s="35" t="n">
        <v>1</v>
      </c>
      <c r="F299" s="36" t="n">
        <v>5.653846153846154</v>
      </c>
      <c r="G299" s="47" t="inlineStr">
        <is>
          <t>なし</t>
        </is>
      </c>
      <c r="H299" s="47" t="inlineStr">
        <is>
          <t>可</t>
        </is>
      </c>
      <c r="I299" s="10" t="inlineStr">
        <is>
          <t>Q: 「健康診断」と「人間ドック」は、何が違うのでしょうか？
A: 健康診断は、法律に基づいて会社が実施する基本的なチェックで、病気の早期発見が主な目的です。検査項目は限定的です。
一方、人間ドックは任意で受けるもので、がんや心臓病、脳疾患など、より広範囲のリスクを詳しく調べる専門的な検査が含まれます。費用は健康診断より高めですが、精密なチェックが可能です。
Q: 会社が実施する健康診断は、従業員に受診義務がありますか？また、費用は誰が負担しますか？
A: はい、年1回の定期健康診断は、会社に実施義務があり、従業員も受診する必要があります（労働安全衛生法）。費用は原則として会社負担です。人間ドックなど法定外の検査費用は、会社の規則や取り決めによります。
ぜひお問い合わせください。
お問い合わせ先はこちら↓
https://dym.asia/contact/ 
Q: 健康診断の結果が「要精密検査」だった場合、具体的に何をすべきですか？
A: 「要精密検査」は、病気の可能性があることを示す重要なサインです。放置せず、指定された診療科のある医療機関で再検査・精密検査を受けましょう。結果は会社にも報告しますが、まずは自身の健康を最優先にしてください。</t>
        </is>
      </c>
      <c r="J299" s="47" t="n"/>
      <c r="K299" s="47" t="inlineStr">
        <is>
          <t>対応不要</t>
        </is>
      </c>
      <c r="L299" s="47" t="inlineStr">
        <is>
          <t>対応不要</t>
        </is>
      </c>
      <c r="M299" s="47" t="inlineStr">
        <is>
          <t>未依頼</t>
        </is>
      </c>
      <c r="N299" s="47" t="inlineStr">
        <is>
          <t>クリニック以外</t>
        </is>
      </c>
      <c r="O299" s="47" t="n"/>
      <c r="P299" s="47" t="n"/>
      <c r="Q299" s="47" t="n"/>
      <c r="R299" s="47" t="n"/>
    </row>
    <row r="300" ht="15.75" customHeight="1" s="185">
      <c r="A300" s="52">
        <f>row()-3</f>
        <v/>
      </c>
      <c r="B300" s="46" t="inlineStr">
        <is>
          <t>SEOキーワード選定のやり方！手順やコツなど基本の選び方を初心者向けに解説</t>
        </is>
      </c>
      <c r="C300" s="10" t="inlineStr">
        <is>
          <t>https://dym.asia/media/keyword-selection/</t>
        </is>
      </c>
      <c r="D300" s="47" t="inlineStr">
        <is>
          <t>長尾キーワード</t>
        </is>
      </c>
      <c r="E300" s="35" t="n">
        <v>1</v>
      </c>
      <c r="F300" s="36" t="n">
        <v>3.567307692307693</v>
      </c>
      <c r="G300" s="47" t="inlineStr">
        <is>
          <t>なし</t>
        </is>
      </c>
      <c r="H300" s="47" t="inlineStr">
        <is>
          <t>可</t>
        </is>
      </c>
      <c r="I300" s="10" t="inlineStr">
        <is>
          <t>Q: キーワード選定（キーワードリサーチ）を行う主な目的と、SEOにおける重要性は何ですか？
A: キーワード選定の目的は、ユーザーが実際に検索する言葉や疑問を見つけ、その意図に合ったコンテンツを作ることです。適切なキーワードを使うことで、Webサイトへの質の高いアクセスが増え、コンバージョンにもつながります。SEOでは、検索結果での露出を高めるために最も重要な作業の一つです。
Q: 「ロングテールキーワード」とは何ですか？なぜSEOにおいて重要視されるのですか？
A: ロングテールキーワードは、3語以上の組み合わせで具体的な検索意図を持つニッチなキーワードです（例：「大阪 転職 エージェント 未経験」）。検索ボリュームは少なめですが、競合が少なく上位表示しやすく、コンバージョンにもつながりやすいのが特徴です。複数のロングテールを積み重ねることで、サイト全体のアクセスを安定して増やせます。
Q: 選定したキーワードの「競合性」は、どのように判断すれば良いですか？
A: キーワードの競合性を判断するには、主に「検索結果画面（SERP）」と「検索ボリューム」を分析します。まず、実際にそのキーワードで検索し、検索結果の上位に表示されているサイトの質や権威性（大企業や公的機関か、E-E-A-Tは高いか）を確認します。また、検索ボリュームが非常に多いキーワードは、一般的に競合性が高いと判断できます。初心者や小規模サイトの場合、検索ボリュームが少なく、上位サイトの品質が低いキーワードから攻略していくのが定石です。
ぜひお問い合わせください。
お問い合わせ先はこちら↓
https://dym.asia/contact/</t>
        </is>
      </c>
      <c r="J300" s="47" t="n"/>
      <c r="K300" s="47" t="inlineStr">
        <is>
          <t>OK</t>
        </is>
      </c>
      <c r="L300" s="47" t="inlineStr">
        <is>
          <t>未確認</t>
        </is>
      </c>
      <c r="M300" s="47" t="inlineStr">
        <is>
          <t>未依頼</t>
        </is>
      </c>
      <c r="N300" s="47" t="inlineStr">
        <is>
          <t>クリニック以外</t>
        </is>
      </c>
      <c r="O300" s="47" t="n"/>
      <c r="P300" s="47" t="n"/>
      <c r="Q300" s="47" t="n"/>
      <c r="R300" s="47" t="n"/>
    </row>
    <row r="301" ht="15.75" customHeight="1" s="185">
      <c r="A301" s="52">
        <f>row()-3</f>
        <v/>
      </c>
      <c r="B301" s="46" t="inlineStr">
        <is>
          <t>KGIとは？KPIとの違いや具体例・設定するメリットを解説</t>
        </is>
      </c>
      <c r="C301" s="10" t="inlineStr">
        <is>
          <t>https://dym.asia/media/kgi/</t>
        </is>
      </c>
      <c r="D301" s="47" t="inlineStr">
        <is>
          <t>健康経営 kgiとは</t>
        </is>
      </c>
      <c r="E301" s="35" t="n">
        <v>1</v>
      </c>
      <c r="F301" s="36" t="n">
        <v>9.266666666666667</v>
      </c>
      <c r="G301" s="47" t="inlineStr">
        <is>
          <t>なし</t>
        </is>
      </c>
      <c r="H301" s="47" t="inlineStr">
        <is>
          <t>可</t>
        </is>
      </c>
      <c r="I301" s="10" t="inlineStr">
        <is>
          <t>Q: KGI（重要目標達成指標）とは何ですか？KPIとの具体的な違いは何ですか？
A: KGI（Key Goal Indicator：重要目標達成指標）とは、企業やプロジェクトの最終的なゴール（目標）を定量的に示した指標です。例えば、「1年後の売上高を1億円にする」など、「最終的に何を達成したいか」を表します。一方、KPI（Key Performance Indicator：重要業績評価指標）は、そのKGIを達成するための中間的なプロセスや行動が適切に進んでいるかを測る指標です。KGIがゴールであるのに対し、KPIはそのゴールへ到達するための道しるべの役割を果たします。
Q: KGIを明確に設定することが、なぜ企業やプロジェクト運営において重要なのでしょうか？
A: KGIを明確に設定することは、組織全体の方向性を統一し、メンバーの意識と行動を集中させるために重要です。KGIが曖昧だと、各部署やメンバーが独自の目標で動いてしまい、リソースが分散し、目標達成の確度が下がります。明確なKGIを設定することで、全てのKPIや日々の業務が最終目標に繋がっているかを判断できるようになり、意思決定の基準として機能します。
ぜひお問い合わせください。
お問い合わせ先はこちら↓
https://dym.asia/contact/ 
Q: 効果的なKGIを設定するための具体的な方法やフレームワークはありますか？
A: 効果的なKGIを設定するためには、目標をSMARTの原則（Specific: 具体的な、Measurable: 測定可能な、Achievable: 達成可能な、Relevant: 関連性の高い、Time-bound: 期限が定められた）に沿って定義することが推奨されます。特にKGIは、売上、利益率、市場シェア、顧客満足度など、事業の成功を最終的に示す数値に設定すべきです。具体的な数値と期限を設け、「いつまでに、何を、どれだけ達成する」という形で明確に設定します。</t>
        </is>
      </c>
      <c r="J301" s="47" t="n"/>
      <c r="K301" s="47" t="inlineStr">
        <is>
          <t>要修正</t>
        </is>
      </c>
      <c r="L301" s="47" t="inlineStr">
        <is>
          <t>未確認</t>
        </is>
      </c>
      <c r="M301" s="47" t="inlineStr">
        <is>
          <t>未依頼</t>
        </is>
      </c>
      <c r="N301" s="47" t="inlineStr">
        <is>
          <t>クリニック以外</t>
        </is>
      </c>
      <c r="O301" s="47" t="n"/>
      <c r="P301" s="47" t="n"/>
      <c r="Q301" s="47" t="n"/>
      <c r="R301" s="47" t="n"/>
    </row>
    <row r="302" ht="15.75" customHeight="1" s="185">
      <c r="A302" s="52">
        <f>row()-3</f>
        <v/>
      </c>
      <c r="B302" s="46" t="inlineStr">
        <is>
          <t>KPIとは？ KGIの違いと方法、具体例を簡単に解説</t>
        </is>
      </c>
      <c r="C302" s="6" t="inlineStr">
        <is>
          <t>https://dym.asia/media/kpi-about/</t>
        </is>
      </c>
      <c r="D302" s="47" t="inlineStr">
        <is>
          <t>サル でもわかる kpi</t>
        </is>
      </c>
      <c r="E302" s="35" t="n">
        <v>1</v>
      </c>
      <c r="F302" s="36" t="n">
        <v>10.92694610778443</v>
      </c>
      <c r="G302" s="47" t="inlineStr">
        <is>
          <t>なし</t>
        </is>
      </c>
      <c r="H302" s="47" t="inlineStr">
        <is>
          <t>可</t>
        </is>
      </c>
      <c r="I302" s="10" t="inlineStr">
        <is>
          <t>Q: KPI（重要業績評価指標）とは何ですか？企業がKPIを設定する主な目的は何ですか？
A: KPI（Key Performance Indicator：重要業績評価指標）とは、最終目標（KGI）を達成するための中間的なプロセスや行動の進捗度を測るための定量的な指標です。企業がKPIを設定する主な目的は、目標達成までの進捗状況を客観的かつリアルタイムで把握し、取るべき行動を明確にすることです。これにより、組織やチームのメンバーは、日々の業務が最終目標にどう貢献しているかを理解でき、迅速な意思決定や軌道修正が可能になります。
Q: KPIとKGI（重要目標達成指標）は、どのように使い分けるべきですか？
A: KGIは、最終的に達成したいゴール（例：売上1億円）を表す指標で、基本的に一つまたは少数に設定されます。一方、KPIは、そのKGIを達成するために必要なプロセスを数値化したもの（例：Webサイトへの訪問者数、商談数など）であり、複数設定されます。KPIはプロセスを管理するための指標、KGIは最終成果を管理するための指標として明確に使い分け、全てのKPIがKGIに繋がるようロジックを構築することが重要です。
Q: 効果的で達成につながるKPIを設定するための具体的な方法（SMARTの原則など）を教えてください。
A: 効果的なKPIを設定するには、目標をSMARTの原則に沿って定義することが推奨されます。SMARTとは、Specific（具体的）、Measurable（測定可能）、Achievable（達成可能）、Relevant（関連性が高い）、Time-bound（期限が定められた）の頭文字です。特にKPIは、具体的な行動に結びつき、進捗が常に計測可能でなければなりません。例えば、「顧客満足度を上げる」ではなく、「顧客アンケートの平均スコアを3ヶ月で4.0から4.5に向上させる」といった形で設定します。　
ぜひお問い合わせください。
お問い合わせ先はこちら↓
https://dym.asia/contact/</t>
        </is>
      </c>
      <c r="J302" s="47" t="n"/>
      <c r="K302" s="47" t="inlineStr">
        <is>
          <t>要修正</t>
        </is>
      </c>
      <c r="L302" s="47" t="inlineStr">
        <is>
          <t>未確認</t>
        </is>
      </c>
      <c r="M302" s="47" t="inlineStr">
        <is>
          <t>未依頼</t>
        </is>
      </c>
      <c r="N302" s="47" t="inlineStr">
        <is>
          <t>クリニック以外</t>
        </is>
      </c>
      <c r="O302" s="47" t="n"/>
      <c r="P302" s="47" t="n"/>
      <c r="Q302" s="47" t="n"/>
      <c r="R302" s="47" t="n"/>
    </row>
    <row r="303" ht="15.75" customHeight="1" s="185">
      <c r="A303" s="52">
        <f>row()-3</f>
        <v/>
      </c>
      <c r="B303" s="46" t="inlineStr">
        <is>
          <t>求人ボックスに求人を掲載する！無料掲載から有料広告まで</t>
        </is>
      </c>
      <c r="C303" s="6" t="inlineStr">
        <is>
          <t>https://dym.asia/media/kyujinbox-2/</t>
        </is>
      </c>
      <c r="D303" s="47" t="inlineStr">
        <is>
          <t>求人ボックス リスティング広告</t>
        </is>
      </c>
      <c r="E303" s="35" t="n">
        <v>1</v>
      </c>
      <c r="F303" s="36" t="n">
        <v>14.5</v>
      </c>
      <c r="G303" s="47" t="inlineStr">
        <is>
          <t>なし</t>
        </is>
      </c>
      <c r="H303" s="47" t="inlineStr">
        <is>
          <t>可</t>
        </is>
      </c>
      <c r="I303" s="10" t="inlineStr">
        <is>
          <t>Q: 求人ボックスの掲載料金体系はどのようになっていますか？
A: 求人ボックスの有料掲載は、主にクリック課金型（CPC：Cost Per Click）の料金体系を採用しています。これは、広告がユーザーに表示されるだけでは費用が発生せず、ユーザーが実際に広告をクリックして求人詳細ページへ遷移した場合にのみ費用が発生する仕組みです。クリック単価は企業側が自由に設定できる入札形式で決まり、相場は職種や地域、競合の状況によって異なりますが、数十円から数百円程度が一般的です。DYMの詳しい内容が気になる方はお気軽にお問い合わせください。
お問い合わせ先はこちら↓
https://dym.asia/contact/
Q: 求人ボックスに無料で求人情報を掲載することは可能ですか？
A: はい、求人ボックスに無料で求人情報を掲載することは可能です。無料で掲載する方法は主に2つあります。一つは、自社の採用ページや採用特設サイトに求人情報を掲載し、求人ボックスのクローラーに情報を読み込ませる方法です。もう一つは、求人ボックスの管理画面から直接求人情報を入力・投稿する方法です。ただし、無料掲載の場合、有料広告に比べて表示順位が低くなる傾向があるため、より多くの露出を望む場合は有料掲載との併用が推奨されます。
Q: 求人ボックスの掲載効果があったかどうかを判断するために、どの指標を確認すべきですか？
A: 掲載効果を判断するために確認すべき指標は、主に「表示回数（インプレッション）」、「クリック数」、「応募数」、そしてそれらの比率である「クリック率（CTR）」と「応募率」です。特に、応募単価（CPA：Cost Per Acquisition）、すなわち「総費用 ÷ 応募数」を算出し、他の求人媒体と比較することで、費用対効果を客観的に評価できます。これらの指標を定期的に分析し、クリック率が低ければ求人タイトルや概要文を改善するなど、継続的にPDCAサイクルを回すことが重要です。</t>
        </is>
      </c>
      <c r="J303" s="47" t="n"/>
      <c r="K303" s="47" t="inlineStr">
        <is>
          <t>要修正</t>
        </is>
      </c>
      <c r="L303" s="47" t="inlineStr">
        <is>
          <t>未確認</t>
        </is>
      </c>
      <c r="M303" s="47" t="inlineStr">
        <is>
          <t>未依頼</t>
        </is>
      </c>
      <c r="N303" s="47" t="inlineStr">
        <is>
          <t>クリニック以外</t>
        </is>
      </c>
      <c r="O303" s="47" t="n"/>
      <c r="P303" s="47" t="n"/>
      <c r="Q303" s="47" t="n"/>
      <c r="R303" s="47" t="n"/>
    </row>
    <row r="304" ht="15.75" customHeight="1" s="185">
      <c r="A304" s="52">
        <f>row()-3</f>
        <v/>
      </c>
      <c r="B304" s="46" t="inlineStr">
        <is>
          <t>求人ボックスとは？仕組み・掲載料金・特徴・メリットを解説</t>
        </is>
      </c>
      <c r="C304" s="6" t="inlineStr">
        <is>
          <t>https://dym.asia/media/kyujinbox-about/</t>
        </is>
      </c>
      <c r="D304" s="47" t="inlineStr">
        <is>
          <t>求人ボックス メリット</t>
        </is>
      </c>
      <c r="E304" s="35" t="n">
        <v>1</v>
      </c>
      <c r="F304" s="36" t="n">
        <v>7.086956521739131</v>
      </c>
      <c r="G304" s="47" t="inlineStr">
        <is>
          <t>なし</t>
        </is>
      </c>
      <c r="H304" s="47" t="inlineStr">
        <is>
          <t>可</t>
        </is>
      </c>
      <c r="I304" s="10" t="inlineStr">
        <is>
          <t>Q: 求人ボックスとはどのような求人サイトですか？他の大手転職サイトとの違いを教えてください。
A: 求人ボックスは、求人情報に特化した検索エンジンです。他の大手転職サイトのように自社で情報を抱えるだけでなく、Web上にある企業の採用ページやハローワーク、他の求人サイトの情報をクローリング（収集）し、集約して検索結果として表示します。これにより、求職者は一つのサイトで多様な求人情報を比較検討でき、企業側は採用ページのURLを登録するだけで露出を増やせる点が、最大の強みであり違いです。
Q: 求人ボックスに自社の求人情報を掲載するには、どのような方法がありますか？
A: 求人情報を掲載する方法は主に2つあります。一つは「直接投稿」で、求人ボックスの管理画面から直接、求人票を作成・投稿する方法です。この方法は、求人情報がなくても手軽に始められます。もう一つは「クローリング（連携）掲載」で、自社の採用サイトや採用ページに掲載されている求人情報を、求人ボックスのクローラーに読み込ませて自動で掲載する方法です。すでに採用サイトがある企業はこちらの方法が効率的です。ぜひお問い合わせください。
お問い合わせ先はこちら↓
https://dym.asia/contact/
Q: 求人ボックスの「無料掲載」と「有料掲載（広告掲載）」の違いは何ですか？
A: 無料掲載は、費用がかからない代わりに、求人情報が検索結果の下位に表示されやすく、他の求人に埋もれやすい傾向があります。一方、有料掲載は、クリック課金制（CPC）で費用が発生しますが、検索結果の上位に表示されやすくなるため、多くの求職者の目に触れ、クリック数や応募数の増加に繋がります。急募の案件や、競合が多い職種を採用したい場合は、有料掲載を利用して露出を強化することが効果的です。</t>
        </is>
      </c>
      <c r="J304" s="47" t="n"/>
      <c r="K304" s="47" t="inlineStr">
        <is>
          <t>要修正</t>
        </is>
      </c>
      <c r="L304" s="47" t="inlineStr">
        <is>
          <t>未確認</t>
        </is>
      </c>
      <c r="M304" s="47" t="inlineStr">
        <is>
          <t>未依頼</t>
        </is>
      </c>
      <c r="N304" s="47" t="inlineStr">
        <is>
          <t>クリニック以外</t>
        </is>
      </c>
      <c r="O304" s="47" t="n"/>
      <c r="P304" s="47" t="n"/>
      <c r="Q304" s="47" t="n"/>
      <c r="R304" s="47" t="n"/>
    </row>
    <row r="305" ht="15.75" customHeight="1" s="185">
      <c r="A305" s="52">
        <f>row()-3</f>
        <v/>
      </c>
      <c r="B305" s="46" t="inlineStr">
        <is>
          <t>求人ボックスとは？仕組み・使い方・掲載方法・掲載料金・特徴を解説</t>
        </is>
      </c>
      <c r="C305" s="6" t="inlineStr">
        <is>
          <t>https://dym.asia/media/kyujinbox-how-to-use/</t>
        </is>
      </c>
      <c r="D305" s="47" t="inlineStr">
        <is>
          <t>求人ボックス</t>
        </is>
      </c>
      <c r="E305" s="35" t="n">
        <v>1</v>
      </c>
      <c r="F305" s="36" t="n">
        <v>5</v>
      </c>
      <c r="G305" s="47" t="inlineStr">
        <is>
          <t>なし</t>
        </is>
      </c>
      <c r="H305" s="47" t="inlineStr">
        <is>
          <t>可</t>
        </is>
      </c>
      <c r="I305" s="10" t="inlineStr">
        <is>
          <t>Q: 求人ボックスで応募効果を最大化するための、効果的な求人票の作り方はありますか？
A: 効果的な求人票は、「キーワードの網羅性」と「情報の具体性」を両立させることが重要です。まず、職種名や仕事内容に、求職者が検索で使いそうな具体的なキーワード（例：「リモートワーク」「未経験歓迎」「特定のプログラミング言語」）を自然に盛り込みます。次に、仕事の具体的な魅力や職場の雰囲気を明確に伝え、給与や福利厚生についても曖昧な表現を避け、詳細に記載することで、求職者の関心を引きつけ、ミスマッチを減らすことができます。ぜひお問い合わせください。
お問い合わせ先はこちら↓
https://dym.asia/contact/
Q: 求人ボックスの有料掲載における、クリック単価（CPC）の最適な決め方を教えてください。
A: クリック単価の最適な決め方は、「採用目標」と「競合状況」によって変動します。まず、目標とする採用単価（CPA）から逆算し、適切なクリック単価の上限を設定します。次に、実際に広告を運用し、設定した単価で十分なクリック数や応募数が得られているかを確認します。競合が激しい場合は単価を引き上げる必要がありますが、「入札単価シミュレーター」などのツールを活用して、最低限のコストで目標の露出度が得られる単価を探っていくことが重要です。
Q: 求人ボックスでの掲載効果を測定し、改善するための分析方法は何ですか？
A: 効果測定には、管理画面で確認できる「表示回数（インプレッション）」「クリック数」「応募数」の3つの指標を連動させて分析します。表示回数が少ない場合は、入札単価やキーワード設定を見直します。表示回数が多いのにクリック数が少ない場合は、求人タイトルや概要文の魅力に欠けている可能性があるため改善します。クリック数が多いのに応募数が少ない場合は、求人詳細ページの内容や応募フォームに課題がないかをチェックし、それぞれのボトルネックを特定して改善していくことが重要です。</t>
        </is>
      </c>
      <c r="J305" s="47" t="n"/>
      <c r="K305" s="47" t="inlineStr">
        <is>
          <t>要修正</t>
        </is>
      </c>
      <c r="L305" s="47" t="inlineStr">
        <is>
          <t>未確認</t>
        </is>
      </c>
      <c r="M305" s="47" t="inlineStr">
        <is>
          <t>未依頼</t>
        </is>
      </c>
      <c r="N305" s="47" t="inlineStr">
        <is>
          <t>クリニック以外</t>
        </is>
      </c>
      <c r="O305" s="47" t="n"/>
      <c r="P305" s="47" t="n"/>
      <c r="Q305" s="47" t="n"/>
      <c r="R305" s="47" t="n"/>
    </row>
    <row r="306" ht="15.75" customHeight="1" s="185">
      <c r="A306" s="52">
        <f>row()-3</f>
        <v/>
      </c>
      <c r="B306" s="46" t="inlineStr">
        <is>
          <t>労働基準法とは？労働時間、有給、休日、違反などわかりやすく解説</t>
        </is>
      </c>
      <c r="C306" s="6" t="inlineStr">
        <is>
          <t>https://dym.asia/media/labor-standards-act/</t>
        </is>
      </c>
      <c r="D306" s="47" t="inlineStr">
        <is>
          <t>労働基準法</t>
        </is>
      </c>
      <c r="E306" s="35" t="n">
        <v>1</v>
      </c>
      <c r="F306" s="36" t="n">
        <v>1.133627019089574</v>
      </c>
      <c r="G306" s="47" t="inlineStr">
        <is>
          <t>なし</t>
        </is>
      </c>
      <c r="H306" s="47" t="inlineStr">
        <is>
          <t>可</t>
        </is>
      </c>
      <c r="I306" s="47" t="inlineStr">
        <is>
          <t>Q: 労働基準法における「時間外労働（残業）」の定義と、残業代の計算方法について教えてください。
A: 労働基準法では、法定労働時間（原則として1日8時間、週40時間）を超えて労働することを時間外労働（残業）と定義しています。この時間外労働に対しては、通常の賃金に加え、25%以上の割増賃金を支払うことが義務付けられています（月60時間を超える時間外労働には50%以上）。また、深夜（22時〜翌5時）や法定休日（週1日）の労働にも、それぞれ異なる割増率が適用されます。残業代の計算は、基礎となる賃金を1時間あたりの賃金に換算し、これに割増率と残業時間をかけて算出します。
Q: 労働基準法では、有給休暇の取得について企業にどのような義務がありますか？
A: 労働基準法の改正により、2019年4月から、年10日以上の年次有給休暇が付与される労働者（管理監督者含む）に対し、企業は年5日について時季を指定して取得させることが義務付けられています。この義務に違反した場合、労働基準監督署による指導や罰則の対象となる可能性があります。企業は、労働者ごとに有給休暇の付与日数と取得日数を管理し、適切な時期に取得を促すための計画的な付与制度などを導入することが推奨されています。
Q: 企業が労働基準法に違反した場合、どのような罰則やリスクがありますか？
A: 労働基準法に違反した場合、違反の内容に応じて罰金や懲役刑が科される可能性があります。例えば、残業代の不払い、不当解雇、違法な長時間労働などに対しては、「6ヶ月以下の懲役または30万円以下の罰金」といった罰則規定があります。さらに大きなリスクとして、労働基準監督署による是正勧告や社名の公表、そして従業員からの訴訟や社会的信用の失墜による企業イメージの悪化が挙げられます。コンプライアンス遵守は企業の存続に不可欠です。</t>
        </is>
      </c>
      <c r="J306" s="47" t="n"/>
      <c r="K306" s="47" t="inlineStr">
        <is>
          <t>要修正</t>
        </is>
      </c>
      <c r="L306" s="47" t="inlineStr">
        <is>
          <t>未確認</t>
        </is>
      </c>
      <c r="M306" s="47" t="inlineStr">
        <is>
          <t>未依頼</t>
        </is>
      </c>
      <c r="N306" s="47" t="inlineStr">
        <is>
          <t>クリニック以外</t>
        </is>
      </c>
      <c r="O306" s="47" t="n"/>
      <c r="P306" s="47" t="n"/>
      <c r="Q306" s="47" t="n"/>
      <c r="R306" s="47" t="n"/>
    </row>
    <row r="307" ht="15.75" customHeight="1" s="185">
      <c r="A307" s="52">
        <f>row()-3</f>
        <v/>
      </c>
      <c r="B307" s="46" t="inlineStr">
        <is>
          <t>リーダー研修とは？3つの目的と求められる8つのスキル、研修内容について解説</t>
        </is>
      </c>
      <c r="C307" s="6" t="inlineStr">
        <is>
          <t>https://dym.asia/media/leader_training/</t>
        </is>
      </c>
      <c r="D307" s="47" t="inlineStr">
        <is>
          <t>リーダーシップ 研修</t>
        </is>
      </c>
      <c r="E307" s="35" t="n">
        <v>1</v>
      </c>
      <c r="F307" s="36" t="n">
        <v>65.93981481481481</v>
      </c>
      <c r="G307" s="47" t="inlineStr">
        <is>
          <t>なし</t>
        </is>
      </c>
      <c r="H307" s="47" t="inlineStr">
        <is>
          <t>可</t>
        </is>
      </c>
      <c r="I307" s="47" t="inlineStr">
        <is>
          <t>Q: リーダーシップ研修を実施する主な目的と、企業にとっての必要性は何ですか？
A: リーダーシップ研修の主な目的は、管理職やチームリーダーに求められるスキルとマインドセットを習得させ、組織の目標達成能力を高めることです。企業にとっての必要性は、組織の持続的な成長と変化への対応力強化にあります。優秀なリーダーを育成することで、チームの生産性が向上し、メンバーのモチベーション維持・人材育成が円滑に進むため、企業の将来を左右する重要な投資となります。
Q: 効果的なリーダーシップ研修では、具体的にどのような内容を学ぶべきですか？
A: 効果的な研修内容は、「マインドセット（意識）」と「スキル（技術）」の両面から構成されます。学ぶべき内容としては、目標設定と進捗管理（PDCAサイクルの回し方）、部下への動機づけやコーチング・フィードバックのスキル、チームビルディングや多様な価値観の受容、そして問題解決能力や意思決定能力の強化などが挙げられます。座学だけでなく、ロールプレイングやケーススタディを通じて実践力を高めることが重要です。
Q: リーダーシップ研修を実施した後、その教育効果をどのように測定・評価すれば良いですか？
A: 研修効果の測定には、受講者の行動変容に焦点を当てます。具体的には、研修前後の部下からの評価（360度評価）の変化や、上司による研修内容の業務への活用の程度を評価します。さらに、研修の最終目標であったチームの生産性、売上、離職率といった具体的な業績指標（KGI/KPI）が改善されたかを定量的に検証することが、研修の費用対効果を測る上で最も重要となります。</t>
        </is>
      </c>
      <c r="J307" s="47" t="n"/>
      <c r="K307" s="47" t="inlineStr">
        <is>
          <t>OK</t>
        </is>
      </c>
      <c r="L307" s="47" t="inlineStr">
        <is>
          <t>未確認</t>
        </is>
      </c>
      <c r="M307" s="47" t="inlineStr">
        <is>
          <t>未依頼</t>
        </is>
      </c>
      <c r="N307" s="47" t="inlineStr">
        <is>
          <t>クリニック以外</t>
        </is>
      </c>
      <c r="O307" s="47" t="n"/>
      <c r="P307" s="47" t="n"/>
      <c r="Q307" s="47" t="n"/>
      <c r="R307" s="47" t="n"/>
    </row>
    <row r="308" ht="15.75" customHeight="1" s="185">
      <c r="A308" s="52">
        <f>row()-3</f>
        <v/>
      </c>
      <c r="B308" s="46" t="inlineStr">
        <is>
          <t>LINE広告のターゲティングとは？種類と配信方法</t>
        </is>
      </c>
      <c r="C308" s="6" t="inlineStr">
        <is>
          <t>https://dym.asia/media/line-ad-target/</t>
        </is>
      </c>
      <c r="D308" s="47" t="inlineStr">
        <is>
          <t>line広告 エリア</t>
        </is>
      </c>
      <c r="E308" s="35" t="n">
        <v>1</v>
      </c>
      <c r="F308" s="36" t="n">
        <v>7.516129032258065</v>
      </c>
      <c r="G308" s="47" t="inlineStr">
        <is>
          <t>なし</t>
        </is>
      </c>
      <c r="H308" s="47" t="inlineStr">
        <is>
          <t>可</t>
        </is>
      </c>
      <c r="I308" s="10" t="inlineStr">
        <is>
          <t>Q: LINE広告で利用できる主なターゲティングの種類と、それぞれの特徴は何ですか？
A: LINE広告では、主に3種類のターゲティングが利用できます。一つは「デモグラフィックターゲティング」で、年齢、性別、地域など基本的な属性情報で絞り込みます。二つ目は「興味・関心ターゲティング」で、LINE内での行動履歴に基づいた興味カテゴリ（例：スポーツ、グルメ、エンタメなど）でアプローチします。三つ目は「オーディエンスセグメントターゲティング」で、Webサイト訪問履歴や既存顧客のリストなど自社のデータを利用して、特定のユーザー層に絞り込んで配信します。
Q: カスタムオーディエンスや類似オーディエンスを活用するメリットと、具体的な活用法を教えてください。
A: カスタムオーディエンスは、自社の既存顧客リストやWebサイト訪問者に広告を配信できるため、購入確度の高いユーザーにピンポイントでアプローチできるメリットがあります。また、類似オーディエンスは、カスタムオーディエンスと行動パターンが似た新しいユーザーにリーチできるため、新規顧客を効率的に獲得する上で非常に有効です。具体的には、リターゲティングで既存顧客に再購入を促しつつ、類似オーディエンスで潜在顧客層に認知を広げるという使い分けが推奨されます。
Q: LINE広告のターゲティング精度が悪いと感じた場合、改善のために何をすべきですか？
A: ターゲティング精度が悪い場合、まず「LINE Tag（ラインタグ）」がWebサイトに正しく設置されているかを確認してください。タグが適切に機能していないと、正確なユーザーデータが収集できません。次に、興味・関心ターゲティングのカテゴリを細かく見直すこと、そして除外設定を積極的に利用し、獲得につながらないユーザー層を除外することが有効です。また、広告のクリエイティブとターゲティング内容が一致しているかを検証し、広告とユーザーの関連性を高めることも重要です。ぜひご相談ください。
お問い合わせ先はこちら↓
https://dym.asia/contact/</t>
        </is>
      </c>
      <c r="J308" s="47" t="n"/>
      <c r="K308" s="47" t="inlineStr">
        <is>
          <t>要修正</t>
        </is>
      </c>
      <c r="L308" s="47" t="inlineStr">
        <is>
          <t>未確認</t>
        </is>
      </c>
      <c r="M308" s="47" t="inlineStr">
        <is>
          <t>未依頼</t>
        </is>
      </c>
      <c r="N308" s="47" t="inlineStr">
        <is>
          <t>クリニック以外</t>
        </is>
      </c>
      <c r="O308" s="47" t="n"/>
      <c r="P308" s="47" t="n"/>
      <c r="Q308" s="47" t="n"/>
      <c r="R308" s="47" t="n"/>
    </row>
    <row r="309" ht="15.75" customHeight="1" s="185">
      <c r="A309" s="52">
        <f>row()-3</f>
        <v/>
      </c>
      <c r="B309" s="46" t="inlineStr">
        <is>
          <t>LINE公式アカウントの開設・運用にかかる料金｜プランや変更する方法を解説</t>
        </is>
      </c>
      <c r="C309" s="6" t="inlineStr">
        <is>
          <t>https://dym.asia/media/line-official-fee/</t>
        </is>
      </c>
      <c r="D309" s="47" t="inlineStr">
        <is>
          <t>ライン公式アカウント 費用</t>
        </is>
      </c>
      <c r="E309" s="35" t="n">
        <v>1</v>
      </c>
      <c r="F309" s="36" t="n">
        <v>14.18421052631579</v>
      </c>
      <c r="G309" s="47" t="inlineStr">
        <is>
          <t>なし</t>
        </is>
      </c>
      <c r="H309" s="47" t="inlineStr">
        <is>
          <t>可</t>
        </is>
      </c>
      <c r="I309" s="10" t="inlineStr">
        <is>
          <t>Q: LINE公式アカウントの料金プランは、どのように選ぶのが最適ですか？
A: 料金プランは、「月に配信したいメッセージの通数」と「友だちの人数」を基に選ぶのが最適です。まず、現状または目標とする友だちの人数に対し、週に何回メッセージを配信するかを計算し、必要な総メッセージ通数を割り出します。友だちが少ない段階やメッセージ配信が少ない企業は無料プランやライトプランから始め、友だちが増え配信回数を増やしたい場合はスタンダードプランへと移行することで、無駄なコストを抑えられます。ぜひお問い合わせください。
お問い合わせ先はこちら↓
https://dym.asia/contact/
Q: LINE公式アカウントの無料プラン（コミュニケーションプラン）では、どのような機能が制限されますか？
"A: 無料プランは毎月のメッセージ無料通数に上限（例：1,000通）がありますが、主要な機能自体は有料プランとほぼ同等に使えます。具体的には、チャット機能、応答メッセージ、ショップカード、リッチメニューなどの機能は利用可能です。ただし、無料通数を超過するとメッセージが配信できなくなる点が大きな違いです。本格的な販促活動や大規模な友だちへのアプローチを考えている場合は、有料プランへの切り替えが必要です。
Q: 有料プランで契約したメッセージ通数を使い切ってしまった場合、追加でメッセージを配信することはできますか？
A: はい、可能です。スタンダードプランの場合、無料メッセージ通数を超過した分については、従量課金（追加メッセージ料金）を支払うことで配信を継続できます。ただし、追加料金はプランによって単価が定められており、通数が増えるほど総額が高くなります。予算を大幅に超えないよう、事前に必要な配信通数を正確に見積もることや、セグメント配信（ターゲットを絞った配信）を活用して、メッセージを最適化することが重要です。</t>
        </is>
      </c>
      <c r="J309" s="47" t="n"/>
      <c r="K309" s="47" t="inlineStr">
        <is>
          <t>要修正</t>
        </is>
      </c>
      <c r="L309" s="47" t="inlineStr">
        <is>
          <t>未確認</t>
        </is>
      </c>
      <c r="M309" s="47" t="inlineStr">
        <is>
          <t>未依頼</t>
        </is>
      </c>
      <c r="N309" s="47" t="inlineStr">
        <is>
          <t>クリニック以外</t>
        </is>
      </c>
      <c r="O309" s="47" t="n"/>
      <c r="P309" s="47" t="n"/>
      <c r="Q309" s="47" t="n"/>
      <c r="R309" s="47" t="n"/>
    </row>
    <row r="310" ht="15.75" customHeight="1" s="185">
      <c r="A310" s="52">
        <f>row()-3</f>
        <v/>
      </c>
      <c r="B310" s="46" t="inlineStr">
        <is>
          <t>【スマホ・PC別】LINE公式アカウントにログインする方法｜対処法も解説</t>
        </is>
      </c>
      <c r="C310" s="10" t="inlineStr">
        <is>
          <t>https://dym.asia/media/line-official-login/</t>
        </is>
      </c>
      <c r="D310" s="47" t="inlineStr">
        <is>
          <t>公式ライン ログイン</t>
        </is>
      </c>
      <c r="E310" s="35" t="n">
        <v>1</v>
      </c>
      <c r="F310" s="36" t="n">
        <v>25</v>
      </c>
      <c r="G310" s="47" t="inlineStr">
        <is>
          <t>なし</t>
        </is>
      </c>
      <c r="H310" s="47" t="inlineStr">
        <is>
          <t>可</t>
        </is>
      </c>
      <c r="I310" s="47" t="inlineStr">
        <is>
          <t>Q: LINE公式アカウントの管理画面にログインできません。原因と対処法を教えてください。
A: ログインできない主な原因は、登録メールアドレスやパスワードの入力ミス、またはLINEビジネスIDの認証エラーが考えられます。対処法としては、まず入力情報が正しいか確認し、大文字・小文字の区別に注意してください。パスワードを忘れた場合は、パスワード再設定の手続きを行います。また、「LINEアカウントでログイン」を選択している場合は、個人LINEアカウントの認証状態に問題がないか確認しましょう。ブラウザのキャッシュをクリアすることも有効です。
Q: 複数の担当者で一つのLINE公式アカウントを共同で管理・運用することは可能ですか？
A: はい、可能です。LINE公式アカウントでは、「権限管理機能」を利用して、複数のメンバーを管理者として追加できます。メンバーごとに「管理者」「運用担当者」「運用担当者（制限付き）」「広告管理者」といった異なる権限を付与できるため、役割に応じて操作範囲を制限できます。これにより、セキュリティを保ちながら、複数人でのメッセージ配信、分析、チャット対応などの共同運用が効率的に行えます。
Q: LINE公式アカウントの「LINE ID」と、個人の「LINE ID」は同じものですか？また、どちらをログインに使いますか？
A: 個人のLINEアカウントで使われる「LINE ID」と、LINE公式アカウントで使われる「アカウントID」は異なるものです。LINE公式アカウントにログインする際は、「LINEビジネスID」を使用します。このビジネスIDは、個人のLINEアカウントの情報を利用して作成することもできますし、メールアドレスとパスワードで個別に登録することも可能です。ログイン画面でどちらの方法を選択するかによって使用する情報が異なりますので、事前に設定状況を確認しましょう。</t>
        </is>
      </c>
      <c r="J310" s="47" t="n"/>
      <c r="K310" s="47" t="inlineStr">
        <is>
          <t>要修正</t>
        </is>
      </c>
      <c r="L310" s="47" t="inlineStr">
        <is>
          <t>未確認</t>
        </is>
      </c>
      <c r="M310" s="47" t="inlineStr">
        <is>
          <t>未依頼</t>
        </is>
      </c>
      <c r="N310" s="47" t="inlineStr">
        <is>
          <t>クリニック以外</t>
        </is>
      </c>
      <c r="O310" s="47" t="n"/>
      <c r="P310" s="47" t="n"/>
      <c r="Q310" s="47" t="n"/>
      <c r="R310" s="47" t="n"/>
    </row>
    <row r="311" ht="15.75" customHeight="1" s="185">
      <c r="A311" s="52">
        <f>row()-3</f>
        <v/>
      </c>
      <c r="B311" s="46" t="inlineStr">
        <is>
          <t>LINE公式アカウントのメッセージ配信方法・効果的な送り方を解説</t>
        </is>
      </c>
      <c r="C311" s="6" t="inlineStr">
        <is>
          <t>https://dym.asia/media/line-official-message/</t>
        </is>
      </c>
      <c r="D311" s="47" t="inlineStr">
        <is>
          <t>line公式アカウントにメッセージを送る</t>
        </is>
      </c>
      <c r="E311" s="35" t="n">
        <v>1</v>
      </c>
      <c r="F311" s="36" t="n">
        <v>13.25</v>
      </c>
      <c r="G311" s="47" t="inlineStr">
        <is>
          <t>なし</t>
        </is>
      </c>
      <c r="H311" s="47" t="inlineStr">
        <is>
          <t>可</t>
        </is>
      </c>
      <c r="I311" s="10" t="inlineStr">
        <is>
          <t>Q: LINE公式アカウントで効果的なメッセージを作成するためのポイントは何ですか？
A: 効果的なメッセージ作成のポイントは、「視認性」と「行動喚起」です。まず、メッセージはトーク画面でスクロールせずに読める100文字以内にまとめ、句読点や絵文字を適度に使い視認性を高めます。また、「今すぐチェック」「〇〇限定」といった具体的なCTA（行動喚起）を明確に記載し、リッチメッセージやカードタイプメッセージなど、視覚的に訴えかける形式を活用することで、ユーザーのクリックを促しましょう。
Q: 全ての友だちに一斉配信するのではなく、「セグメント配信」を活用するメリットは何ですか？
A: セグメント配信とは、友だちの属性（性別、年齢、居住地など）や、過去の行動（商品の購入履歴、特定のメッセージへの反応）に基づいてターゲットを絞り込んでメッセージを配信する機能です。最大のメリットは、メッセージの開封率・クリック率の大幅な向上と、ブロック率の低下です。ユーザーにとって自分に関係のある情報のみが届くようになるため、煩わしさが減り、エンゲージメントが高まり、費用対効果の高いメッセージ配信が可能になります。
Q: 配信したメッセージの開封率やクリック率が低い場合、どのような改善策がありますか？
A: 開封率が低い場合は、主に「配信時間」と「メッセージの内容」を見直しましょう。ターゲットユーザーがLINEを最もチェックする時間帯に配信を合わせることが基本です。クリック率が低い場合は、メッセージ内のCTA（行動喚起）が不明確であるか、訴求内容が魅力的ではない可能性が高いです。A/Bテストを行い、件名や導入文、そしてクリエイティブを繰り返し改善し、ユーザーにとって「タップするメリット」を強調することで効果を高めることができます。
ぜひお問い合わせください。
お問い合わせ先はこちら↓
https://dym.asia/contact/</t>
        </is>
      </c>
      <c r="J311" s="47" t="n"/>
      <c r="K311" s="47" t="inlineStr">
        <is>
          <t>要修正</t>
        </is>
      </c>
      <c r="L311" s="47" t="inlineStr">
        <is>
          <t>未確認</t>
        </is>
      </c>
      <c r="M311" s="47" t="inlineStr">
        <is>
          <t>未依頼</t>
        </is>
      </c>
      <c r="N311" s="47" t="inlineStr">
        <is>
          <t>クリニック以外</t>
        </is>
      </c>
      <c r="O311" s="47" t="n"/>
      <c r="P311" s="47" t="n"/>
      <c r="Q311" s="47" t="n"/>
      <c r="R311" s="47" t="n"/>
    </row>
    <row r="312" ht="15.75" customHeight="1" s="185">
      <c r="A312" s="52">
        <f>row()-3</f>
        <v/>
      </c>
      <c r="B312" s="46" t="inlineStr">
        <is>
          <t>LINE公式アカウントの料金プランを紹介！費用を抑えるコツも解説</t>
        </is>
      </c>
      <c r="C312" s="6" t="inlineStr">
        <is>
          <t>https://dym.asia/media/line-official-paid/</t>
        </is>
      </c>
      <c r="D312" s="47" t="inlineStr">
        <is>
          <t>公式line コミュニケーションプラン</t>
        </is>
      </c>
      <c r="E312" s="35" t="n">
        <v>1</v>
      </c>
      <c r="F312" s="36" t="n">
        <v>11.6</v>
      </c>
      <c r="G312" s="47" t="inlineStr">
        <is>
          <t>なし</t>
        </is>
      </c>
      <c r="H312" s="47" t="inlineStr">
        <is>
          <t>可</t>
        </is>
      </c>
      <c r="I312" s="10" t="inlineStr">
        <is>
          <t>Q: 無料プラン（コミュニケーションプラン）から有料プランへ切り替えるべきタイミングはいつですか？
A: 有料プランへ切り替えるべきタイミングは、主に「メッセージの無料通数を毎月超過するようになった時」、または「よりアクティブな販促活動を行いたい時」です。無料プランのメッセージ通数上限に達してしまうと、その月の追加配信ができず機会損失に繋がります。また、「友だちの数が多く、メッセージの開封率や反応率を高めて費用対効果を追求したい」と判断した際も、配信数を気にせず積極的なコミュニケーションを図れる有料プランへの移行が最適です。
Q: LINE公式アカウントの費用対効果（ROI）は、どのように考えれば良いですか？
A: LINE公式アカウントの費用対効果は、「メッセージコスト（CPA）」と「LTV（顧客生涯価値）」を軸に考えます。費用対効果を測定するには、配信コストに対して「どれだけの売上やコンバージョン（CV）を獲得できたか」を計算します。具体的には、「（メッセージ配信費用 ÷ 獲得CV数）＜ 1件のCVがもたらす平均利益」となるかを検証します。また、LINE経由の顧客はリピート率が高い傾向があるため、顧客のLTVを評価に含めることが重要です。ぜひご相談ください。
お問い合わせ先はこちら↓
https://dym.asia/contact/
Q: 有料プラン（ライト・スタンダード）を契約した後、プランを途中で変更することは可能ですか？
A: はい、可能です。LINE公式アカウントの有料プランは、いつでもプランのアップグレード（上位プランへの変更）またはダウングレード（下位プランへの変更）が可能です。ただし、プラン変更を申請するタイミングによって、適用される時期が異なります。一般的に、月の途中でプランをアップグレードした場合はすぐに適用されますが、ダウングレードした場合は翌月からの適用となることが多いため、メッセージ通数の状況や予算計画に応じて、タイミングを見計らって変更手続きを行う必要があります。</t>
        </is>
      </c>
      <c r="J312" s="47" t="n"/>
      <c r="K312" s="47" t="inlineStr">
        <is>
          <t>要修正</t>
        </is>
      </c>
      <c r="L312" s="47" t="inlineStr">
        <is>
          <t>未確認</t>
        </is>
      </c>
      <c r="M312" s="47" t="inlineStr">
        <is>
          <t>未依頼</t>
        </is>
      </c>
      <c r="N312" s="47" t="inlineStr">
        <is>
          <t>クリニック以外</t>
        </is>
      </c>
      <c r="O312" s="47" t="n"/>
      <c r="P312" s="47" t="n"/>
      <c r="Q312" s="47" t="n"/>
      <c r="R312" s="47" t="n"/>
    </row>
    <row r="313" ht="15.75" customHeight="1" s="185">
      <c r="A313" s="52">
        <f>row()-3</f>
        <v/>
      </c>
      <c r="B313" s="46" t="inlineStr">
        <is>
          <t>LINE公式アカウントのリッチメッセージとは？作成するメリットや手順を解説</t>
        </is>
      </c>
      <c r="C313" s="10" t="inlineStr">
        <is>
          <t>https://dym.asia/media/line-official-rich-message/</t>
        </is>
      </c>
      <c r="D313" s="47" t="inlineStr">
        <is>
          <t>line リッチメッセージ</t>
        </is>
      </c>
      <c r="E313" s="35" t="n">
        <v>1</v>
      </c>
      <c r="F313" s="36" t="n">
        <v>17.02857142857143</v>
      </c>
      <c r="G313" s="47" t="inlineStr">
        <is>
          <t>なし</t>
        </is>
      </c>
      <c r="H313" s="47" t="inlineStr">
        <is>
          <t>可</t>
        </is>
      </c>
      <c r="I313" s="10" t="inlineStr">
        <is>
          <t>Q: LINE公式アカウントの「リッチメッセージ」とは何ですか？通常のテキストメッセージと比較したメリットは何ですか？
A: リッチメッセージとは、トークルームの画面全体に画像（または動画）とテキストを組み合わせたメッセージを配信できる機能です。通常のテキストメッセージと比較した最大のメリットは、視覚的な訴求力が非常に高い点です。商品画像やキャンペーン情報を一目で伝えられ、一つのタップで特定のURLへ誘導できるため、クリック率（CTR）やコンバージョン率の向上に大きく貢献します。
Q: 効果的なリッチメッセージを作成するために、画像やデザインで特に注意すべきポイントは何ですか？
A: 効果的なリッチメッセージを作成するためのポイントは、「メッセージの目的を一つに絞る」ことと「視認性の高いデザイン」です。画像を複雑にしすぎず、キャッチコピーとCTA（行動喚起）を明確に記載します。また、画像とリンク領域が分かれているため、ユーザーがどこをタップすれば目的のページに遷移するかを直感的に理解できるデザインにすることが重要です。LINEの推奨サイズを守り、モバイル画面での見え方を必ず確認しましょう。
Q: リッチメッセージの設定や作成は難しいですか？専門的な知識が必要ですか？
A: リッチメッセージの画像作成には、デザインツール（Photoshopなど）またはオンラインの画像編集ツールを用いて、LINEが指定する正確なサイズと分割数の画像を用意する必要があります。配信設定自体は、LINE公式アカウントの管理画面（LINE Official Account Manager）から、作成した画像をアップロードし、対応するリンク先URLを設定するだけなので、比較的簡単に行えます。専門的なプログラミング知識は不要ですが、画像の分割やデザインの知識は必要となります。ぜひお問い合わせください。
お問い合わせ先はこちら↓
https://dym.asia/contact/</t>
        </is>
      </c>
      <c r="J313" s="47" t="n"/>
      <c r="K313" s="47" t="inlineStr">
        <is>
          <t>要修正</t>
        </is>
      </c>
      <c r="L313" s="47" t="inlineStr">
        <is>
          <t>未確認</t>
        </is>
      </c>
      <c r="M313" s="47" t="inlineStr">
        <is>
          <t>未依頼</t>
        </is>
      </c>
      <c r="N313" s="47" t="inlineStr">
        <is>
          <t>クリニック以外</t>
        </is>
      </c>
      <c r="O313" s="47" t="n"/>
      <c r="P313" s="47" t="n"/>
      <c r="Q313" s="47" t="n"/>
      <c r="R313" s="47" t="n"/>
    </row>
    <row r="314" ht="15.75" customHeight="1" s="185">
      <c r="A314" s="52">
        <f>row()-3</f>
        <v/>
      </c>
      <c r="B314" s="46" t="inlineStr">
        <is>
          <t>LINE公式アカウントを検索する方法を解説｜友だち数を増やすポイントも紹介！</t>
        </is>
      </c>
      <c r="C314" s="6" t="inlineStr">
        <is>
          <t>https://dym.asia/media/line-official-search/</t>
        </is>
      </c>
      <c r="D314" s="47" t="inlineStr">
        <is>
          <t>line 公式アカウント 探し方</t>
        </is>
      </c>
      <c r="E314" s="35" t="n">
        <v>1</v>
      </c>
      <c r="F314" s="36" t="n">
        <v>2.094594594594595</v>
      </c>
      <c r="G314" s="47" t="inlineStr">
        <is>
          <t>なし</t>
        </is>
      </c>
      <c r="H314" s="47" t="inlineStr">
        <is>
          <t>可</t>
        </is>
      </c>
      <c r="I314" s="10" t="inlineStr">
        <is>
          <t>Q: LINE公式アカウントの「認証済みアカウント」とは何ですか？未認証アカウントと比較したメリットは何ですか？
A: 認証済みアカウントとは、LINEの審査を通過し、LINEヤフー社によって公式に認められたアカウントです。未認証アカウントと比較した最大のメリットは、LINEアプリ内の検索結果に表示されるようになるため、新規の友だちを獲得する機会が大幅に増える点です。また、緑色のバッジが付与され、ユーザーからの信頼性が向上するほか、支払い方法の選択肢が広がるなどの特典もあります。
Q: 認証済みアカウントを取得した後、LINE内の検索結果で上位表示させるための具体的な対策は何ですか？
A: LINE内の検索結果で上位表示を目指すためには、「アカウント名」と「プロフィール」の最適化が重要です。アカウント名には、ユーザーが検索しそうなキーワード（例：地域名、サービス名、業種）を含めるようにしましょう。また、プロフィールの情報（業種、所在地、サービス内容）を網羅的かつ正確に記載することで、LINEの検索エンジンがアカウントの内容を正しく理解し、関連性の高い検索で表示されやすくなります。ぜひお問い合わせください。
お問い合わせ先はこちら↓
https://dym.asia/contact/ 
Q: LINE公式アカウントには他にどのようなアカウントの種類がありますか？
A: LINE公式アカウントは、主に3種類に分類されます。「未認証アカウント」は誰でも無料で開設できるアカウントです。「認証済みアカウント」はLINEの審査を通過した、緑色のバッジ付きのアカウントです。さらに、「プレミアムアカウント」は、特に著名な企業やブランドに対して付与されるもので、紺色のバッジが付きます。基本機能は認証済みアカウントと同じですが、極めて高い信頼性と認知度を示すことが可能です。</t>
        </is>
      </c>
      <c r="J314" s="47" t="n"/>
      <c r="K314" s="47" t="inlineStr">
        <is>
          <t>要修正</t>
        </is>
      </c>
      <c r="L314" s="47" t="inlineStr">
        <is>
          <t>未確認</t>
        </is>
      </c>
      <c r="M314" s="47" t="inlineStr">
        <is>
          <t>未依頼</t>
        </is>
      </c>
      <c r="N314" s="47" t="inlineStr">
        <is>
          <t>クリニック以外</t>
        </is>
      </c>
      <c r="O314" s="47" t="n"/>
      <c r="P314" s="47" t="n"/>
      <c r="Q314" s="47" t="n"/>
      <c r="R314" s="47" t="n"/>
    </row>
    <row r="315" ht="15.75" customHeight="1" s="185">
      <c r="A315" s="52">
        <f>row()-3</f>
        <v/>
      </c>
      <c r="B315" s="46" t="inlineStr">
        <is>
          <t>LINE運用代行に依頼できる業務は？費用の目安や選び方のポイントなども解説</t>
        </is>
      </c>
      <c r="C315" s="6" t="inlineStr">
        <is>
          <t>https://dym.asia/media/line-operation/</t>
        </is>
      </c>
      <c r="D315" s="47" t="inlineStr">
        <is>
          <t>line 運用代行</t>
        </is>
      </c>
      <c r="E315" s="35" t="n">
        <v>1</v>
      </c>
      <c r="F315" s="36" t="n">
        <v>74.88695652173914</v>
      </c>
      <c r="G315" s="47" t="inlineStr">
        <is>
          <t>なし</t>
        </is>
      </c>
      <c r="H315" s="47" t="inlineStr">
        <is>
          <t>可</t>
        </is>
      </c>
      <c r="I315" s="10" t="inlineStr">
        <is>
          <t>Q: LINE公式アカウントの「友だち」を効率的に増やすための具体的な方法は何ですか？
A: 友だちを効率的に増やすには、オンラインとオフラインの両面からアプローチすることが重要です。オンラインでは、Webサイトのトップページやフッターに友だち追加ボタンを設置し、SNSやメルマガで定期的に告知します。オフラインでは、店舗のポスターやレジ横にQRコードを設置し、友だち追加特典（クーポンや割引など）を提供することが最も効果的です。特に特典は、ユーザーが追加する動機付けとなり、非常に高い効果を発揮します。
Q: メッセージ配信による「ブロック率」が高い場合、どのような対策をすべきですか？
A: ブロック率が高い最大の原因は、「ユーザーにとって不要・無関係なメッセージの頻繁な配信」です。対策としては、配信頻度を適切なレベルに調整することと、セグメント配信を徹底することが重要です。ユーザーの属性や興味、購入履歴に基づいてメッセージを絞り込み、一人ひとりにパーソナライズされた価値ある情報のみを届けるように改善します。また、リッチメニューで「通知設定」のカスタマイズを可能にするなど、ユーザー自身で情報の取捨選択ができる仕組みを提供することも有効です。
Q: LINE公式アカウントの運用効果を測定するには、どの指標を分析すべきですか？
A: 運用効果を測定するには、主に「友だち追加数」「ブロック率」「メッセージ開封率」「メッセージ経由のCVR（コンバージョン率）」の4つの指標を分析すべきです。特に、メッセージ経由のCVRは、メッセージの費用対効果を直接的に測る指標となります。これらの指標を定期的に計測し、どの施策が友だち増加に繋がったか、どのメッセージが売上に貢献したかを明確にすることで、次の運用改善に活かすことができます。お気軽にお問い合わせください。
お問い合わせ先はこちら↓
https://dym.asia/contact/</t>
        </is>
      </c>
      <c r="J315" s="47" t="n"/>
      <c r="K315" s="47" t="inlineStr">
        <is>
          <t>OK</t>
        </is>
      </c>
      <c r="L315" s="47" t="inlineStr">
        <is>
          <t>未確認</t>
        </is>
      </c>
      <c r="M315" s="47" t="inlineStr">
        <is>
          <t>未依頼</t>
        </is>
      </c>
      <c r="N315" s="47" t="inlineStr">
        <is>
          <t>クリニック以外</t>
        </is>
      </c>
      <c r="O315" s="47" t="n"/>
      <c r="P315" s="47" t="n"/>
      <c r="Q315" s="47" t="n"/>
      <c r="R315" s="47" t="n"/>
    </row>
    <row r="316" ht="15.75" customHeight="1" s="185">
      <c r="A316" s="52">
        <f>row()-3</f>
        <v/>
      </c>
      <c r="B316" s="46" t="inlineStr">
        <is>
          <t>リスティング広告の種類は？主要媒体の違いや特徴を解説</t>
        </is>
      </c>
      <c r="C316" s="6" t="inlineStr">
        <is>
          <t>https://dym.asia/media/listing-ads-type/</t>
        </is>
      </c>
      <c r="D316" s="47" t="inlineStr">
        <is>
          <t>リスティング広告 種類</t>
        </is>
      </c>
      <c r="E316" s="35" t="n">
        <v>1</v>
      </c>
      <c r="F316" s="36" t="n">
        <v>30.98663426488457</v>
      </c>
      <c r="G316" s="47" t="inlineStr">
        <is>
          <t>なし</t>
        </is>
      </c>
      <c r="H316" s="47" t="inlineStr">
        <is>
          <t>可</t>
        </is>
      </c>
      <c r="I316" s="40" t="inlineStr">
        <is>
          <t>Q: リスティング広告とは何ですか？他のWeb広告と比較した際の最大のメリットは何ですか？
A: リスティング広告とは、GoogleやYahoo!などの検索エンジンの検索結果ページに表示されるテキスト形式の広告のことです。最大のメリットは、顕在層（すでに商品やサービスを必要として検索しているユーザー）にアプローチできる点です。そのため、クリックやコンバージョン（CV）に繋がりやすく、費用対効果が高い傾向があります。ユーザーが自ら情報を探しているタイミングで広告を表示できるため、高い成約率が期待できます。
Q: リスティング広告の主要な種類である「検索広告」と「ディスプレイ広告」の違いは何ですか？
A: 検索広告は、ユーザーが検索したキーワードに応じて、検索結果ページにテキスト形式で表示される広告です。明確なニーズを持つユーザーにリーチできます。一方、ディスプレイ広告は、Webサイトやアプリの広告枠に、画像や動画形式で表示される広告です。ターゲティング設定（年齢、興味・関心など）に基づいて配信され、潜在顧客層への認知拡大やリターゲティングに効果的です。目的によって使い分けや併用が推奨されます。
Q: 自社の商品・サービスに最適なリスティング広告の種類を選ぶための判断基準は何ですか？
A: 最適な広告の種類を選ぶ判断基準は、「広告の目的」と「顧客の購買フェーズ」です。「いますぐ購入してほしい」「資料請求してほしい」など具体的なコンバージョンが目的なら、検索広告を選びます。一方、「新しい商品やブランドの認知度を高めたい」「まだニーズが顕在化していない層にアプローチしたい」場合は、ディスプレイ広告が適しています。フェーズに応じて両者を使い分け、例えばディスプレイ広告で認知を広げた後、検索広告で刈り取るという戦略も有効です。ぜひお問い合わせください。
お問い合わせ先はこちら↓
https://dym.asia/contact/</t>
        </is>
      </c>
      <c r="J316" s="47" t="n"/>
      <c r="K316" s="47" t="inlineStr">
        <is>
          <t>要修正</t>
        </is>
      </c>
      <c r="L316" s="47" t="inlineStr">
        <is>
          <t>未確認</t>
        </is>
      </c>
      <c r="M316" s="47" t="inlineStr">
        <is>
          <t>未依頼</t>
        </is>
      </c>
      <c r="N316" s="47" t="inlineStr">
        <is>
          <t>クリニック以外</t>
        </is>
      </c>
      <c r="O316" s="47" t="n"/>
      <c r="P316" s="47" t="n"/>
      <c r="Q316" s="47" t="n"/>
      <c r="R316" s="47" t="n"/>
    </row>
    <row r="317" ht="15.75" customHeight="1" s="185">
      <c r="A317" s="52">
        <f>row()-3</f>
        <v/>
      </c>
      <c r="B317" s="46" t="inlineStr">
        <is>
          <t>ディスプレイ広告とは？運用メリットとリスティング広告との違いを解説</t>
        </is>
      </c>
      <c r="C317" s="6" t="inlineStr">
        <is>
          <t>https://dym.asia/media/listing-display-ads/</t>
        </is>
      </c>
      <c r="D317" s="47" t="inlineStr">
        <is>
          <t>ディスプレイ広告 リスティング広告 違い</t>
        </is>
      </c>
      <c r="E317" s="35" t="n">
        <v>1</v>
      </c>
      <c r="F317" s="36" t="n">
        <v>14.45128205128205</v>
      </c>
      <c r="G317" s="47" t="inlineStr">
        <is>
          <t>なし</t>
        </is>
      </c>
      <c r="H317" s="47" t="inlineStr">
        <is>
          <t>可</t>
        </is>
      </c>
      <c r="I317" s="10" t="inlineStr">
        <is>
          <t>Q: リスティング広告とディスプレイ広告の、顧客へのアプローチにおける決定的な違いは何ですか？
A: 決定的な違いは、顧客のニーズの顕在度です。リスティング広告（検索連動型広告）は、ユーザーが能動的にキーワードを検索したタイミングで表示されるため、購買意欲の高い「顕在層」にアプローチします。一方、ディスプレイ広告は、Webサイトやアプリの閲覧中に受動的に表示されるため、まだニーズが明確でない「潜在層」への認知拡大や、離脱したユーザーへのリターゲティングに主に活用されます。
Q: リスティング広告とディスプレイ広告を組み合わせて運用する、効果的な戦略はありますか？
A: はい、両者を連携させることで、顧客の購買ファネル全体をカバーする効果的な戦略が可能です。具体的には、ディスプレイ広告で幅広い潜在層に認知を広げ、興味を持たせた後に、リスティング広告で顕在化したニーズを刈り取るという流れが基本です。また、リスティング広告をクリックしたものの購入に至らなかったユーザーに対し、ディスプレイ広告でリターゲティング配信を行うことで、コンバージョン率を高めることができます。ぜひお問い合わせください。
お問い合わせ先はこちら↓
https://dym.asia/contact/ 
Q: リスティング広告とディスプレイ広告では、どちらの方が費用対効果（ROI）が高い傾向がありますか？
A: 一般的に、リスティング広告の方が費用対効果（コンバージョン単価CPA）が高い傾向があります。これは、リスティング広告がすでに購買意欲の高い顕在層をターゲットにしているため、クリックからコンバージョンに至る確率が高いからです。ただし、ディスプレイ広告はCPAは高くなりがちですが、認知拡大やブランドリフトといった間接的な効果が大きく、将来的な売上に繋がる重要な役割を持っています。目的に応じてROIの測定基準を変える必要があります。</t>
        </is>
      </c>
      <c r="J317" s="47" t="n"/>
      <c r="K317" s="47" t="inlineStr">
        <is>
          <t>OK</t>
        </is>
      </c>
      <c r="L317" s="47" t="inlineStr">
        <is>
          <t>未確認</t>
        </is>
      </c>
      <c r="M317" s="47" t="inlineStr">
        <is>
          <t>未依頼</t>
        </is>
      </c>
      <c r="N317" s="47" t="inlineStr">
        <is>
          <t>クリニック以外</t>
        </is>
      </c>
      <c r="O317" s="47" t="n"/>
      <c r="P317" s="47" t="n"/>
      <c r="Q317" s="47" t="n"/>
      <c r="R317" s="47" t="n"/>
    </row>
    <row r="318" ht="15.75" customHeight="1" s="185">
      <c r="A318" s="52">
        <f>row()-3</f>
        <v/>
      </c>
      <c r="B318" s="46" t="inlineStr">
        <is>
          <t>リスティング広告とは？仕組みや費用、運用のコツやメリット・デメリットを解説！</t>
        </is>
      </c>
      <c r="C318" s="6" t="inlineStr">
        <is>
          <t>https://dym.asia/media/listing_advertisement/</t>
        </is>
      </c>
      <c r="D318" s="47" t="inlineStr">
        <is>
          <t>リスティング広告</t>
        </is>
      </c>
      <c r="E318" s="35" t="n">
        <v>1</v>
      </c>
      <c r="F318" s="36" t="n">
        <v>37.33539094650206</v>
      </c>
      <c r="G318" s="47" t="inlineStr">
        <is>
          <t>なし</t>
        </is>
      </c>
      <c r="H318" s="47" t="inlineStr">
        <is>
          <t>可</t>
        </is>
      </c>
      <c r="I318" s="10" t="inlineStr">
        <is>
          <t>Q: リスティング広告（検索広告）の最大のメリットとデメリットは何ですか？
A: リスティング広告の最大のメリットは、顧客のニーズが顕在化したタイミング（検索時）に広告を表示できるため、高いコンバージョン率（CVR）が期待でき、費用対効果が高い点です。また、予算やキーワード設定を柔軟に調整でき、効果測定も容易です。一方、デメリットは、検索ボリューム以上のリーチは不可能であり、潜在顧客層への認知拡大には不向きな点です。また、競合が多くなるとクリック単価（CPC）が高騰しやすいという側面もあります。
Q: リスティング広告の出稿を検討してから、実際に広告が配信されるまで、どれくらいの期間が必要ですか？
A: 広告の出稿準備期間は、アカウントの開設状況やクリエイティブ（広告文）の準備状況によって異なりますが、一般的に最短で数日〜1週間程度で配信を開始できます。具体的には、アカウント開設、支払い方法設定、キーワード選定、広告文作成、そして広告媒体（Google/Yahoo!）による審査のプロセスが必要です。審査に時間がかかる場合もあるため、余裕を持って準備することが推奨されます。
Q: リスティング広告の運用効果を測定するために、特に重要なKPI（指標）は何ですか？
A: 運用効果を測るために最も重要なKPIは、CPA（Cost Per Acquisition：顧客獲得単価）とCVR（Conversion Rate：コンバージョン率）です。CPAは「広告費用 ÷ コンバージョン数」で算出し、目標とする獲得単価内に収まっているかをチェックします。CVRは「コンバージョン数 ÷ クリック数」で算出し、広告が効率的に成果に繋がっているかを確認します。その他、インプレッション（表示回数）やCTR（クリック率）も、広告の認知度や魅力度を測る上で重要です。ぜひお問い合わせください。
お問い合わせ先はこちら↓
https://dym.asia/contact/</t>
        </is>
      </c>
      <c r="J318" s="47" t="n"/>
      <c r="K318" s="47" t="inlineStr">
        <is>
          <t>OK</t>
        </is>
      </c>
      <c r="L318" s="47" t="inlineStr">
        <is>
          <t>未確認</t>
        </is>
      </c>
      <c r="M318" s="47" t="inlineStr">
        <is>
          <t>未依頼</t>
        </is>
      </c>
      <c r="N318" s="47" t="inlineStr">
        <is>
          <t>クリニック以外</t>
        </is>
      </c>
      <c r="O318" s="47" t="n"/>
      <c r="P318" s="47" t="n"/>
      <c r="Q318" s="47" t="n"/>
      <c r="R318" s="47" t="n"/>
    </row>
    <row r="319" ht="15.75" customHeight="1" s="185">
      <c r="A319" s="52">
        <f>row()-3</f>
        <v/>
      </c>
      <c r="B319" s="46" t="inlineStr">
        <is>
          <t>ロジックツリーとは？種類・活用メリット・作り方のポイントを解説</t>
        </is>
      </c>
      <c r="C319" s="6" t="inlineStr">
        <is>
          <t>https://dym.asia/media/logic-tree/</t>
        </is>
      </c>
      <c r="D319" s="47" t="inlineStr">
        <is>
          <t>ロジックツリー メリット</t>
        </is>
      </c>
      <c r="E319" s="35" t="n">
        <v>1</v>
      </c>
      <c r="F319" s="36" t="n">
        <v>5.729166666666667</v>
      </c>
      <c r="G319" s="47" t="inlineStr">
        <is>
          <t>なし</t>
        </is>
      </c>
      <c r="H319" s="47" t="inlineStr">
        <is>
          <t>可</t>
        </is>
      </c>
      <c r="I319" s="10" t="inlineStr">
        <is>
          <t>Q: ロジックツリーとは何ですか？ビジネスにおける主な目的は何ですか？
A: ロジックツリーとは、複雑な問題や目標を、要素ごとに分解し、ツリー（木）の枝のように階層的に図式化する思考ツールです。ビジネスにおける主な目的は、問題の真の原因を特定すること（原因究明ツリー）や、目標達成のための具体的な施策を漏れなく洗い出すこと（要素分解ツリー）です。これにより、論理的な構造に基づいて議論を進め、効果的で実行可能な解決策を導き出すことが可能になります。ぜひお問い合わせください。
お問い合わせ先はこちら↓
https://dym.asia/contact/
Q: ロジックツリー作成において「MECE（ミーシー）」が重要とされるのはなぜですか？
A: MECE（Mutually Exclusive and Collectively Exhaustive：モレなく、ダブリなく）は、ロジックツリーの各階層における要素の分解の正確性を担保するための原則です。MECEが守られていないと、問題の原因や解決策の候補にモレが生じ、最適な結論に至らないリスクがあります。また、ダブリがあると、同じ要素について何度も議論することになり、非効率になります。MECEは、論理的な思考を構造化する上での品質基準として非常に重要です。
Q: 初めてロジックツリーを作成する際、どのような手順で進めるのが効果的ですか？
A: ロジックツリーの作成は、通常、以下の手順で進めます。1. 最上位に設定するテーマ（問題や目標）を明確にする。 2. そのテーマを構成する主要な要素をMECEを意識して分解する。 3. 分解された各要素を、さらに具体的なレベルまで掘り下げていく。 この際、「なぜ？」（原因）や「どうすれば？」（解決策）を問い続けながら分解することで、表面的な事象ではなく、本質的な要因や具体的なアクションに行き着くことができ、効果的なツリーが完成します。</t>
        </is>
      </c>
      <c r="J319" s="47" t="n"/>
      <c r="K319" s="47" t="inlineStr">
        <is>
          <t>要修正</t>
        </is>
      </c>
      <c r="L319" s="47" t="inlineStr">
        <is>
          <t>未確認</t>
        </is>
      </c>
      <c r="M319" s="47" t="inlineStr">
        <is>
          <t>未依頼</t>
        </is>
      </c>
      <c r="N319" s="47" t="inlineStr">
        <is>
          <t>クリニック以外</t>
        </is>
      </c>
      <c r="O319" s="47" t="n"/>
      <c r="P319" s="47" t="n"/>
      <c r="Q319" s="47" t="n"/>
      <c r="R319" s="47" t="n"/>
    </row>
    <row r="320" ht="15.75" customHeight="1" s="185">
      <c r="A320" s="52">
        <f>row()-3</f>
        <v/>
      </c>
      <c r="B320" s="46" t="inlineStr">
        <is>
          <t>M&amp;Aコンサルティングとは？アドバイザリーとの違いや業務内容、企業の選び方まで解説</t>
        </is>
      </c>
      <c r="C320" s="6" t="inlineStr">
        <is>
          <t>https://dym.asia/media/ma_consulting/</t>
        </is>
      </c>
      <c r="D320" s="47" t="inlineStr">
        <is>
          <t>dym m&amp;aコンサルティング</t>
        </is>
      </c>
      <c r="E320" s="35" t="n">
        <v>1</v>
      </c>
      <c r="F320" s="36" t="n">
        <v>10</v>
      </c>
      <c r="G320" s="47" t="inlineStr">
        <is>
          <t>なし</t>
        </is>
      </c>
      <c r="H320" s="47" t="inlineStr">
        <is>
          <t>可</t>
        </is>
      </c>
      <c r="I320" s="10" t="inlineStr">
        <is>
          <t>Q: M&amp;Aコンサルタント（アドバイザー）に依頼する主な役割とメリットは何ですか？
A: M&amp;Aコンサルタントの主な役割は、M&amp;Aの戦略立案から相手企業の選定（ソーシング）、企業価値評価（バリュエーション）、交渉のサポート、そして最終契約締結までの一連の手続きを専門的に支援することです。メリットは、専門家が介入することでM&amp;Aの成功確率が大幅に向上し、企業価値を最大化できる点、また、機密情報を守りながらスムーズにプロセスを進められる点にあります。
Q: M&amp;Aコンサルタントに依頼する際のデメリットや注意すべき点は何ですか？
A: デメリットとして、まずコンサルティング費用（報酬）が発生する点が挙げられます。特にM&amp;Aが成立しなくても発生する着手金や中間金の有無を確認する必要があります。注意点としては、コンサルタントの得意分野や過去の実績が、自社のM&amp;Aの目的（例：事業承継、事業拡大）と合致しているかを見極めることが重要です。また、担当者との相性も長期のプロジェクトを成功させる上で不可欠です。
Q: M&amp;Aコンサルティングの報酬体系にはどのような種類がありますか？相場はどれくらいですか？
A: M&amp;Aコンサルティングの報酬体系は、主に「成功報酬」が中心です。これは、M&amp;Aが成立した場合にのみ発生する報酬で、レーマン方式という計算方法（取引金額に応じて一定の料率を乗じる）が一般的です。その他、着手金（契約時に発生）、月額の顧問料（リテイナーフィー）、中間金（基本合意時に発生）などが組み合わされることがあります。相場はM&amp;Aの規模や難易度、依頼する会社によって大きく異なりますが、フィー体系を事前に明確に確認することが重要です。ぜひお問い合わせください。
お問い合わせ先はこちら↓
https://dym.asia/contact/</t>
        </is>
      </c>
      <c r="J320" s="47" t="n"/>
      <c r="K320" s="47" t="inlineStr">
        <is>
          <t>要修正</t>
        </is>
      </c>
      <c r="L320" s="47" t="inlineStr">
        <is>
          <t>未確認</t>
        </is>
      </c>
      <c r="M320" s="47" t="inlineStr">
        <is>
          <t>未依頼</t>
        </is>
      </c>
      <c r="N320" s="47" t="inlineStr">
        <is>
          <t>クリニック以外</t>
        </is>
      </c>
      <c r="O320" s="47" t="n"/>
      <c r="P320" s="47" t="n"/>
      <c r="Q320" s="47" t="n"/>
      <c r="R320" s="47" t="n"/>
    </row>
    <row r="321" ht="15.75" customHeight="1" s="185">
      <c r="A321" s="52">
        <f>row()-3</f>
        <v/>
      </c>
      <c r="B321" s="46" t="inlineStr">
        <is>
          <t>マネジメントの本質と実践：効果的な組織運営のための包括的ガイド</t>
        </is>
      </c>
      <c r="C321" s="6" t="inlineStr">
        <is>
          <t>https://dym.asia/media/management/</t>
        </is>
      </c>
      <c r="D321" s="47" t="inlineStr">
        <is>
          <t>マネジメント 本質</t>
        </is>
      </c>
      <c r="E321" s="35" t="n">
        <v>1</v>
      </c>
      <c r="F321" s="36" t="n">
        <v>11.91304347826087</v>
      </c>
      <c r="G321" s="47" t="inlineStr">
        <is>
          <t>なし</t>
        </is>
      </c>
      <c r="H321" s="47" t="inlineStr">
        <is>
          <t>可</t>
        </is>
      </c>
      <c r="I321" s="47" t="inlineStr">
        <is>
          <t>Q: ビジネスにおける「マネジメント」とは具体的に何を指し、管理職の主な役割は何ですか？
A: マネジメントとは、組織の目標を達成するために、ヒト・モノ・カネ・情報といった資源を効率的かつ効果的に活用し、組織を運営・管理することを指します。管理職の主な役割は、計画（Plan）、実行（Do）、評価（Check）、改善（Action）というPDCAサイクルを回すこと、そしてメンバーの能力を最大限に引き出し、目標達成に向けた道筋を明確に提示し、サポートすることです。
Q: マネジメントとリーダーシップは、どのように使い分けられるべき概念ですか？
A: マネジメントは「組織やリソースを管理し、目標を達成する仕組みを作ること」に焦点を当てた概念です。一方、リーダーシップは、「メンバーの価値観や行動に影響を与え、目標に向けて自発的に動機づけ、方向づけを行うこと」に焦点を当てた概念です。優れた組織運営には、目標達成のための論理的な仕組み（マネジメント）と、メンバーを鼓舞し導く力（リーダーシップ）の両方が不可欠であり、管理職は両方のスキルをバランス良く発揮することが求められます。
Q: 現代の企業において、マネジメント層が直面している主な課題は何ですか？
A: 現代のマネジメント層が直面する大きな課題は、「働き方の多様化（リモートワークなど）への対応」と「多様なメンバーのマネジメント（ダイバーシティ）」です。特に、メンバーの顔が見えにくいリモート環境下では、適切なコミュニケーション頻度と質を維持し、進捗や成果を可視化する仕組みが求められます。また、個々の価値観やキャリア観が異なるメンバーに対し、公平かつ個々に合わせたモチベーション管理や育成を行うことが重要となっています。</t>
        </is>
      </c>
      <c r="J321" s="47" t="n"/>
      <c r="K321" s="47" t="inlineStr">
        <is>
          <t>OK</t>
        </is>
      </c>
      <c r="L321" s="47" t="inlineStr">
        <is>
          <t>未確認</t>
        </is>
      </c>
      <c r="M321" s="47" t="inlineStr">
        <is>
          <t>未依頼</t>
        </is>
      </c>
      <c r="N321" s="47" t="inlineStr">
        <is>
          <t>クリニック以外</t>
        </is>
      </c>
      <c r="O321" s="47" t="n"/>
      <c r="P321" s="47" t="n"/>
      <c r="Q321" s="47" t="n"/>
      <c r="R321" s="47" t="n"/>
    </row>
    <row r="322" ht="15.75" customHeight="1" s="185">
      <c r="A322" s="52">
        <f>row()-3</f>
        <v/>
      </c>
      <c r="B322" s="46" t="inlineStr">
        <is>
          <t>マネージャー研修の効果とおすすめマネジメントスキル向上法</t>
        </is>
      </c>
      <c r="C322" s="10" t="inlineStr">
        <is>
          <t>https://dym.asia/media/manager-training/</t>
        </is>
      </c>
      <c r="D322" s="47" t="inlineStr">
        <is>
          <t>マネージャー トレーニング</t>
        </is>
      </c>
      <c r="E322" s="35" t="n">
        <v>1</v>
      </c>
      <c r="F322" s="36" t="n">
        <v>1.743589743589744</v>
      </c>
      <c r="G322" s="47" t="inlineStr">
        <is>
          <t>なし</t>
        </is>
      </c>
      <c r="H322" s="47" t="inlineStr">
        <is>
          <t>可</t>
        </is>
      </c>
      <c r="I322" s="47" t="inlineStr">
        <is>
          <t>Q: 管理職研修を実施する主な目的と、研修で習得すべき具体的なスキルは何ですか？
A: 管理職研修の主な目的は、組織の目標達成に必要な「マネジメント能力」を体系的に習得させることです。習得すべき具体的なスキルは多岐にわたりますが、目標設定と進捗管理（PDCA）、部下に対する適切な評価とフィードバック、ハラスメント防止を含むコンプライアンス知識、そしてチーム内のコミュニケーション円滑化などが特に重要です。これらのスキルを通じて、管理職はチームの生産性を最大化することが求められます。
Q: 管理職研修で学ぶ「マネジメント」は、「リーダーシップ」研修とどう違うのですか？
A: マネジメントは、「組織のリソース（ヒト・モノ・カネ）を効率的に管理し、目標を達成するための仕組みを運用する」ことに重点を置いた概念です。一方、リーダーシップは、「ビジョンを提示し、メンバーを鼓舞して自発的な行動を促し、組織を牽引する」ことに重点を置いた概念です。管理職研修では、両方の能力をバランスよく習得することが求められますが、特に「管理・運用」の側面を強化する点がマネジメント研修の特徴です。
Q: 管理職研修の効果を測定し、費用対効果を評価するには、どうすれば良いですか？
A: 研修効果の測定には、受講者の「行動変容」と「組織への影響」を評価します。具体的には、研修前後の部下からの評価（360度評価）でマネジメント行動の変化を確認したり、研修で学んだ内容が実際の業務で実践されているかを上司が評価します。最終的には、研修受講後のチームの生産性、離職率、部下のエンゲージメントスコアといった具体的な業績指標の改善に繋がっているかを検証し、費用対効果を評価します。</t>
        </is>
      </c>
      <c r="J322" s="47" t="n"/>
      <c r="K322" s="47" t="inlineStr">
        <is>
          <t>OK</t>
        </is>
      </c>
      <c r="L322" s="47" t="inlineStr">
        <is>
          <t>未確認</t>
        </is>
      </c>
      <c r="M322" s="47" t="inlineStr">
        <is>
          <t>未依頼</t>
        </is>
      </c>
      <c r="N322" s="47" t="inlineStr">
        <is>
          <t>クリニック以外</t>
        </is>
      </c>
      <c r="O322" s="47" t="n"/>
      <c r="P322" s="47" t="n"/>
      <c r="Q322" s="47" t="n"/>
      <c r="R322" s="47" t="n"/>
    </row>
    <row r="323" ht="15.75" customHeight="1" s="185">
      <c r="A323" s="52">
        <f>row()-3</f>
        <v/>
      </c>
      <c r="B323" s="46" t="inlineStr">
        <is>
          <t>マーケター採用はなぜ難しい？優秀な人材を見抜くポイントと採用方法</t>
        </is>
      </c>
      <c r="C323" s="10" t="inlineStr">
        <is>
          <t>https://dym.asia/media/marketer-recruitement/</t>
        </is>
      </c>
      <c r="D323" s="47" t="inlineStr">
        <is>
          <t>webマーケティング 新卒 難しい</t>
        </is>
      </c>
      <c r="E323" s="35" t="n">
        <v>1</v>
      </c>
      <c r="F323" s="36" t="n">
        <v>41.35</v>
      </c>
      <c r="G323" s="47" t="inlineStr">
        <is>
          <t>なし</t>
        </is>
      </c>
      <c r="H323" s="47" t="inlineStr">
        <is>
          <t>可</t>
        </is>
      </c>
      <c r="I323" s="47" t="inlineStr">
        <is>
          <t>Q: 現代のマーケターに求められる、最も重要なスキルセットは何ですか？
A: 現代のマーケターに求められる重要なスキルセットは、「データ分析力」と「実行力」、そして「コミュニケーション能力」の3つです。データ分析力は、Web解析ツールなどを用いて顧客行動を正確に読み解くために不可欠です。実行力は、分析結果に基づきPDCAサイクルを迅速に回すために必要です。また、マーケティング活動は他部署（営業、開発など）との連携が多いため、社内を巻き込むコミュニケーション能力も極めて重要とされます。
Q: 優秀なマーケターを獲得するために、効果的な採用手法は何ですか？
A: 優秀なマーケターは転職市場でも希少価値が高いため、「待つ」採用ではなく「攻める」採用手法が効果的です。特に有効なのは、ダイレクトリクルーティング（スカウトメール）でターゲットに直接アプローチすることや、リファラル採用（社員からの紹介）です。また、自社ブログやSNSでマーケティング事例を発信し、「この企業でなら面白そうな仕事ができそうだ」と思わせる採用ブランディングを行うことも、優秀な人材の獲得に繋がります。
Q: マーケターを未経験者から採用し、育成していくことは現実的に可能ですか？
A: はい、育成プログラムを整備すれば十分に可能です。マーケティング知識は座学で習得できますが、市場の急激な変化に対応できる「論理的思考力」や「学習意欲」がポテンシャルとしてあれば、未経験からでも活躍できます。採用においては、現時点のスキルよりも、「事業を成長させることに強い関心があるか」や、「自発的にPDCAを回せるか」といった適性を重視すべきです。入社後は、OJTと体系的な外部・内部研修を組み合わせて育成することが成功の鍵となります。</t>
        </is>
      </c>
      <c r="J323" s="47" t="n"/>
      <c r="K323" s="47" t="inlineStr">
        <is>
          <t>OK</t>
        </is>
      </c>
      <c r="L323" s="47" t="inlineStr">
        <is>
          <t>未確認</t>
        </is>
      </c>
      <c r="M323" s="47" t="inlineStr">
        <is>
          <t>未依頼</t>
        </is>
      </c>
      <c r="N323" s="47" t="inlineStr">
        <is>
          <t>クリニック以外</t>
        </is>
      </c>
      <c r="O323" s="47" t="n"/>
      <c r="P323" s="47" t="n"/>
      <c r="Q323" s="47" t="n"/>
      <c r="R323" s="47" t="n"/>
    </row>
    <row r="324" ht="15.75" customHeight="1" s="185">
      <c r="A324" s="52">
        <f>row()-3</f>
        <v/>
      </c>
      <c r="B324" s="46" t="inlineStr">
        <is>
          <t>マーケティング顧問、専門家の効果的戦略</t>
        </is>
      </c>
      <c r="C324" s="10" t="inlineStr">
        <is>
          <t>https://dym.asia/media/marketing-advisor/</t>
        </is>
      </c>
      <c r="D324" s="47" t="inlineStr">
        <is>
          <t>マーケティング 顧問</t>
        </is>
      </c>
      <c r="E324" s="35" t="n">
        <v>1</v>
      </c>
      <c r="F324" s="36" t="n">
        <v>4.84788029925187</v>
      </c>
      <c r="G324" s="47" t="inlineStr">
        <is>
          <t>なし</t>
        </is>
      </c>
      <c r="H324" s="47" t="inlineStr">
        <is>
          <t>可</t>
        </is>
      </c>
      <c r="I324" s="40" t="inlineStr">
        <is>
          <t>Q: マーケティングアドバイザー（コンサルタント）の主な役割と、依頼するメリットは何ですか？
A: マーケティングアドバイザーの主な役割は、外部の専門家としての視点から、市場分析、戦略立案、具体的な施策の実行支援を行い、企業の売上向上やブランド価値向上をサポートすることです。依頼するメリットは、自社にはない高度な専門知識や最新のノウハウを短期間で活用できる点、そして客観的な視点で課題を特定し、迅速に効果的な施策を実行できる点にあります。
Q: マーケティングアドバイザーに依頼するデメリットや、注意すべき点は何ですか？
A: デメリットとして、まずコンサルティング費用（報酬）が発生する点が挙げられます。また、外部の専門家であるため、自社のビジネスや文化を深く理解するのに時間がかかる場合があり、社内の実行体制が不十分だと、提言された戦略が形骸化するリスクもあります。注意すべき点は、アドバイザーの過去の実績が自社の業界や抱える課題と合致しているか、そして成果に対するコミットメントが明確であるかを契約前にしっかりと確認することです。
Q: マーケティングアドバイザーへの報酬の相場はどれくらいですか？報酬体系にはどのような種類がありますか？
A: 報酬の相場は、アドバイザーの実績、専門性、契約期間、業務範囲によって大きく異なります。報酬体系は主に、「月額固定報酬（リテイナーフィー）」と「成果報酬」の組み合わせです。月額固定報酬は、定期的な戦略会議やアドバイスに対して発生し、数十万円から数百万円が相場です。成果報酬は、売上やコンバージョンといった具体的な成果が達成された場合に発生し、リスクを共有する形で運用されることもあります。気になる方はお気軽にお問い合わせください。
お問い合わせ先はこちら↓
https://dym.asia/contact/</t>
        </is>
      </c>
      <c r="J324" s="47" t="n"/>
      <c r="K324" s="47" t="inlineStr">
        <is>
          <t>OK</t>
        </is>
      </c>
      <c r="L324" s="47" t="inlineStr">
        <is>
          <t>未確認</t>
        </is>
      </c>
      <c r="M324" s="47" t="inlineStr">
        <is>
          <t>未依頼</t>
        </is>
      </c>
      <c r="N324" s="47" t="inlineStr">
        <is>
          <t>クリニック以外</t>
        </is>
      </c>
      <c r="O324" s="47" t="n"/>
      <c r="P324" s="47" t="n"/>
      <c r="Q324" s="47" t="n"/>
      <c r="R324" s="47" t="n"/>
    </row>
    <row r="325" ht="15.75" customHeight="1" s="185">
      <c r="A325" s="52">
        <f>row()-3</f>
        <v/>
      </c>
      <c r="B325" s="46" t="inlineStr">
        <is>
          <t>マーケターに業務委託するメリットとは？費用相場や成功のポイント</t>
        </is>
      </c>
      <c r="C325" s="10" t="inlineStr">
        <is>
          <t>https://dym.asia/media/marketing-outsourcing/</t>
        </is>
      </c>
      <c r="D325" s="47" t="inlineStr">
        <is>
          <t>マーケティング 業務委託</t>
        </is>
      </c>
      <c r="E325" s="35" t="n">
        <v>1</v>
      </c>
      <c r="F325" s="36" t="n">
        <v>24.58139534883721</v>
      </c>
      <c r="G325" s="47" t="inlineStr">
        <is>
          <t>なし</t>
        </is>
      </c>
      <c r="H325" s="47" t="inlineStr">
        <is>
          <t>可</t>
        </is>
      </c>
      <c r="I325" s="47" t="inlineStr">
        <is>
          <t>Q: マーケティング業務をアウトソーシングする最大のメリットとデメリットは何ですか？
A: 最大のメリットは、自社に不足している専門的なノウハウや最新の技術をすぐに活用でき、スピーディに成果を出せる点です。また、人件費を固定費ではなく変動費として扱えるため、コストを柔軟に調整できる点も魅力です。一方、デメリットは、ノウハウが社内に蓄積されにくい点や、自社の事業や文化に対する理解度が浅いために、期待する成果が出にくいリスクがある点です。
Q: マーケティングアウトソーシングの費用相場は、依頼する業務によってどれくらい変動しますか？
A: 費用相場は、依頼する業務の範囲によって大きく変動します。例えば、Web広告の運用代行は月額10万円〜30万円程度（広告費の20%が相場）から、コンテンツマーケティング（記事制作）は記事単価数万円〜数十万円が目安です。戦略立案やコンサルティングを含む広範囲な委託になると、月額50万円以上になることもあります。依頼前に、業務範囲、期間、成果目標を明確にした上で、複数の会社から見積もりを取ることが重要です。
Q: アウトソーシング先（委託会社）を選ぶ際に、特に注目すべき重要なポイントは何ですか？
A: 委託先を選ぶ際の重要なポイントは、「実績と専門性」、そして「コミュニケーション能力」です。まず、自社の業界や課題に似た実績が豊富にあるかを確認します。次に、単に戦略を提案するだけでなく、進捗状況やデータ分析の結果を分かりやすく報告し、疑問点に迅速に対応してくれるコミュニケーション体制が整っているかを確認します。委託先と対等なパートナーシップを築けるかどうかが、成果の成否を分けます。</t>
        </is>
      </c>
      <c r="J325" s="47" t="n"/>
      <c r="K325" s="47" t="inlineStr">
        <is>
          <t>OK</t>
        </is>
      </c>
      <c r="L325" s="47" t="inlineStr">
        <is>
          <t>未確認</t>
        </is>
      </c>
      <c r="M325" s="47" t="inlineStr">
        <is>
          <t>未依頼</t>
        </is>
      </c>
      <c r="N325" s="47" t="inlineStr">
        <is>
          <t>クリニック以外</t>
        </is>
      </c>
      <c r="O325" s="47" t="n"/>
      <c r="P325" s="47" t="n"/>
      <c r="Q325" s="47" t="n"/>
      <c r="R325" s="47" t="n"/>
    </row>
    <row r="326" ht="15.75" customHeight="1" s="185">
      <c r="A326" s="52">
        <f>row()-3</f>
        <v/>
      </c>
      <c r="B326" s="46" t="inlineStr">
        <is>
          <t>MBOの意味は？メリットと種類、実施の流れや注意点を解説</t>
        </is>
      </c>
      <c r="C326" s="6" t="inlineStr">
        <is>
          <t>https://dym.asia/media/mbo/</t>
        </is>
      </c>
      <c r="D326" s="47" t="inlineStr">
        <is>
          <t>mboとは</t>
        </is>
      </c>
      <c r="E326" s="35" t="n">
        <v>1</v>
      </c>
      <c r="F326" s="36" t="n">
        <v>24.48175182481752</v>
      </c>
      <c r="G326" s="47" t="inlineStr">
        <is>
          <t>なし</t>
        </is>
      </c>
      <c r="H326" s="47" t="inlineStr">
        <is>
          <t>可</t>
        </is>
      </c>
      <c r="I326" s="47" t="inlineStr">
        <is>
          <t>Q: MBO（目標管理制度）とは何ですか？企業がMBOを導入するメリットは何ですか？
A: MBO（Management by Objectives：目標管理制度）とは、社員一人ひとりが、上司と面談を通じて目標を設定し、その達成度で評価を行うマネジメント手法です。最大のメリットは、従業員の自律性・主体性を高められる点です。個人が目標達成のプロセスに責任を持つことで、モチベーションが向上し、組織の目標と個人の目標が連動することで、組織全体の生産性向上に繋がります。
Q: MBOにおける目標設定の際、特に注意すべき重要なポイントは何ですか？
A: 目標設定の重要なポイントは、「チャレンジングかつ測定可能な目標」を設定することです。目標は、SMART原則（具体的、測定可能、達成可能、関連性が高い、期限付き）に沿って明確に定義されるべきです。特に、上司との十分な対話を通じて、個人の能力をわずかに超える程度のストレッチ目標を設定し、同時に目標達成に必要なリソースやサポートを明確にすることで、目標達成の確度が高まります。
Q: MBOを導入したものの、「形骸化」してしまうのを防ぐにはどうすれば良いですか？
A: MBOが形骸化する主な原因は、目標設定が人事評価のためだけのものになってしまうことです。これを防ぐには、目標設定を単なる手続きで終わらせず、目標達成までのプロセスを日常のマネジメントに組み込む必要があります。具体的には、上司による定期的な中間レビューやフィードバックの機会を設け、目標進捗の確認と課題の解決を継続的にサポートします。また、目標達成が公正な人事評価にしっかりと反映される運用を徹底することも重要です。</t>
        </is>
      </c>
      <c r="J326" s="47" t="n"/>
      <c r="K326" s="47" t="inlineStr">
        <is>
          <t>OK</t>
        </is>
      </c>
      <c r="L326" s="47" t="inlineStr">
        <is>
          <t>未確認</t>
        </is>
      </c>
      <c r="M326" s="47" t="inlineStr">
        <is>
          <t>未依頼</t>
        </is>
      </c>
      <c r="N326" s="47" t="inlineStr">
        <is>
          <t>クリニック以外</t>
        </is>
      </c>
      <c r="O326" s="47" t="n"/>
      <c r="P326" s="47" t="n"/>
      <c r="Q326" s="47" t="n"/>
      <c r="R326" s="47" t="n"/>
    </row>
    <row r="327" ht="15.75" customHeight="1" s="185">
      <c r="A327" s="52">
        <f>row()-3</f>
        <v/>
      </c>
      <c r="B327" s="46" t="inlineStr">
        <is>
          <t>MECEとは？フレームワークで論理的思考を学ぼう</t>
        </is>
      </c>
      <c r="C327" s="6" t="inlineStr">
        <is>
          <t>https://dym.asia/media/mece/</t>
        </is>
      </c>
      <c r="D327" s="47" t="inlineStr">
        <is>
          <t>mece とは</t>
        </is>
      </c>
      <c r="E327" s="35" t="n">
        <v>1</v>
      </c>
      <c r="F327" s="36" t="n">
        <v>6.037974683544304</v>
      </c>
      <c r="G327" s="47" t="inlineStr">
        <is>
          <t>なし</t>
        </is>
      </c>
      <c r="H327" s="47" t="inlineStr">
        <is>
          <t>可</t>
        </is>
      </c>
      <c r="I327" s="47" t="inlineStr">
        <is>
          <t>Q: MECE（ミーシー）とは何ですか？どのような目的で使う思考法ですか？
A: MECEとは、「Mutually Exclusive（相互に重複せず）」「Collectively Exhaustive（全体を網羅する）」の頭文字を取った略語です。 問題や課題を整理する際に、「漏れなく、ダブりなく」情報を分類・分析することで、問題の本質を見極め、効率的かつ合理的な解決策を導き出すための論理的思考法です。
Q: MECEの考え方を実践するために、どのようなフレームワークがありますか？
A: ビジネスでよく使われるのは、外部環境と自社を分析する「3C分析」（Customer, Competitor, Company）、強み・弱みなどを整理する「SWOT分析」（Strengths, Weaknesses, Opportunities, Threats）、マーケティング戦略を整理する「4P分析」（Product, Price, Place, Promotion）などがあります。
Q: MECEの原則を身につけることで、どのようなビジネス上のメリットが得られますか？
A: 問題解決能力と意思決定の精度が向上します。情報が漏れたり重複したりするのを防げるため、問題の全体像を正確に把握でき、分析の効率化につながります。結果として、作成した戦略や提案の説得力が高まります。</t>
        </is>
      </c>
      <c r="J327" s="47" t="n"/>
      <c r="K327" s="47" t="inlineStr">
        <is>
          <t>OK</t>
        </is>
      </c>
      <c r="L327" s="47" t="inlineStr">
        <is>
          <t>未確認</t>
        </is>
      </c>
      <c r="M327" s="47" t="inlineStr">
        <is>
          <t>未依頼</t>
        </is>
      </c>
      <c r="N327" s="47" t="inlineStr">
        <is>
          <t>クリニック以外</t>
        </is>
      </c>
      <c r="O327" s="47" t="n"/>
      <c r="P327" s="47" t="n"/>
      <c r="Q327" s="47" t="n"/>
      <c r="R327" s="47" t="n"/>
    </row>
    <row r="328" ht="15.75" customHeight="1" s="185">
      <c r="A328" s="52">
        <f>row()-3</f>
        <v/>
      </c>
      <c r="B328" s="46" t="inlineStr">
        <is>
          <t>MEOとは？MEO対策の方法と上位表示のポイント｜マーケティング用語</t>
        </is>
      </c>
      <c r="C328" s="10" t="inlineStr">
        <is>
          <t>https://dym.asia/media/meo/</t>
        </is>
      </c>
      <c r="D328" s="47" t="inlineStr">
        <is>
          <t>meo</t>
        </is>
      </c>
      <c r="E328" s="35" t="n">
        <v>1</v>
      </c>
      <c r="F328" s="36" t="n">
        <v>52.29979777553084</v>
      </c>
      <c r="G328" s="47" t="inlineStr">
        <is>
          <t>なし</t>
        </is>
      </c>
      <c r="H328" s="47" t="inlineStr">
        <is>
          <t>可</t>
        </is>
      </c>
      <c r="I328" s="10" t="inlineStr">
        <is>
          <t>Q: MEO（Map Engine Optimization）とは何ですか？SEOとどう違いますか？
A: MEOとは、Googleマップ上での検索結果において、自社の店舗などのビジネス情報を上位に表示させるための施策です。 広義のローカルSEOの一部であり、Webサイト全体の順位改善を目指すSEOに対し、MEOは地域名や「業種＋地域」などのローカル検索に特化した集客施策である点が異なります。
Q: Googleマップの検索順位を決定する主な要素は何ですか？
A: 主に「関連性」「距離」「知名度」の3つの要素が重要です。関連性はビジネス情報と検索語句の一致度、距離は検索ユーザーがいる場所と店舗との物理的な距離、知名度はGoogleビジネスプロフィール上の口コミの数や評価、Web上での露出度などによって決定されます。お気軽にお問い合わせください。
お問い合わせ先はこちら↓
https://dym.asia/contact/
Q: MEO対策を行うメリットと、効果が現れるまでの期間はどのくらいですか？
A: メリットは、来店意欲の高い近隣の顧客を効率的に集客でき、集客コストを抑えられる点です。効果が現れるまでの期間は、通常数週間から数ヶ月とされていますが、競合が多いエリアではより時間がかかることもあります。Googleビジネスプロフィールの継続的な最適化が成功の鍵です。</t>
        </is>
      </c>
      <c r="J328" s="47" t="n"/>
      <c r="K328" s="47" t="inlineStr">
        <is>
          <t>OK</t>
        </is>
      </c>
      <c r="L328" s="47" t="inlineStr">
        <is>
          <t>未確認</t>
        </is>
      </c>
      <c r="M328" s="47" t="inlineStr">
        <is>
          <t>未依頼</t>
        </is>
      </c>
      <c r="N328" s="47" t="inlineStr">
        <is>
          <t>クリニック以外</t>
        </is>
      </c>
      <c r="O328" s="47" t="n"/>
      <c r="P328" s="47" t="n"/>
      <c r="Q328" s="47" t="n"/>
      <c r="R328" s="47" t="n"/>
    </row>
    <row r="329" ht="15.75" customHeight="1" s="185">
      <c r="A329" s="52">
        <f>row()-3</f>
        <v/>
      </c>
      <c r="B329" s="46" t="inlineStr">
        <is>
          <t>メタディスクリプションとは？SEOの効果は？書き方や文字数も合わせて解説</t>
        </is>
      </c>
      <c r="C329" s="6" t="inlineStr">
        <is>
          <t>https://dym.asia/media/meta-description/</t>
        </is>
      </c>
      <c r="D329" s="47" t="inlineStr">
        <is>
          <t>description 文字数</t>
        </is>
      </c>
      <c r="E329" s="35" t="n">
        <v>1</v>
      </c>
      <c r="F329" s="36" t="n">
        <v>35.18542336548767</v>
      </c>
      <c r="G329" s="47" t="inlineStr">
        <is>
          <t>あり</t>
        </is>
      </c>
      <c r="H329" s="47" t="inlineStr">
        <is>
          <t>既存</t>
        </is>
      </c>
      <c r="I329" s="47" t="inlineStr">
        <is>
          <t>対応不要</t>
        </is>
      </c>
      <c r="J329" s="47" t="n"/>
      <c r="K329" s="47" t="inlineStr">
        <is>
          <t>対応不要</t>
        </is>
      </c>
      <c r="L329" s="47" t="inlineStr">
        <is>
          <t>対応不要</t>
        </is>
      </c>
      <c r="M329" s="47" t="inlineStr">
        <is>
          <t>対応不要</t>
        </is>
      </c>
      <c r="N329" s="47" t="inlineStr">
        <is>
          <t>クリニック以外</t>
        </is>
      </c>
      <c r="O329" s="47" t="n"/>
      <c r="P329" s="47" t="n"/>
      <c r="Q329" s="47" t="n"/>
      <c r="R329" s="47" t="n"/>
    </row>
    <row r="330" ht="15.75" customHeight="1" s="185">
      <c r="A330" s="52">
        <f>row()-3</f>
        <v/>
      </c>
      <c r="B330" s="46" t="inlineStr">
        <is>
          <t>マインドセットの重要性と企業成長への活用法：人材育成のカギ</t>
        </is>
      </c>
      <c r="C330" s="6" t="inlineStr">
        <is>
          <t>https://dym.asia/media/mind-set/</t>
        </is>
      </c>
      <c r="D330" s="47" t="inlineStr">
        <is>
          <t>マインドセットの転換</t>
        </is>
      </c>
      <c r="E330" s="35" t="n">
        <v>1</v>
      </c>
      <c r="F330" s="36" t="n">
        <v>1</v>
      </c>
      <c r="G330" s="47" t="inlineStr">
        <is>
          <t>なし</t>
        </is>
      </c>
      <c r="H330" s="47" t="inlineStr">
        <is>
          <t>可</t>
        </is>
      </c>
      <c r="I330" s="47" t="inlineStr">
        <is>
          <t>Q: 「マインドセット」とは何ですか？ビジネスにおいてなぜ重要視されるのですか？
A: マインドセットとは、個人の思考パターンや信念体系、すなわち物事をどのように捉え、解釈するかという心の枠組みのことです。適切なマインドセットは、従業員の革新的なアイデアの創出や、困難な状況での問題解決能力に直結し、企業の競争力強化につながるため重要視されています。
Q: マインドセットの2種類、「固定マインドセット」と「成長マインドセット」の違いは何ですか？
A: 固定マインドセットを持つ人は、能力は生まれつきのもので変えられないと考える傾向があり、失敗を避けようとします。一方、成長マインドセットを持つ人は、努力や学習によって能力は伸ばせると信じており、失敗を成長の機会として積極的に挑戦します。
Q: 従業員の「成長マインドセット」を育成するために、企業は何をすべきですか？
A: 挑戦する姿勢を評価し、失敗を学びの機会として捉える文化を醸成することが重要です。また、リーダーは部下の潜在能力を信じ、適切なフィードバックやコーチングを通じて、継続的な学習の重要性を促すことが、組織全体の成長マインドセット変革につながります。</t>
        </is>
      </c>
      <c r="J330" s="47" t="n"/>
      <c r="K330" s="47" t="inlineStr">
        <is>
          <t>OK</t>
        </is>
      </c>
      <c r="L330" s="47" t="inlineStr">
        <is>
          <t>未確認</t>
        </is>
      </c>
      <c r="M330" s="47" t="inlineStr">
        <is>
          <t>未依頼</t>
        </is>
      </c>
      <c r="N330" s="47" t="inlineStr">
        <is>
          <t>クリニック以外</t>
        </is>
      </c>
      <c r="O330" s="47" t="n"/>
      <c r="P330" s="47" t="n"/>
      <c r="Q330" s="47" t="n"/>
      <c r="R330" s="47" t="n"/>
    </row>
    <row r="331" ht="15.75" customHeight="1" s="185">
      <c r="A331" s="52">
        <f>row()-3</f>
        <v/>
      </c>
      <c r="B331" s="46" t="inlineStr">
        <is>
          <t>モデルキャスティングのメリットやキャスティング会社の選び方を紹介</t>
        </is>
      </c>
      <c r="C331" s="6" t="inlineStr">
        <is>
          <t>https://dym.asia/media/model-casting/</t>
        </is>
      </c>
      <c r="D331" s="47" t="inlineStr">
        <is>
          <t>モデル キャスティング 流れ</t>
        </is>
      </c>
      <c r="E331" s="35" t="n">
        <v>1</v>
      </c>
      <c r="F331" s="36" t="n">
        <v>8.199999999999999</v>
      </c>
      <c r="G331" s="47" t="inlineStr">
        <is>
          <t>なし</t>
        </is>
      </c>
      <c r="H331" s="47" t="inlineStr">
        <is>
          <t>可</t>
        </is>
      </c>
      <c r="I331" s="10" t="inlineStr">
        <is>
          <t>Q: モデルキャスティングを行う主な目的と、期待できる効果は何ですか？
A: 主な目的は、モデルの知名度や容姿の良さを利用して、自社の商品やサービスのイメージを消費者に強く印象付けることです。これにより、訴求効果を高め、社会への認知度を向上させる効果が期待できます。
Q: モデルキャスティングには、どのような依頼方法がありますか？
A: 主に、キャスティング会社を仲介業者として利用する方法と、モデル事務所に企業が直接交渉する方法があります。キャスティング会社への依頼が、交渉や契約手続き、トラブル対策まで一括して代行してくれるため、一般的に最もスムーズな方法とされます。ぜひお問い合わせください。
お問い合わせ先はこちら↓
https://dym.asia/contact/
Q: モデルキャスティングの費用相場は、何によって大きく変動しますか？
A: 費用は、起用するモデルの知名度（人気モデルほど高額）、出演形態（広告案件、映像案件、イベント案件など）、実働時間や契約期間によって大きく変わります。多くのモデル事務所は費用を非公開としているため、具体的な費用はキャスティング会社に見積もりを依頼して確認する必要があります。</t>
        </is>
      </c>
      <c r="J331" s="47" t="n"/>
      <c r="K331" s="47" t="inlineStr">
        <is>
          <t>要修正</t>
        </is>
      </c>
      <c r="L331" s="47" t="inlineStr">
        <is>
          <t>未確認</t>
        </is>
      </c>
      <c r="M331" s="47" t="inlineStr">
        <is>
          <t>未依頼</t>
        </is>
      </c>
      <c r="N331" s="47" t="inlineStr">
        <is>
          <t>クリニック以外</t>
        </is>
      </c>
      <c r="O331" s="47" t="n"/>
      <c r="P331" s="47" t="n"/>
      <c r="Q331" s="47" t="n"/>
      <c r="R331" s="47" t="n"/>
    </row>
    <row r="332" ht="15.75" customHeight="1" s="185">
      <c r="A332" s="52">
        <f>row()-3</f>
        <v/>
      </c>
      <c r="B332" s="46" t="inlineStr">
        <is>
          <t>ネイティブ広告とは？6つの種類と主な媒体・メリットなど詳しく解説</t>
        </is>
      </c>
      <c r="C332" s="10" t="inlineStr">
        <is>
          <t>https://dym.asia/media/native-ads-medium/</t>
        </is>
      </c>
      <c r="D332" s="47" t="inlineStr">
        <is>
          <t>ネイティブ広告 媒体</t>
        </is>
      </c>
      <c r="E332" s="35" t="n">
        <v>1</v>
      </c>
      <c r="F332" s="36" t="n">
        <v>4.330578512396694</v>
      </c>
      <c r="G332" s="47" t="inlineStr">
        <is>
          <t>なし</t>
        </is>
      </c>
      <c r="H332" s="47" t="inlineStr">
        <is>
          <t>可</t>
        </is>
      </c>
      <c r="I332" s="10" t="inlineStr">
        <is>
          <t>Q: ネイティブ広告とは何ですか？ステルスマーケティング（ステマ）とはどう違いますか？
A: ネイティブ広告とは、Webサイトやアプリのコンテンツに自然と溶け込む形で表示される広告手法です。周囲のコンテンツと同じデザインや体裁で表示されますが、「PR」「広告」などの表記を必ず含み、広告であることを明確に示します。一方、ステマは広告であることを意図的に隠す不正な行為であり、この明示性の有無が最大の違いです。
Q: ネイティブ広告を導入するメリットは何ですか？
A: ユーザーに違和感を与えずに宣伝できるため、従来のバナー広告と比較して広告への抵抗感が少なく、クリック率が高くなる傾向があります。また、コンテンツの一部として扱われるため、SNSでの拡散が期待でき、潜在的な顧客層へのアプローチに効果的です。ぜひお問い合わせください。
お問い合わせ先はこちら↓
https://dym.asia/contact/
Q: ネイティブ広告にはどのような種類がありますか？代表的なものを教えてください。
A: 主に6種類あります。ニュースサイトの記事一覧に溶け込むインフィード型（SNS広告に多い）、検索結果に自然に表示されるペイドサーチ型、ECサイトなどで上位に表示されるプロモートリスティング型（Amazonのスポンサー商品など）、記事の末尾に表示されるレコメンドウィジェット型などがあります。</t>
        </is>
      </c>
      <c r="J332" s="47" t="n"/>
      <c r="K332" s="47" t="inlineStr">
        <is>
          <t>要修正</t>
        </is>
      </c>
      <c r="L332" s="47" t="inlineStr">
        <is>
          <t>未確認</t>
        </is>
      </c>
      <c r="M332" s="47" t="inlineStr">
        <is>
          <t>未依頼</t>
        </is>
      </c>
      <c r="N332" s="47" t="inlineStr">
        <is>
          <t>クリニック以外</t>
        </is>
      </c>
      <c r="O332" s="47" t="n"/>
      <c r="P332" s="47" t="n"/>
      <c r="Q332" s="47" t="n"/>
      <c r="R332" s="47" t="n"/>
    </row>
    <row r="333" ht="15.75" customHeight="1" s="185">
      <c r="A333" s="52">
        <f>row()-3</f>
        <v/>
      </c>
      <c r="B333" s="46" t="inlineStr">
        <is>
          <t>新入社員研修のカリキュラムで押さえるべき教育手法と作り方を紹介</t>
        </is>
      </c>
      <c r="C333" s="6" t="inlineStr">
        <is>
          <t>https://dym.asia/media/new-graduate-training-curriculum/</t>
        </is>
      </c>
      <c r="D333" s="47" t="inlineStr">
        <is>
          <t>カリキュラムの作り方</t>
        </is>
      </c>
      <c r="E333" s="35" t="n">
        <v>1</v>
      </c>
      <c r="F333" s="36" t="n">
        <v>36.33333333333334</v>
      </c>
      <c r="G333" s="47" t="inlineStr">
        <is>
          <t>なし</t>
        </is>
      </c>
      <c r="H333" s="47" t="inlineStr">
        <is>
          <t>可</t>
        </is>
      </c>
      <c r="I333" s="47" t="inlineStr">
        <is>
          <t>Q: 新入社員研修カリキュラムの作成で、最初に決めるべき最も重要なことは何ですか？
A: 最も重要なのは、研修目的と組織目標との整合性を確認することです。企業が中長期的に目指す方向性を明確にし、その目標達成のために新入社員に求められるスキルやマインドセット（社会人としてのマインドセットの育成）を洗い出し、研修の軸を定めることが不可欠です。
Q: 新入社員研修カリキュラムに盛り込むべき主要な内容は何ですか？
A: 基礎となる企業や職場理解、ビジネスマナー、そして報告・連絡・相談（報連相）のスキルやコミュニケーション力は必須です。これに加え、論理的思考やコンプライアンスの重要性、社会人としてのマインドセットの育成など、幅広いスキルをバランス良く盛り込む必要があります。
Q: 作成した研修カリキュラムを新入社員に効果的に定着させるためのコツは何ですか？
A: 学んだ内容を実践させる「アウトプットの場」を設定することです。座学で終わらせず、ロールプレイングやケーススタディなどを通じて知識をスキルに変える機会を提供します。また、研修後に振り返りと個別フィードバックを行うことで、継続的な成長を促すことが重要です。</t>
        </is>
      </c>
      <c r="J333" s="47" t="n"/>
      <c r="K333" s="47" t="inlineStr">
        <is>
          <t>OK</t>
        </is>
      </c>
      <c r="L333" s="47" t="inlineStr">
        <is>
          <t>未確認</t>
        </is>
      </c>
      <c r="M333" s="47" t="inlineStr">
        <is>
          <t>未依頼</t>
        </is>
      </c>
      <c r="N333" s="47" t="inlineStr">
        <is>
          <t>クリニック以外</t>
        </is>
      </c>
      <c r="O333" s="47" t="n"/>
      <c r="P333" s="47" t="n"/>
      <c r="Q333" s="47" t="n"/>
      <c r="R333" s="47" t="n"/>
    </row>
    <row r="334" ht="15.75" customHeight="1" s="185">
      <c r="A334" s="52">
        <f>row()-3</f>
        <v/>
      </c>
      <c r="B334" s="46" t="inlineStr">
        <is>
          <t>新卒エージェントの費用相場や選び方を徹底比較</t>
        </is>
      </c>
      <c r="C334" s="10" t="inlineStr">
        <is>
          <t>https://dym.asia/media/new-graduation-agent-cost/</t>
        </is>
      </c>
      <c r="D334" s="47" t="inlineStr">
        <is>
          <t>dym 新卒エージェント</t>
        </is>
      </c>
      <c r="E334" s="35" t="n">
        <v>1</v>
      </c>
      <c r="F334" s="36" t="n">
        <v>7.464</v>
      </c>
      <c r="G334" s="47" t="inlineStr">
        <is>
          <t>なし</t>
        </is>
      </c>
      <c r="H334" s="47" t="inlineStr">
        <is>
          <t>可</t>
        </is>
      </c>
      <c r="I334" s="10" t="inlineStr">
        <is>
          <t>Q: 新卒エージェント（新卒紹介サービス）とは何ですか？
A: 新卒エージェントとは、企業が求める人物像に合った新卒学生を個別に発掘・紹介し、採用プロセス全体をサポートする人材紹介サービスです。エージェントが学生の面談やフォローアップを行うため、企業の採用活動の効率化と、ミスマッチの防止に貢献します。
Q: 新卒エージェントを利用する際の費用相場と料金体系はどうなっていますか？
A: 料金体系は、ほとんどが成功報酬型を採用しています。これは、学生の入社が確定した際に初めて費用が発生する仕組みです。費用相場は、採用する学生一人あたり80万円〜が一般的で、理系や高学歴など求めるスキルセットによって変動します。
Q: 新卒エージェントを活用することで企業が得られる主なメリットは何ですか？
A: 採用にかかる人的コストを削減できることと、内定辞退のリスクを軽減できることです。エージェントが学生の志望度を高めるフォローや、企業ニーズに合わせた的確なマッチングを行うため、採用担当者の負担を大幅に減らし、結果として採用の成功率を向上させることができます。ぜひお問い合わせください。
お問い合わせ先はこちら↓
https://dym.asia/contact/</t>
        </is>
      </c>
      <c r="J334" s="47" t="n"/>
      <c r="K334" s="47" t="inlineStr">
        <is>
          <t>要修正</t>
        </is>
      </c>
      <c r="L334" s="47" t="inlineStr">
        <is>
          <t>未確認</t>
        </is>
      </c>
      <c r="M334" s="47" t="inlineStr">
        <is>
          <t>未依頼</t>
        </is>
      </c>
      <c r="N334" s="47" t="inlineStr">
        <is>
          <t>クリニック以外</t>
        </is>
      </c>
      <c r="O334" s="47" t="n"/>
      <c r="P334" s="47" t="n"/>
      <c r="Q334" s="47" t="n"/>
      <c r="R334" s="47" t="n"/>
    </row>
    <row r="335" ht="15.75" customHeight="1" s="185">
      <c r="A335" s="52">
        <f>row()-3</f>
        <v/>
      </c>
      <c r="B335" s="46" t="inlineStr">
        <is>
          <t>新卒採用の費用はいくら必要？｜削減方法や平均相場を解説</t>
        </is>
      </c>
      <c r="C335" s="10" t="inlineStr">
        <is>
          <t>https://dym.asia/media/new-graduation-recruitment-cost/</t>
        </is>
      </c>
      <c r="D335" s="47" t="inlineStr">
        <is>
          <t>採用にかかる費用</t>
        </is>
      </c>
      <c r="E335" s="35" t="n">
        <v>1</v>
      </c>
      <c r="F335" s="36" t="n">
        <v>20</v>
      </c>
      <c r="G335" s="47" t="inlineStr">
        <is>
          <t>なし</t>
        </is>
      </c>
      <c r="H335" s="47" t="inlineStr">
        <is>
          <t>可</t>
        </is>
      </c>
      <c r="I335" s="10" t="inlineStr">
        <is>
          <t>Q: 新卒採用にかかる費用は、どのように分類されますか？
A: 新卒採用にかかる費用（採用コスト）は、大きく分けて「内部コスト」と「外部コスト」の2つに分類されます。内部コストは採用担当者の人件費や面接会場費など、社内で発生する費用。外部コストは求人広告費や人材紹介サービス（エージェント）の利用料など、外部業者に支払う費用です。
Q: 新卒採用の「採用単価」はどのように計算しますか？
A: 新卒採用単価 ＝ 新卒採用コスト総額 ÷ 新卒採用人数 の計算式で求められます。この採用単価を正確に把握し、施策ごとに分析することで、どの採用手法が最も効率的であるかを評価し、次年度の採用戦略の改善に役立てることができます。
Q: 新卒採用コストを削減し、費用対効果を高めるための具体的な方法は何ですか？
A: 採用手法の再評価と採用プロセスの効率化が鍵です。具体的には、ミスマッチを防ぐカジュアル面談の活用、採用サイトやSNSを活用した自社広報活動の強化、そして助成金制度の活用などが効果的です。また、費用対効果の高い新卒紹介サービスの活用も有効です。ぜひお問い合わせください。
お問い合わせ先はこちら↓
https://dym.asia/contact/</t>
        </is>
      </c>
      <c r="J335" s="47" t="n"/>
      <c r="K335" s="47" t="inlineStr">
        <is>
          <t>OK</t>
        </is>
      </c>
      <c r="L335" s="47" t="inlineStr">
        <is>
          <t>未確認</t>
        </is>
      </c>
      <c r="M335" s="47" t="inlineStr">
        <is>
          <t>未依頼</t>
        </is>
      </c>
      <c r="N335" s="47" t="inlineStr">
        <is>
          <t>クリニック以外</t>
        </is>
      </c>
      <c r="O335" s="47" t="n"/>
      <c r="P335" s="47" t="n"/>
      <c r="Q335" s="47" t="n"/>
      <c r="R335" s="47" t="n"/>
    </row>
    <row r="336" ht="15.75" customHeight="1" s="185">
      <c r="A336" s="52">
        <f>row()-3</f>
        <v/>
      </c>
      <c r="B336" s="46" t="inlineStr">
        <is>
          <t>新入社員研修の期間はどのくらいの長さが適切？ポイントを解説</t>
        </is>
      </c>
      <c r="C336" s="6" t="inlineStr">
        <is>
          <t>https://dym.asia/media/new-graduation-training-term/</t>
        </is>
      </c>
      <c r="D336" s="47" t="inlineStr">
        <is>
          <t>新入社員研修 期間</t>
        </is>
      </c>
      <c r="E336" s="35" t="n">
        <v>1</v>
      </c>
      <c r="F336" s="36" t="n">
        <v>21.76470588235294</v>
      </c>
      <c r="G336" s="47" t="inlineStr">
        <is>
          <t>なし</t>
        </is>
      </c>
      <c r="H336" s="47" t="inlineStr">
        <is>
          <t>可</t>
        </is>
      </c>
      <c r="I336" s="47" t="inlineStr">
        <is>
          <t>Q: 新入社員研修の期間は、一般的にどのくらいが適切ですか？
A: 多くの企業で、約6ヶ月以内が一般的な期間の目安とされています。この期間内に、ビジネスマナーや会社の理念、業務の基礎知識を習得できると考えられています。事務系は1ヶ月前後、専門的な知識が必要な技術系は3ヶ月前後と、職種によって期間に違いが出ます。  
Q: 適切な研修期間を決めるための、重要なステップは何ですか？
A: まず、研修によって新入社員に何を身につけてほしいかという「目的とゴール」を明確に設定します。次に、そのゴールを達成するために必要な研修内容を洗い出して可視化し、最後に費用や時間、同業他社の状況を考慮して、期間を設定します。 
Q: 新入社員研修を効果的に進め、知識を定着させるためのコツは何ですか？
A: 座学だけでなくOJT（実務を通じた指導）研修を組み合わせることが重要です。また、研修内容を過剰に詰め込みすぎないように注意し、研修期間後に先輩社員などによるアフターフォローの期間を設けて、継続的な成長を促すことが大切です。</t>
        </is>
      </c>
      <c r="J336" s="47" t="n"/>
      <c r="K336" s="47" t="inlineStr">
        <is>
          <t>OK</t>
        </is>
      </c>
      <c r="L336" s="47" t="inlineStr">
        <is>
          <t>未確認</t>
        </is>
      </c>
      <c r="M336" s="47" t="inlineStr">
        <is>
          <t>未依頼</t>
        </is>
      </c>
      <c r="N336" s="47" t="inlineStr">
        <is>
          <t>クリニック以外</t>
        </is>
      </c>
      <c r="O336" s="47" t="n"/>
      <c r="P336" s="47" t="n"/>
      <c r="Q336" s="47" t="n"/>
      <c r="R336" s="47" t="n"/>
    </row>
    <row r="337" ht="15.75" customHeight="1" s="185">
      <c r="A337" s="52">
        <f>row()-3</f>
        <v/>
      </c>
      <c r="B337" s="46" t="inlineStr">
        <is>
          <t>新人社員研修を成功させるコツとは？種類や目的、実施すべき内容を解説</t>
        </is>
      </c>
      <c r="C337" s="6" t="inlineStr">
        <is>
          <t>https://dym.asia/media/new_employee_training/</t>
        </is>
      </c>
      <c r="D337" s="47" t="inlineStr">
        <is>
          <t>dym 研修 やばい</t>
        </is>
      </c>
      <c r="E337" s="35" t="n">
        <v>1</v>
      </c>
      <c r="F337" s="36" t="n">
        <v>12</v>
      </c>
      <c r="G337" s="47" t="inlineStr">
        <is>
          <t>あり</t>
        </is>
      </c>
      <c r="H337" s="47" t="inlineStr">
        <is>
          <t>既存</t>
        </is>
      </c>
      <c r="I337" s="47" t="inlineStr">
        <is>
          <t>対応不要</t>
        </is>
      </c>
      <c r="J337" s="47" t="n"/>
      <c r="K337" s="47" t="inlineStr">
        <is>
          <t>対応不要</t>
        </is>
      </c>
      <c r="L337" s="47" t="inlineStr">
        <is>
          <t>対応不要</t>
        </is>
      </c>
      <c r="M337" s="47" t="inlineStr">
        <is>
          <t>対応不要</t>
        </is>
      </c>
      <c r="N337" s="47" t="inlineStr">
        <is>
          <t>クリニック以外</t>
        </is>
      </c>
      <c r="O337" s="47" t="n"/>
      <c r="P337" s="47" t="n"/>
      <c r="Q337" s="47" t="n"/>
      <c r="R337" s="47" t="n"/>
    </row>
    <row r="338" ht="15.75" customHeight="1" s="185">
      <c r="A338" s="52">
        <f>row()-3</f>
        <v/>
      </c>
      <c r="B338" s="46" t="inlineStr">
        <is>
          <t>新卒採用のメリットや目的とは？意義や実施のフロー、中途採用との違いを解説</t>
        </is>
      </c>
      <c r="C338" s="6" t="inlineStr">
        <is>
          <t>https://dym.asia/media/new_graduate_recruitment/</t>
        </is>
      </c>
      <c r="D338" s="47" t="inlineStr">
        <is>
          <t>新卒を採用する理由</t>
        </is>
      </c>
      <c r="E338" s="35" t="n">
        <v>1</v>
      </c>
      <c r="F338" s="36" t="n">
        <v>21</v>
      </c>
      <c r="G338" s="47" t="inlineStr">
        <is>
          <t>なし</t>
        </is>
      </c>
      <c r="H338" s="47" t="inlineStr">
        <is>
          <t>可</t>
        </is>
      </c>
      <c r="I338" s="47" t="inlineStr">
        <is>
          <t>Q: 新卒採用と中途採用の最も大きな違いは何ですか？
A: 採用基準と採用スケジュールが異なります。新卒採用は社会人経験がない人材を対象とし、将来性（ポテンシャル）や人柄を重視した一括採用が一般的です。一方、中途採用は社会人経験者を対象とし、即戦力となるスキルや経験を重視した通年採用が主流です。
Q: 企業が新卒採用を重視する主な目的は何ですか？
A: 組織の活性化と長期的な人材育成です。新卒者は柔軟な考え方や新しいエネルギーを組織にもたらし、企業の将来の幹部候補として育成できるという狙いがあります。また、新卒一括採用は、組織になじみやすく、企業文化を継承しやすいというメリットもあります。
Q: 新卒採用を成功させるための、採用担当者の業務フローにおける重要ポイントは何ですか？
A: 求める人物像と採用目的を明確にすること、そして内定者フォローを強化することです。内定辞退の増加が課題となる中、内定から入社までの期間に不安を解消するための定期的なコミュニケーションやイベントを行い、入社へのモチベーションを維持することが重要となります。</t>
        </is>
      </c>
      <c r="J338" s="47" t="n"/>
      <c r="K338" s="47" t="inlineStr">
        <is>
          <t>OK</t>
        </is>
      </c>
      <c r="L338" s="47" t="inlineStr">
        <is>
          <t>未確認</t>
        </is>
      </c>
      <c r="M338" s="47" t="inlineStr">
        <is>
          <t>未依頼</t>
        </is>
      </c>
      <c r="N338" s="47" t="inlineStr">
        <is>
          <t>クリニック以外</t>
        </is>
      </c>
      <c r="O338" s="47" t="n"/>
      <c r="P338" s="47" t="n"/>
      <c r="Q338" s="47" t="n"/>
      <c r="R338" s="47" t="n"/>
    </row>
    <row r="339" ht="15.75" customHeight="1" s="185">
      <c r="A339" s="52">
        <f>row()-3</f>
        <v/>
      </c>
      <c r="B339" s="46" t="inlineStr">
        <is>
          <t>産業医とは？役割や仕事内容、医師との違い、選任義務や探し方を解説</t>
        </is>
      </c>
      <c r="C339" s="6" t="inlineStr">
        <is>
          <t>https://dym.asia/media/occupational_physician/</t>
        </is>
      </c>
      <c r="D339" s="47" t="inlineStr">
        <is>
          <t>産業医</t>
        </is>
      </c>
      <c r="E339" s="35" t="n">
        <v>1</v>
      </c>
      <c r="F339" s="36" t="n">
        <v>68.50867052023122</v>
      </c>
      <c r="G339" s="47" t="inlineStr">
        <is>
          <t>なし</t>
        </is>
      </c>
      <c r="H339" s="47" t="inlineStr">
        <is>
          <t>可</t>
        </is>
      </c>
      <c r="I339" s="47" t="inlineStr">
        <is>
          <t>Q: 産業医とは何ですか？一般的な医師（臨床医）と役割がどう違いますか？
A: 産業医とは、労働者が健康で快適に仕事ができるように、事業場において指導や助言を行う専門医です。 臨床医が病気の治療を主な目的とするのに対し、産業医は労働安全衛生法に基づき、病気の予防や職場の安全性の向上を通じて、労働者の健康保持と増進を図ることを主な役割としています。
Q: 企業に産業医を選任する義務はありますか？
A: はい、あります。労働安全衛生法に基づき、常時50人以上の労働者を使用する事業場では、産業医を選任しなくてはなりません。この義務を怠ると、罰金が課せられる可能性があります。
Q: 企業が産業医を置くことで得られる主なメリットは何ですか？
A: 従業員の健康管理体制が強化され、安全で快適な職場環境が実現できることです。具体的には、長時間労働者への面接指導や高ストレス者への対応、職場巡視を通じた環境改善により、労働災害や健康問題のリスクを低減し、生産性の向上に寄与します。</t>
        </is>
      </c>
      <c r="J339" s="47" t="inlineStr">
        <is>
          <t>クリニック</t>
        </is>
      </c>
      <c r="K339" s="47" t="inlineStr">
        <is>
          <t>対応不要</t>
        </is>
      </c>
      <c r="L339" s="47" t="inlineStr">
        <is>
          <t>対応不要</t>
        </is>
      </c>
      <c r="M339" s="47" t="inlineStr">
        <is>
          <t>未依頼</t>
        </is>
      </c>
      <c r="N339" s="47" t="inlineStr">
        <is>
          <t>クリニック以外</t>
        </is>
      </c>
      <c r="O339" s="47" t="n"/>
      <c r="P339" s="47" t="n"/>
      <c r="Q339" s="47" t="n"/>
      <c r="R339" s="47" t="n"/>
    </row>
    <row r="340" ht="15.75" customHeight="1" s="185">
      <c r="A340" s="52">
        <f>row()-3</f>
        <v/>
      </c>
      <c r="B340" s="46" t="inlineStr">
        <is>
          <t>オフィス仲介業者の選定ポイントは？失敗しない方法や利用のメリットを解説</t>
        </is>
      </c>
      <c r="C340" s="6" t="inlineStr">
        <is>
          <t>https://dym.asia/media/office_brokerage/</t>
        </is>
      </c>
      <c r="D340" s="47" t="inlineStr">
        <is>
          <t>オフィス仲介</t>
        </is>
      </c>
      <c r="E340" s="35" t="n">
        <v>1</v>
      </c>
      <c r="F340" s="36" t="n">
        <v>5.644210526315789</v>
      </c>
      <c r="G340" s="47" t="inlineStr">
        <is>
          <t>なし</t>
        </is>
      </c>
      <c r="H340" s="47" t="inlineStr">
        <is>
          <t>可</t>
        </is>
      </c>
      <c r="I340" s="10" t="inlineStr">
        <is>
          <t>Q: オフィス仲介業者とは、具体的にどのような業務を代行してくれますか？
A: オフィス仲介業者は、企業の課題やニーズに合うオフィス物件の紹介、貸主・売主との条件交渉や契約締結のサポート、そしてオフィス移転・開設に必要な総合的なスケジュール管理などを代行します。住宅仲介業者と異なり、事業者向けの専門的な知識を持ってトータルサポートを提供します。 
Q: オフィス仲介業者を利用する最大のメリットは何ですか？
A: 自社だけでは見つけられない穴場物件や非公開物件の情報を得られることと、オフィス移転にかかる数百時間分の労力を削減できることです。仲介業者の専門知識を活用することで、賃貸や売買の条件交渉を有利に進められ、移転後の業務効率まで見据えた最適なプランを提案してもらえます。
Q: オフィス仲介業者の仲介手数料は、どのように決まりますか？
A: 仲介手数料は、宅地建物取引業法で定められた上限額（売買価格の3%＋6万円＋消費税など）の範囲内で設定されます。仲介業者は、借主・買主または貸主・売主の片方、あるいは両方から成功報酬として仲介手数料を受け取ります。ぜひお問い合わせください。
お問い合わせ先はこちら↓
https://dym.asia/contact/</t>
        </is>
      </c>
      <c r="J340" s="47" t="n"/>
      <c r="K340" s="47" t="inlineStr">
        <is>
          <t>要修正</t>
        </is>
      </c>
      <c r="L340" s="47" t="inlineStr">
        <is>
          <t>未確認</t>
        </is>
      </c>
      <c r="M340" s="47" t="inlineStr">
        <is>
          <t>未依頼</t>
        </is>
      </c>
      <c r="N340" s="47" t="inlineStr">
        <is>
          <t>クリニック以外</t>
        </is>
      </c>
      <c r="O340" s="47" t="n"/>
      <c r="P340" s="47" t="n"/>
      <c r="Q340" s="47" t="n"/>
      <c r="R340" s="47" t="n"/>
    </row>
    <row r="341" ht="15.75" customHeight="1" s="185">
      <c r="A341" s="52">
        <f>row()-3</f>
        <v/>
      </c>
      <c r="B341" s="46" t="inlineStr">
        <is>
          <t>スポンサーのメリットと協賛企業のポイントを探る</t>
        </is>
      </c>
      <c r="C341" s="6" t="inlineStr">
        <is>
          <t>https://dym.asia/media/official-sponsor/</t>
        </is>
      </c>
      <c r="D341" s="47" t="inlineStr">
        <is>
          <t>dym スポンサー</t>
        </is>
      </c>
      <c r="E341" s="35" t="n">
        <v>1</v>
      </c>
      <c r="F341" s="36" t="n">
        <v>7.75</v>
      </c>
      <c r="G341" s="47" t="inlineStr">
        <is>
          <t>なし</t>
        </is>
      </c>
      <c r="H341" s="47" t="inlineStr">
        <is>
          <t>可</t>
        </is>
      </c>
      <c r="I341" s="10" t="inlineStr">
        <is>
          <t>Q: 企業が「スポンサー（協賛）」となることの、本来の目的は何ですか？
A: スポンサーシップの本来の目的は、単なる広告宣伝ではなく、企業と公衆（消費者、地域社会など）との間に、長期的な信頼関係と価値を構築することです。資金や物資の提供を通じて社会的責任（CSR）を果たし、共感に基づく企業イメージの向上とブランドの強化を目指します。
Q: スポンサーになることで、企業が得られる具体的なメリットは何ですか？
A: ブランド認知度の飛躍的な向上、顧客との感情的なエンゲージメント強化、そして社会的信用の向上です。特にスポーツなどの感動的なシーンと企業イメージが結びつくことで、ポジティブな印象が残り、新規顧客の獲得や商品・サービスの売上増加につながる効果が期待できます。
Q: スポンサーシップを成功させるために、企業側が留意すべき重要なポイントは何ですか？
A: 自社の課題や目的（認知度向上、採用強化など）を明確に定義することです。その上で、スポンサーシップ先と協働関係を築き、ファン目線に立った活動（イベント企画、特典提供など）を行うことで、単なる露出に終わらせず、最大の費用対効果と深い絆を獲得できます。ぜひお問い合わせください。
お問い合わせ先はこちら↓
https://dym.asia/contact/</t>
        </is>
      </c>
      <c r="J341" s="47" t="n"/>
      <c r="K341" s="47" t="inlineStr">
        <is>
          <t>OK</t>
        </is>
      </c>
      <c r="L341" s="47" t="inlineStr">
        <is>
          <t>未確認</t>
        </is>
      </c>
      <c r="M341" s="47" t="inlineStr">
        <is>
          <t>未依頼</t>
        </is>
      </c>
      <c r="N341" s="47" t="inlineStr">
        <is>
          <t>クリニック以外</t>
        </is>
      </c>
      <c r="O341" s="47" t="n"/>
      <c r="P341" s="47" t="n"/>
      <c r="Q341" s="47" t="n"/>
      <c r="R341" s="47" t="n"/>
    </row>
    <row r="342" ht="15.75" customHeight="1" s="185">
      <c r="A342" s="52">
        <f>row()-3</f>
        <v/>
      </c>
      <c r="B342" s="46" t="inlineStr">
        <is>
          <t>OGPとは？役割から設定方法まで詳しく解説</t>
        </is>
      </c>
      <c r="C342" s="6" t="inlineStr">
        <is>
          <t>https://dym.asia/media/opg/</t>
        </is>
      </c>
      <c r="D342" s="47" t="inlineStr">
        <is>
          <t>ogp画像</t>
        </is>
      </c>
      <c r="E342" s="35" t="n">
        <v>1</v>
      </c>
      <c r="F342" s="36" t="n">
        <v>48.46</v>
      </c>
      <c r="G342" s="47" t="inlineStr">
        <is>
          <t>なし</t>
        </is>
      </c>
      <c r="H342" s="47" t="inlineStr">
        <is>
          <t>可</t>
        </is>
      </c>
      <c r="I342" s="47" t="inlineStr">
        <is>
          <t>Q: OGP（Open Graph Protocol）とは何ですか？どのような役割を果たしますか？
A: OGPとは、Webページの情報をSNS上で効果的に表示するためのプロトコル（仕組み）です。  リンクをシェアした際に、サムネイル画像、タイトル、説明文などが正しく表示されるように設定することで、ユーザーの目に留まりやすくし、クリック率やシェアの促進につなげる役割を担います。
Q: OGPを設定しない場合、どのようなデメリットがありますか？
A: OGPを適切に設定しないと、SNSでシェアされた際に意図しない画像やテキストが表示されるか、何も表示されない可能性があります。これにより、コンテンツの視覚的な訴求力が低下し、ユーザーがリンクをクリックする意欲が失われ、拡散の機会を損失するデメリットがあります。
Q: OGPを設定する際の必須項目は何ですか？
A: OGPの基本設定として、ページのタイトル（og:title）、ページの種類（og:type）、サムネイル画像（og:image）、ページのURL（og:url）、ページの説明文（og:description）の5項目を正しく記述する必要があります。特にサムネイル画像は、視覚的な訴求力を高めるために、適切なサイズ（例：1,200ピクセル× 630ピクセル以上）で設定することが重要です。</t>
        </is>
      </c>
      <c r="J342" s="47" t="n"/>
      <c r="K342" s="47" t="inlineStr">
        <is>
          <t>OK</t>
        </is>
      </c>
      <c r="L342" s="47" t="inlineStr">
        <is>
          <t>未確認</t>
        </is>
      </c>
      <c r="M342" s="47" t="inlineStr">
        <is>
          <t>未依頼</t>
        </is>
      </c>
      <c r="N342" s="47" t="inlineStr">
        <is>
          <t>クリニック以外</t>
        </is>
      </c>
      <c r="O342" s="47" t="n"/>
      <c r="P342" s="47" t="n"/>
      <c r="Q342" s="47" t="n"/>
      <c r="R342" s="47" t="n"/>
    </row>
    <row r="343" ht="15.75" customHeight="1" s="185">
      <c r="A343" s="52">
        <f>row()-3</f>
        <v/>
      </c>
      <c r="B343" s="46" t="inlineStr">
        <is>
          <t>PageSpeed Insightsの使い方と表示速度の改善方法</t>
        </is>
      </c>
      <c r="C343" s="6" t="inlineStr">
        <is>
          <t>https://dym.asia/media/page-speed-insights/</t>
        </is>
      </c>
      <c r="D343" s="47" t="inlineStr">
        <is>
          <t>pagespeed insights</t>
        </is>
      </c>
      <c r="E343" s="35" t="n">
        <v>1</v>
      </c>
      <c r="F343" s="36" t="n">
        <v>35.57894736842105</v>
      </c>
      <c r="G343" s="47" t="inlineStr">
        <is>
          <t>なし</t>
        </is>
      </c>
      <c r="H343" s="47" t="inlineStr">
        <is>
          <t>可</t>
        </is>
      </c>
      <c r="I343" s="10" t="inlineStr">
        <is>
          <t>Q: PageSpeed Insights（PSI）とは何ですか？また、なぜ重要視されるのですか？
A: PageSpeed Insightsとは、Googleが無料で提供するWebサイトの表示速度測定ツールです。  URLを入力するだけで、モバイルとデスクトップ両方のパフォーマンスを評価し、改善案を提示します。サイトスピードはユーザーの離脱率に直結するだけでなく、SEO評価の指標（Core Web Vitals）にも採用されているため、ビジネス成果に不可欠です。
Q: PageSpeed Insightsの「パフォーマンススコア」は何点を目指すべきですか？
A: スコアは0点から100点で評価されますが、一般的には90点以上が「良好」とされています。まずは50点以上を確保し、70点、そして最終的には90点以上を目指すことが理想的です。ただし、サイトの機能性やコンテンツ量に応じて、現実的な目標を設定することが重要です。
Q: サイトの表示速度を改善するための、最も効果的な方法は何ですか？
A: 最も効果的なのは「画像の最適化」です。具体的には、WebPなどの次世代形式への変換、画像の圧縮、そして遅延読み込み（Lazy Loading）の実装が挙げられます。これにより、レンダリングを妨げるリソースの読み込みを減らし、LCP（最大コンテンツの描画）といったCore Web Vitalsの指標を劇的に改善できます。
ぜひお問い合わせください。
お問い合わせ先は↓
https://dym.asia/contact/</t>
        </is>
      </c>
      <c r="J343" s="47" t="n"/>
      <c r="K343" s="47" t="inlineStr">
        <is>
          <t>要修正</t>
        </is>
      </c>
      <c r="L343" s="47" t="inlineStr">
        <is>
          <t>未確認</t>
        </is>
      </c>
      <c r="M343" s="47" t="inlineStr">
        <is>
          <t>未依頼</t>
        </is>
      </c>
      <c r="N343" s="47" t="inlineStr">
        <is>
          <t>クリニック以外</t>
        </is>
      </c>
      <c r="O343" s="47" t="n"/>
      <c r="P343" s="47" t="n"/>
      <c r="Q343" s="47" t="n"/>
      <c r="R343" s="47" t="n"/>
    </row>
    <row r="344" ht="15.75" customHeight="1" s="185">
      <c r="A344" s="52">
        <f>row()-3</f>
        <v/>
      </c>
      <c r="B344" s="46" t="inlineStr">
        <is>
          <t>ページネーションとは？意味、作り方、SEO効果を解説</t>
        </is>
      </c>
      <c r="C344" s="6" t="inlineStr">
        <is>
          <t>https://dym.asia/media/pagenation/</t>
        </is>
      </c>
      <c r="D344" s="47" t="inlineStr">
        <is>
          <t>ページネーション メリット</t>
        </is>
      </c>
      <c r="E344" s="35" t="n">
        <v>1</v>
      </c>
      <c r="F344" s="36" t="n">
        <v>8.74390243902439</v>
      </c>
      <c r="G344" s="47" t="inlineStr">
        <is>
          <t>なし</t>
        </is>
      </c>
      <c r="H344" s="47" t="inlineStr">
        <is>
          <t>可</t>
        </is>
      </c>
      <c r="I344" s="10" t="inlineStr">
        <is>
          <t>Q: ページネーションとは何ですか？なぜWebサイトに必要とされますか？
A: ページネーションとは、大量のコンテンツ（商品リストやブログ記事など）を複数の連続したページに分割して表示する仕組みです。これにより、ページの読み込み速度を向上させ、ユーザーがコンテンツの全体像を把握しながら直感的に操作できるようにするために不可欠です。
Q: ページネーションを導入する際、SEOで注意すべき最大のリスクは何ですか？
A: 重複コンテンツと見なされたり、クローラーの巡回（クロール）が非効率になったりするリスクです。これを避けるため、2ページ目以降のページを1ページ目に正規化（canonicalタグ）しないこと、各ページに固有のURLを設定することが重要です。ぜひお問い合わせください。
お問い合わせ先はこちら↓
https://dym.asia/contact/
Q: ページネーションは「無限スクロール」と比べてSEOにおいて優れていますか？
A: 大規模なサイトやECサイトにおいては、ページネーションが一般的に優れているとされます。ページネーションは、検索エンジンに対して各ページへのクロール可能なリンクを明確に提供するため、クローラーがサイトのコンテンツ全体を漏れなく認識し、適切にインデックスするのを助けるからです。</t>
        </is>
      </c>
      <c r="J344" s="47" t="n"/>
      <c r="K344" s="47" t="inlineStr">
        <is>
          <t>OK</t>
        </is>
      </c>
      <c r="L344" s="47" t="inlineStr">
        <is>
          <t>未確認</t>
        </is>
      </c>
      <c r="M344" s="47" t="inlineStr">
        <is>
          <t>未依頼</t>
        </is>
      </c>
      <c r="N344" s="47" t="inlineStr">
        <is>
          <t>クリニック以外</t>
        </is>
      </c>
      <c r="O344" s="47" t="n"/>
      <c r="P344" s="47" t="n"/>
      <c r="Q344" s="47" t="n"/>
      <c r="R344" s="47" t="n"/>
    </row>
    <row r="345" ht="15.75" customHeight="1" s="185">
      <c r="A345" s="52">
        <f>row()-3</f>
        <v/>
      </c>
      <c r="B345" s="46" t="inlineStr">
        <is>
          <t>アルバイトと正社員の違いを比較！それぞれのメリット・デメリットを解説</t>
        </is>
      </c>
      <c r="C345" s="6" t="inlineStr">
        <is>
          <t>https://dym.asia/media/parttime-fulltime-difference/</t>
        </is>
      </c>
      <c r="D345" s="47" t="inlineStr">
        <is>
          <t>アルバイト 正社員 どちらが 得</t>
        </is>
      </c>
      <c r="E345" s="35" t="n">
        <v>1</v>
      </c>
      <c r="F345" s="36" t="n">
        <v>8.319148936170212</v>
      </c>
      <c r="G345" s="47" t="inlineStr">
        <is>
          <t>なし</t>
        </is>
      </c>
      <c r="H345" s="47" t="inlineStr">
        <is>
          <t>可</t>
        </is>
      </c>
      <c r="I345" s="47" t="inlineStr">
        <is>
          <t>Q: アルバイトと正社員の最も大きな違いは何ですか？
A: 最も大きな違いは雇用契約の安定性と責任の範囲です。正社員は期間の定めのない無期雇用契約で長期雇用が前提となり、企業の基幹的業務と重い責任を負います。一方、アルバイトは有期雇用契約が多く、定型的な業務が中心で責任は比較的軽いです。
Q: 給与や賞与、退職金の面で、アルバイトと正社員にはどの程度の差がありますか？
A: 生涯賃金で比較すると、正社員のほうがアルバイトより約2億円も高くなるという大きな差が生じます。正社員は月給制が基本で賞与（ボーナス）や退職金が支給されることが多いですが、アルバイトは時給制が基本で、これらが支給されないことがほとんどです。
Q: 社会的信用（ローンや賃貸契約の審査など）において、両者に違いはありますか？
A: はい、大きな違いがあります。正社員は安定した収入と雇用が保証されていると見なされるため、住宅ローンや自動車ローン、賃貸契約の審査などに有利です。一方、アルバイトは収入や雇用の安定性が低いと見なされ、ローンの審査に通りにくいなど、社会的な信用度が低い傾向があります。</t>
        </is>
      </c>
      <c r="J345" s="47" t="n"/>
      <c r="K345" s="47" t="inlineStr">
        <is>
          <t>要修正</t>
        </is>
      </c>
      <c r="L345" s="47" t="inlineStr">
        <is>
          <t>未確認</t>
        </is>
      </c>
      <c r="M345" s="47" t="inlineStr">
        <is>
          <t>未依頼</t>
        </is>
      </c>
      <c r="N345" s="47" t="inlineStr">
        <is>
          <t>クリニック以外</t>
        </is>
      </c>
      <c r="O345" s="47" t="n"/>
      <c r="P345" s="47" t="n"/>
      <c r="Q345" s="47" t="n"/>
      <c r="R345" s="47" t="n"/>
    </row>
    <row r="346" ht="15.75" customHeight="1" s="185">
      <c r="A346" s="52">
        <f>row()-3</f>
        <v/>
      </c>
      <c r="B346" s="46" t="inlineStr">
        <is>
          <t>アルバイト採用の流れは？募集方法・手続きや採用のコツまで解説</t>
        </is>
      </c>
      <c r="C346" s="6" t="inlineStr">
        <is>
          <t>https://dym.asia/media/parttime-hiring/</t>
        </is>
      </c>
      <c r="D346" s="47" t="inlineStr">
        <is>
          <t>バイト 採用後 流れ</t>
        </is>
      </c>
      <c r="E346" s="35" t="n">
        <v>1</v>
      </c>
      <c r="F346" s="36" t="n">
        <v>8.100529100529101</v>
      </c>
      <c r="G346" s="47" t="inlineStr">
        <is>
          <t>なし</t>
        </is>
      </c>
      <c r="H346" s="47" t="inlineStr">
        <is>
          <t>可</t>
        </is>
      </c>
      <c r="I346" s="47" t="inlineStr">
        <is>
          <t>Q: アルバイト採用を成功させるための、最も重要なポイントは何ですか？
A: スピード感を持って対応することです。アルバイト希望者は即時就業を望む傾向が強いため、応募者への連絡や面接日程の調整を当日中、遅くとも翌営業日までに速やかに行うことで、他社への流出（辞退）を防ぎ、採用の歩留まりを改善できます。
Q: アルバイト採用の流れにおいて、最初にすべきことは何ですか？
A: 最初に、採用計画の立案と募集内容の明確化を行うべきです。具体的には、「何人を」「どの時間帯に」「どんな業務内容で」雇用したいのかを言語化し、採用ターゲットを明確にすることで、求人原稿の内容や募集方法に一貫性が生まれ、ミスマッチを防ぐ第一歩となります。
Q: アルバイトの募集方法には、どのような種類があり、どのように使い分けられますか？
A: WEB求人媒体（広範囲かつ多数の応募）、スキマバイトサービス（即日・短期間の急募）、自社採用サイト（企業文化の訴求と定着率向上）、ハローワーク（コストを抑えた地域密着型）など、多様な手法があります。採用の目的（急募か長期か）とターゲット層に合わせて、複数の手法を組み合わせることが効果的です。</t>
        </is>
      </c>
      <c r="J346" s="47" t="n"/>
      <c r="K346" s="47" t="inlineStr">
        <is>
          <t>OK</t>
        </is>
      </c>
      <c r="L346" s="47" t="inlineStr">
        <is>
          <t>未確認</t>
        </is>
      </c>
      <c r="M346" s="47" t="inlineStr">
        <is>
          <t>未依頼</t>
        </is>
      </c>
      <c r="N346" s="47" t="inlineStr">
        <is>
          <t>クリニック以外</t>
        </is>
      </c>
      <c r="O346" s="47" t="n"/>
      <c r="P346" s="47" t="n"/>
      <c r="Q346" s="47" t="n"/>
      <c r="R346" s="47" t="n"/>
    </row>
    <row r="347" ht="15.75" customHeight="1" s="185">
      <c r="A347" s="52">
        <f>row()-3</f>
        <v/>
      </c>
      <c r="B347" s="46" t="inlineStr">
        <is>
          <t>PDCAとは？サイクルの回し方や業務改善への繋げ方を簡単に解説</t>
        </is>
      </c>
      <c r="C347" s="6" t="inlineStr">
        <is>
          <t>https://dym.asia/media/pdca-about/</t>
        </is>
      </c>
      <c r="D347" s="47" t="inlineStr">
        <is>
          <t>pdca 業務改善</t>
        </is>
      </c>
      <c r="E347" s="35" t="n">
        <v>1</v>
      </c>
      <c r="F347" s="36" t="n">
        <v>11.41428571428571</v>
      </c>
      <c r="G347" s="47" t="inlineStr">
        <is>
          <t>なし</t>
        </is>
      </c>
      <c r="H347" s="47" t="inlineStr">
        <is>
          <t>可</t>
        </is>
      </c>
      <c r="I347" s="10" t="inlineStr">
        <is>
          <t>Q: PDCAサイクルとは何ですか？4つのステップの意味を教えてください。
A: PDCAサイクルとは、業務やプロジェクトを効率化し、継続的な改善を図るためのフレームワークです。 4つのステップは、Plan（計画）、Do（実行）、Check（評価）、Action（改善）の頭文字を取ったもので、このサイクルを繰り返すことで業務の効率化や品質向上を目指します。
Q: PDCAサイクルを回すことで、企業が得られる主なメリットは何ですか？
A: 継続的な業務改善ができることと、各メンバーの行動が明確になることです。計画と実行、評価を繰り返すことで、問題点を早期に発見し、ノウハウが組織内に蓄積され、組織全体の生産性や品質が向上します。ぜひお問い合わせください。
お問い合わせ先はこちら↓
https://dym.asia/contact/
Q: PDCAサイクルが機能せず、失敗してしまう主な原因は何ですか？
A: PDCAを回すことが目的になってしまうことや、設定した目標が曖昧なまま行動してしまうことが主な失敗要因です。特にCheck（評価）の段階で、定量的なデータに基づいた客観的な振り返りができず、失敗要因を正しく分析できないまま次の行動（Action）に移ってしまうと、改善が進まなくなります。</t>
        </is>
      </c>
      <c r="J347" s="47" t="n"/>
      <c r="K347" s="47" t="inlineStr">
        <is>
          <t>要修正</t>
        </is>
      </c>
      <c r="L347" s="47" t="inlineStr">
        <is>
          <t>未確認</t>
        </is>
      </c>
      <c r="M347" s="47" t="inlineStr">
        <is>
          <t>未依頼</t>
        </is>
      </c>
      <c r="N347" s="47" t="inlineStr">
        <is>
          <t>クリニック以外</t>
        </is>
      </c>
      <c r="O347" s="47" t="n"/>
      <c r="P347" s="47" t="n"/>
      <c r="Q347" s="47" t="n"/>
      <c r="R347" s="47" t="n"/>
    </row>
    <row r="348" ht="15.75" customHeight="1" s="185">
      <c r="A348" s="52">
        <f>row()-3</f>
        <v/>
      </c>
      <c r="B348" s="46" t="inlineStr">
        <is>
          <t>パートと契約社員の違いを一覧比較！それぞれのメリット・デメリットを徹底解説</t>
        </is>
      </c>
      <c r="C348" s="6" t="inlineStr">
        <is>
          <t>https://dym.asia/media/perttime-contract-employee-differences/</t>
        </is>
      </c>
      <c r="D348" s="47" t="inlineStr">
        <is>
          <t>時給制契約社員 デメリット</t>
        </is>
      </c>
      <c r="E348" s="35" t="n">
        <v>1</v>
      </c>
      <c r="F348" s="36" t="n">
        <v>9.666666666666666</v>
      </c>
      <c r="G348" s="47" t="inlineStr">
        <is>
          <t>なし</t>
        </is>
      </c>
      <c r="H348" s="47" t="inlineStr">
        <is>
          <t>可</t>
        </is>
      </c>
      <c r="I348" s="47" t="inlineStr">
        <is>
          <t>Q: 「パートタイム労働者」と「契約社員」の法律上の最も大きな違いは何ですか？
A: パートタイム労働者は「1週間の所定労働時間が正社員より短い労働者」という「労働時間」で定義されます。一方、契約社員は「1年や3年といった有期の雇用期間が定められた労働者」という「雇用期間」で定義されます。両者はどちらも非正規雇用ですが、この定義の軸が異なります。
Q: 契約社員であっても、「パートタイム労働者」として同一労働同一賃金の対象になりますか？
A: はい。契約社員であっても、週の所定労働時間が正社員より短い場合は、「パートタイム・有期雇用労働法」における「パートタイム労働者」にも該当します。この場合、その企業で正社員が行う業務との間に、不合理な待遇差を設けることは禁止されます。
Q: 契約社員やパートタイム労働者は、無期雇用に転換できますか？
A: はい、転換できます。どちらの雇用形態も、同じ企業で5年を超えて有期雇用契約を更新した場合、労働者からの申し込みにより、期間の定めのない「無期雇用契約」に転換できる権利（無期転換ルール）を持っています。</t>
        </is>
      </c>
      <c r="J348" s="47" t="n"/>
      <c r="K348" s="47" t="inlineStr">
        <is>
          <t>OK</t>
        </is>
      </c>
      <c r="L348" s="47" t="inlineStr">
        <is>
          <t>未確認</t>
        </is>
      </c>
      <c r="M348" s="47" t="inlineStr">
        <is>
          <t>未依頼</t>
        </is>
      </c>
      <c r="N348" s="47" t="inlineStr">
        <is>
          <t>クリニック以外</t>
        </is>
      </c>
      <c r="O348" s="47" t="n"/>
      <c r="P348" s="47" t="n"/>
      <c r="Q348" s="47" t="n"/>
      <c r="R348" s="47" t="n"/>
    </row>
    <row r="349" ht="15.75" customHeight="1" s="185">
      <c r="A349" s="52">
        <f>row()-3</f>
        <v/>
      </c>
      <c r="B349" s="46" t="inlineStr">
        <is>
          <t>PEST分析とは？やり方手順や業界事例をわかりやすく解説</t>
        </is>
      </c>
      <c r="C349" s="6" t="inlineStr">
        <is>
          <t>https://dym.asia/media/pest-analysis/</t>
        </is>
      </c>
      <c r="D349" s="47" t="inlineStr">
        <is>
          <t>pest分析 事例 製造業</t>
        </is>
      </c>
      <c r="E349" s="35" t="n">
        <v>1</v>
      </c>
      <c r="F349" s="36" t="n">
        <v>3.56</v>
      </c>
      <c r="G349" s="47" t="inlineStr">
        <is>
          <t>なし</t>
        </is>
      </c>
      <c r="H349" s="47" t="inlineStr">
        <is>
          <t>可</t>
        </is>
      </c>
      <c r="I349" s="10" t="inlineStr">
        <is>
          <t>Q: PEST分析とは何ですか？どのような目的で活用されますか？
A: PEST分析とは、企業の外部環境（マクロ環境）を、Political（政治的）、Economic（経済的）、Social（社会的）、Technological（技術的）の4つの要因に分類して分析するフレームワークです。 中長期的な経営戦略やマーケティング戦略の策定に活用され、新たなビジネスチャンスや潜在的なリスクを事前に特定することを目的としています。　ぜひお問い合わせください。
お問い合わせ先はこちら↓
https://dym.asia/contact/
Q: PEST分析における4つの要因（PEST）の具体例を教えてください。
A:P（政治的要因）: 法規制の改正や税制の変更、政権交代などの政府の動向。E（経済的要因）: GDP成長率、物価、金利水準、為替レートなどのマクロ経済の状況。S（社会的要因）: 人口動態の変化（少子高齢化）、ワークライフバランスの重視、健康志向の高まりなどの人々の価値観。T（技術的要因）: AIの発展、IoTの普及、5G通信技術の実用化などの技術革新。
Q: PEST分析を成功させるための重要な手順は何ですか？
A: 最初に、信頼性の高い情報源から幅広い情報を収集することが重要です。次に、収集した情報を4つの要因に分類した後、「事実」と「解釈」に分け、最終的に「機会（チャンス）」と「脅威（リスク）」に分類してから、具体的な戦略に落とし込むという手順を踏みます。</t>
        </is>
      </c>
      <c r="J349" s="47" t="n"/>
      <c r="K349" s="47" t="inlineStr">
        <is>
          <t>要修正</t>
        </is>
      </c>
      <c r="L349" s="47" t="inlineStr">
        <is>
          <t>未確認</t>
        </is>
      </c>
      <c r="M349" s="47" t="inlineStr">
        <is>
          <t>未依頼</t>
        </is>
      </c>
      <c r="N349" s="47" t="inlineStr">
        <is>
          <t>クリニック以外</t>
        </is>
      </c>
      <c r="O349" s="47" t="n"/>
      <c r="P349" s="47" t="n"/>
      <c r="Q349" s="47" t="n"/>
      <c r="R349" s="47" t="n"/>
    </row>
    <row r="350" ht="15.75" customHeight="1" s="185">
      <c r="A350" s="52">
        <f>row()-3</f>
        <v/>
      </c>
      <c r="B350" s="46" t="inlineStr">
        <is>
          <t>フォトフェイシャルの効果とは？デメリットや副作用も解説</t>
        </is>
      </c>
      <c r="C350" s="6" t="inlineStr">
        <is>
          <t>https://dym.asia/media/photo-facial/</t>
        </is>
      </c>
      <c r="D350" s="47" t="inlineStr">
        <is>
          <t>フォトフェイシャル デメリット</t>
        </is>
      </c>
      <c r="E350" s="35" t="n">
        <v>1</v>
      </c>
      <c r="F350" s="36" t="n">
        <v>24.37037037037037</v>
      </c>
      <c r="G350" s="47" t="inlineStr">
        <is>
          <t>なし</t>
        </is>
      </c>
      <c r="H350" s="47" t="inlineStr">
        <is>
          <t>可</t>
        </is>
      </c>
      <c r="I350" s="47" t="inlineStr">
        <is>
          <t>Q: フォトフェイシャルとは、どのような肌の悩みに効果が期待できますか？
A: フォトフェイシャルは、IPL（Intense Pulsed Light）という広範囲な光を照射することで、複数の肌トラブルに同時にアプローチできます。主な効果として、しみやそばかすの改善（メラニン分解）、くすみや赤ら顔の軽減（血行促進、血管拡張の抑制）、毛穴の開きや小じわの予防（コラーゲン生成促進）などが期待できます。
Q: フォトフェイシャルの効果を実感するまでの回数と、適切な施術間隔はどれくらいですか？
A: 効果を実感するためには、一般的に3〜6回程度の施術が必要とされています。適切な施術間隔としては、肌のターンオーバーに合わせて4週間（1ヶ月）〜6週間ごとに施術を継続するのが一般的です。
Q: フォトフェイシャルを受けると、一時的に「老けた」と感じることはありますか？また、施術後の注意点は何ですか？
A: 施術後、しみやそばかすが一時的に浮き出て濃くなる現象が見られることがあり、これを「老けた」と感じる方がいます。しかしこれは、メラニンが分解され、肌の表面に浮き出てきている正常な反応です。施術後は肌が非常にデリケートになるため、徹底した保湿と十分な紫外線（UV）対策が不可欠です。</t>
        </is>
      </c>
      <c r="J350" s="47" t="inlineStr">
        <is>
          <t>クリニック</t>
        </is>
      </c>
      <c r="K350" s="47" t="inlineStr">
        <is>
          <t>対応不要</t>
        </is>
      </c>
      <c r="L350" s="47" t="inlineStr">
        <is>
          <t>未確認</t>
        </is>
      </c>
      <c r="M350" s="47" t="inlineStr">
        <is>
          <t>未依頼</t>
        </is>
      </c>
      <c r="N350" s="47" t="inlineStr">
        <is>
          <t>クリニック以外</t>
        </is>
      </c>
      <c r="O350" s="47" t="n"/>
      <c r="P350" s="47" t="n"/>
      <c r="Q350" s="47" t="n"/>
      <c r="R350" s="47" t="n"/>
    </row>
    <row r="351" ht="15.75" customHeight="1" s="185">
      <c r="A351" s="52">
        <f>row()-3</f>
        <v/>
      </c>
      <c r="B351" s="46" t="inlineStr">
        <is>
          <t>PMI（ポスト・マ―ジャー・インテグレーション）とは？成功の秘訣と進め方</t>
        </is>
      </c>
      <c r="C351" s="6" t="inlineStr">
        <is>
          <t>https://dym.asia/media/pmi/</t>
        </is>
      </c>
      <c r="D351" s="47" t="inlineStr">
        <is>
          <t>post merger integration</t>
        </is>
      </c>
      <c r="E351" s="35" t="n">
        <v>1</v>
      </c>
      <c r="F351" s="36" t="n">
        <v>2</v>
      </c>
      <c r="G351" s="47" t="inlineStr">
        <is>
          <t>なし</t>
        </is>
      </c>
      <c r="H351" s="47" t="inlineStr">
        <is>
          <t>可</t>
        </is>
      </c>
      <c r="I351" s="10" t="inlineStr">
        <is>
          <t>Q: PMI（ポスト・マージャー・インテグレーション）とは何ですか？
A: PMIとは、M&amp;A（合併・買収）の成立後、2つの異なる企業や組織を統合し、融合させるためのプロセス全般を指します。 単なる業務手続きの統合に留まらず、企業文化や従業員の意識統一を図ることで、M&amp;Aのシナジー効果（相乗効果）を最大限に発揮することを目的としています。
Q: PMIを成功させるための重要なポイントは何ですか？
A: 明確なビジョンと戦略を早期に策定し、それを従業員に効果的に伝えるコミュニケーションを徹底することです。また、異なる企業文化を尊重し、互いの強みを取り入れながら新しい文化を形成する「文化の融合」、そして適切なスピード感を持って統合を進めることが成功の鍵となります。ぜひお問い合わせください。
お問い合わせ先はこちら↓
https://dym.asia/contact/
Q: PMIはどのような段階で進められますか？
A: PMIは、主に「経営統合」（ビジョン・戦略の統一）、「業務統合」（業務プロセス、ITインフラ、人事制度などの効率化）、そして「意識統合」（企業文化・価値観の融合、従業員のモチベーション向上）の3つの段階で段階的に進められます。</t>
        </is>
      </c>
      <c r="J351" s="47" t="n"/>
      <c r="K351" s="47" t="inlineStr">
        <is>
          <t>要修正</t>
        </is>
      </c>
      <c r="L351" s="47" t="inlineStr">
        <is>
          <t>未確認</t>
        </is>
      </c>
      <c r="M351" s="47" t="inlineStr">
        <is>
          <t>未依頼</t>
        </is>
      </c>
      <c r="N351" s="47" t="inlineStr">
        <is>
          <t>クリニック以外</t>
        </is>
      </c>
      <c r="O351" s="47" t="n"/>
      <c r="P351" s="47" t="n"/>
      <c r="Q351" s="47" t="n"/>
      <c r="R351" s="47" t="n"/>
    </row>
    <row r="352" ht="15.75" customHeight="1" s="185">
      <c r="A352" s="52">
        <f>row()-3</f>
        <v/>
      </c>
      <c r="B352" s="46" t="inlineStr">
        <is>
          <t>ポテンシャル採用とは？メリット・デメリットや成功のための注意点をご紹介</t>
        </is>
      </c>
      <c r="C352" s="6" t="inlineStr">
        <is>
          <t>https://dym.asia/media/potential-recruitment/</t>
        </is>
      </c>
      <c r="D352" s="47" t="inlineStr">
        <is>
          <t>ポテンシャル採用</t>
        </is>
      </c>
      <c r="E352" s="35" t="n">
        <v>1</v>
      </c>
      <c r="F352" s="36" t="n">
        <v>50.28865979381443</v>
      </c>
      <c r="G352" s="47" t="inlineStr">
        <is>
          <t>なし</t>
        </is>
      </c>
      <c r="H352" s="47" t="inlineStr">
        <is>
          <t>可</t>
        </is>
      </c>
      <c r="I352" s="47" t="inlineStr">
        <is>
          <t>Q: 「ポテンシャル採用」とは、具体的問にどのような人材を対象とした採用方法ですか？
A: ポテンシャル採用とは、応募者の過去の経験や実績よりも、将来の成長可能性や学習能力、新しい環境への適応力といった「潜在的な能力」を重視する採用手法です。主に20代後半から30代前半の、社会人経験はあるものの、まだ成長余地が大きい人材を対象とすることが一般的です。
Q: ポテンシャル採用を導入することで、企業が得られるメリットは何ですか？
A: 組織の活性化と多様な人材との出会いです。異なる経験や視点を持つ人材が加わることで、新しい発想やイノベーションが生まれやすくなり、既存社員のモチベーション向上にもつながります。また、従来の採用基準では見逃されていた優秀な人材を獲得できる可能性が高まります。
Q: ポテンシャル採用でミスマッチのリスクを減らし、成功させるためのポイントは何ですか？
A: 採用の前に、自社が求める具体的なポテンシャル（資質や素質）を明確に定義することです。また、選考では、応募者のキャリアビジョンと企業の成長戦略との整合性を丁寧に擦り合わせ、入社後の適切な育成体制を用意することで、早期離職のリスクを最小限に抑えることが重要です。</t>
        </is>
      </c>
      <c r="J352" s="47" t="n"/>
      <c r="K352" s="47" t="inlineStr">
        <is>
          <t>要修正</t>
        </is>
      </c>
      <c r="L352" s="47" t="inlineStr">
        <is>
          <t>未確認</t>
        </is>
      </c>
      <c r="M352" s="47" t="inlineStr">
        <is>
          <t>未依頼</t>
        </is>
      </c>
      <c r="N352" s="47" t="inlineStr">
        <is>
          <t>クリニック以外</t>
        </is>
      </c>
      <c r="O352" s="47" t="n"/>
      <c r="P352" s="47" t="n"/>
      <c r="Q352" s="47" t="n"/>
      <c r="R352" s="47" t="n"/>
    </row>
    <row r="353" ht="15.75" customHeight="1" s="185">
      <c r="A353" s="52">
        <f>row()-3</f>
        <v/>
      </c>
      <c r="B353" s="46" t="inlineStr">
        <is>
          <t>内定者研修で実施すべき内容やメリットとは？成功するためのポイントも解説</t>
        </is>
      </c>
      <c r="C353" s="10" t="inlineStr">
        <is>
          <t>https://dym.asia/media/pre_employment_training/</t>
        </is>
      </c>
      <c r="D353" s="47" t="inlineStr">
        <is>
          <t>dym 研修 やばい</t>
        </is>
      </c>
      <c r="E353" s="35" t="n">
        <v>1</v>
      </c>
      <c r="F353" s="36" t="n">
        <v>8</v>
      </c>
      <c r="G353" s="47" t="inlineStr">
        <is>
          <t>あり</t>
        </is>
      </c>
      <c r="H353" s="47" t="inlineStr">
        <is>
          <t>既存</t>
        </is>
      </c>
      <c r="I353" s="47" t="inlineStr">
        <is>
          <t>対応不要</t>
        </is>
      </c>
      <c r="J353" s="47" t="n"/>
      <c r="K353" s="47" t="inlineStr">
        <is>
          <t>対応不要</t>
        </is>
      </c>
      <c r="L353" s="47" t="inlineStr">
        <is>
          <t>対応不要</t>
        </is>
      </c>
      <c r="M353" s="47" t="inlineStr">
        <is>
          <t>対応不要</t>
        </is>
      </c>
      <c r="N353" s="47" t="inlineStr">
        <is>
          <t>クリニック以外</t>
        </is>
      </c>
      <c r="O353" s="47" t="n"/>
      <c r="P353" s="47" t="n"/>
      <c r="Q353" s="47" t="n"/>
      <c r="R353" s="47" t="n"/>
    </row>
    <row r="354" ht="15.75" customHeight="1" s="185">
      <c r="A354" s="52">
        <f>row()-3</f>
        <v/>
      </c>
      <c r="B354" s="46" t="inlineStr">
        <is>
          <t>入社前研修は何をすればいい？研修内容や目的、入れるべき内容を解説</t>
        </is>
      </c>
      <c r="C354" s="6" t="inlineStr">
        <is>
          <t>https://dym.asia/media/pre_entry_training/</t>
        </is>
      </c>
      <c r="D354" s="47" t="inlineStr">
        <is>
          <t>dym 内定式</t>
        </is>
      </c>
      <c r="E354" s="35" t="n">
        <v>1</v>
      </c>
      <c r="F354" s="36" t="n">
        <v>9.719512195121951</v>
      </c>
      <c r="G354" s="47" t="inlineStr">
        <is>
          <t>あり</t>
        </is>
      </c>
      <c r="H354" s="47" t="inlineStr">
        <is>
          <t>既存</t>
        </is>
      </c>
      <c r="I354" s="47" t="inlineStr">
        <is>
          <t>対応不要</t>
        </is>
      </c>
      <c r="J354" s="47" t="n"/>
      <c r="K354" s="47" t="inlineStr">
        <is>
          <t>対応不要</t>
        </is>
      </c>
      <c r="L354" s="47" t="inlineStr">
        <is>
          <t>対応不要</t>
        </is>
      </c>
      <c r="M354" s="47" t="inlineStr">
        <is>
          <t>対応不要</t>
        </is>
      </c>
      <c r="N354" s="47" t="inlineStr">
        <is>
          <t>クリニック以外</t>
        </is>
      </c>
      <c r="O354" s="47" t="n"/>
      <c r="P354" s="47" t="n"/>
      <c r="Q354" s="47" t="n"/>
      <c r="R354" s="47" t="n"/>
    </row>
    <row r="355" ht="15.75" customHeight="1" s="185">
      <c r="A355" s="52">
        <f>row()-3</f>
        <v/>
      </c>
      <c r="B355" s="46" t="inlineStr">
        <is>
          <t>PV（ページビュー）とは？Webマーケティングにおける重要性を解説</t>
        </is>
      </c>
      <c r="C355" s="6" t="inlineStr">
        <is>
          <t>https://dym.asia/media/pv/</t>
        </is>
      </c>
      <c r="D355" s="47" t="inlineStr">
        <is>
          <t>pv 広告</t>
        </is>
      </c>
      <c r="E355" s="35" t="n">
        <v>1</v>
      </c>
      <c r="F355" s="36" t="n">
        <v>16.55405405405406</v>
      </c>
      <c r="G355" s="47" t="inlineStr">
        <is>
          <t>なし</t>
        </is>
      </c>
      <c r="H355" s="47" t="inlineStr">
        <is>
          <t>可</t>
        </is>
      </c>
      <c r="I355" s="10" t="inlineStr">
        <is>
          <t>Q: PV（ページビュー）とは何ですか？また、UU（ユニークユーザー数）やセッション数とどう違いますか？
A: PV（ページビュー）とは、Webサイト内の特定のページがユーザーによって表示された回数を指す指標です。 一方、UU（ユニークユーザー数）はサイトを訪れた個別のユーザーの人数（同一人物が何度訪れても1としてカウント）を指し、セッション数はユーザーがサイトを訪問してから離脱するまでの一連の訪問回数を指します。
Q: PV数が多いほど、Webサイトの運営は成功していると言えますか？
A: PV数が多いということは、コンテンツが多くのユーザーに閲覧され、認知度が高いことを意味するため、目標達成の可能性は高まります。しかし、最終的な目標はコンバージョン（購入や問い合わせ）であるため、PV数だけでなく、コンバージョン率（CVR）や直帰率など、他の指標と組み合わせて総合的に評価することが重要です。
Q: WebサイトのPV数を増やすための効果的な方法は何ですか？
A: SEO対策（検索エンジン最適化）を実施して検索順位を向上させ、自然検索からの流入を増やすことが最も効果的です。具体的には、ユーザーが求める情報に合った質の高いコンテンツを作成することや、Web広告（リスティング広告など）やSNSを活用して露出を拡大し、サイトへの誘導を図ることも有効です。ぜひお問い合わせください。
お問い合わせ先はこちら↓
https://dym.asia/contact/</t>
        </is>
      </c>
      <c r="J355" s="47" t="n"/>
      <c r="K355" s="47" t="inlineStr">
        <is>
          <t>要修正</t>
        </is>
      </c>
      <c r="L355" s="47" t="inlineStr">
        <is>
          <t>未確認</t>
        </is>
      </c>
      <c r="M355" s="47" t="inlineStr">
        <is>
          <t>未依頼</t>
        </is>
      </c>
      <c r="N355" s="47" t="inlineStr">
        <is>
          <t>クリニック以外</t>
        </is>
      </c>
      <c r="O355" s="47" t="n"/>
      <c r="P355" s="47" t="n"/>
      <c r="Q355" s="47" t="n"/>
      <c r="R355" s="47" t="n"/>
    </row>
    <row r="356" ht="15.75" customHeight="1" s="185">
      <c r="A356" s="52">
        <f>row()-3</f>
        <v/>
      </c>
      <c r="B356" s="46" t="inlineStr">
        <is>
          <t>ラポールとは？意味をわかりやすく解説｜信頼関係形成の心理学</t>
        </is>
      </c>
      <c r="C356" s="6" t="inlineStr">
        <is>
          <t>https://dym.asia/media/rapport/</t>
        </is>
      </c>
      <c r="D356" s="47" t="inlineStr">
        <is>
          <t>ラポール</t>
        </is>
      </c>
      <c r="E356" s="35" t="n">
        <v>1</v>
      </c>
      <c r="F356" s="36" t="n">
        <v>9.01067615658363</v>
      </c>
      <c r="G356" s="47" t="inlineStr">
        <is>
          <t>なし</t>
        </is>
      </c>
      <c r="H356" s="47" t="inlineStr">
        <is>
          <t>可</t>
        </is>
      </c>
      <c r="I356" s="47" t="inlineStr">
        <is>
          <t>Q: 「ラポール」とは何ですか？ビジネスにおいてなぜ重要視されますか？
A: ラポールとは、人と人との間に築かれる信頼関係や、心の通じ合った状態を指す心理学用語です。 良好なラポールが形成されると、コミュニケーションが円滑になり、相手の心を開いて本音を引き出しやすくなります。特に営業やコーチング、人材育成といったビジネスシーンでの説得力や成果を高めるために欠かせない要素です。
Q: ラポール形成のために使える、具体的な心理学的テクニックには何がありますか？
A: 相手の姿勢や仕草をさりげなく真似る「ミラーリング」、相手の話し方や呼吸のペースに合わせる「ペーシング」、そして相手の発言を繰り返したり要約して返す「バックトラッキング（オウム返し）」といった手法が効果的です。これらは、相手に「自分は理解されている」という安心感や親近感を与えるために用いられます。
Q: ラポール形成を成功させるために、最も注意すべき点は何ですか？
A: 相手を尊重する姿勢を持ち、過度なアプローチを避けることです。ミラーリングやペーシングを露骨に行うと、かえって不自然さや不信感を与え、逆効果になります。また、相手の価値観や考え方を決して否定しないという態度を貫くことが、心の橋渡しを築く上での基本となります。</t>
        </is>
      </c>
      <c r="J356" s="47" t="n"/>
      <c r="K356" s="47" t="inlineStr">
        <is>
          <t>OK</t>
        </is>
      </c>
      <c r="L356" s="47" t="inlineStr">
        <is>
          <t>未確認</t>
        </is>
      </c>
      <c r="M356" s="47" t="inlineStr">
        <is>
          <t>未依頼</t>
        </is>
      </c>
      <c r="N356" s="47" t="inlineStr">
        <is>
          <t>クリニック以外</t>
        </is>
      </c>
      <c r="O356" s="47" t="n"/>
      <c r="P356" s="47" t="n"/>
      <c r="Q356" s="47" t="n"/>
      <c r="R356" s="47" t="n"/>
    </row>
    <row r="357" ht="15.75" customHeight="1" s="185">
      <c r="A357" s="52">
        <f>row()-3</f>
        <v/>
      </c>
      <c r="B357" s="46" t="inlineStr">
        <is>
          <t>不動産売却の仲介手数料を徹底解説：企業担当者が知っておくべき重要ポイント</t>
        </is>
      </c>
      <c r="C357" s="6" t="inlineStr">
        <is>
          <t>https://dym.asia/media/real-estate-sale-agent-cost/</t>
        </is>
      </c>
      <c r="D357" s="47" t="inlineStr">
        <is>
          <t>仲介手数料 損金算入時期</t>
        </is>
      </c>
      <c r="E357" s="35" t="n">
        <v>1</v>
      </c>
      <c r="F357" s="36" t="n">
        <v>7.076923076923077</v>
      </c>
      <c r="G357" s="47" t="inlineStr">
        <is>
          <t>なし</t>
        </is>
      </c>
      <c r="H357" s="47" t="inlineStr">
        <is>
          <t>可</t>
        </is>
      </c>
      <c r="I357" s="47" t="inlineStr">
        <is>
          <t>Q: 不動産売却における仲介手数料の上限額はいくらですか？
A: 宅地建物取引業法により、売買価格が400万円を超える場合、仲介手数料の上限額は「（売却価格の3%＋6万円）＋消費税」と定められています。多くの不動産会社はこの上限額を請求します。
Q: 仲介手数料は、いつ、どのように支払うのが一般的ですか？
A: 仲介手数料は、一般的に売買契約の締結時と物件の引き渡し完了時（決済時）の2回に分けて支払う二分割が慣例です。手数料は成功報酬であるため、売買が成立しない限り費用は発生しません。
Q: 仲介手数料以外に、不動産売却時にかかる主な費用は何ですか？
A: 仲介手数料の他に、売買契約書に貼付する印紙税、売却益が発生した場合の譲渡所得税、抵当権抹消や所有権移転登記に必要な司法書士への報酬などが主な費用として発生します。</t>
        </is>
      </c>
      <c r="J357" s="47" t="n"/>
      <c r="K357" s="47" t="inlineStr">
        <is>
          <t>要修正</t>
        </is>
      </c>
      <c r="L357" s="47" t="inlineStr">
        <is>
          <t>未確認</t>
        </is>
      </c>
      <c r="M357" s="47" t="inlineStr">
        <is>
          <t>未依頼</t>
        </is>
      </c>
      <c r="N357" s="47" t="inlineStr">
        <is>
          <t>クリニック以外</t>
        </is>
      </c>
      <c r="O357" s="47" t="n"/>
      <c r="P357" s="47" t="n"/>
      <c r="Q357" s="47" t="n"/>
      <c r="R357" s="47" t="n"/>
    </row>
    <row r="358" ht="15.75" customHeight="1" s="185">
      <c r="A358" s="52">
        <f>row()-3</f>
        <v/>
      </c>
      <c r="B358" s="46" t="inlineStr">
        <is>
          <t>受付バイトとは？きついと言われる理由やメリット・仕事内容を解説</t>
        </is>
      </c>
      <c r="C358" s="6" t="inlineStr">
        <is>
          <t>https://dym.asia/media/receptionist-parttime-job/</t>
        </is>
      </c>
      <c r="D358" s="47" t="inlineStr">
        <is>
          <t>受付 仕事 辛い</t>
        </is>
      </c>
      <c r="E358" s="35" t="n">
        <v>1</v>
      </c>
      <c r="F358" s="36" t="n">
        <v>5.208333333333333</v>
      </c>
      <c r="G358" s="47" t="inlineStr">
        <is>
          <t>なし</t>
        </is>
      </c>
      <c r="H358" s="47" t="inlineStr">
        <is>
          <t>可</t>
        </is>
      </c>
      <c r="I358" s="47" t="inlineStr">
        <is>
          <t>Q: 受付バイトとは、具体的にどのような仕事内容で、企業の「顔」として何を求められますか？
A: 受付バイトは、来客対応、電話応対、予約管理、案内などを行う、企業の「顔」となる仕事です。求められるのは、丁寧な言葉遣いや明るい笑顔、そして、マニュアル外の質問やクレームに冷静に対応できる臨機応変な対応力です。
Q: 受付バイトが「きつい」と言われる主な理由は何ですか？
A: 華やかなイメージに反し、お客様からのクレームを直接受ける精神的ストレスや、覚えるべき業務や専門知識の多さが理由として挙げられます。また、長時間の立ち仕事であることや、会社の第一印象を左右する責任の重さに対して、給料が見合っていないと感じるケースもあります。
Q: 受付バイトの仕事を通して身につく、将来役立つスキルは何ですか？
A: 企業の「顔」として働くことで、社会人に不可欠な正しいビジネスマナーが自然と身につきます。また、多様な来客やイレギュラーな状況に対応することで、高いコミュニケーション能力と臨機応変な問題解決能力が向上し、これは将来のキャリアアップに大きく役立ちます。</t>
        </is>
      </c>
      <c r="J358" s="47" t="n"/>
      <c r="K358" s="47" t="inlineStr">
        <is>
          <t>OK</t>
        </is>
      </c>
      <c r="L358" s="47" t="inlineStr">
        <is>
          <t>未確認</t>
        </is>
      </c>
      <c r="M358" s="47" t="inlineStr">
        <is>
          <t>未依頼</t>
        </is>
      </c>
      <c r="N358" s="47" t="inlineStr">
        <is>
          <t>クリニック以外</t>
        </is>
      </c>
      <c r="O358" s="47" t="n"/>
      <c r="P358" s="47" t="n"/>
      <c r="Q358" s="47" t="n"/>
      <c r="R358" s="47" t="n"/>
    </row>
    <row r="359" ht="15.75" customHeight="1" s="185">
      <c r="A359" s="52">
        <f>row()-3</f>
        <v/>
      </c>
      <c r="B359" s="46" t="inlineStr">
        <is>
          <t>採用コンサルティングとは？サービス内容やメリット、おすすめの会社を解説</t>
        </is>
      </c>
      <c r="C359" s="10" t="inlineStr">
        <is>
          <t>https://dym.asia/media/recruitment-consulting-guide/</t>
        </is>
      </c>
      <c r="D359" s="47" t="inlineStr">
        <is>
          <t>採用コンサル</t>
        </is>
      </c>
      <c r="E359" s="35" t="n">
        <v>1</v>
      </c>
      <c r="F359" s="36" t="n">
        <v>52.13609467455621</v>
      </c>
      <c r="G359" s="47" t="inlineStr">
        <is>
          <t>なし</t>
        </is>
      </c>
      <c r="H359" s="47" t="inlineStr">
        <is>
          <t>可</t>
        </is>
      </c>
      <c r="I359" s="10" t="inlineStr">
        <is>
          <t>Q: 採用コンサルティングとは、具体的にどのようなサービスですか？
A: 採用コンサルティングとは、企業の採用活動における課題を解決し、採用戦略の策定から実行、改善までを一貫して支援するサービスです。具体的には、採用戦略立案、選考プロセス改善、採用ブランディング支援、採用業務の効率化など、採用活動全般を専門的な知見からサポートします。
Q: 採用コンサルティングを利用することで、企業側はどのようなメリットを得られますか？
A: 採用戦略が市場動向に合わせて最適化され、採用力の向上が期待できます。また、選考プロセスの改善や業務効率化により、採用担当者の負担が軽減され、第三者目線での客観的な評価を得られるため、採用成功率の向上とミスマッチの防止につながります。
Q: 採用コンサルティング会社を選ぶ際に、最も重視すべきポイントは何ですか？
A: 自社の業界や企業規模における実績が豊富であることと、コンサルタントの経験や専門知識です。特に、自社の課題（例：内定辞退が多い、母集団が形成できない）に対して、具体的な解決策を提案できる実行力とサポート体制を持っているかを確認することが重要です。
ぜひお問い合わせください。
お問い合わせ先はこちら↓
https://dym.asia/contact/</t>
        </is>
      </c>
      <c r="J359" s="47" t="n"/>
      <c r="K359" s="47" t="inlineStr">
        <is>
          <t>OK</t>
        </is>
      </c>
      <c r="L359" s="47" t="inlineStr">
        <is>
          <t>未確認</t>
        </is>
      </c>
      <c r="M359" s="47" t="inlineStr">
        <is>
          <t>未依頼</t>
        </is>
      </c>
      <c r="N359" s="47" t="inlineStr">
        <is>
          <t>クリニック以外</t>
        </is>
      </c>
      <c r="O359" s="47" t="n"/>
      <c r="P359" s="47" t="n"/>
      <c r="Q359" s="47" t="n"/>
      <c r="R359" s="47" t="n"/>
    </row>
    <row r="360" ht="15.75" customHeight="1" s="185">
      <c r="A360" s="52">
        <f>row()-3</f>
        <v/>
      </c>
      <c r="B360" s="46" t="inlineStr">
        <is>
          <t>Instagram採用のポイント｜成功する企業の条件</t>
        </is>
      </c>
      <c r="C360" s="6" t="inlineStr">
        <is>
          <t>https://dym.asia/media/recruitment-instagram/</t>
        </is>
      </c>
      <c r="D360" s="47" t="inlineStr">
        <is>
          <t>採用 インスタグラム</t>
        </is>
      </c>
      <c r="E360" s="35" t="n">
        <v>1</v>
      </c>
      <c r="F360" s="36" t="n">
        <v>9.375</v>
      </c>
      <c r="G360" s="47" t="inlineStr">
        <is>
          <t>なし</t>
        </is>
      </c>
      <c r="H360" s="47" t="inlineStr">
        <is>
          <t>可</t>
        </is>
      </c>
      <c r="I360" s="47" t="inlineStr">
        <is>
          <t>Q: Instagram採用とは何ですか？どのようなメリットがありますか？
A: Instagram採用とは、企業がInstagramを活用して写真や動画を中心とした視覚的な情報発信を行い、求職者にアプローチする採用手法です。最大のメリットは、テキストだけでは伝わりにくい社風や職場の雰囲気をリアルに伝え、求職者とのミスマッチを防ぎ、企業イメージを向上できる点です。
Q: Instagram採用は、特にどのようなターゲット層に効果的ですか？
A: 若年層（ミレニアル世代やZ世代など10代〜20代）をターゲットにした企業に特に効果的です。彼らは視覚的で直感的なコンテンツに強く反応する傾向があるため、Instagramの特性を活かすことで、従来の求人媒体ではリーチしづらかった潜在的な求職者に効率的にアプローチできます。
Q: Instagram採用を成功させるための、運用上の重要な注意点は何ですか？
A: 「炎上リスク」と「コンテンツ制作の人的コスト」です。視覚的な訴求力が強いため、不適切な投稿は企業イメージの低下に直結します。そのため、コンセプトの一貫性と、投稿内容の厳重なチェック体制を整えることが不可欠です。また、効果が出るまでに一定の時間と継続的な質の高いコンテンツ制作が必要となります。</t>
        </is>
      </c>
      <c r="J360" s="47" t="n"/>
      <c r="K360" s="47" t="inlineStr">
        <is>
          <t>OK</t>
        </is>
      </c>
      <c r="L360" s="47" t="inlineStr">
        <is>
          <t>未確認</t>
        </is>
      </c>
      <c r="M360" s="47" t="inlineStr">
        <is>
          <t>未依頼</t>
        </is>
      </c>
      <c r="N360" s="47" t="inlineStr">
        <is>
          <t>クリニック以外</t>
        </is>
      </c>
      <c r="O360" s="47" t="n"/>
      <c r="P360" s="47" t="n"/>
      <c r="Q360" s="47" t="n"/>
      <c r="R360" s="47" t="n"/>
    </row>
    <row r="361" ht="15.75" customHeight="1" s="185">
      <c r="A361" s="52">
        <f>row()-3</f>
        <v/>
      </c>
      <c r="B361" s="46" t="inlineStr">
        <is>
          <t>リソースとは？ビジネス上の意味や重要性を簡単に解説</t>
        </is>
      </c>
      <c r="C361" s="10" t="inlineStr">
        <is>
          <t>https://dym.asia/media/resource/</t>
        </is>
      </c>
      <c r="D361" s="47" t="inlineStr">
        <is>
          <t>ソース ビジネス用語</t>
        </is>
      </c>
      <c r="E361" s="35" t="n">
        <v>1</v>
      </c>
      <c r="F361" s="36" t="n">
        <v>1.083333333333333</v>
      </c>
      <c r="G361" s="47" t="inlineStr">
        <is>
          <t>なし</t>
        </is>
      </c>
      <c r="H361" s="47" t="inlineStr">
        <is>
          <t>可</t>
        </is>
      </c>
      <c r="I361" s="47" t="inlineStr">
        <is>
          <t>Q: ビジネスにおける「リソース」とは何ですか？また、主な種類を教えてください。
A: リソースとは、企業が事業活動や目標達成のために活用する「経営資源」の総称です。かつては「ヒト・モノ・カネ・情報」の4大資源でしたが、現在はこれに「時間」と「知的財産」を加えた6つの要素で語られることが一般的です。
Q: リソースと「アセット（資産）」との違いは何ですか？
A: リソースは、事業活動を通じて「活用することで価値を生み出す」という性質を持つ資源を指します（例：従業員のスキル、時間）。一方、アセットは「所有しているだけで財産的価値がある」と見なされる資産を指します（例：銀行預金、土地や建物といった不動産）
Q: 企業がリソース管理を徹底することが重要な理由は何ですか？
A: 限られた資源（特に時間とヒト）を最も効率的かつ効果的な場所に配分することで、会社の利益を最大化し、競争優位性を確保するためです。また、リソースを適切に管理することで、社員が働きやすい環境を作り、トラブルに強い組織を構築できます。</t>
        </is>
      </c>
      <c r="J361" s="47" t="n"/>
      <c r="K361" s="47" t="inlineStr">
        <is>
          <t>OK</t>
        </is>
      </c>
      <c r="L361" s="47" t="inlineStr">
        <is>
          <t>未確認</t>
        </is>
      </c>
      <c r="M361" s="47" t="inlineStr">
        <is>
          <t>未依頼</t>
        </is>
      </c>
      <c r="N361" s="47" t="inlineStr">
        <is>
          <t>クリニック以外</t>
        </is>
      </c>
      <c r="O361" s="47" t="n"/>
      <c r="P361" s="47" t="n"/>
      <c r="Q361" s="47" t="n"/>
      <c r="R361" s="47" t="n"/>
    </row>
    <row r="362" ht="15.75" customHeight="1" s="185">
      <c r="A362" s="52">
        <f>row()-3</f>
        <v/>
      </c>
      <c r="B362" s="46" t="inlineStr">
        <is>
          <t>風評被害対策とは？影響や解決策を分かりやすく解説</t>
        </is>
      </c>
      <c r="C362" s="10" t="inlineStr">
        <is>
          <t>https://dym.asia/media/rumor-control-measures/</t>
        </is>
      </c>
      <c r="D362" s="47" t="inlineStr">
        <is>
          <t>dym タイ 炎上</t>
        </is>
      </c>
      <c r="E362" s="35" t="n">
        <v>1</v>
      </c>
      <c r="F362" s="36" t="n">
        <v>9.301075268817204</v>
      </c>
      <c r="G362" s="47" t="inlineStr">
        <is>
          <t>なし</t>
        </is>
      </c>
      <c r="H362" s="47" t="inlineStr">
        <is>
          <t>可</t>
        </is>
      </c>
      <c r="I362" s="10" t="inlineStr">
        <is>
          <t>Q: 企業における「風評被害」とは何ですか？「誹謗中傷」と何が違いますか？
A: 風評被害とは、根拠のない噂や誤解に基づく情報が拡散されることで、企業が経済的・社会的な損害を被る現象です。 誹謗中傷が悪意ある中傷であるのに対し、風評被害は必ずしも悪意がなく、不確かな情報が人々の不安や憶測によって広まる点に違いがあります。
Q: 風評被害が発生した場合、企業が最初にとるべき適切な対処法は何ですか？
A: 最優先で流布されている情報が事実であるかを迅速に確認することです。事実確認を怠って否定してしまうと、後に事実が判明した場合に企業の信頼がさらに失墜します。確認後は、あらかじめ整備したクライシスコミュニケーション体制に則って、速やかに公式声明を発信し、企業の姿勢を明確に示すことが重要です。
Q: 風評被害によって失われた企業の評判を回復するための効果的な手法は何ですか？
A: 「逆SEO対策」が有効です。これは、企業の理念や社会貢献活動などのポジティブで信頼性の高い情報を継続的に発信し、検索エンジンで上位表示させることで、ネガティブな記事を検索結果の下位に押し下げる施策です。また、SNSや問い合わせ窓口での誠実なコミュニケーションを通じて、ステークホルダーとの信頼関係を回復する地道な取り組みが不可欠です。ぜひお問い合わせください。
お問い合わせ先はこちら↓
https://dym.asia/contact/</t>
        </is>
      </c>
      <c r="J362" s="47" t="n"/>
      <c r="K362" s="47" t="inlineStr">
        <is>
          <t>OK</t>
        </is>
      </c>
      <c r="L362" s="47" t="inlineStr">
        <is>
          <t>未確認</t>
        </is>
      </c>
      <c r="M362" s="47" t="inlineStr">
        <is>
          <t>未依頼</t>
        </is>
      </c>
      <c r="N362" s="47" t="inlineStr">
        <is>
          <t>クリニック以外</t>
        </is>
      </c>
      <c r="O362" s="47" t="n"/>
      <c r="P362" s="47" t="n"/>
      <c r="Q362" s="47" t="n"/>
      <c r="R362" s="47" t="n"/>
    </row>
    <row r="363" ht="15.75" customHeight="1" s="185">
      <c r="A363" s="52">
        <f>row()-3</f>
        <v/>
      </c>
      <c r="B363" s="46" t="inlineStr">
        <is>
          <t>検索連動型広告とは？仕組みやメリット・デメリット・掲載手順まで徹底解説</t>
        </is>
      </c>
      <c r="C363" s="6" t="inlineStr">
        <is>
          <t>https://dym.asia/media/search-ads/</t>
        </is>
      </c>
      <c r="D363" s="47" t="inlineStr">
        <is>
          <t>検索連動型広告</t>
        </is>
      </c>
      <c r="E363" s="35" t="n">
        <v>1</v>
      </c>
      <c r="F363" s="36" t="n">
        <v>9.929184549356224</v>
      </c>
      <c r="G363" s="47" t="inlineStr">
        <is>
          <t>なし</t>
        </is>
      </c>
      <c r="H363" s="47" t="inlineStr">
        <is>
          <t>可</t>
        </is>
      </c>
      <c r="I363" s="10" t="inlineStr">
        <is>
          <t>Q: 検索連動型広告（リスティング広告）とは何ですか？
A: 検索連動型広告とは、ユーザーがGoogleやYahoo!などの検索エンジンで特定のキーワードを入力した際に、検索結果ページの上部や下部に表示されるテキスト形式の広告です。ユーザーが能動的に情報を探しているタイミングで広告を表示できるため、購買意欲が高い層（顕在層）にアプローチできる点が最大の特徴です。
ぜひお問い合わせください。
お問い合わせ先はこちら↓
https://dym.asia/contact/
Q: 検索連動型広告の費用はどのように決まり、掲載順位はどのように決定されますか？
A: 費用は、ユーザーが広告をクリックした場合にのみ発生する「クリック課金制（CPC）」が採用されています。掲載順位は、広告主の入札額と、広告の品質スコア（広告とランディングページ、キーワードの関連性など）を複合的に評価するオークション形式で決定されます。
Q: 検索連動型広告とSEO（自然検索）の違いは何ですか？
A: 検索連動型広告は費用を支払うことで即効性があり、表示位置や内容をコントロールしやすい「広告」です。一方、SEOは費用をかけずに長期的な施策によって検索エンジンの評価を高め、自然検索結果として上位表示を目指すものであり、効果が出るまでに時間がかかる代わりに、広告費をかけずに集客できるメリットがあります。</t>
        </is>
      </c>
      <c r="J363" s="47" t="n"/>
      <c r="K363" s="47" t="inlineStr">
        <is>
          <t>OK</t>
        </is>
      </c>
      <c r="L363" s="47" t="inlineStr">
        <is>
          <t>未確認</t>
        </is>
      </c>
      <c r="M363" s="47" t="inlineStr">
        <is>
          <t>未依頼</t>
        </is>
      </c>
      <c r="N363" s="47" t="inlineStr">
        <is>
          <t>クリニック以外</t>
        </is>
      </c>
      <c r="O363" s="47" t="n"/>
      <c r="P363" s="47" t="n"/>
      <c r="Q363" s="47" t="n"/>
      <c r="R363" s="47" t="n"/>
    </row>
    <row r="364" ht="15.75" customHeight="1" s="185">
      <c r="A364" s="52">
        <f>row()-3</f>
        <v/>
      </c>
      <c r="B364" s="46" t="inlineStr">
        <is>
          <t>検索キーワードの調べ方、選定方法、効果的な活用</t>
        </is>
      </c>
      <c r="C364" s="6" t="inlineStr">
        <is>
          <t>https://dym.asia/media/search-keyword/</t>
        </is>
      </c>
      <c r="D364" s="47" t="inlineStr">
        <is>
          <t>キーワード検索 方法</t>
        </is>
      </c>
      <c r="E364" s="35" t="n">
        <v>1</v>
      </c>
      <c r="F364" s="36" t="n">
        <v>15.25581395348837</v>
      </c>
      <c r="G364" s="47" t="inlineStr">
        <is>
          <t>なし</t>
        </is>
      </c>
      <c r="H364" s="47" t="inlineStr">
        <is>
          <t>可</t>
        </is>
      </c>
      <c r="I364" s="10" t="inlineStr">
        <is>
          <t>Q: 検索キーワードとは何ですか？Webマーケティングにおいてなぜ重要視されるのですか？
A: 検索キーワードとは、ユーザーが検索エンジンに入力する単語やフレーズのことです。このキーワードはユーザーの検索意図や解決したい問題を反映しているため、適切なキーワードを選定しコンテンツを作成することで、サイトの検索順位が向上し、ターゲットオーディエンスへのリーチを可能にする、SEO対策の基盤となる要素です。
Q: 検索キーワードにはどのような種類があり、どのように使い分けられますか？
A: 検索ボリュームが大きい「ビッグキーワード」、その後に続く語句を組み合わせた「ミドルキーワード」、さらに具体的な3〜4語以上のフレーズである「ロングテールキーワード」があります。ロングテールキーワードは検索ボリュームは少ないですがユーザーの購買意欲が高いため、競争の激しいビッグキーワードよりも、まずはロングテールキーワードを狙うことが効率的な戦略となります。
Q: 検索キーワードを選定する際に、最も重要なポイントは何ですか？
A: 「ユーザーの検索意図（インテント）」を正確に把握することです。単に検索ボリュームが多いキーワードを選ぶのではなく、「このキーワードで検索する人は、どのような情報や商品を求めているのか」を深く分析し、その意図に合致した質の高いコンテンツを提供することが、検索順位の向上に不可欠です。ぜひお問い合わせください。
お問い合わせ先はこちら↓
https://dym.asia/contact/</t>
        </is>
      </c>
      <c r="J364" s="47" t="n"/>
      <c r="K364" s="47" t="inlineStr">
        <is>
          <t>要修正</t>
        </is>
      </c>
      <c r="L364" s="47" t="inlineStr">
        <is>
          <t>未確認</t>
        </is>
      </c>
      <c r="M364" s="47" t="inlineStr">
        <is>
          <t>未依頼</t>
        </is>
      </c>
      <c r="N364" s="47" t="inlineStr">
        <is>
          <t>クリニック以外</t>
        </is>
      </c>
      <c r="O364" s="47" t="n"/>
      <c r="P364" s="47" t="n"/>
      <c r="Q364" s="47" t="n"/>
      <c r="R364" s="47" t="n"/>
    </row>
    <row r="365" ht="15.75" customHeight="1" s="185">
      <c r="A365" s="52">
        <f>row()-3</f>
        <v/>
      </c>
      <c r="B365" s="46" t="inlineStr">
        <is>
          <t>サイト内検索とは？サイト内検索機能の利用方法や導入方法を解説</t>
        </is>
      </c>
      <c r="C365" s="6" t="inlineStr">
        <is>
          <t>https://dym.asia/media/search-within-page/</t>
        </is>
      </c>
      <c r="D365" s="47" t="inlineStr">
        <is>
          <t>html 検索機能 ページ内</t>
        </is>
      </c>
      <c r="E365" s="35" t="n">
        <v>1</v>
      </c>
      <c r="F365" s="36" t="n">
        <v>7.5</v>
      </c>
      <c r="G365" s="47" t="inlineStr">
        <is>
          <t>なし</t>
        </is>
      </c>
      <c r="H365" s="47" t="inlineStr">
        <is>
          <t>可</t>
        </is>
      </c>
      <c r="I365" s="10" t="inlineStr">
        <is>
          <t>Q: Webサイトに「サイト内検索機能」を導入する最大のメリットは何ですか？
A: ユーザーが求める情報に素早くアクセスできるようになり、ユーザーエクスペリエンス（UX）が向上することです。これにより、ユーザーのサイトからの離脱率を低下させ、最終的なコンバージョン率（CVR）の改善に直結する効果が期待できます。ぜひお問い合わせください。
お問い合わせ先はこちら↓
https://dym.asia/contact/
Q: サイト内検索の「検索履歴」を分析することで、どのようなメリットが得られますか？
A: ユーザーがどのようなキーワードで検索しているかを知ることで、人気のコンテンツや、現在のサイト内で不足している情報が浮き彫りになります。このデータを基に新しいコンテンツを追加したり、既存コンテンツを更新したりすることで、サイト全体のユーザビリティやコンテンツの質を向上させる指針が得られます。
Q: サイト内検索機能を実装するための一般的な方法には、どのようなものがありますか？
A: 主に、Googleが提供する「カスタム検索」機能をWebサイトに組み込む方法や、WordPressなどのCMSであればプラグインを活用して導入する方法があります。また、「site:ドメイン名 キーワード」という検索コマンドをGoogle検索窓に入力することで、サイトに検索機能がなくても外部からサイト内検索を行うことができます。</t>
        </is>
      </c>
      <c r="J365" s="47" t="n"/>
      <c r="K365" s="47" t="inlineStr">
        <is>
          <t>要修正</t>
        </is>
      </c>
      <c r="L365" s="47" t="inlineStr">
        <is>
          <t>未確認</t>
        </is>
      </c>
      <c r="M365" s="47" t="inlineStr">
        <is>
          <t>未依頼</t>
        </is>
      </c>
      <c r="N365" s="47" t="inlineStr">
        <is>
          <t>クリニック以外</t>
        </is>
      </c>
      <c r="O365" s="47" t="n"/>
      <c r="P365" s="47" t="n"/>
      <c r="Q365" s="47" t="n"/>
      <c r="R365" s="47" t="n"/>
    </row>
    <row r="366" ht="15.75" customHeight="1" s="185">
      <c r="A366" s="52">
        <f>row()-3</f>
        <v/>
      </c>
      <c r="B366" s="46" t="inlineStr">
        <is>
          <t>第二新卒とは？採用のメリットや優秀な人材を確保する3つの手法を紹介！</t>
        </is>
      </c>
      <c r="C366" s="6" t="inlineStr">
        <is>
          <t>https://dym.asia/media/second_graduate/</t>
        </is>
      </c>
      <c r="D366" s="47" t="inlineStr">
        <is>
          <t>第二新卒 採用方法</t>
        </is>
      </c>
      <c r="E366" s="35" t="n">
        <v>1</v>
      </c>
      <c r="F366" s="36" t="n">
        <v>3.62</v>
      </c>
      <c r="G366" s="47" t="inlineStr">
        <is>
          <t>なし</t>
        </is>
      </c>
      <c r="H366" s="47" t="inlineStr">
        <is>
          <t>可</t>
        </is>
      </c>
      <c r="I366" s="47" t="inlineStr">
        <is>
          <t>Q: 「第二新卒」とは、具体的にどのような人材を指しますか？
A: 第二新卒とは、学校を卒業して一度就職した後、1年〜3年以内の比較的短い期間で転職活動をしている若手求職者を指します。明確な年齢定義はありませんが、主に20代が対象となり、新卒と比べて基本的なビジネスマナーや実践的な業務経験を持っている点が特徴です。
Q: 企業が第二新卒を採用する主なメリットは何ですか？
A: 教育コストを抑えられることと、自社の社風やルールに馴染みやすいことです。新卒と違い、社会人としての基礎やビジネスマナーが身についているため、研修期間を短縮できます。また、前職の経験が短い分、前職の習慣に染まっておらず、自社にスムーズに適応してくれることが期待できます。
Q: 第二新卒採用を成功させるために、企業が面接で特に注意すべき点は何ですか？
A: 前職の退職理由をしっかりと確認することです。退職理由が曖昧な場合や、失敗体験を反省できていない人材は、入社後のミスマッチや早期離職につながるリスクがあるため要注意です。自社での長期的なキャリア形成を考えているか、就職への覚悟があるかを慎重に見極める必要があります。</t>
        </is>
      </c>
      <c r="J366" s="47" t="n"/>
      <c r="K366" s="47" t="inlineStr">
        <is>
          <t>OK</t>
        </is>
      </c>
      <c r="L366" s="47" t="inlineStr">
        <is>
          <t>未確認</t>
        </is>
      </c>
      <c r="M366" s="47" t="inlineStr">
        <is>
          <t>未依頼</t>
        </is>
      </c>
      <c r="N366" s="47" t="inlineStr">
        <is>
          <t>クリニック以外</t>
        </is>
      </c>
      <c r="O366" s="47" t="n"/>
      <c r="P366" s="47" t="n"/>
      <c r="Q366" s="47" t="n"/>
      <c r="R366" s="47" t="n"/>
    </row>
    <row r="367" ht="15.75" customHeight="1" s="185">
      <c r="A367" s="52">
        <f>row()-3</f>
        <v/>
      </c>
      <c r="B367" s="46" t="inlineStr">
        <is>
          <t>SEMとは？SEOとの違いを知ってWebマーケティングを活用しよう</t>
        </is>
      </c>
      <c r="C367" s="6" t="inlineStr">
        <is>
          <t>https://dym.asia/media/sem-about/</t>
        </is>
      </c>
      <c r="D367" s="47" t="inlineStr">
        <is>
          <t>sem対策</t>
        </is>
      </c>
      <c r="E367" s="35" t="n">
        <v>1</v>
      </c>
      <c r="F367" s="36" t="n">
        <v>14.03963414634146</v>
      </c>
      <c r="G367" s="47" t="inlineStr">
        <is>
          <t>なし</t>
        </is>
      </c>
      <c r="H367" s="47" t="inlineStr">
        <is>
          <t>可</t>
        </is>
      </c>
      <c r="I367" s="10" t="inlineStr">
        <is>
          <t>Q: SEM（検索エンジンマーケティング）とは何ですか？SEOとリスティング広告との関係を教えてください。
A: SEMとは、検索エンジンを活用してWebサイトへのトラフィックを増やすためのマーケティング手法全体の総称です。 SEMは、SEO（自然検索での上位表示を目指す施策）とリスティング広告（検索結果上部に表示される有料広告）の2つの主要な要素を組み合わせて、検索結果ページでの露出を最大化することを目指します。
Q: SEMを導入する主なメリットとデメリットは何ですか？
A: メリットは、リスティング広告の活用により短期間で効果が現れ、ターゲットユーザーに高精度でリーチできる点です。デメリットは、リスティング広告にかかる広告費用が継続的に発生することや、競争が激しいキーワードではクリック単価が高騰するリスクがある点です。
Q: SEMを成功させるための戦略的なポイントは何ですか？
A: 短期的な成果（リスティング広告）と長期的な成果（SEO）のバランスを保つことです。具体的には、適切なキーワードを選定し、リスティング広告のPDCAサイクルを徹底して実行し続けることで、費用対効果を最大化させることが成功の鍵となります。ぜひお問い合わせください。
お問い合わせ先はこちら↓
https://dym.asia/contact/</t>
        </is>
      </c>
      <c r="J367" s="47" t="n"/>
      <c r="K367" s="47" t="inlineStr">
        <is>
          <t>OK</t>
        </is>
      </c>
      <c r="L367" s="47" t="inlineStr">
        <is>
          <t>未確認</t>
        </is>
      </c>
      <c r="M367" s="47" t="inlineStr">
        <is>
          <t>未依頼</t>
        </is>
      </c>
      <c r="N367" s="47" t="inlineStr">
        <is>
          <t>クリニック以外</t>
        </is>
      </c>
      <c r="O367" s="47" t="n"/>
      <c r="P367" s="47" t="n"/>
      <c r="Q367" s="47" t="n"/>
      <c r="R367" s="47" t="n"/>
    </row>
    <row r="368" ht="15.75" customHeight="1" s="185">
      <c r="A368" s="52">
        <f>row()-3</f>
        <v/>
      </c>
      <c r="B368" s="46" t="inlineStr">
        <is>
          <t>セミナー集客の方法7選！集客の流れや成功のコツを詳しく解説</t>
        </is>
      </c>
      <c r="C368" s="6" t="inlineStr">
        <is>
          <t>https://dym.asia/media/seminar-attracting-customers/</t>
        </is>
      </c>
      <c r="D368" s="47" t="inlineStr">
        <is>
          <t>セミナー集客</t>
        </is>
      </c>
      <c r="E368" s="35" t="n">
        <v>1</v>
      </c>
      <c r="F368" s="36" t="n">
        <v>38.5</v>
      </c>
      <c r="G368" s="47" t="inlineStr">
        <is>
          <t>なし</t>
        </is>
      </c>
      <c r="H368" s="47" t="inlineStr">
        <is>
          <t>可</t>
        </is>
      </c>
      <c r="I368" s="47" t="inlineStr">
        <is>
          <t>Q: セミナー集客とは何ですか？どのような目的で実施されますか？
A: セミナー集客とは、企画したセミナーに適切な参加者を呼び込むマーケティング活動全般を指します。主な目的は、商品やサービスのプロモーション、ブランド認知度の向上、そして見込み顧客（リード）の育成といった多様なビジネス目標を達成するための強力なツールとして活用されます。
Q: 効果的なセミナー集客を成功させるための、最も重要な準備段階は何ですか？
A: ターゲット層の明確化と、セミナーの目的設定です。誰を対象とし（例：BtoBの企業規模や役職）、セミナーを通じて何を達成したいのか（例：新規顧客獲得、ロイヤリティ向上）を明確にすることで、集客戦略とコンテンツの方向性に一貫性が生まれ、質の高い参加者を集めやすくなります。
Q: オンラインセミナー集客とオフラインセミナー集客には、どのような手法がありますか？
A: オンライン集客では、セミナーの価値を伝えるランディングページ（LP）の作成、既存顧客へのメールマーケティング、そしてSNSやオンライン広告を活用したターゲティングアプローチが中心です。オフライン集客では、チラシやDMの活用、テレアポによる直接アプローチ、そしてパートナー企業との共催セミナーなどが有効です。</t>
        </is>
      </c>
      <c r="J368" s="47" t="n"/>
      <c r="K368" s="47" t="inlineStr">
        <is>
          <t>要修正</t>
        </is>
      </c>
      <c r="L368" s="47" t="inlineStr">
        <is>
          <t>未確認</t>
        </is>
      </c>
      <c r="M368" s="47" t="inlineStr">
        <is>
          <t>未依頼</t>
        </is>
      </c>
      <c r="N368" s="47" t="inlineStr">
        <is>
          <t>クリニック以外</t>
        </is>
      </c>
      <c r="O368" s="47" t="n"/>
      <c r="P368" s="47" t="n"/>
      <c r="Q368" s="47" t="n"/>
      <c r="R368" s="47" t="n"/>
    </row>
    <row r="369" ht="15.75" customHeight="1" s="185">
      <c r="A369" s="52">
        <f>row()-3</f>
        <v/>
      </c>
      <c r="B369" s="46" t="inlineStr">
        <is>
          <t>SEOで最適な文字数とは？タイトルの作り方を解説</t>
        </is>
      </c>
      <c r="C369" s="6" t="inlineStr">
        <is>
          <t>https://dym.asia/media/seo-title-number-of-words/</t>
        </is>
      </c>
      <c r="D369" s="47" t="inlineStr">
        <is>
          <t>seo記事 タイトル 文字数</t>
        </is>
      </c>
      <c r="E369" s="35" t="n">
        <v>1</v>
      </c>
      <c r="F369" s="36" t="n">
        <v>8</v>
      </c>
      <c r="G369" s="47" t="inlineStr">
        <is>
          <t>なし</t>
        </is>
      </c>
      <c r="H369" s="47" t="inlineStr">
        <is>
          <t>可</t>
        </is>
      </c>
      <c r="I369" s="10" t="inlineStr">
        <is>
          <t>Q: SEOタイトルの最適な文字数は何文字ですか？
A: デバイスや検索エンジンの表示形式によって異なりますが、一般的に30〜35文字程度に収めることが推奨されています。 これは、検索結果ページでタイトルが途中で途切れずに表示され、ユーザーに内容を簡潔に伝えられる文字数の目安です。モバイルでは26〜33文字程度が理想とされています。
Q: SEOタイトルを作成する際に、最も重要なキーワードの配置場所はどこですか？
A: 最も重要なメインキーワードは、タイトルの可能な限り前半に配置することが重要です。これにより、ユーザーは検索結果を見た瞬間に記事の関連性を把握でき、クリック率（CTR）の向上につながります。また、検索エンジンにページの主要なテーマを効果的に伝えることができます。
Q: ユーザーのクリックを誘う、魅力的なタイトルの作り方のコツは何ですか？
A: ユーザーの疑問や問題を解決することを示唆する表現を用いることです。具体的には、具体的な数字（例：「3つのポイント」「5つの方法」）や、括弧【】を活用してタイトルにインパクトを持たせるなどの工夫が有効です。これにより、読者の興味や好奇心を刺激し、クリックを促します。気になる方はお気軽にお問い合わせください。
お問い合わせ先はこちら↓
https://dym.asia/contact/</t>
        </is>
      </c>
      <c r="J369" s="47" t="n"/>
      <c r="K369" s="47" t="inlineStr">
        <is>
          <t>OK</t>
        </is>
      </c>
      <c r="L369" s="47" t="inlineStr">
        <is>
          <t>未確認</t>
        </is>
      </c>
      <c r="M369" s="47" t="inlineStr">
        <is>
          <t>未依頼</t>
        </is>
      </c>
      <c r="N369" s="47" t="inlineStr">
        <is>
          <t>クリニック以外</t>
        </is>
      </c>
      <c r="O369" s="47" t="n"/>
      <c r="P369" s="47" t="n"/>
      <c r="Q369" s="47" t="n"/>
      <c r="R369" s="47" t="n"/>
    </row>
    <row r="370" ht="15.75" customHeight="1" s="185">
      <c r="A370" s="52">
        <f>row()-3</f>
        <v/>
      </c>
      <c r="B370" s="46" t="inlineStr">
        <is>
          <t>SESのM&amp;Aを徹底解説|メリット・デメリットや成功事例</t>
        </is>
      </c>
      <c r="C370" s="10" t="inlineStr">
        <is>
          <t>https://dym.asia/media/ses-mna/</t>
        </is>
      </c>
      <c r="D370" s="47" t="inlineStr">
        <is>
          <t>ses m&amp;a</t>
        </is>
      </c>
      <c r="E370" s="35" t="n">
        <v>1</v>
      </c>
      <c r="F370" s="36" t="n">
        <v>9.095959595959595</v>
      </c>
      <c r="G370" s="47" t="inlineStr">
        <is>
          <t>なし</t>
        </is>
      </c>
      <c r="H370" s="47" t="inlineStr">
        <is>
          <t>可</t>
        </is>
      </c>
      <c r="I370" s="47" t="inlineStr">
        <is>
          <t>Q: SES企業におけるM&amp;Aが近年活発化している背景は何ですか？
A: 主な背景は、IT業界全体の深刻な人材不足と、企業のDX（デジタルトランスフォーメーション）加速による需要拡大です。買い手企業は優秀なエンジニアチームを即座に確保するためにM&amp;Aを選択し、売り手企業は後継者不足の解決や事業基盤の強化を目指しています。
Q: SES企業のM&amp;Aにおける売却価格（企業価値）はどのように評価されますか？
A: 売却価格は、一般的に「時価純資産額 ＋ 営業利益 × 3〜5年分」を目安として算出されます。 特に、エンジニアの人数と質（先端技術のスキル）、顧客基盤の安定性、そして稼働率や利益率といった将来の収益性を示す指標が重視されます。
Q: SESのM&amp;Aを成功させるために、売り手・買い手双方が特に注意すべきポイントは何ですか？
A: 成功には、企業価値の最大化に向けた事前準備と、信頼できるM&amp;A仲介会社の選定が不可欠です。また、買収後の統合プロセス（PMI）をスムーズに進めるため、M&amp;Aの前にデューデリジェンス（詳細調査）に誠実に対応し、情報の透明性を確保することが重要となります。</t>
        </is>
      </c>
      <c r="J370" s="47" t="n"/>
      <c r="K370" s="47" t="inlineStr">
        <is>
          <t>要修正</t>
        </is>
      </c>
      <c r="L370" s="47" t="inlineStr">
        <is>
          <t>未確認</t>
        </is>
      </c>
      <c r="M370" s="47" t="inlineStr">
        <is>
          <t>未依頼</t>
        </is>
      </c>
      <c r="N370" s="47" t="inlineStr">
        <is>
          <t>クリニック以外</t>
        </is>
      </c>
      <c r="O370" s="47" t="n"/>
      <c r="P370" s="47" t="n"/>
      <c r="Q370" s="47" t="n"/>
      <c r="R370" s="47" t="n"/>
    </row>
    <row r="371" ht="15.75" customHeight="1" s="185">
      <c r="A371" s="52">
        <f>row()-3</f>
        <v/>
      </c>
      <c r="B371" s="46" t="inlineStr">
        <is>
          <t>肩ボトックス治療の効果と注意点：専門家が解説する最新情報</t>
        </is>
      </c>
      <c r="C371" s="6" t="inlineStr">
        <is>
          <t>https://dym.asia/media/shoulder-botox/</t>
        </is>
      </c>
      <c r="D371" s="47" t="inlineStr">
        <is>
          <t>肩 ボトックス 効果</t>
        </is>
      </c>
      <c r="E371" s="35" t="n">
        <v>1</v>
      </c>
      <c r="F371" s="36" t="n">
        <v>59.92957746478874</v>
      </c>
      <c r="G371" s="47" t="inlineStr">
        <is>
          <t>なし</t>
        </is>
      </c>
      <c r="H371" s="47" t="inlineStr">
        <is>
          <t>可</t>
        </is>
      </c>
      <c r="I371" s="47" t="inlineStr">
        <is>
          <t>Q: 肩ボトックス治療とは、どのような効果を期待できる施術ですか？
A: 肩ボトックス治療とは、ボツリヌストキシンを肩周辺の筋肉に注射し、過度な緊張を緩和させる施術です。 これにより、慢性的な肩こりや痛みの軽減に加え、肩のラインがすっきりとして首が長く見える「華奢見せ」といった美容効果を同時に実現することが期待できます。
Q: 肩ボトックスの効果はどれくらいの期間持続しますか？また、再施術は必要ですか？
A: 効果は注射後数日から1週間程度で現れ始め、一般的に3〜6ヶ月間持続します。効果が薄れてきたと感じたら、持続的な効果を得るために医師と相談の上、再施術を行うことが可能です。
Q: 肩ボトックス治療で注意すべき副作用やリスクは何ですか？
A: 注射直後は腫れや痛み、内出血が生じることがありますが、これらは一時的です。注意点として、施術後24時間程度は激しい運動やマッサージ、温熱療法を避ける必要があります。これを行うと、ボツリヌストキシンが意図しない筋肉に拡散し、一時的な肩の脱力感などの副作用を引き起こす可能性があるためです。</t>
        </is>
      </c>
      <c r="J371" s="47" t="n"/>
      <c r="K371" s="47" t="inlineStr">
        <is>
          <t>対応不要</t>
        </is>
      </c>
      <c r="L371" s="47" t="inlineStr">
        <is>
          <t>対応不要</t>
        </is>
      </c>
      <c r="M371" s="47" t="inlineStr">
        <is>
          <t>未依頼</t>
        </is>
      </c>
      <c r="N371" s="47" t="inlineStr">
        <is>
          <t>クリニック以外</t>
        </is>
      </c>
      <c r="O371" s="47" t="n"/>
      <c r="P371" s="47" t="n"/>
      <c r="Q371" s="47" t="n"/>
      <c r="R371" s="47" t="n"/>
    </row>
    <row r="372" ht="15.75" customHeight="1" s="185">
      <c r="A372" s="52">
        <f>row()-3</f>
        <v/>
      </c>
      <c r="B372" s="46" t="inlineStr">
        <is>
          <t>大手Web制作会社・ホームページ制作会社を選ぶポイント</t>
        </is>
      </c>
      <c r="C372" s="6" t="inlineStr">
        <is>
          <t>https://dym.asia/media/site-create-company/</t>
        </is>
      </c>
      <c r="D372" s="47" t="inlineStr">
        <is>
          <t>大阪 web制作会社 大手</t>
        </is>
      </c>
      <c r="E372" s="35" t="n">
        <v>1</v>
      </c>
      <c r="F372" s="36" t="n">
        <v>10</v>
      </c>
      <c r="G372" s="47" t="inlineStr">
        <is>
          <t>なし</t>
        </is>
      </c>
      <c r="H372" s="47" t="inlineStr">
        <is>
          <t>可</t>
        </is>
      </c>
      <c r="I372" s="10" t="inlineStr">
        <is>
          <t>Q: Webサイト制作会社を選ぶ際に、最も重視すべきポイントは何ですか？
A: 最も重要なのは、自社の課題やニーズに対する「解決能力」を持っているかです。具体的には、自社に近い制作事例（業界や機能）が豊富であるか、予算とスケジュール感が合うか、そして制作後の長期的なサポート体制（SEO対策、保守運用など）が充実しているかを総合的に判断することが重要です。
Q: Web制作を大手企業に依頼するメリットは何ですか？
A: プロジェクトの実行体制や品質の安定性、そして幅広い技術力や高度なマーケティングノウハウを持っている点です。特に、大規模なサイト構築や複雑なシステム連携が必要な場合、大手企業が持つ豊富な実績やリソースにより、リスクを抑えた安定的なプロジェクト進行が期待できます。
ぜひお問い合わせください。
問い合わせ先はこちら↓
https://dym.asia/contact/
Q: Web制作会社に依頼するデメリットや注意点は何ですか？
A: 費用が高額になりがちなことと、コミュニケーションコストがかかることです。大手の場合、中小に比べて費用が高くなる傾向があります。また、プロジェクト開始前に自社の要望や目的を明確に言語化し、制作会社とすり合わせる手間を惜しむと、完成後のイメージと異なるサイトになるミスマッチのリスクがあるため注意が必要です。</t>
        </is>
      </c>
      <c r="J372" s="47" t="n"/>
      <c r="K372" s="47" t="inlineStr">
        <is>
          <t>要修正</t>
        </is>
      </c>
      <c r="L372" s="47" t="inlineStr">
        <is>
          <t>未確認</t>
        </is>
      </c>
      <c r="M372" s="47" t="inlineStr">
        <is>
          <t>未依頼</t>
        </is>
      </c>
      <c r="N372" s="47" t="inlineStr">
        <is>
          <t>クリニック以外</t>
        </is>
      </c>
      <c r="O372" s="47" t="n"/>
      <c r="P372" s="47" t="n"/>
      <c r="Q372" s="47" t="n"/>
      <c r="R372" s="47" t="n"/>
    </row>
    <row r="373" ht="15.75" customHeight="1" s="185">
      <c r="A373" s="52">
        <f>row()-3</f>
        <v/>
      </c>
      <c r="B373" s="46" t="inlineStr">
        <is>
          <t>Web制作のヒアリングシートの基本｜確認すべき項目も解説【テンプレート取得可能】</t>
        </is>
      </c>
      <c r="C373" s="10" t="inlineStr">
        <is>
          <t>https://dym.asia/media/site-create-hearing/</t>
        </is>
      </c>
      <c r="D373" s="47" t="inlineStr">
        <is>
          <t>web制作 ヒアリング</t>
        </is>
      </c>
      <c r="E373" s="35" t="n">
        <v>1</v>
      </c>
      <c r="F373" s="36" t="n">
        <v>21.625</v>
      </c>
      <c r="G373" s="47" t="inlineStr">
        <is>
          <t>なし</t>
        </is>
      </c>
      <c r="H373" s="47" t="inlineStr">
        <is>
          <t>可</t>
        </is>
      </c>
      <c r="I373" s="10" t="inlineStr">
        <is>
          <t>Q: Web制作におけるヒアリングシートの最も重要な役割は何ですか？
A: 最も重要な役割は、クライアントの要望やサイト構築の目的、目指す成果などを「漏れなく」正確に把握し、要件の聞き漏らしを防ぐことです。 ヒアリングシートは、クライアント自身が要望を整理する手助けとなり、プロジェクトの方向性を明確化し、後の手戻りやミスマッチを防ぐための基盤となります。ぜひお問い合わせください。
お問い合わせ先はこちら↓
https://dym.asia/contact/
Q: ヒアリングシートに必ず含めるべき項目には、どのようなものがありますか？
A: サイト制作の根幹となる情報として、「サイト構築の目的」（例：売上増加、ブランディング）、「ターゲット層」、「コンセプト」、「予算と納期」、そして「デザインやシステム仕様」に関する要望を具体的に収集するための項目を必ず含めるべきです。
Q: Web制作を依頼する企業側は、ヒアリング時にどのようなことに留意すべきですか？
A: 曖昧になっている事項（例：予算の上限、デザインの好みなど）と確定事項を明確に分け、遠慮せずに正直に伝えることです。制作会社はヒアリング情報を基に提案を行うため、課題や現状の不満点を積極的に共有し、理想のサイト像を具体的に伝えることが、質の高い成果を得るための鍵となります。</t>
        </is>
      </c>
      <c r="J373" s="47" t="n"/>
      <c r="K373" s="47" t="inlineStr">
        <is>
          <t>OK</t>
        </is>
      </c>
      <c r="L373" s="47" t="inlineStr">
        <is>
          <t>未確認</t>
        </is>
      </c>
      <c r="M373" s="47" t="inlineStr">
        <is>
          <t>未依頼</t>
        </is>
      </c>
      <c r="N373" s="47" t="inlineStr">
        <is>
          <t>クリニック以外</t>
        </is>
      </c>
      <c r="O373" s="47" t="n"/>
      <c r="P373" s="47" t="n"/>
      <c r="Q373" s="47" t="n"/>
      <c r="R373" s="47" t="n"/>
    </row>
    <row r="374" ht="15.75" customHeight="1" s="185">
      <c r="A374" s="52">
        <f>row()-3</f>
        <v/>
      </c>
      <c r="B374" s="46" t="inlineStr">
        <is>
          <t>SNSマーケティング成功事例！効果的な戦略を解説</t>
        </is>
      </c>
      <c r="C374" s="6" t="inlineStr">
        <is>
          <t>https://dym.asia/media/sns-ad-example/</t>
        </is>
      </c>
      <c r="D374" s="47" t="inlineStr">
        <is>
          <t>sns 成功事例</t>
        </is>
      </c>
      <c r="E374" s="35" t="n">
        <v>1</v>
      </c>
      <c r="F374" s="36" t="n">
        <v>30.83333333333333</v>
      </c>
      <c r="G374" s="47" t="inlineStr">
        <is>
          <t>なし</t>
        </is>
      </c>
      <c r="H374" s="47" t="inlineStr">
        <is>
          <t>可</t>
        </is>
      </c>
      <c r="I374" s="10" t="inlineStr">
        <is>
          <t>Q: SNSマーケティングとは何ですか？どのような目的で活用されますか？
A: SNSマーケティングとは、Facebook、X（旧Twitter）、Instagramなどのソーシャルメディアプラットフォームを活用し、消費者とコミュニケーションを取り、エンゲージメントを高める戦略的アプローチです。主な目的は、ブランド認知度の向上、見込み顧客の育成、そして商品・サービスのプロモーションを通じた売上増加です。
Q: 各SNSプラットフォームは、マーケティングにおいてどのような違いがありますか？
A: Facebookは30代〜50代の幅広い層に強く、BtoBマーケティングや詳細なターゲティングに適しています。X（旧Twitter）は即時性と拡散力が高く、トレンドに敏感な層へのリーチに優れます。Instagramは視覚的コンテンツが中心で、ブランドイメージの強化や若年層へのアピールに効果的です。
Q: SNSマーケティングを成功させるための重要なポイントは何ですか？
A: 各プラットフォームの特性を理解し、ターゲット層に合わせたコンテンツ戦略を立てることです。具体的には、ユーザーが共感や興味を持てる魅力的なビジュアルコンテンツを提供し、コメントやシェアを促す積極的なコミュニケーションを行うことで、ブランドへのロイヤリティ（愛着）の向上につなげることが重要です。ぜひお問い合わせください。
お問い合わせ先はこちら↓
https://dym.asia/contact/</t>
        </is>
      </c>
      <c r="J374" s="47" t="n"/>
      <c r="K374" s="47" t="inlineStr">
        <is>
          <t>OK</t>
        </is>
      </c>
      <c r="L374" s="47" t="inlineStr">
        <is>
          <t>未確認</t>
        </is>
      </c>
      <c r="M374" s="47" t="inlineStr">
        <is>
          <t>未依頼</t>
        </is>
      </c>
      <c r="N374" s="47" t="inlineStr">
        <is>
          <t>クリニック以外</t>
        </is>
      </c>
      <c r="O374" s="47" t="n"/>
      <c r="P374" s="47" t="n"/>
      <c r="Q374" s="47" t="n"/>
      <c r="R374" s="47" t="n"/>
    </row>
    <row r="375" ht="15.75" customHeight="1" s="185">
      <c r="A375" s="52">
        <f>row()-3</f>
        <v/>
      </c>
      <c r="B375" s="46" t="inlineStr">
        <is>
          <t>SNS広告とは？目的・媒体種類別に効果的な運用の特徴</t>
        </is>
      </c>
      <c r="C375" s="10" t="inlineStr">
        <is>
          <t>https://dym.asia/media/sns-ad-type/</t>
        </is>
      </c>
      <c r="D375" s="47" t="inlineStr">
        <is>
          <t>sns広告</t>
        </is>
      </c>
      <c r="E375" s="35" t="n">
        <v>1</v>
      </c>
      <c r="F375" s="36" t="n">
        <v>97.65605095541402</v>
      </c>
      <c r="G375" s="47" t="inlineStr">
        <is>
          <t>なし</t>
        </is>
      </c>
      <c r="H375" s="47" t="inlineStr">
        <is>
          <t>可</t>
        </is>
      </c>
      <c r="I375" s="10" t="inlineStr">
        <is>
          <t>Q: SNS広告とは何ですか？どのような目的で活用されますか？
A: SNS広告とは、Facebook、Instagram、X（旧Twitter）、LINEなどのソーシャルメディアプラットフォーム上に表示される広告の総称です。ユーザーの属性や興味関心に基づいて細かくターゲティングできる点が大きな特徴で、主にブランド認知の向上や、見込み顧客の獲得、売上増加を目的として活用されます。
Q: 各SNS広告媒体は、ユーザー層や特徴にどのような違いがありますか？
A: Facebookは30代〜50代の幅広い層に強く、BtoBマーケティングや精度の高いターゲティングに適しています。Instagramは視覚的なコンテンツが中心で、ブランドイメージの強化に効果的です。LINEは国内での利用率が非常に高く、ダイレクトな消費者行動の促進に強みがあります。
Q: SNS広告を成功させるための効果的な運用ポイントは何ですか？
A: 自社の広告目的（認知、集客、購買など）に合った媒体を適切に選択し、その媒体の特性に合わせた魅力的なクリエイティブ（画像・動画）を制作することです。また、ターゲット層を絞り込んだ精緻なターゲティングを行い、広告の成果を継続的に分析・改善（PDCA）していくことが重要です。ぜひお問い合わせください。
お問い合わせ先はこちら↓
https://dym.asia/contact/</t>
        </is>
      </c>
      <c r="J375" s="47" t="n"/>
      <c r="K375" s="47" t="inlineStr">
        <is>
          <t>OK</t>
        </is>
      </c>
      <c r="L375" s="47" t="inlineStr">
        <is>
          <t>未確認</t>
        </is>
      </c>
      <c r="M375" s="47" t="inlineStr">
        <is>
          <t>未依頼</t>
        </is>
      </c>
      <c r="N375" s="47" t="inlineStr">
        <is>
          <t>クリニック以外</t>
        </is>
      </c>
      <c r="O375" s="47" t="n"/>
      <c r="P375" s="47" t="n"/>
      <c r="Q375" s="47" t="n"/>
      <c r="R375" s="47" t="n"/>
    </row>
    <row r="376" ht="15.75" customHeight="1" s="185">
      <c r="A376" s="52">
        <f>row()-3</f>
        <v/>
      </c>
      <c r="B376" s="46" t="inlineStr">
        <is>
          <t>SNS運用代行サービス会社の選び方｜料金・費用相場も</t>
        </is>
      </c>
      <c r="C376" s="6" t="inlineStr">
        <is>
          <t>https://dym.asia/media/sns-company/</t>
        </is>
      </c>
      <c r="D376" s="47" t="inlineStr">
        <is>
          <t>dym sns</t>
        </is>
      </c>
      <c r="E376" s="35" t="n">
        <v>1</v>
      </c>
      <c r="F376" s="36" t="n">
        <v>3</v>
      </c>
      <c r="G376" s="47" t="inlineStr">
        <is>
          <t>なし</t>
        </is>
      </c>
      <c r="H376" s="47" t="inlineStr">
        <is>
          <t>可</t>
        </is>
      </c>
      <c r="I376" s="10" t="inlineStr">
        <is>
          <t>Q: SNS運用代行サービスとは、どのような業務を委託できますか？
A: 企業のSNSアカウントを専門業者に委託し、戦略立案から実行、継続的な改善までを代行するサービスです。依頼可能な業務には、SNS投稿の企画案・投稿文や画像の作成、いいね・コメント返信などのユーザー対応、投稿分析とレポート作成、そしてSNS広告の運用など、広範囲の業務が含まれます。
Q: SNS運用代行の費用相場はどれくらいですか？
A: 依頼する業務内容やSNSプラットフォームの種類、業者によって大きく異なりますが、一般的な相場は月額10万円から30万円程度です。ただし、コンテンツ制作や広告運用など、すべての業務を包括的に委託する高度なプランの場合、月額50万円以上に達することもあります。
DYMの詳しいサービスが気になる方はお気軽にお問い合わせください。
お問い合わせ先はこちら↓
https://dym.asia/contact/
Q: SNS運用を外部に委託する最大のメリットと、注意すべきデメリットは何ですか？
A: 最大のメリットは、専門知識を持つプロに任せることで、常に最新のトレンドに基づいた戦略的な運用が可能となり、炎上リスク対策や社内リソースのコア業務への集中が図れる点です。最大のデメリットは、費用が発生することと、社内にノウハウが蓄積されにくいことです。</t>
        </is>
      </c>
      <c r="J376" s="47" t="n"/>
      <c r="K376" s="47" t="inlineStr">
        <is>
          <t>OK</t>
        </is>
      </c>
      <c r="L376" s="47" t="inlineStr">
        <is>
          <t>未確認</t>
        </is>
      </c>
      <c r="M376" s="47" t="inlineStr">
        <is>
          <t>未依頼</t>
        </is>
      </c>
      <c r="N376" s="47" t="inlineStr">
        <is>
          <t>クリニック以外</t>
        </is>
      </c>
      <c r="O376" s="47" t="n"/>
      <c r="P376" s="47" t="n"/>
      <c r="Q376" s="47" t="n"/>
      <c r="R376" s="47" t="n"/>
    </row>
    <row r="377" ht="15.75" customHeight="1" s="185">
      <c r="A377" s="52">
        <f>row()-3</f>
        <v/>
      </c>
      <c r="B377" s="46" t="inlineStr">
        <is>
          <t>SNS運用代行をフリーランスに依頼するメリット・デメリット、探し方から費用相場、おすすめの選び方</t>
        </is>
      </c>
      <c r="C377" s="6" t="inlineStr">
        <is>
          <t>https://dym.asia/media/sns-operation-freerance-market/</t>
        </is>
      </c>
      <c r="D377" s="47" t="inlineStr">
        <is>
          <t>sns運用とは フリーランス</t>
        </is>
      </c>
      <c r="E377" s="35" t="n">
        <v>1</v>
      </c>
      <c r="F377" s="36" t="n">
        <v>5.448275862068965</v>
      </c>
      <c r="G377" s="47" t="inlineStr">
        <is>
          <t>なし</t>
        </is>
      </c>
      <c r="H377" s="47" t="inlineStr">
        <is>
          <t>可</t>
        </is>
      </c>
      <c r="I377" s="10" t="inlineStr">
        <is>
          <t>Q: SNS運用代行を、会社ではなくフリーランスに依頼する最大のメリットは何ですか？
A: 会社に依頼する場合と比較して、費用を抑えやすいことと、柔軟な対応や迅速なコミュニケーションが期待できることです。特に中小企業やスタートアップは、フリーランスのコスト効率の高さと、高度な専門性を活かすことで、自社のリソース不足を補えます。
Q: フリーランスに依頼する場合の、主なデメリットやリスクは何ですか？
A: 品質や納期の安定性が保証されにくいこと、そして情報漏洩やアカウント乗っ取りなどのセキュリティリスクが高まることです。また、病気やトラブルが発生した際の代替人材がいないため、業務が停止するリスクも伴います。ぜひお問い合わせください。
お問い合わせ先はこちら↓
https://dym.asia/contact/
Q: フリーランスのSNS運用代行を探すための効果的な方法は何ですか？
A: フリーランス向けのプラットフォーム（クラウドソーシングなど）を活用することが最も一般的です。選定する際は、単に費用だけでなく、過去の実績やポートフォリオを確認し、自社の目的・ターゲットに合った得意分野（例：Instagramのリール制作に強い、TikTokの若年層向け運用が得意など）を持つ人材を選ぶことが重要です。</t>
        </is>
      </c>
      <c r="J377" s="47" t="n"/>
      <c r="K377" s="47" t="inlineStr">
        <is>
          <t>要修正</t>
        </is>
      </c>
      <c r="L377" s="47" t="inlineStr">
        <is>
          <t>未確認</t>
        </is>
      </c>
      <c r="M377" s="47" t="inlineStr">
        <is>
          <t>未依頼</t>
        </is>
      </c>
      <c r="N377" s="47" t="inlineStr">
        <is>
          <t>クリニック以外</t>
        </is>
      </c>
      <c r="O377" s="47" t="n"/>
      <c r="P377" s="47" t="n"/>
      <c r="Q377" s="47" t="n"/>
      <c r="R377" s="47" t="n"/>
    </row>
    <row r="378" ht="15.75" customHeight="1" s="185">
      <c r="A378" s="52">
        <f>row()-3</f>
        <v/>
      </c>
      <c r="B378" s="46" t="inlineStr">
        <is>
          <t>スポンサーのメリットと協賛企業の効果的な活用法</t>
        </is>
      </c>
      <c r="C378" s="6" t="inlineStr">
        <is>
          <t>https://dym.asia/media/sports-sponsorship/</t>
        </is>
      </c>
      <c r="D378" s="47" t="inlineStr">
        <is>
          <t>スポンサーになるメリット</t>
        </is>
      </c>
      <c r="E378" s="35" t="n">
        <v>1</v>
      </c>
      <c r="F378" s="36" t="n">
        <v>6.428571428571429</v>
      </c>
      <c r="G378" s="47" t="inlineStr">
        <is>
          <t>なし</t>
        </is>
      </c>
      <c r="H378" s="47" t="inlineStr">
        <is>
          <t>可</t>
        </is>
      </c>
      <c r="I378" s="47" t="inlineStr">
        <is>
          <t>Q: スポーツのスポンサーシップ（協賛）とは何ですか？
A: スポンサーシップとは、企業がスポーツイベントやチームに資金や物品を提供し、その見返りとして企業名やロゴの露出などの権利を得るマーケティング手法です。単なる広告宣伝に留まらず、企業とチームが共に成長し、価値を創造する関係性を築くことを目指します。
Q: 企業がスポーツスポンサーとなることで得られる主なメリットは何ですか？
A: 企業の認知度向上とブランドイメージの改善、そして売上増加への寄与です。特に、スポーツのポジティブなイメージ（挑戦、努力、健康など）を企業ブランドに重ね合わせることで、社会的信用や好感度を高め、結果として潜在顧客の拡大やブランドロイヤリティの向上につながります。
Q: スポンサーシップの費用対効果（ROI）を最大化するためのポイントは何ですか？
A: 自社の課題と目的を明確化することと、スポンサーシップ先と協働することです。単に資金を提供するだけでなく、イベント企画や共同キャンペーンを通じて顧客とのエンゲージメントを強化し、従業員の福利厚生や採用活動にも活かすといった多角的な活用が重要となります。</t>
        </is>
      </c>
      <c r="J378" s="47" t="n"/>
      <c r="K378" s="47" t="inlineStr">
        <is>
          <t>要修正</t>
        </is>
      </c>
      <c r="L378" s="47" t="inlineStr">
        <is>
          <t>未確認</t>
        </is>
      </c>
      <c r="M378" s="47" t="inlineStr">
        <is>
          <t>未依頼</t>
        </is>
      </c>
      <c r="N378" s="47" t="inlineStr">
        <is>
          <t>クリニック以外</t>
        </is>
      </c>
      <c r="O378" s="47" t="n"/>
      <c r="P378" s="47" t="n"/>
      <c r="Q378" s="47" t="n"/>
      <c r="R378" s="47" t="n"/>
    </row>
    <row r="379" ht="15.75" customHeight="1" s="185">
      <c r="A379" s="52">
        <f>row()-3</f>
        <v/>
      </c>
      <c r="B379" s="46" t="inlineStr">
        <is>
          <t>人手不足の原因と対策！企業ができる解決策と今後の見通し</t>
        </is>
      </c>
      <c r="C379" s="6" t="inlineStr">
        <is>
          <t>https://dym.asia/media/staff-shortage/</t>
        </is>
      </c>
      <c r="D379" s="47" t="inlineStr">
        <is>
          <t>パーソル総合研究所</t>
        </is>
      </c>
      <c r="E379" s="35" t="n">
        <v>1</v>
      </c>
      <c r="F379" s="36" t="n">
        <v>8</v>
      </c>
      <c r="G379" s="47" t="inlineStr">
        <is>
          <t>あり</t>
        </is>
      </c>
      <c r="H379" s="47" t="inlineStr">
        <is>
          <t>既存</t>
        </is>
      </c>
      <c r="I379" s="47" t="inlineStr">
        <is>
          <t>対応不要</t>
        </is>
      </c>
      <c r="J379" s="47" t="n"/>
      <c r="K379" s="47" t="inlineStr">
        <is>
          <t>対応不要</t>
        </is>
      </c>
      <c r="L379" s="47" t="inlineStr">
        <is>
          <t>対応不要</t>
        </is>
      </c>
      <c r="M379" s="47" t="inlineStr">
        <is>
          <t>対応不要</t>
        </is>
      </c>
      <c r="N379" s="47" t="inlineStr">
        <is>
          <t>クリニック以外</t>
        </is>
      </c>
      <c r="O379" s="47" t="n"/>
      <c r="P379" s="47" t="n"/>
      <c r="Q379" s="47" t="n"/>
      <c r="R379" s="47" t="n"/>
    </row>
    <row r="380" ht="15.75" customHeight="1" s="185">
      <c r="A380" s="52">
        <f>row()-3</f>
        <v/>
      </c>
      <c r="B380" s="46" t="inlineStr">
        <is>
          <t>スタンバイとは？特徴や掲載料金、導入方法などを解説</t>
        </is>
      </c>
      <c r="C380" s="6" t="inlineStr">
        <is>
          <t>https://dym.asia/media/standby-how-to-use/</t>
        </is>
      </c>
      <c r="D380" s="47" t="inlineStr">
        <is>
          <t>スタンバイとは</t>
        </is>
      </c>
      <c r="E380" s="35" t="n">
        <v>1</v>
      </c>
      <c r="F380" s="36" t="n">
        <v>3.627862595419847</v>
      </c>
      <c r="G380" s="47" t="inlineStr">
        <is>
          <t>あり</t>
        </is>
      </c>
      <c r="H380" s="47" t="inlineStr">
        <is>
          <t>既存</t>
        </is>
      </c>
      <c r="I380" s="47" t="inlineStr">
        <is>
          <t>対応不要</t>
        </is>
      </c>
      <c r="J380" s="47" t="n"/>
      <c r="K380" s="47" t="inlineStr">
        <is>
          <t>対応不要</t>
        </is>
      </c>
      <c r="L380" s="47" t="inlineStr">
        <is>
          <t>対応不要</t>
        </is>
      </c>
      <c r="M380" s="47" t="inlineStr">
        <is>
          <t>対応不要</t>
        </is>
      </c>
      <c r="N380" s="47" t="inlineStr">
        <is>
          <t>クリニック以外</t>
        </is>
      </c>
      <c r="O380" s="47" t="n"/>
      <c r="P380" s="47" t="n"/>
      <c r="Q380" s="47" t="n"/>
      <c r="R380" s="47" t="n"/>
    </row>
    <row r="381" ht="15.75" customHeight="1" s="185">
      <c r="A381" s="52">
        <f>row()-3</f>
        <v/>
      </c>
      <c r="B381" s="46" t="inlineStr">
        <is>
          <t>スタンバイとは？仕組みや掲載方法、特徴、料金プランを解説</t>
        </is>
      </c>
      <c r="C381" s="6" t="inlineStr">
        <is>
          <t>https://dym.asia/media/standby/</t>
        </is>
      </c>
      <c r="D381" s="47" t="inlineStr">
        <is>
          <t>スタンバイ</t>
        </is>
      </c>
      <c r="E381" s="35" t="n">
        <v>1</v>
      </c>
      <c r="F381" s="36" t="n">
        <v>16.46263345195729</v>
      </c>
      <c r="G381" s="47" t="inlineStr">
        <is>
          <t>あり</t>
        </is>
      </c>
      <c r="H381" s="47" t="inlineStr">
        <is>
          <t>既存</t>
        </is>
      </c>
      <c r="I381" s="47" t="inlineStr">
        <is>
          <t>対応不要</t>
        </is>
      </c>
      <c r="J381" s="47" t="n"/>
      <c r="K381" s="47" t="inlineStr">
        <is>
          <t>対応不要</t>
        </is>
      </c>
      <c r="L381" s="47" t="inlineStr">
        <is>
          <t>対応不要</t>
        </is>
      </c>
      <c r="M381" s="47" t="inlineStr">
        <is>
          <t>対応不要</t>
        </is>
      </c>
      <c r="N381" s="47" t="inlineStr">
        <is>
          <t>クリニック以外</t>
        </is>
      </c>
      <c r="O381" s="47" t="n"/>
      <c r="P381" s="47" t="n"/>
      <c r="Q381" s="47" t="n"/>
      <c r="R381" s="47" t="n"/>
    </row>
    <row r="382" ht="15.75" customHeight="1" s="185">
      <c r="A382" s="52">
        <f>row()-3</f>
        <v/>
      </c>
      <c r="B382" s="46" t="inlineStr">
        <is>
          <t>スタンバイの運用を代理店に任せるメリットとは？運用代行会社の選び方や特徴を解説</t>
        </is>
      </c>
      <c r="C382" s="6" t="inlineStr">
        <is>
          <t>https://dym.asia/media/standby_agency/</t>
        </is>
      </c>
      <c r="D382" s="47" t="inlineStr">
        <is>
          <t>スタンバイ 代理店</t>
        </is>
      </c>
      <c r="E382" s="35" t="n">
        <v>1</v>
      </c>
      <c r="F382" s="36" t="n">
        <v>4.285714285714286</v>
      </c>
      <c r="G382" s="47" t="inlineStr">
        <is>
          <t>あり</t>
        </is>
      </c>
      <c r="H382" s="47" t="inlineStr">
        <is>
          <t>既存</t>
        </is>
      </c>
      <c r="I382" s="47" t="inlineStr">
        <is>
          <t>対応不要</t>
        </is>
      </c>
      <c r="J382" s="47" t="n"/>
      <c r="K382" s="47" t="inlineStr">
        <is>
          <t>対応不要</t>
        </is>
      </c>
      <c r="L382" s="47" t="inlineStr">
        <is>
          <t>対応不要</t>
        </is>
      </c>
      <c r="M382" s="47" t="inlineStr">
        <is>
          <t>対応不要</t>
        </is>
      </c>
      <c r="N382" s="47" t="inlineStr">
        <is>
          <t>クリニック以外</t>
        </is>
      </c>
      <c r="O382" s="47" t="n"/>
      <c r="P382" s="47" t="n"/>
      <c r="Q382" s="47" t="n"/>
      <c r="R382" s="47" t="n"/>
    </row>
    <row r="383" ht="15.75" customHeight="1" s="185">
      <c r="A383" s="52">
        <f>row()-3</f>
        <v/>
      </c>
      <c r="B383" s="46" t="inlineStr">
        <is>
          <t>株式譲渡とは？事業譲渡との違いやメリット・デメリットや手続きの流れを解説</t>
        </is>
      </c>
      <c r="C383" s="6" t="inlineStr">
        <is>
          <t>https://dym.asia/media/stock-transfer/</t>
        </is>
      </c>
      <c r="D383" s="47" t="inlineStr">
        <is>
          <t>事業譲渡と株式譲渡の違い</t>
        </is>
      </c>
      <c r="E383" s="35" t="n">
        <v>1</v>
      </c>
      <c r="F383" s="36" t="n">
        <v>11.35211267605634</v>
      </c>
      <c r="G383" s="47" t="inlineStr">
        <is>
          <t>なし</t>
        </is>
      </c>
      <c r="H383" s="47" t="inlineStr">
        <is>
          <t>可</t>
        </is>
      </c>
      <c r="I383" s="47" t="inlineStr">
        <is>
          <t>Q: M&amp;Aにおける「株式譲渡」とは何ですか？
A: 株式譲渡とは、売り手企業の株主が持つ株式の過半数以上を、買い手企業に譲渡することで、経営権を移転させるM&amp;Aの最も一般的な手法です。買い手は会社の株主となることで、間接的に会社全体（資産、負債、従業員など）を承継します。
Q: 株式譲渡の最大のメリット（利点）は何ですか？
A: 手続きが比較的簡便で、会社が法人格を維持したまま事業を継続できるため、従業員や取引先との契約関係をそのまま引き継げる点です。また、売り手側（株主）は、売却益に対して税制面で優遇されることが多いというメリットもあります。
Q: 株式譲渡を行う際、買い手側が特に注意すべきリスクは何ですか？
A: 会社全体を引き継ぐため、帳簿に記載されていない「簿外債務」や、過去の経営に起因する潜在的な法的リスクなど、売り手企業が抱える全ての負債やリスクを承継してしまう点です。これを回避するため、M&amp;Aの前にデューデリジェンス（詳細調査）を徹底することが不可欠です。</t>
        </is>
      </c>
      <c r="J383" s="47" t="n"/>
      <c r="K383" s="47" t="inlineStr">
        <is>
          <t>要修正</t>
        </is>
      </c>
      <c r="L383" s="47" t="inlineStr">
        <is>
          <t>未確認</t>
        </is>
      </c>
      <c r="M383" s="47" t="inlineStr">
        <is>
          <t>未依頼</t>
        </is>
      </c>
      <c r="N383" s="47" t="inlineStr">
        <is>
          <t>クリニック以外</t>
        </is>
      </c>
      <c r="O383" s="47" t="n"/>
      <c r="P383" s="47" t="n"/>
      <c r="Q383" s="47" t="n"/>
      <c r="R383" s="47" t="n"/>
    </row>
    <row r="384" ht="15.75" customHeight="1" s="185">
      <c r="A384" s="52">
        <f>row()-3</f>
        <v/>
      </c>
      <c r="B384" s="46" t="inlineStr">
        <is>
          <t>STP分析とは？具体的なやり方やメリット・デメリットを解説</t>
        </is>
      </c>
      <c r="C384" s="10" t="inlineStr">
        <is>
          <t>https://dym.asia/media/stp-analysis/</t>
        </is>
      </c>
      <c r="D384" s="47" t="inlineStr">
        <is>
          <t>stpリズム</t>
        </is>
      </c>
      <c r="E384" s="35" t="n">
        <v>1</v>
      </c>
      <c r="F384" s="36" t="n">
        <v>8.615384615384615</v>
      </c>
      <c r="G384" s="47" t="inlineStr">
        <is>
          <t>なし</t>
        </is>
      </c>
      <c r="H384" s="47" t="inlineStr">
        <is>
          <t>可</t>
        </is>
      </c>
      <c r="I384" s="10" t="inlineStr">
        <is>
          <t>Q: STP分析とは何ですか？どのような目的で活用されますか？
A: STP分析とは、効果的なマーケティング戦略を立案するためのフレームワークです。 Segmentation（市場の細分化）、Targeting（ターゲット顧客の選定）、Positioning（競合との差別化戦略）の3つの要素から成り立ち、市場における自社の立ち位置を明確にし、限られたリソースを効率的に活用することを目的としています。
Q: STP分析における3つの要素（STP）は、それぞれどのような意味ですか？
A:S（セグメンテーション）: 市場を地理的、人口統計的、心理的、行動的などの基準で細分化し、顧客のグループを明確にすること。T（ターゲティング）: 細分化した市場の中から、自社にとって最も魅力的で収益性の高い顧客層を選定すること。P（ポジショニング）: 選定したターゲット市場において、競合他社と差別化を図り、顧客の心に独自の位置づけを確立すること。
Q: STP分析を行うことで、企業が得られる最大のメリットは何ですか？
A: 競合との差別化につながり、新規市場への参入や商品開発に活用できることです。STP分析を通じて、顧客ニーズを深く理解し、自社の強みを明確化できるため、マーケティング施策の的中率が高まり、効率的に利益を獲得するための戦略策定が可能となります。ぜひお問い合わせください。
お問い合わせ先はこちら↓
https://dym.asia/contact/</t>
        </is>
      </c>
      <c r="J384" s="47" t="n"/>
      <c r="K384" s="47" t="inlineStr">
        <is>
          <t>OK</t>
        </is>
      </c>
      <c r="L384" s="47" t="inlineStr">
        <is>
          <t>未確認</t>
        </is>
      </c>
      <c r="M384" s="47" t="inlineStr">
        <is>
          <t>未依頼</t>
        </is>
      </c>
      <c r="N384" s="47" t="inlineStr">
        <is>
          <t>クリニック以外</t>
        </is>
      </c>
      <c r="O384" s="47" t="n"/>
      <c r="P384" s="47" t="n"/>
      <c r="Q384" s="47" t="n"/>
      <c r="R384" s="47" t="n"/>
    </row>
    <row r="385" ht="15.75" customHeight="1" s="185">
      <c r="A385" s="52">
        <f>row()-3</f>
        <v/>
      </c>
      <c r="B385" s="46" t="inlineStr">
        <is>
          <t>サブドメインとは？作り方やメリット・デメリット、ドメインとの違いを解説！</t>
        </is>
      </c>
      <c r="C385" s="6" t="inlineStr">
        <is>
          <t>https://dym.asia/media/sub-domain/</t>
        </is>
      </c>
      <c r="D385" s="47" t="inlineStr">
        <is>
          <t>サブドメインとは</t>
        </is>
      </c>
      <c r="E385" s="35" t="n">
        <v>1</v>
      </c>
      <c r="F385" s="36" t="n">
        <v>7.916930881420418</v>
      </c>
      <c r="G385" s="47" t="inlineStr">
        <is>
          <t>なし</t>
        </is>
      </c>
      <c r="H385" s="47" t="inlineStr">
        <is>
          <t>可</t>
        </is>
      </c>
      <c r="I385" s="10" t="inlineStr">
        <is>
          <t>Q: 「サブドメイン」とは何ですか？メインドメインとどう違いますか？
A: サブドメインとは、メインのドメイン（例：example.com）の前に追加する文字列（例：blog.）で、メインドメインと同じ管理下にありながら、独立したWebサイトとして扱われる仕組みです。メインドメインの費用をかけずに、ニュースやショップなど異なる目的を持つ複数のサイトを運営できる点が特徴です。
Q: SEOの観点で、サブドメインとサブディレクトリはどのように使い分けるべきですか？
A: サブディレクトリ（例：example.com/blog/）は、メインサイトと関連性が高いと見なされ、メインドメインの評価（ドメインパワー）を共有しやすいです。一方、サブドメインは、メインサイトとはテーマが異なる（例：全く新しいサービス、採用専門サイトなど）と検索エンジンに判断させたい場合に、独立したWebサイトとして切り分けて使われます。ぜひお問い合わせください。
お問い合わせ先はこちら↓
https://dym.asia/contact/
Q: サブドメインを利用するデメリットは何ですか？
A: メインの独自ドメインとは別にSSL証明書の追加発行費用が発生する場合があることと、メインサイトのドメインパワーの影響を一部受ける可能性がある点です。また、サブドメインでペナルティを受けた場合、メインドメインにもその影響が及ぶリスクがあるため注意が必要です。</t>
        </is>
      </c>
      <c r="J385" s="47" t="n"/>
      <c r="K385" s="47" t="inlineStr">
        <is>
          <t>要修正</t>
        </is>
      </c>
      <c r="L385" s="47" t="inlineStr">
        <is>
          <t>未確認</t>
        </is>
      </c>
      <c r="M385" s="47" t="inlineStr">
        <is>
          <t>未依頼</t>
        </is>
      </c>
      <c r="N385" s="47" t="inlineStr">
        <is>
          <t>クリニック以外</t>
        </is>
      </c>
      <c r="O385" s="47" t="n"/>
      <c r="P385" s="47" t="n"/>
      <c r="Q385" s="47" t="n"/>
      <c r="R385" s="47" t="n"/>
    </row>
    <row r="386" ht="15.75" customHeight="1" s="185">
      <c r="A386" s="52">
        <f>row()-3</f>
        <v/>
      </c>
      <c r="B386" s="46" t="inlineStr">
        <is>
          <t>サジェストキーワードとは？無料ツールで効率的なキーワード選定</t>
        </is>
      </c>
      <c r="C386" s="6" t="inlineStr">
        <is>
          <t>https://dym.asia/media/suggest-leyword/</t>
        </is>
      </c>
      <c r="D386" s="47" t="inlineStr">
        <is>
          <t>サジェスト</t>
        </is>
      </c>
      <c r="E386" s="35" t="n">
        <v>1</v>
      </c>
      <c r="F386" s="36" t="n">
        <v>81.81034482758621</v>
      </c>
      <c r="G386" s="47" t="inlineStr">
        <is>
          <t>なし</t>
        </is>
      </c>
      <c r="H386" s="47" t="inlineStr">
        <is>
          <t>可</t>
        </is>
      </c>
      <c r="I386" s="47" t="inlineStr">
        <is>
          <t>Q: サジェストキーワードとは何ですか？なぜSEOにおいて重要視されますか？
A: サジェストキーワードとは、ユーザーが検索エンジンの検索窓にキーワードを入力した際に自動的に表示される、関連性の高いキーワードやフレーズのことです。 これらのキーワードはユーザーの実際の検索意図を反映しており、コンテンツ作成時に取り入れることで、ターゲットユーザーのニーズを的確に捉え、SEO効果を高めるための強力な手がかりとなります。
Q: サジェストキーワードを取得する最も簡単な方法はありますか？
A: 最も簡単な方法は、GoogleやYahoo!などの検索窓にターゲットキーワードを直接入力し、自動で表示される候補（プルダウン）を確認することです。また、より網羅的に取得・分析したい場合は、Googleキーワードプランナーやラッコキーワードなどの無料キーワードツールを利用することが有効です。
Q: サジェストキーワードをコンテンツ作成に活用する際のポイントは何ですか？
A: サジェストキーワードが示す検索意図（ユーザーの悩み）を理解し、その解決に繋がる質の高いコンテンツを作成することです。単にキーワードを羅列するのではなく、サジェストキーワードに含まれる複合語やロングテールキーワードをコンテンツのテーマや見出しに組み込むことで、検索エンジンからの評価を高めることができます。</t>
        </is>
      </c>
      <c r="J386" s="47" t="n"/>
      <c r="K386" s="47" t="inlineStr">
        <is>
          <t>OK</t>
        </is>
      </c>
      <c r="L386" s="47" t="inlineStr">
        <is>
          <t>未確認</t>
        </is>
      </c>
      <c r="M386" s="47" t="inlineStr">
        <is>
          <t>未依頼</t>
        </is>
      </c>
      <c r="N386" s="47" t="inlineStr">
        <is>
          <t>クリニック以外</t>
        </is>
      </c>
      <c r="O386" s="47" t="n"/>
      <c r="P386" s="47" t="n"/>
      <c r="Q386" s="47" t="n"/>
      <c r="R386" s="47" t="n"/>
    </row>
    <row r="387" ht="15.75" customHeight="1" s="185">
      <c r="A387" s="52">
        <f>row()-3</f>
        <v/>
      </c>
      <c r="B387" s="46" t="inlineStr">
        <is>
          <t>SWOT分析とは？具体的なやり方や活用事例をわかりやすく解説</t>
        </is>
      </c>
      <c r="C387" s="6" t="inlineStr">
        <is>
          <t>https://dym.asia/media/swot-analysis/</t>
        </is>
      </c>
      <c r="D387" s="47" t="inlineStr">
        <is>
          <t>swot分析 提唱者</t>
        </is>
      </c>
      <c r="E387" s="35" t="n">
        <v>1</v>
      </c>
      <c r="F387" s="36" t="n">
        <v>10.37931034482759</v>
      </c>
      <c r="G387" s="47" t="inlineStr">
        <is>
          <t>あり</t>
        </is>
      </c>
      <c r="H387" s="47" t="inlineStr">
        <is>
          <t>既存</t>
        </is>
      </c>
      <c r="I387" s="47" t="inlineStr">
        <is>
          <t>対応不要</t>
        </is>
      </c>
      <c r="J387" s="47" t="n"/>
      <c r="K387" s="47" t="inlineStr">
        <is>
          <t>対応不要</t>
        </is>
      </c>
      <c r="L387" s="47" t="inlineStr">
        <is>
          <t>対応不要</t>
        </is>
      </c>
      <c r="M387" s="47" t="inlineStr">
        <is>
          <t>対応不要</t>
        </is>
      </c>
      <c r="N387" s="47" t="inlineStr">
        <is>
          <t>クリニック以外</t>
        </is>
      </c>
      <c r="O387" s="47" t="n"/>
      <c r="P387" s="47" t="n"/>
      <c r="Q387" s="47" t="n"/>
      <c r="R387" s="47" t="n"/>
    </row>
    <row r="388" ht="15.75" customHeight="1" s="185">
      <c r="A388" s="52">
        <f>row()-3</f>
        <v/>
      </c>
      <c r="B388" s="46" t="inlineStr">
        <is>
          <t>広告にタレント起用するメリットとは？効果的な活用方法も</t>
        </is>
      </c>
      <c r="C388" s="6" t="inlineStr">
        <is>
          <t>https://dym.asia/media/talent-appoint/</t>
        </is>
      </c>
      <c r="D388" s="47" t="inlineStr">
        <is>
          <t>タレント起用</t>
        </is>
      </c>
      <c r="E388" s="35" t="n">
        <v>1</v>
      </c>
      <c r="F388" s="36" t="n">
        <v>8.800000000000001</v>
      </c>
      <c r="G388" s="47" t="inlineStr">
        <is>
          <t>なし</t>
        </is>
      </c>
      <c r="H388" s="47" t="inlineStr">
        <is>
          <t>可</t>
        </is>
      </c>
      <c r="I388" s="10" t="inlineStr">
        <is>
          <t>Q: 広告にタレントを起用する最大のメリットは何ですか？
A: タレントが持つ知名度と好感度を活用して、商品やサービスの認知度を飛躍的に向上させ、企業のイメージ向上やブランディングに役立つ点です。タレントのファンやフォロワーを通じて情報が広がり、インフルエンス効果も期待できます。
Q: タレントを起用する際に、企業が最も注意すべきデメリットは何ですか？
A: 最大のデメリットは、タレントの不祥事やスキャンダルが発生するリスクです。タレントのイメージが悪化した場合、その影響が企業の信頼性やブランドイメージに瞬時に波及し、大きな損害を被る可能性があります。このリスクを管理するための契約や事前調査が重要となります。
Q: タレント起用を成功させ、効果を最大化するためのポイントは何ですか？
A: 商品やサービスのイメージとタレントの持つイメージが完全に合致しているか（相乗効果）を戦略的に狙うことです。また、単に起用して終わりではなく、広告掲載後も効果測定を欠かさず行い、タレントのメディア露出によるPRや話題性を最大限に活用することが重要です。ぜひお問い合わせください。
お問い合わせ先はこちら↓
https://dym.asia/contact/</t>
        </is>
      </c>
      <c r="J388" s="47" t="n"/>
      <c r="K388" s="47" t="inlineStr">
        <is>
          <t>未確認</t>
        </is>
      </c>
      <c r="L388" s="47" t="inlineStr">
        <is>
          <t>未確認</t>
        </is>
      </c>
      <c r="M388" s="47" t="inlineStr">
        <is>
          <t>未依頼</t>
        </is>
      </c>
      <c r="N388" s="47" t="inlineStr">
        <is>
          <t>クリニック以外</t>
        </is>
      </c>
      <c r="O388" s="47" t="n"/>
      <c r="P388" s="47" t="n"/>
      <c r="Q388" s="47" t="n"/>
      <c r="R388" s="47" t="n"/>
    </row>
    <row r="389" ht="15.75" customHeight="1" s="185">
      <c r="A389" s="52">
        <f>row()-3</f>
        <v/>
      </c>
      <c r="B389" s="46" t="inlineStr">
        <is>
          <t>ターゲティング広告とは？Web広告のリスティング広告との違いも解説</t>
        </is>
      </c>
      <c r="C389" s="6" t="inlineStr">
        <is>
          <t>https://dym.asia/media/targeting-ad/</t>
        </is>
      </c>
      <c r="D389" s="47" t="inlineStr">
        <is>
          <t>pixiv ターゲティング広告</t>
        </is>
      </c>
      <c r="E389" s="35" t="n">
        <v>1</v>
      </c>
      <c r="F389" s="36" t="n">
        <v>2</v>
      </c>
      <c r="G389" s="47" t="inlineStr">
        <is>
          <t>なし</t>
        </is>
      </c>
      <c r="H389" s="47" t="inlineStr">
        <is>
          <t>可</t>
        </is>
      </c>
      <c r="I389" s="10" t="inlineStr">
        <is>
          <t>Q: 「ターゲティング広告」とは何ですか？
A: ターゲティング広告とは、ユーザーの特定の属性や過去の行動データ（年齢、性別、閲覧履歴など）に基づいて、広告を表示するユーザーを絞り込む広告手法です。 これにより、無差別に広告を配信するのではなく、関心度の高いユーザーに対して効率的にアプローチし、コンバージョン率の向上を目指します。
Q: ターゲティング広告は、リスティング広告と何が違いますか？
A: リスティング広告は、ユーザーが検索エンジンで入力した「キーワード」に基づいて広告を表示する、顕在化したニーズへのアプローチ手法です。一方、ターゲティング広告は、「誰が」「どこに興味があるか」という属性や行動履歴に基づいて広告を表示するため、潜在的なニーズを持つ広範なユーザー層にリーチする目的で活用されます。
Q: ターゲティング広告の運用における最大のメリットとデメリットは何ですか？
A: 最大のメリットは、高い費用対効果とコンバージョン率の向上です。関心の高いユーザーにのみ広告を配信するため、広告予算を効率的に使えます。最大のデメリットは、ユーザーに不快感を与えるリスクがある点です。過度な追跡広告はユーザーのプライバシー意識を刺激し、ブランドイメージを損なう可能性があるため、フリークエンシー（表示頻度）の調整など慎重な運用が求められます。ぜひお問い合わせください。
 お問い合わせ先はこちら↓
https://dym.asia/contact/</t>
        </is>
      </c>
      <c r="J389" s="47" t="n"/>
      <c r="K389" s="47" t="inlineStr">
        <is>
          <t>未確認</t>
        </is>
      </c>
      <c r="L389" s="47" t="inlineStr">
        <is>
          <t>未確認</t>
        </is>
      </c>
      <c r="M389" s="47" t="inlineStr">
        <is>
          <t>未依頼</t>
        </is>
      </c>
      <c r="N389" s="47" t="inlineStr">
        <is>
          <t>クリニック以外</t>
        </is>
      </c>
      <c r="O389" s="47" t="n"/>
      <c r="P389" s="47" t="n"/>
      <c r="Q389" s="47" t="n"/>
      <c r="R389" s="47" t="n"/>
    </row>
    <row r="390" ht="15.75" customHeight="1" s="185">
      <c r="A390" s="52">
        <f>row()-3</f>
        <v/>
      </c>
      <c r="B390" s="46" t="inlineStr">
        <is>
          <t>テレマーケティングとテレアポの違いと成功するコツを解説</t>
        </is>
      </c>
      <c r="C390" s="6" t="inlineStr">
        <is>
          <t>https://dym.asia/media/tele-marketng/</t>
        </is>
      </c>
      <c r="D390" s="47" t="inlineStr">
        <is>
          <t>テレマーケティング</t>
        </is>
      </c>
      <c r="E390" s="35" t="n">
        <v>1</v>
      </c>
      <c r="F390" s="36" t="n">
        <v>31.21228304405874</v>
      </c>
      <c r="G390" s="47" t="inlineStr">
        <is>
          <t>なし</t>
        </is>
      </c>
      <c r="H390" s="47" t="inlineStr">
        <is>
          <t>可</t>
        </is>
      </c>
      <c r="I390" s="10" t="inlineStr">
        <is>
          <t>Q: 「テレマーケティング」と「テレアポ（テレフォンアポイントメント）」の最も大きな違いは何ですか？
A: 目的と対象が異なります。テレアポは主に新規顧客に対して行われ、商談や訪問営業のためのアポイントメント獲得を唯一の目的とします。一方、テレマーケティングは既存顧客や見込み客を対象とし、顧客満足度の向上、ニーズ把握、商品販売促進など、より幅広い目的を持つコミュニケーション手法です。
Q: テレマーケティングにはどのような種類があり、それぞれどのような特徴がありますか？
A: 顧客からの連絡に対応するインバウンドマーケティングと、企業側から顧客に電話をかけるアウトバウンドマーケティングの2種類があります。インバウンドは顧客の関心が高いため購入や契約につながりやすいですが、アウトバウンドは企業側から積極的にアプローチし、潜在的なニーズの掘り起こしが可能です。
Q: テレマーケティングを成功させるための秘訣は何ですか？
A: 目標と目的を明確化し、適切なターゲットとトークスクリプトの事前準備を徹底することです。また、コールセンターの顧客情報管理システム（CRMなど）と連携させ、通話時間や成約率などのデータを蓄積・分析し、PDCAサイクルを回し続けることで、継続的な効率化と成果の最大化が図れます。ぜひお問い合わせください。
お問い合わせ先はこちら↓
https://dym.asia/contact/</t>
        </is>
      </c>
      <c r="J390" s="47" t="n"/>
      <c r="K390" s="47" t="inlineStr">
        <is>
          <t>未確認</t>
        </is>
      </c>
      <c r="L390" s="47" t="inlineStr">
        <is>
          <t>未確認</t>
        </is>
      </c>
      <c r="M390" s="47" t="inlineStr">
        <is>
          <t>未依頼</t>
        </is>
      </c>
      <c r="N390" s="47" t="inlineStr">
        <is>
          <t>クリニック以外</t>
        </is>
      </c>
      <c r="O390" s="47" t="n"/>
      <c r="P390" s="47" t="n"/>
      <c r="Q390" s="47" t="n"/>
      <c r="R390" s="47" t="n"/>
    </row>
    <row r="391" ht="15.75" customHeight="1" s="185">
      <c r="A391" s="52">
        <f>row()-3</f>
        <v/>
      </c>
      <c r="B391" s="46" t="inlineStr">
        <is>
          <t>テレアポとはどんな仕事？内容やコツを紹介</t>
        </is>
      </c>
      <c r="C391" s="10" t="inlineStr">
        <is>
          <t>https://dym.asia/media/telephone-appoint/</t>
        </is>
      </c>
      <c r="D391" s="47" t="inlineStr">
        <is>
          <t>テレアポとは</t>
        </is>
      </c>
      <c r="E391" s="35" t="n">
        <v>1</v>
      </c>
      <c r="F391" s="36" t="n">
        <v>16.61648745519713</v>
      </c>
      <c r="G391" s="47" t="inlineStr">
        <is>
          <t>なし</t>
        </is>
      </c>
      <c r="H391" s="47" t="inlineStr">
        <is>
          <t>可</t>
        </is>
      </c>
      <c r="I391" s="47" t="inlineStr">
        <is>
          <t>Q: 「テレアポ（テレフォンアポインター）」とは、どのような仕事内容で、最大の目的は何ですか？
A: テレアポ（テレフォンアポインター）とは、電話を通じて見込み客に商品やサービスの説明を行い、実際の商談や訪問につなげるための約束を取る仕事です。営業の第一歩としての役割が強く、できるだけ多くの相手に直接アプローチしながら、新規のお客様との接点を作ることが主な目的です。短期間で効率よく見込み客に連絡できる点も、テレアポの大きな特徴といえます。
Q: テレアポとテレマーケティング（テレマ）の違いは何ですか？
A: テレアポは主に新規顧客の開拓を目的とし、アポイント獲得に特化しています。一方、テレマーケティングは、既存顧客や興味を持っている見込み客を対象に、顧客満足度の向上、市場調査、販売促進など、より幅広い目的で行われます。
Q: テレアポを成功させるために、成功者はどのような工夫をしていますか？
A: 成功者は、徹底した事前調査を行い、相手企業のニーズや課題を事前に把握します。その上で、電話をかける目的を明確に設定し、顧客の関心を引き出すトークスクリプトをカスタマイズして使用します。また、断られてもすぐに切り替える気持ちの切り替えの速さも成功に不可欠な要素です。</t>
        </is>
      </c>
      <c r="J391" s="47" t="n"/>
      <c r="K391" s="47" t="inlineStr">
        <is>
          <t>未確認</t>
        </is>
      </c>
      <c r="L391" s="47" t="inlineStr">
        <is>
          <t>未確認</t>
        </is>
      </c>
      <c r="M391" s="47" t="inlineStr">
        <is>
          <t>未依頼</t>
        </is>
      </c>
      <c r="N391" s="47" t="inlineStr">
        <is>
          <t>クリニック以外</t>
        </is>
      </c>
      <c r="O391" s="47" t="n"/>
      <c r="P391" s="47" t="n"/>
      <c r="Q391" s="47" t="n"/>
      <c r="R391" s="47" t="n"/>
    </row>
    <row r="392" ht="15.75" customHeight="1" s="185">
      <c r="A392" s="52">
        <f>row()-3</f>
        <v/>
      </c>
      <c r="B392" s="46" t="inlineStr">
        <is>
          <t>The Modelとは？組織・営業プロセス・KPIを解説</t>
        </is>
      </c>
      <c r="C392" s="10" t="inlineStr">
        <is>
          <t>https://dym.asia/media/the-model/</t>
        </is>
      </c>
      <c r="D392" s="47" t="inlineStr">
        <is>
          <t>themodel</t>
        </is>
      </c>
      <c r="E392" s="35" t="n">
        <v>1</v>
      </c>
      <c r="F392" s="36" t="n">
        <v>8.83009708737864</v>
      </c>
      <c r="G392" s="47" t="inlineStr">
        <is>
          <t>なし</t>
        </is>
      </c>
      <c r="H392" s="47" t="inlineStr">
        <is>
          <t>可</t>
        </is>
      </c>
      <c r="I392" s="10" t="inlineStr">
        <is>
          <t>Q: The Model（ザ・モデル）とは、どのような営業組織のフレームワークですか？
A:The Modelとは、営業の流れを「マーケティング」「インサイドセールス」「フィールドセールス」「カスタマーサクセス」の4つの役割に分け、それぞれが専門的に担当する営業組織の考え方です。すべてを一人で担うのではなく、工程ごとに役割を分けることで、より効率的に営業活動を進められる点が特徴です。
Q: The Modelを導入する最大のメリットは何ですか？
A: 最大のメリットは、営業活動が無駄なく整理され、改善しやすくなることです。各部門が自分たちの役割に集中できるため、個人の経験や勘に頼らない、再現性のある営業が可能になります。また、数字やデータをもとに振り返りができるので、改善のスピードも早くなります。
Q: The Modelの導入を成功させるための注意点（デメリット）は何ですか？
A: 一方で、分業が進むことで部門同士の連携が弱くなる可能性があります。情報共有が不十分だと、顧客への対応にばらつきが出てしまうこともあります。そのため、日頃から部門間でこまめにコミュニケーションを取り、SFAやCRMなどのツールを活用して顧客情報をしっかり共有することが重要です。ぜひお問い合わせください。
お問い合わせ先はこちら↓
https://dym.asia/contact/</t>
        </is>
      </c>
      <c r="J392" s="47" t="n"/>
      <c r="K392" s="47" t="inlineStr">
        <is>
          <t>未確認</t>
        </is>
      </c>
      <c r="L392" s="47" t="inlineStr">
        <is>
          <t>未確認</t>
        </is>
      </c>
      <c r="M392" s="47" t="inlineStr">
        <is>
          <t>未依頼</t>
        </is>
      </c>
      <c r="N392" s="47" t="inlineStr">
        <is>
          <t>クリニック以外</t>
        </is>
      </c>
      <c r="O392" s="47" t="n"/>
      <c r="P392" s="47" t="n"/>
      <c r="Q392" s="47" t="n"/>
      <c r="R392" s="47" t="n"/>
    </row>
    <row r="393" ht="15.75" customHeight="1" s="185">
      <c r="A393" s="52">
        <f>row()-3</f>
        <v/>
      </c>
      <c r="B393" s="46" t="inlineStr">
        <is>
          <t>TikTok広告の平均費用は？始めるための基礎知識と事前準備の手順を解説</t>
        </is>
      </c>
      <c r="C393" s="10" t="inlineStr">
        <is>
          <t>https://dym.asia/media/tiktok-ad-cost/</t>
        </is>
      </c>
      <c r="D393" s="47" t="inlineStr">
        <is>
          <t>tiktok 広告 費用</t>
        </is>
      </c>
      <c r="E393" s="35" t="n">
        <v>1</v>
      </c>
      <c r="F393" s="36" t="n">
        <v>15.45360824742268</v>
      </c>
      <c r="G393" s="47" t="inlineStr">
        <is>
          <t>なし</t>
        </is>
      </c>
      <c r="H393" s="47" t="inlineStr">
        <is>
          <t>可</t>
        </is>
      </c>
      <c r="I393" s="10" t="inlineStr">
        <is>
          <t>Q: TikTok広告にはどのような種類があり、それぞれ費用はどのように異なりますか？
A: TikTok広告は、大きく分けて「運用型広告」と「予約型広告（いわゆる純広告）」の2種類があります。運用型広告は、1日あたり7,500円前後と比較的少ない予算から始められ、入札方式によって広告の表示回数や費用が変わります。一方、TopView広告などの予約型広告は、あらかじめ広告枠を買い取る仕組みのため、数百万円規模の費用がかかることが多いですが、短期間で多くの人に認知してもらえる点が強みです。
Q: TikTok広告の主な課金形式は何ですか？
A: 主な課金方法としては、広告がクリックされた回数に応じて費用が発生する「クリック課金（CPC）」や、表示回数に応じて課金される「インプレッション課金（CPM）」があります。加えて、動画広告ならではの仕組みとして、動画の再生回数に応じた「再生課金（CPV）」や、一定期間の広告枠を固定で利用する「期間契約型」も用意されています。
Q: TikTok広告を成功させ、費用対効果を最大化するためのポイントは何ですか？
A: 事前に市場や競合をしっかり調べたうえで、ターゲットに合った動画を作り、定期的に内容を入れ替えていくことが重要です。TikTokは特に若い世代への影響力や拡散力が高いため、作り込みすぎた広告よりも、自然で親しみやすい動画のほうが反応を得やすい傾向があります。こうした特徴を意識することで、TikTokならではの拡散効果を活かした広告運用が期待できます。ぜひお問い合わせください。
お問い合わせ先はこちら↓
https://dym.asia/contact/</t>
        </is>
      </c>
      <c r="J393" s="47" t="n"/>
      <c r="K393" s="47" t="inlineStr">
        <is>
          <t>未確認</t>
        </is>
      </c>
      <c r="L393" s="47" t="inlineStr">
        <is>
          <t>未確認</t>
        </is>
      </c>
      <c r="M393" s="47" t="inlineStr">
        <is>
          <t>未依頼</t>
        </is>
      </c>
      <c r="N393" s="47" t="inlineStr">
        <is>
          <t>クリニック以外</t>
        </is>
      </c>
      <c r="O393" s="47" t="n"/>
      <c r="P393" s="47" t="n"/>
      <c r="Q393" s="47" t="n"/>
      <c r="R393" s="47" t="n"/>
    </row>
    <row r="394" ht="15.75" customHeight="1" s="185">
      <c r="A394" s="52">
        <f>row()-3</f>
        <v/>
      </c>
      <c r="B394" s="46" t="inlineStr">
        <is>
          <t>【2024年最新】TikTok広告とは？種類や費用、メリットや成果を出すポイントについて解説</t>
        </is>
      </c>
      <c r="C394" s="6" t="inlineStr">
        <is>
          <t>https://dym.asia/media/tiktok_advertisement/</t>
        </is>
      </c>
      <c r="D394" s="47" t="inlineStr">
        <is>
          <t>tiktok 広告設定 デメリット</t>
        </is>
      </c>
      <c r="E394" s="35" t="n">
        <v>1</v>
      </c>
      <c r="F394" s="36" t="n">
        <v>16.33333333333334</v>
      </c>
      <c r="G394" s="47" t="inlineStr">
        <is>
          <t>なし</t>
        </is>
      </c>
      <c r="H394" s="47" t="inlineStr">
        <is>
          <t>可</t>
        </is>
      </c>
      <c r="I394" s="10" t="inlineStr">
        <is>
          <t>Q: TikTok広告にはどのような種類があり、それぞれどのような目的で使われますか？
A:TikTok広告は、大きく分けて「運用型広告」と「予約型広告（純広告）」の2種類があります。
運用型広告は、ターゲットや予算を調整しながら配信できるため、効果を見ながら継続的に改善していきたい場合に向いています。一方、予約型広告は、アプリ起動時に表示されるTopView広告やハッシュタグチャレンジ広告などが代表的で、短い期間で一気に認知度を高めたいときや、ブランドイメージを強く印象づけたい場合に活用されます。
Q: TikTok広告の最大のメリットは何ですか？
A: 若年層を中心に、幅広いユーザーにアプローチできる点が大きな強みです。TikTokでは、音声をオンにした状態で全画面視聴されることが多く、広告であっても最後まで見てもらいやすい傾向があります。そのため、伝えたい内容がしっかり届きやすく、反応につながりやすいのが特徴です。また、内容次第では自然に拡散され、広告費以上の効果が期待できることもあります。TikTok広告にご興味のある方は、ぜひお問い合わせください。
お問い合わせ先はこちら↓
https://dym.asia/contact/
Q: TikTok広告を成功させるための重要なポイントは何ですか？
A: 大切なのは、広告を「見せる」意識ではなく、ユーザー目線で「見てもらえる」動画を作ることです。特に、最初の数秒で興味を引く構成や、音楽・ナレーションをうまく活用する工夫は欠かせません。また、作り込みすぎず、あえて少し素人っぽさを残すことで、親近感や共感を得やすくなります。こうした点を意識することが、成果につながるポイントです。</t>
        </is>
      </c>
      <c r="J394" s="47" t="n"/>
      <c r="K394" s="47" t="inlineStr">
        <is>
          <t>未確認</t>
        </is>
      </c>
      <c r="L394" s="47" t="inlineStr">
        <is>
          <t>未確認</t>
        </is>
      </c>
      <c r="M394" s="47" t="inlineStr">
        <is>
          <t>未依頼</t>
        </is>
      </c>
      <c r="N394" s="47" t="inlineStr">
        <is>
          <t>クリニック以外</t>
        </is>
      </c>
      <c r="O394" s="47" t="n"/>
      <c r="P394" s="47" t="n"/>
      <c r="Q394" s="47" t="n"/>
      <c r="R394" s="47" t="n"/>
    </row>
    <row r="395" ht="15.75" customHeight="1" s="185">
      <c r="A395" s="52">
        <f>row()-3</f>
        <v/>
      </c>
      <c r="B395" s="46" t="inlineStr">
        <is>
          <t>TOBとは？用語の意味と実施の目的、メリットや注意点をわかりやすく解説</t>
        </is>
      </c>
      <c r="C395" s="10" t="inlineStr">
        <is>
          <t>https://dym.asia/media/tob/</t>
        </is>
      </c>
      <c r="D395" s="47" t="inlineStr">
        <is>
          <t>tob 成功率</t>
        </is>
      </c>
      <c r="E395" s="35" t="n">
        <v>1</v>
      </c>
      <c r="F395" s="36" t="n">
        <v>4.947368421052632</v>
      </c>
      <c r="G395" s="47" t="inlineStr">
        <is>
          <t>なし</t>
        </is>
      </c>
      <c r="H395" s="47" t="inlineStr">
        <is>
          <t>可</t>
        </is>
      </c>
      <c r="I395" s="47" t="inlineStr">
        <is>
          <t>Q：TOB（株式公開買付け）とは何ですか？
TOBとは、買付けの目的や価格、株数、期間などをあらかじめ公表したうえで、証券取引所を通さずに株式を買い集める方法です。主に、一定以上の株式を取得して経営権を握ることを目的として行われ、金融商品取引法に基づいて実施されます。
Q：TOBと、M&amp;Aにおける他の買収手法（MBO・LBO）との違いは何ですか？
TOBは、不特定多数の株主から株式を買い集め、経営権の取得を目指す買収手法の一つです。一方、MBOは現在の経営陣が主体となって自社の株式を買い取る方法で、経営の自由度を高めることを目的とするケースが多く見られます。LBOは、金融機関などからの借入金を活用して企業を買収する手法で、資金の調達方法に特徴があります。このように、それぞれ主体や資金源、狙いが異なります。
Q：TOBの買い手側にとっての最大のメリットは何ですか？
最大のメリットは、比較的短い期間で多くの株式をまとめて取得できる点です。市場で少しずつ買い進める必要がないため、株価への影響を抑えながら、狙った株数を集めやすくなります。また、一定期間内に目標とする株数に届かなかった場合は、買付け自体を取りやめられる仕組みもあり、買い手側のリスクを抑えられる点も特徴です。</t>
        </is>
      </c>
      <c r="J395" s="47" t="n"/>
      <c r="K395" s="47" t="inlineStr">
        <is>
          <t>未確認</t>
        </is>
      </c>
      <c r="L395" s="47" t="inlineStr">
        <is>
          <t>未確認</t>
        </is>
      </c>
      <c r="M395" s="47" t="inlineStr">
        <is>
          <t>未依頼</t>
        </is>
      </c>
      <c r="N395" s="47" t="inlineStr">
        <is>
          <t>クリニック以外</t>
        </is>
      </c>
      <c r="O395" s="47" t="n"/>
      <c r="P395" s="47" t="n"/>
      <c r="Q395" s="47" t="n"/>
      <c r="R395" s="47" t="n"/>
    </row>
    <row r="396" ht="15.75" customHeight="1" s="185">
      <c r="A396" s="52">
        <f>row()-3</f>
        <v/>
      </c>
      <c r="B396" s="46" t="inlineStr">
        <is>
          <t>【最新】Twitter広告(X広告)とは？費用や特徴、始め方を徹底解説</t>
        </is>
      </c>
      <c r="C396" s="6" t="inlineStr">
        <is>
          <t>https://dym.asia/media/twitter_x_advertisement/</t>
        </is>
      </c>
      <c r="D396" s="47" t="inlineStr">
        <is>
          <t>twitter 広告</t>
        </is>
      </c>
      <c r="E396" s="35" t="n">
        <v>1</v>
      </c>
      <c r="F396" s="36" t="n">
        <v>18.26126126126126</v>
      </c>
      <c r="G396" s="47" t="inlineStr">
        <is>
          <t>なし</t>
        </is>
      </c>
      <c r="H396" s="47" t="inlineStr">
        <is>
          <t>可</t>
        </is>
      </c>
      <c r="I396" s="47" t="inlineStr">
        <is>
          <t>Q: X広告（旧Twitter広告）の最大のメリットは何ですか？
A:X広告の大きな強みは、投稿がユーザーによって拡散されやすい点です。広告であっても、共感や話題性があればリポストされ、フォロワーの枠を超えて情報が広がっていきます。そのため、うまくはまれば、比較的コストを抑えながら多くの人に届けることができます。
Q: X広告は、どのようなユーザー層や目的に特に向いていますか？
A: Xは10代〜20代の若い世代を中心に、幅広い年齢層が利用しています。そのため、新商品の告知や、トレンド性のあるキャンペーンの認知拡大に向いています。また、リアルタイムで情報を発信できる点や、興味・関心に基づいた細かなターゲティングができる点を活かし、特定の層に絞った訴求も可能です。
Q: X広告を運用する上で、企業が最も注意すべきリスクは何ですか？
A: Xは情報が一気に広がりやすい反面、内容によっては炎上につながるリスクもあります。不適切な表現や誤解を招く投稿は、短時間で拡散され、企業のイメージを損ねてしまうこともあります。そのため、投稿前のチェックを徹底し、社内でのSNS運用ルールを明確にしておくことが重要です。</t>
        </is>
      </c>
      <c r="J396" s="47" t="n"/>
      <c r="K396" s="47" t="inlineStr">
        <is>
          <t>未確認</t>
        </is>
      </c>
      <c r="L396" s="47" t="inlineStr">
        <is>
          <t>未確認</t>
        </is>
      </c>
      <c r="M396" s="47" t="inlineStr">
        <is>
          <t>未依頼</t>
        </is>
      </c>
      <c r="N396" s="47" t="inlineStr">
        <is>
          <t>クリニック以外</t>
        </is>
      </c>
      <c r="O396" s="47" t="n"/>
      <c r="P396" s="47" t="n"/>
      <c r="Q396" s="47" t="n"/>
      <c r="R396" s="47" t="n"/>
    </row>
    <row r="397" ht="15.75" customHeight="1" s="185">
      <c r="A397" s="52">
        <f>row()-3</f>
        <v/>
      </c>
      <c r="B397" s="46" t="inlineStr">
        <is>
          <t>WEB広告とは？種類・費用・運用方法</t>
        </is>
      </c>
      <c r="C397" s="10" t="inlineStr">
        <is>
          <t>https://dym.asia/media/web-ads/</t>
        </is>
      </c>
      <c r="D397" s="47" t="inlineStr">
        <is>
          <t>dym web広告</t>
        </is>
      </c>
      <c r="E397" s="35" t="n">
        <v>1</v>
      </c>
      <c r="F397" s="36" t="n">
        <v>2.5</v>
      </c>
      <c r="G397" s="47" t="inlineStr">
        <is>
          <t>なし</t>
        </is>
      </c>
      <c r="H397" s="47" t="inlineStr">
        <is>
          <t>可</t>
        </is>
      </c>
      <c r="I397" s="47" t="inlineStr">
        <is>
          <t>Q: WEB広告とは何ですか？マスメディア広告と比べてどのようなメリットがありますか？
A: WEB広告とは、インターネット上のWebサイトやアプリに表示される広告全般のことを指します。テレビや新聞などのマスメディア広告と比べると、年齢や興味・関心などで配信先を細かく設定できるため、自社の商品やサービスに関心を持ちそうな人に、無駄なくアプローチできる点が大きな特徴です。
Q: WEB広告にはどのような種類がありますか？代表的なものを教えてください。
A: 代表的なものとしては、検索結果に表示されるリスティング広告（検索連動型広告）、Webサイトやアプリの広告枠に画像や動画で表示されるディスプレイ広告、そしてSNS上に表示されるSNS広告があります。いずれも、ユーザーの行動データなどを活用しながら配信できるのが特徴です。
Q: WEB広告の最大のメリットとデメリットは何ですか？
A: WEB広告のメリットは、配信結果をすぐに確認でき、状況に応じて内容や予算を調整できる点です。少額から始められるうえ、配信中でも修正できる柔軟さがあります。一方で、効果を出すにはある程度の知識や運用経験が必要で、人気の高いキーワードでは広告費が高くなりやすい点がデメリットとして挙げられます。</t>
        </is>
      </c>
      <c r="J397" s="47" t="n"/>
      <c r="K397" s="47" t="inlineStr">
        <is>
          <t>未確認</t>
        </is>
      </c>
      <c r="L397" s="47" t="inlineStr">
        <is>
          <t>未確認</t>
        </is>
      </c>
      <c r="M397" s="47" t="inlineStr">
        <is>
          <t>未依頼</t>
        </is>
      </c>
      <c r="N397" s="47" t="inlineStr">
        <is>
          <t>クリニック以外</t>
        </is>
      </c>
      <c r="O397" s="47" t="n"/>
      <c r="P397" s="47" t="n"/>
      <c r="Q397" s="47" t="n"/>
      <c r="R397" s="47" t="n"/>
    </row>
    <row r="398" ht="15.75" customHeight="1" s="185">
      <c r="A398" s="52">
        <f>row()-3</f>
        <v/>
      </c>
      <c r="B398" s="46" t="inlineStr">
        <is>
          <t>WEBマーケティングの仕事内容とは？未経験から目指す方法を解説</t>
        </is>
      </c>
      <c r="C398" s="6" t="inlineStr">
        <is>
          <t>https://dym.asia/media/web-marketing/</t>
        </is>
      </c>
      <c r="D398" s="47" t="inlineStr">
        <is>
          <t>dym マーケティング</t>
        </is>
      </c>
      <c r="E398" s="35" t="n">
        <v>1</v>
      </c>
      <c r="F398" s="36" t="n">
        <v>1</v>
      </c>
      <c r="G398" s="47" t="inlineStr">
        <is>
          <t>なし</t>
        </is>
      </c>
      <c r="H398" s="47" t="inlineStr">
        <is>
          <t>可</t>
        </is>
      </c>
      <c r="I398" s="10" t="inlineStr">
        <is>
          <t>Q: WEBマーケティングとは何ですか？
A: WEBマーケティングとは、Webサイトや広告、SNSなど、インターネット上のさまざまな手段を使って、商品やサービスを知ってもらい、利用してもらうための取り組み全般を指します。サイト運用やSEO対策、WEB広告、メール配信などを組み合わせながら、より良い成果につなげていくのが特徴です。
Q: WEBマーケティングの最も重要な特徴とメリットは何ですか？
A: ターゲットを非常に細かく設定できる点と、広告効果をリアルタイムで測定しやすい点です。顧客の興味や行動履歴に基づいて適切なメッセージを届けることで、費用対効果の高い集客が可能です。また、効果測定の結果を基にPDCAサイクルを迅速に回し、継続的に改善できます。
Q: WEBマーケティングを成功させるための重要な進め方は何ですか？
A: 施策を実施する前に、まず「目的の明確化とゴール設定」を行い、「ターゲットとペルソナの設定」、「カスタマージャーニーの設定」といった綿密な事前準備を徹底することです。これらを基に施策の優先順位を決め、コンテンツの質を確保しつつ、分析と改善を繰り返すことが成功の鍵となります。ぜひお問い合わせください。
お問い合わせ先はこちら↓
https://dym.asia/contact/</t>
        </is>
      </c>
      <c r="J398" s="47" t="n"/>
      <c r="K398" s="47" t="inlineStr">
        <is>
          <t>未確認</t>
        </is>
      </c>
      <c r="L398" s="47" t="inlineStr">
        <is>
          <t>未確認</t>
        </is>
      </c>
      <c r="M398" s="47" t="inlineStr">
        <is>
          <t>未依頼</t>
        </is>
      </c>
      <c r="N398" s="47" t="inlineStr">
        <is>
          <t>クリニック以外</t>
        </is>
      </c>
      <c r="O398" s="47" t="n"/>
      <c r="P398" s="47" t="n"/>
      <c r="Q398" s="47" t="n"/>
      <c r="R398" s="47" t="n"/>
    </row>
    <row r="399" ht="15.75" customHeight="1" s="185">
      <c r="A399" s="52">
        <f>row()-3</f>
        <v/>
      </c>
      <c r="B399" s="46" t="inlineStr">
        <is>
          <t>ホームページ制作費の勘定科目は？経費にする仕訳方法も解説</t>
        </is>
      </c>
      <c r="C399" s="6" t="inlineStr">
        <is>
          <t>https://dym.asia/media/web-site-production-cost-account-item/</t>
        </is>
      </c>
      <c r="D399" s="47" t="inlineStr">
        <is>
          <t>lp制作 勘定科目</t>
        </is>
      </c>
      <c r="E399" s="35" t="n">
        <v>1</v>
      </c>
      <c r="F399" s="36" t="n">
        <v>6.90625</v>
      </c>
      <c r="G399" s="47" t="inlineStr">
        <is>
          <t>あり</t>
        </is>
      </c>
      <c r="H399" s="47" t="inlineStr">
        <is>
          <t>既存</t>
        </is>
      </c>
      <c r="I399" s="47" t="inlineStr">
        <is>
          <t>対応不要</t>
        </is>
      </c>
      <c r="J399" s="47" t="n"/>
      <c r="K399" s="47" t="inlineStr">
        <is>
          <t>対応不要</t>
        </is>
      </c>
      <c r="L399" s="47" t="inlineStr">
        <is>
          <t>対応不要</t>
        </is>
      </c>
      <c r="M399" s="47" t="inlineStr">
        <is>
          <t>対応不要</t>
        </is>
      </c>
      <c r="N399" s="47" t="inlineStr">
        <is>
          <t>クリニック以外</t>
        </is>
      </c>
      <c r="O399" s="47" t="n"/>
      <c r="P399" s="47" t="n"/>
      <c r="Q399" s="47" t="n"/>
      <c r="R399" s="47" t="n"/>
    </row>
    <row r="400" ht="15.75" customHeight="1" s="185">
      <c r="A400" s="52">
        <f>row()-3</f>
        <v/>
      </c>
      <c r="B400" s="46" t="inlineStr">
        <is>
          <t>ウェビナーとは？Zoomウェビナーの使い方とミーティングとの違いを解説</t>
        </is>
      </c>
      <c r="C400" s="6" t="inlineStr">
        <is>
          <t>https://dym.asia/media/webinar/</t>
        </is>
      </c>
      <c r="D400" s="47" t="inlineStr">
        <is>
          <t>ウェビナー配信とは</t>
        </is>
      </c>
      <c r="E400" s="35" t="n">
        <v>1</v>
      </c>
      <c r="F400" s="36" t="n">
        <v>1</v>
      </c>
      <c r="G400" s="47" t="inlineStr">
        <is>
          <t>なし</t>
        </is>
      </c>
      <c r="H400" s="47" t="inlineStr">
        <is>
          <t>可</t>
        </is>
      </c>
      <c r="I400" s="47" t="inlineStr">
        <is>
          <t>Q: ウェビナーとは何ですか？Webミーティングと何が違いますか？
A: ウェビナーとは、「Web」と「セミナー」を組み合わせた言葉で、インターネット上で行うオンライン形式のセミナーのことです。多くの場合、主催者が参加者に向けて情報を発信する形が中心で、大人数を対象に開催されます。一方、Webミーティングは、参加者同士が意見を交わしたり議論したりすることを目的としたもので、少人数での会議に使われるケースが一般的です。
Q: ウェビナーを開催することで、企業が得られるメリットは何ですか？
A: ウェビナーのメリットは、会場を用意する必要がなく、移動や設営にかかるコストを抑えられる点です。また、場所や人数に縛られずに参加者を集められるため、これまで接点のなかった層にもアプローチしやすくなります。さらに、内容を録画して後日配信することもできるため、見込み顧客との継続的な関係づくりにも活用できます。
Q: ウェビナーを成功させるために、開催者が注意すべきデメリットや課題は何ですか？
A: オンライン開催である以上、通信環境によって音声や映像が乱れる可能性があります。また、参加者がどの程度集中しているか分かりにくい点も課題です。そのため、チャットやアンケート機能を取り入れて参加を促したり、事前に機材や配信環境を確認するなど、スムーズに進行するための準備が欠かせません。</t>
        </is>
      </c>
      <c r="J400" s="47" t="n"/>
      <c r="K400" s="47" t="inlineStr">
        <is>
          <t>未確認</t>
        </is>
      </c>
      <c r="L400" s="47" t="inlineStr">
        <is>
          <t>未確認</t>
        </is>
      </c>
      <c r="M400" s="47" t="inlineStr">
        <is>
          <t>未依頼</t>
        </is>
      </c>
      <c r="N400" s="47" t="inlineStr">
        <is>
          <t>クリニック以外</t>
        </is>
      </c>
      <c r="O400" s="47" t="n"/>
      <c r="P400" s="47" t="n"/>
      <c r="Q400" s="47" t="n"/>
      <c r="R400" s="47" t="n"/>
    </row>
    <row r="401" ht="15.75" customHeight="1" s="185">
      <c r="A401" s="52">
        <f>row()-3</f>
        <v/>
      </c>
      <c r="B401" s="46" t="inlineStr">
        <is>
          <t>福利厚生代行とは？おすすめのサービスと導入メリットを比較</t>
        </is>
      </c>
      <c r="C401" s="6" t="inlineStr">
        <is>
          <t>https://dym.asia/media/welfare-operation/</t>
        </is>
      </c>
      <c r="D401" s="47" t="inlineStr">
        <is>
          <t>福利厚生 ビジネスモデル</t>
        </is>
      </c>
      <c r="E401" s="35" t="n">
        <v>1</v>
      </c>
      <c r="F401" s="36" t="n">
        <v>5.525</v>
      </c>
      <c r="G401" s="47" t="inlineStr">
        <is>
          <t>なし</t>
        </is>
      </c>
      <c r="H401" s="47" t="inlineStr">
        <is>
          <t>可</t>
        </is>
      </c>
      <c r="I401" s="47" t="inlineStr">
        <is>
          <t>Q: 「福利厚生代行サービス」とは、どのようなサービスですか？
A: 福利厚生代行サービスとは、企業が行っている福利厚生に関する業務を、専門の外部会社に任せる仕組みのことです。宿泊施設やレジャーの割引、保険サービス、育児・介護のサポートなど、自社だけでは用意しにくい幅広いメニューを、従業員数に応じた月額料金で利用できます。
Q: 福利厚生代行サービスを導入する最大のメリットは何ですか？
A: 大きなメリットは、人事担当者の負担を減らしながら、福利厚生の内容を充実させられる点です。限られたコストでも、大企業並みの福利厚生を提供できるため、採用時のアピールにつながります。また、従業員の満足度が高まり、結果として離職防止にも効果が期待できます。
Q: 福利厚生代行サービスには、どのような提供形態がありますか？
A: 主に2つのタイプがあります。ひとつは、代行会社が用意したサービスをまとめて利用できる「パッケージ型」で、導入しやすいのが特徴です。もうひとつは「カフェテリアプラン」と呼ばれるもので、従業員が付与されたポイントの範囲内で、自分に合ったサービスを選べる仕組みです。こちらは、個々のニーズに対応しやすく、満足度を高めやすい点が強みです。</t>
        </is>
      </c>
      <c r="J401" s="47" t="n"/>
      <c r="K401" s="47" t="inlineStr">
        <is>
          <t>未確認</t>
        </is>
      </c>
      <c r="L401" s="47" t="inlineStr">
        <is>
          <t>未確認</t>
        </is>
      </c>
      <c r="M401" s="47" t="inlineStr">
        <is>
          <t>未依頼</t>
        </is>
      </c>
      <c r="N401" s="47" t="inlineStr">
        <is>
          <t>クリニック以外</t>
        </is>
      </c>
      <c r="O401" s="47" t="n"/>
      <c r="P401" s="47" t="n"/>
      <c r="Q401" s="47" t="n"/>
      <c r="R401" s="47" t="n"/>
    </row>
    <row r="402" ht="15.75" customHeight="1" s="185">
      <c r="A402" s="52">
        <f>row()-3</f>
        <v/>
      </c>
      <c r="B402" s="46" t="inlineStr">
        <is>
          <t>福利厚生のアウトソーシングとは？導入のメリットやおすすめサービスを紹介</t>
        </is>
      </c>
      <c r="C402" s="6" t="inlineStr">
        <is>
          <t>https://dym.asia/media/welfare_benefits_outsourcing/</t>
        </is>
      </c>
      <c r="D402" s="47" t="inlineStr">
        <is>
          <t>福利厚生 市場規模</t>
        </is>
      </c>
      <c r="E402" s="35" t="n">
        <v>1</v>
      </c>
      <c r="F402" s="36" t="n">
        <v>8.44927536231884</v>
      </c>
      <c r="G402" s="47" t="inlineStr">
        <is>
          <t>なし</t>
        </is>
      </c>
      <c r="H402" s="47" t="inlineStr">
        <is>
          <t>可</t>
        </is>
      </c>
      <c r="I402" s="10" t="inlineStr">
        <is>
          <t>Q: 福利厚生のアウトソーシングとは何ですか？
A: 福利厚生のアウトソーシングとは、これまで社内で行っていた福利厚生制度の設計や運営、管理、事務作業などを、専門の外部業者に任せることを指します。外部の仕組みを活用することで、コストや手間を抑えつつ、従業員に幅広い福利厚生を提供できるようになります。
Q: 福利厚生アウトソーシングサービスを活用する最大のメリットは何ですか？
A: 一番のメリットは、担当者の業務負担を大きく減らせる点です。手続きや管理の手間が軽減されるため、人事・総務部門は本来注力すべき業務に集中できます。また、従業員一人ひとりのニーズに対応しやすい福利厚生を導入できるため、満足度の向上や人材の定着にもつながります。
Q: 福利厚生のアウトソーシングサービスを選ぶ際の重要なポイントは何ですか？
A: まずは、導入の目的をはっきりさせることが大切です。採用強化なのか、離職防止なのかによって、選ぶべきサービスは変わってきます。そのうえで、従業員のニーズに合っているか、料金体系が分かりやすいか、導入後のサポート体制が整っているかといった点を総合的に比較することが重要です。
福利厚生のアウトソーシングをご検討中の方は、ぜひお問い合わせください。
お問い合わせ先はこちら↓
https://dym.asia/contact/</t>
        </is>
      </c>
      <c r="J402" s="47" t="n"/>
      <c r="K402" s="47" t="inlineStr">
        <is>
          <t>未確認</t>
        </is>
      </c>
      <c r="L402" s="47" t="inlineStr">
        <is>
          <t>未確認</t>
        </is>
      </c>
      <c r="M402" s="47" t="inlineStr">
        <is>
          <t>未依頼</t>
        </is>
      </c>
      <c r="N402" s="47" t="inlineStr">
        <is>
          <t>クリニック以外</t>
        </is>
      </c>
      <c r="O402" s="47" t="n"/>
      <c r="P402" s="47" t="n"/>
      <c r="Q402" s="47" t="n"/>
      <c r="R402" s="47" t="n"/>
    </row>
    <row r="403" ht="15.75" customHeight="1" s="185">
      <c r="A403" s="52">
        <f>row()-3</f>
        <v/>
      </c>
      <c r="B403" s="46" t="inlineStr">
        <is>
          <t>DNSとは？仕組み、サーバー、設定を分かりやすく解説！</t>
        </is>
      </c>
      <c r="C403" s="6" t="inlineStr">
        <is>
          <t>https://dym.asia/media/what-is-dns/</t>
        </is>
      </c>
      <c r="D403" s="47" t="inlineStr">
        <is>
          <t>dnsサーバーとは</t>
        </is>
      </c>
      <c r="E403" s="35" t="n">
        <v>1</v>
      </c>
      <c r="F403" s="36" t="n">
        <v>1.714285714285714</v>
      </c>
      <c r="G403" s="47" t="inlineStr">
        <is>
          <t>なし</t>
        </is>
      </c>
      <c r="H403" s="47" t="inlineStr">
        <is>
          <t>可</t>
        </is>
      </c>
      <c r="I403" s="10" t="inlineStr">
        <is>
          <t>Q: DNS（Domain Name System）とは何ですか？簡単に教えてください。
A: DNSとは、インターネットの住所である「IPアドレス（数字）」と、人間が覚えられる「ドメイン名（文字列）」を紐づけて変換する仕組みです。 この仕組み（名前解決）があるおかげで、私たちはWebサイトにアクセスする際に、複雑なIPアドレスを覚える必要がありません。
Q: DNSサーバーにはどのような種類と役割がありますか？
A: 主に2種類あります。1つは、特定のドメインの正確なIPアドレス情報を管理する「権威DNSサーバー」です。もう1つは、ユーザーからの問い合わせを受け付け、権威DNSサーバーに問い合わせを行い、その結果を一時的に保存（キャッシュ）して高速応答する「キャッシュDNSサーバー」です。
Q: Webサイト運営において、DNS設定を適切に行うメリットは何ですか？
A: まずは、導入の目的をはっきりさせることが大切です。採用強化なのか、離職防止なのかによって、選ぶべきサービスは変わってきます。そのうえで、従業員のニーズに合っているか、料金体系が分かりやすいか、導入後のサポート体制が整っているかといった点を総合的に比較することが重要です。
福利厚生のアウトソーシングをご検討中の方は、ぜひお問い合わせください。
お問い合わせ先はこちら↓
https://dym.asia/contact/</t>
        </is>
      </c>
      <c r="J403" s="47" t="n"/>
      <c r="K403" s="47" t="inlineStr">
        <is>
          <t>未確認</t>
        </is>
      </c>
      <c r="L403" s="47" t="inlineStr">
        <is>
          <t>未確認</t>
        </is>
      </c>
      <c r="M403" s="47" t="inlineStr">
        <is>
          <t>未依頼</t>
        </is>
      </c>
      <c r="N403" s="47" t="inlineStr">
        <is>
          <t>クリニック以外</t>
        </is>
      </c>
      <c r="O403" s="47" t="n"/>
      <c r="P403" s="47" t="n"/>
      <c r="Q403" s="47" t="n"/>
      <c r="R403" s="47" t="n"/>
    </row>
    <row r="404" ht="15.75" customHeight="1" s="185">
      <c r="A404" s="52">
        <f>row()-3</f>
        <v/>
      </c>
      <c r="B404" s="46" t="inlineStr">
        <is>
          <t>SEOは何の略称？初心者でもサイトを検索結果の上位に表示させるポイント</t>
        </is>
      </c>
      <c r="C404" s="6" t="inlineStr">
        <is>
          <t>https://dym.asia/media/what-is-seo/</t>
        </is>
      </c>
      <c r="D404" s="47" t="inlineStr">
        <is>
          <t>seo</t>
        </is>
      </c>
      <c r="E404" s="35" t="n">
        <v>1</v>
      </c>
      <c r="F404" s="36" t="n">
        <v>9.382352941176471</v>
      </c>
      <c r="G404" s="47" t="inlineStr">
        <is>
          <t>なし</t>
        </is>
      </c>
      <c r="H404" s="47" t="inlineStr">
        <is>
          <t>可</t>
        </is>
      </c>
      <c r="I404" s="10" t="inlineStr">
        <is>
          <t>Q: SEOとは何ですか？また、Webマーケティングとの違いは何ですか？
A: SEOとは「Search Engine Optimization（検索エンジン最適化）」の略で、検索エンジンで自社サイトを見つけてもらいやすくするための取り組みです。Webマーケティングは、Webを使った集客や販促全体を指す広い考え方で、その中の一つの手法としてSEOがあります。SEOでは、検索エンジンの仕組みを意識しながら、サイトの内容や構造を整え、自然検索で上位に表示されることを目指します。
Q: SEO対策を行う目的と、企業が得られる最大のメリットは何ですか？
A: SEOの目的は、検索結果で上位に表示されることで、興味や課題を持ったユーザーに継続的にサイトを訪れてもらうことです。広告とは違い、一度評価されると大きな費用をかけなくても集客を続けられる点が強みです。長期的に見て、安定した集客基盤を作れるだけでなく、企業やサービスへの信頼感を高める効果も期待できます。
SEOについて詳しく知りたい方は、お問い合わせください。
お問い合わせ先はこちら↓
https://dym.asia/contact/
Q: 基本的なSEO対策には、どのような種類の施策がありますか？
A: SEO対策は大きく3つに分けられます。
1つ目は、サイト構造やタグ設定などを整える「内部対策」です。
2つ目は、他のWebサイトから評価されるリンクを得る「外部対策」です。
3つ目は、検索する人の意図に合った情報を分かりやすく届ける「コンテンツSEO」です。
これらをバランスよく進めていくことが、SEOでは重要になります。</t>
        </is>
      </c>
      <c r="J404" s="47" t="n"/>
      <c r="K404" s="47" t="inlineStr">
        <is>
          <t>未確認</t>
        </is>
      </c>
      <c r="L404" s="47" t="inlineStr">
        <is>
          <t>未確認</t>
        </is>
      </c>
      <c r="M404" s="47" t="inlineStr">
        <is>
          <t>未依頼</t>
        </is>
      </c>
      <c r="N404" s="47" t="inlineStr">
        <is>
          <t>クリニック以外</t>
        </is>
      </c>
      <c r="O404" s="47" t="n"/>
      <c r="P404" s="47" t="n"/>
      <c r="Q404" s="47" t="n"/>
      <c r="R404" s="47" t="n"/>
    </row>
    <row r="405" ht="15.75" customHeight="1" s="185">
      <c r="A405" s="52">
        <f>row()-3</f>
        <v/>
      </c>
      <c r="B405" s="46" t="inlineStr">
        <is>
          <t>農福連携とは？ 農家のメリットと、障害者雇用の成功事例</t>
        </is>
      </c>
      <c r="C405" s="6" t="inlineStr">
        <is>
          <t>https://dym.asia/media/with-disabilities-farming/</t>
        </is>
      </c>
      <c r="D405" s="47" t="inlineStr">
        <is>
          <t>就労移行支援 農業</t>
        </is>
      </c>
      <c r="E405" s="35" t="n">
        <v>1</v>
      </c>
      <c r="F405" s="36" t="n">
        <v>2</v>
      </c>
      <c r="G405" s="47" t="inlineStr">
        <is>
          <t>なし</t>
        </is>
      </c>
      <c r="H405" s="47" t="inlineStr">
        <is>
          <t>可</t>
        </is>
      </c>
      <c r="I405" s="47" t="inlineStr">
        <is>
          <t>Q: 「農福連携」とは、具体的にどのような取り組みですか？
A: 農福連携とは、農業と福祉が協力し合い、障害のある方や高齢者が農業の現場で働けるよう支援する取り組みです。農業分野で深刻化している人手不足と、働く場を求める人の就労機会の少なさという、2つの課題を同時に解決することを目的としています。実際には、収穫や仕分け、袋詰めなど、比較的取り組みやすい作業を中心に行われています。
Q: 農家が農福連携を導入する主なメリットは何ですか？
A: 農家にとっては、新たな働き手を確保できる点が大きなメリットです。特に忙しくなる収穫期でも、安定した人手を確保しやすくなります。また、農地の管理が行き届くようになり、経営の安定や規模拡大につながるケースもあります。こうした取り組みは地域への貢献として評価されやすく、農家や地域全体のイメージ向上にも役立ちます。
Q: 農福連携を成功させるために、農家側が注意すべきデメリットや課題は何ですか？
A: 農福連携では、作業内容を分かりやすく伝え、丁寧に指導する体制が欠かせません。障害の特性を理解せずに作業を任せてしまうと、効率が下がったり、安全面で問題が生じたりすることがあります。そのため、指導役を明確にし、継続的にサポートできる環境を整えることが、取り組みを成功させるポイントになります。</t>
        </is>
      </c>
      <c r="J405" s="47" t="n"/>
      <c r="K405" s="47" t="inlineStr">
        <is>
          <t>未確認</t>
        </is>
      </c>
      <c r="L405" s="47" t="inlineStr">
        <is>
          <t>未確認</t>
        </is>
      </c>
      <c r="M405" s="47" t="inlineStr">
        <is>
          <t>未依頼</t>
        </is>
      </c>
      <c r="N405" s="47" t="inlineStr">
        <is>
          <t>クリニック以外</t>
        </is>
      </c>
      <c r="O405" s="47" t="n"/>
      <c r="P405" s="47" t="n"/>
      <c r="Q405" s="47" t="n"/>
      <c r="R405" s="47" t="n"/>
    </row>
    <row r="406" ht="15.75" customHeight="1" s="185">
      <c r="A406" s="52">
        <f>row()-3</f>
        <v/>
      </c>
      <c r="B406" s="46" t="inlineStr">
        <is>
          <t>障害者トライアル雇用とは｜制度の概要やメリットをくわしく解説</t>
        </is>
      </c>
      <c r="C406" s="6" t="inlineStr">
        <is>
          <t>https://dym.asia/media/with-disabilities-recruitment-trial/</t>
        </is>
      </c>
      <c r="D406" s="47" t="inlineStr">
        <is>
          <t>障害者トライアル雇用 クビ</t>
        </is>
      </c>
      <c r="E406" s="35" t="n">
        <v>1</v>
      </c>
      <c r="F406" s="36" t="n">
        <v>18.8</v>
      </c>
      <c r="G406" s="47" t="inlineStr">
        <is>
          <t>なし</t>
        </is>
      </c>
      <c r="H406" s="47" t="inlineStr">
        <is>
          <t>可</t>
        </is>
      </c>
      <c r="I406" s="47" t="inlineStr">
        <is>
          <t>Q: 障害者トライアル雇用制度とは何ですか？
A: 障害者トライアル雇用制度とは、企業が障害のある方を一定期間（原則3か月）試験的に雇用し、仕事への適性や職場へのなじみ具合を確認できる制度です。この期間中、企業は国から助成金を受け取ることができ、実際に働く様子を見ながら、その後の継続雇用を判断できます。採用後のミスマッチを防ぐための仕組みとして活用されています。
Q: 企業が障害者トライアル雇用を利用する主なメリットは何ですか？
A: 一番のメリットは、採用のリスクを抑えられる点です。いきなり本採用するのではなく、実際の業務を通じて適性を見極められるため、採用後の「思っていたのと違った」という事態を防ぎやすくなります。また、助成金を活用することで、指導担当者の人件費や職場環境の整備にかかる負担を軽減しながら、無理のない形で雇用を進められます。
Q: 助成金の支給を受けるための、企業側の主な条件は何ですか？
A: 助成金を受給するには、ハローワークや民間の職業紹介事業者の紹介を通じて雇用することが条件となります。自社サイトなどからの直接応募で採用した場合は対象外となるため、注意が必要です。そのほか、雇用保険の適用事業所であることや、必要な書類提出や審査に協力することも要件に含まれます。</t>
        </is>
      </c>
      <c r="J406" s="47" t="n"/>
      <c r="K406" s="47" t="inlineStr">
        <is>
          <t>未確認</t>
        </is>
      </c>
      <c r="L406" s="47" t="inlineStr">
        <is>
          <t>未確認</t>
        </is>
      </c>
      <c r="M406" s="47" t="inlineStr">
        <is>
          <t>未依頼</t>
        </is>
      </c>
      <c r="N406" s="47" t="inlineStr">
        <is>
          <t>クリニック以外</t>
        </is>
      </c>
      <c r="O406" s="47" t="n"/>
      <c r="P406" s="47" t="n"/>
      <c r="Q406" s="47" t="n"/>
      <c r="R406" s="47" t="n"/>
    </row>
    <row r="407" ht="15.75" customHeight="1" s="185">
      <c r="A407" s="52">
        <f>row()-3</f>
        <v/>
      </c>
      <c r="B407" s="46" t="inlineStr">
        <is>
          <t>働き方改革とは？目的や課題、法改正の概要をわかりやすく紹介</t>
        </is>
      </c>
      <c r="C407" s="6" t="inlineStr">
        <is>
          <t>https://dym.asia/media/work-style-reform/</t>
        </is>
      </c>
      <c r="D407" s="47" t="inlineStr">
        <is>
          <t>ワークライフバランス</t>
        </is>
      </c>
      <c r="E407" s="35" t="n">
        <v>1</v>
      </c>
      <c r="F407" s="36" t="n">
        <v>1.035211267605634</v>
      </c>
      <c r="G407" s="47" t="inlineStr">
        <is>
          <t>なし</t>
        </is>
      </c>
      <c r="H407" s="47" t="inlineStr">
        <is>
          <t>可</t>
        </is>
      </c>
      <c r="I407" s="47" t="inlineStr">
        <is>
          <t>Q: 働き方改革とは何ですか？最も大きな目的は何ですか？
A: 働き方改革とは、働く環境を見直し、仕事の効率を高めながら、働く人が健康的に長く働ける社会を目指す取り組みです。背景には、少子高齢化による人手不足という課題があり、限られた労働力でも持続的に社会を回していくために、多様な働き方を選べる環境づくりが進められています。
Q: 働き方改革における「長時間労働の是正」に関する法改正の主な内容は？
A: 労働基準法の改正により、残業時間には上限が設けられました。原則として、月45時間・年360時間までとされ、特別な事情があっても年720時間を超えることはできません。また、年次有給休暇についても、年5日以上の取得が義務付けられています。
Q: 企業が働き方改革を推進することで得られる主なメリットは何ですか？
A: 働き方改革を進めることで、業務の無駄が減り、生産性の向上が期待できます。テレワークやフレックスタイム制などを取り入れることで、従業員の負担が軽くなり、仕事への意欲も高まりやすくなります。その結果、人材の定着や採用面での評価が高まり、企業全体の競争力やイメージ向上につながります。</t>
        </is>
      </c>
      <c r="J407" s="47" t="n"/>
      <c r="K407" s="47" t="inlineStr">
        <is>
          <t>未確認</t>
        </is>
      </c>
      <c r="L407" s="47" t="inlineStr">
        <is>
          <t>未確認</t>
        </is>
      </c>
      <c r="M407" s="47" t="inlineStr">
        <is>
          <t>未依頼</t>
        </is>
      </c>
      <c r="N407" s="47" t="inlineStr">
        <is>
          <t>クリニック以外</t>
        </is>
      </c>
      <c r="O407" s="47" t="n"/>
      <c r="P407" s="47" t="n"/>
      <c r="Q407" s="47" t="n"/>
      <c r="R407" s="47" t="n"/>
    </row>
    <row r="408" ht="15.75" customHeight="1" s="185">
      <c r="A408" s="52">
        <f>row()-3</f>
        <v/>
      </c>
      <c r="B408" s="46" t="inlineStr">
        <is>
          <t>社会人教育とは？リカレント教育を受けるメリットやおすすめの支援制度</t>
        </is>
      </c>
      <c r="C408" s="6" t="inlineStr">
        <is>
          <t>https://dym.asia/media/working-person-education/</t>
        </is>
      </c>
      <c r="D408" s="47" t="inlineStr">
        <is>
          <t>社会人教育とは</t>
        </is>
      </c>
      <c r="E408" s="35" t="n">
        <v>1</v>
      </c>
      <c r="F408" s="36" t="n">
        <v>4.297872340425532</v>
      </c>
      <c r="G408" s="47" t="inlineStr">
        <is>
          <t>あり</t>
        </is>
      </c>
      <c r="H408" s="47" t="inlineStr">
        <is>
          <t>既存</t>
        </is>
      </c>
      <c r="I408" s="47" t="inlineStr">
        <is>
          <t>対応不要</t>
        </is>
      </c>
      <c r="J408" s="47" t="n"/>
      <c r="K408" s="47" t="inlineStr">
        <is>
          <t>対応不要</t>
        </is>
      </c>
      <c r="L408" s="47" t="inlineStr">
        <is>
          <t>対応不要</t>
        </is>
      </c>
      <c r="M408" s="47" t="inlineStr">
        <is>
          <t>対応不要</t>
        </is>
      </c>
      <c r="N408" s="47" t="inlineStr">
        <is>
          <t>クリニック以外</t>
        </is>
      </c>
      <c r="O408" s="47" t="n"/>
      <c r="P408" s="47" t="n"/>
      <c r="Q408" s="47" t="n"/>
      <c r="R408" s="47" t="n"/>
    </row>
    <row r="409" ht="15.75" customHeight="1" s="185">
      <c r="A409" s="52">
        <f>row()-3</f>
        <v/>
      </c>
      <c r="B409" s="46" t="inlineStr">
        <is>
          <t>X（旧Twitter）広告に費用はどの程度かかる？平均相場や広告の費用と種類を解説</t>
        </is>
      </c>
      <c r="C409" s="6" t="inlineStr">
        <is>
          <t>https://dym.asia/media/x-ad/</t>
        </is>
      </c>
      <c r="D409" s="47" t="inlineStr">
        <is>
          <t>x プロモーション 効果</t>
        </is>
      </c>
      <c r="E409" s="35" t="n">
        <v>1</v>
      </c>
      <c r="F409" s="36" t="n">
        <v>17.2</v>
      </c>
      <c r="G409" s="47" t="inlineStr">
        <is>
          <t>なし</t>
        </is>
      </c>
      <c r="H409" s="47" t="inlineStr">
        <is>
          <t>可</t>
        </is>
      </c>
      <c r="I409" s="10" t="inlineStr">
        <is>
          <t>Q: X広告（旧Twitter広告）の平均費用相場はどれくらいですか？
A: X広告の費用は、広告の目的や配信規模、ターゲティング内容によって柔軟に設定できます。一般的には、月額10万円〜30万円程度で運用している企業が多い傾向にあります。一方で、プロモトレンドやテイクオーバーなどの予約型広告は、数百万円〜1,000万円以上かかるケースもあります。具体的な費用感については、目的に応じて個別に確認するのがおすすめです。ぜひお問い合わせください。
お問い合わせ先はこちら↓
https://dym.asia/contact/
Q: X広告の掲載費用は、どのような仕組みで決定されますか？
A: X広告の費用はオークション形式で決まります。広告主が設定したターゲット条件や入札額をもとに、広告枠の表示可否がリアルタイムで判断される仕組みです。クリック数やフォロワー獲得など、目的に応じて上限金額を設定できるため、予算を大きく超える心配なく運用できます。
Q: X広告の費用対効果（成功率）を上げるための運用ポイントは何ですか？
A: 広告の目的に合ったフォーマットを使い分け、内容とのズレをなくすことが重要です。また、Xならではの拡散力を意識したクリエイティブを作成し、配信後は数値を確認しながら改善を重ねていくことが成果につながります。継続的に検証と調整を行うことが、費用対効果を高めるポイントです。</t>
        </is>
      </c>
      <c r="J409" s="47" t="n"/>
      <c r="K409" s="47" t="inlineStr">
        <is>
          <t>未確認</t>
        </is>
      </c>
      <c r="L409" s="47" t="inlineStr">
        <is>
          <t>未確認</t>
        </is>
      </c>
      <c r="M409" s="47" t="inlineStr">
        <is>
          <t>未依頼</t>
        </is>
      </c>
      <c r="N409" s="47" t="inlineStr">
        <is>
          <t>クリニック以外</t>
        </is>
      </c>
      <c r="O409" s="47" t="n"/>
      <c r="P409" s="47" t="n"/>
      <c r="Q409" s="47" t="n"/>
      <c r="R409" s="47" t="n"/>
    </row>
    <row r="410" ht="15.75" customHeight="1" s="185">
      <c r="A410" s="52">
        <f>row()-3</f>
        <v/>
      </c>
      <c r="B410" s="46" t="inlineStr">
        <is>
          <t>X (旧Twitter) 運用代行の費用目安は？メリットや選び方の注意点なども解説</t>
        </is>
      </c>
      <c r="C410" s="6" t="inlineStr">
        <is>
          <t>https://dym.asia/media/x-operation/</t>
        </is>
      </c>
      <c r="D410" s="47" t="inlineStr">
        <is>
          <t>x 運用代行</t>
        </is>
      </c>
      <c r="E410" s="35" t="n">
        <v>1</v>
      </c>
      <c r="F410" s="36" t="n">
        <v>69.38709677419355</v>
      </c>
      <c r="G410" s="47" t="inlineStr">
        <is>
          <t>なし</t>
        </is>
      </c>
      <c r="H410" s="47" t="inlineStr">
        <is>
          <t>可</t>
        </is>
      </c>
      <c r="I410" s="47" t="inlineStr">
        <is>
          <t xml:space="preserve"> X（旧Twitter）の運用代行とは、どのような業務を依頼できますか？
A: Xの運用代行とは、企業の代わりにアカウント運用を一通り任せられるサービスです。アカウントの方向性や運用方針の設計をはじめ、投稿内容の企画・作成、適切なタイミングでの投稿、コメントやDMの管理などを依頼できます。加えて、炎上を防ぐための対応や、数値をもとにした分析・レポート作成まで対応してもらえるため、Xを効果的に活用するための業務全般を任せることが可能です。
Q: X運用代行を依頼する際の費用相場はどれくらいですか？
A: 費用は依頼先によって大きく異なります。運用代行会社に依頼する場合は、月額10万円以上が一般的で、戦略設計から運用、分析まで幅広いサポートが受けられます。オンラインアシスタントを利用する場合は、月額10万円前後から依頼でき、SNS運用以外の業務もまとめて任せられる点が特徴です。クラウドソーシングでは、時給2,000円程度から依頼できることもあり費用は抑えられますが、品質や進行管理には注意が必要です。
Q: X運用代行を外部に依頼する最大のメリットとデメリットは何ですか？
A: 最大のメリットは、SNS運用の経験が豊富な専門家のノウハウを活用でき、炎上リスクを抑えつつ、効率的に成果を出しやすい点です。一方で、コストがかかりやすいことや、すべてを外部に任せてしまうと、自社に運用ノウハウが残りにくい点はデメリットといえます。</t>
        </is>
      </c>
      <c r="J410" s="47" t="n"/>
      <c r="K410" s="47" t="inlineStr">
        <is>
          <t>未確認</t>
        </is>
      </c>
      <c r="L410" s="47" t="inlineStr">
        <is>
          <t>未確認</t>
        </is>
      </c>
      <c r="M410" s="47" t="inlineStr">
        <is>
          <t>未依頼</t>
        </is>
      </c>
      <c r="N410" s="47" t="inlineStr">
        <is>
          <t>クリニック以外</t>
        </is>
      </c>
      <c r="O410" s="47" t="n"/>
      <c r="P410" s="47" t="n"/>
      <c r="Q410" s="47" t="n"/>
      <c r="R410" s="47" t="n"/>
    </row>
    <row r="411" ht="15.75" customHeight="1" s="185">
      <c r="A411" s="52">
        <f>row()-3</f>
        <v/>
      </c>
      <c r="B411" s="46" t="inlineStr">
        <is>
          <t>Yahoo!広告の費用相場は？予算の決め方や広告選びのポイントも解説</t>
        </is>
      </c>
      <c r="C411" s="6" t="inlineStr">
        <is>
          <t>https://dym.asia/media/yahoo-ad-cost/</t>
        </is>
      </c>
      <c r="D411" s="47" t="inlineStr">
        <is>
          <t>yahoo バナー広告 料金</t>
        </is>
      </c>
      <c r="E411" s="35" t="n">
        <v>1</v>
      </c>
      <c r="F411" s="36" t="n">
        <v>13.6</v>
      </c>
      <c r="G411" s="47" t="inlineStr">
        <is>
          <t>なし</t>
        </is>
      </c>
      <c r="H411" s="47" t="inlineStr">
        <is>
          <t>可</t>
        </is>
      </c>
      <c r="I411" s="47" t="inlineStr">
        <is>
          <t>Q: Yahoo!広告には、どのような種類の広告がありますか？
A: Yahoo!広告には、大きく分けて2つの種類があります。ひとつは「Yahoo!検索広告（リスティング広告）」で、Yahoo!の検索結果画面に表示される広告です。もうひとつは「Yahoo!ディスプレイ広告（YDN）」で、Yahoo! JAPANのニュースやメール、提携サイトなどに、画像や動画付きで表示されます。
ディスプレイ広告には、入札によって配信される運用型広告と、トップページなど決まった場所に掲載される予約型広告があり、目的や予算に応じて使い分けられます。
Q: Yahoo!広告の平均費用相場はどれくらいですか？
A: 検索広告や運用型のディスプレイ広告の場合、月10万円〜20万円程度がひとつの目安とされています。少額からでも始められ、基本的にはクリックされた分だけ費用が発生する仕組みです。
一方で、Yahoo! JAPANのトップページなどに掲載される予約型広告は、露出が大きい分、数百万円から数千万円と高額になるケースもあります。
Q: Yahoo!広告の費用対効果（ROI）を上げるための運用ポイントは何ですか？
A: 費用対効果を高めるためには、広告の内容と配信先をしっかり見直すことが重要です。ターゲットを明確に絞った配信を行い、広告文とリンク先ページの内容にズレがないよう調整します。さらに、配信結果の数値を確認しながら改善を重ねていくことで、無駄な広告費を抑えつつ成果につなげやすくなります。</t>
        </is>
      </c>
      <c r="J411" s="47" t="n"/>
      <c r="K411" s="47" t="inlineStr">
        <is>
          <t>未確認</t>
        </is>
      </c>
      <c r="L411" s="47" t="inlineStr">
        <is>
          <t>未確認</t>
        </is>
      </c>
      <c r="M411" s="47" t="inlineStr">
        <is>
          <t>未依頼</t>
        </is>
      </c>
      <c r="N411" s="47" t="inlineStr">
        <is>
          <t>クリニック以外</t>
        </is>
      </c>
      <c r="O411" s="47" t="n"/>
      <c r="P411" s="47" t="n"/>
      <c r="Q411" s="47" t="n"/>
      <c r="R411" s="47" t="n"/>
    </row>
    <row r="412" ht="15.75" customHeight="1" s="185">
      <c r="A412" s="52">
        <f>row()-3</f>
        <v/>
      </c>
      <c r="B412" s="46" t="inlineStr">
        <is>
          <t>Yahoo!広告とは？費用や特徴、始め方や代理店に依頼するメリットを解説</t>
        </is>
      </c>
      <c r="C412" s="6" t="inlineStr">
        <is>
          <t>https://dym.asia/media/yahoo_advertisement/</t>
        </is>
      </c>
      <c r="D412" s="47" t="inlineStr">
        <is>
          <t>ヤフー</t>
        </is>
      </c>
      <c r="E412" s="35" t="n">
        <v>1</v>
      </c>
      <c r="F412" s="36" t="n">
        <v>8</v>
      </c>
      <c r="G412" s="47" t="inlineStr">
        <is>
          <t>なし</t>
        </is>
      </c>
      <c r="H412" s="47" t="inlineStr">
        <is>
          <t>可</t>
        </is>
      </c>
      <c r="I412" s="10" t="inlineStr">
        <is>
          <t>Q: Yahoo!広告とGoogle広告の最も大きな違いは何ですか？
A: 最大の違いは、アプローチできるユーザー層です。Yahoo!広告は35歳以上の利用者が多く、ニュースやポータルなど生活導線の中で自然に訴求できます。一方、Google広告は若年層やビジネス層に強く、検索やYouTubeを中心に幅広く接点を持てます。商材や目的に応じた使い分けが成果につながります。
Q: Yahoo!広告の3つの広告タイプと、それぞれの目的を教えてください。
A:検索広告：購入・問い合わせ意欲の高いユーザーに直接アプローチ
ディスプレイ広告（運用型）：認知拡大から見込み顧客獲得まで幅広く活用
ディスプレイ広告（予約型）：短期間で大規模な認知拡大を狙う施策に最適
Q: Yahoo!広告の運用効果を高め、費用を無駄にしないためのポイントは何ですか？
A: ターゲットを明確にし、広告内容とLPを一致させることが重要です。加えて、効果検証と改善を継続することで、無駄な広告費を抑えながら成果を最大化できます。
運用にお悩みの際は、ぜひお問い合わせください。
お問い合わせ先はこちら↓
https://dym.asia/contact/</t>
        </is>
      </c>
      <c r="J412" s="47" t="n"/>
      <c r="K412" s="47" t="inlineStr">
        <is>
          <t>未確認</t>
        </is>
      </c>
      <c r="L412" s="47" t="inlineStr">
        <is>
          <t>未確認</t>
        </is>
      </c>
      <c r="M412" s="47" t="inlineStr">
        <is>
          <t>未依頼</t>
        </is>
      </c>
      <c r="N412" s="47" t="inlineStr">
        <is>
          <t>クリニック以外</t>
        </is>
      </c>
      <c r="O412" s="47" t="n"/>
      <c r="P412" s="47" t="n"/>
      <c r="Q412" s="47" t="n"/>
      <c r="R412" s="47" t="n"/>
    </row>
    <row r="413" ht="15.75" customHeight="1" s="185">
      <c r="A413" s="52">
        <f>row()-3</f>
        <v/>
      </c>
      <c r="B413" s="46" t="inlineStr">
        <is>
          <t>YDAとは？Yahoo!ディスプレイ広告の配信方法・メリットを解説</t>
        </is>
      </c>
      <c r="C413" s="10" t="inlineStr">
        <is>
          <t>https://dym.asia/media/yda-yahoo-display-ads/</t>
        </is>
      </c>
      <c r="D413" s="47" t="inlineStr">
        <is>
          <t>yahooの広告においてクリック課金型で特定ユーザー層へのターゲティングを中心に、画像/動画/テキストで掲載される広告</t>
        </is>
      </c>
      <c r="E413" s="35" t="n">
        <v>1</v>
      </c>
      <c r="F413" s="36" t="n">
        <v>5.057692307692307</v>
      </c>
      <c r="G413" s="47" t="inlineStr">
        <is>
          <t>なし</t>
        </is>
      </c>
      <c r="H413" s="47" t="inlineStr">
        <is>
          <t>可</t>
        </is>
      </c>
      <c r="I413" s="10" t="inlineStr">
        <is>
          <t>Q: YDA（Yahoo!ディスプレイ広告）とは何ですか？リスティング広告との違いを教えてください。
A: YDAは、Yahoo! JAPANや提携サイトに画像や動画を表示できるディスプレイ広告です。検索結果にテキストで表示されるリスティング広告と違い、Webサイトを見ている最中のユーザーに自然に訴求できるため、サービスやブランドを知ってもらうきっかけ作りに向いています。まだニーズが顕在化していない層にもアプローチできる点が特長です。
Q: YDAにはどのような配信方法がありますか？
A: 配信方法は「運用型」と「予約型」の2種類です。運用型は、予算やターゲットを調整しながら配信でき、費用対効果を重視した運用に向いています。予約型は、Yahoo! JAPANのトップページなど目立つ枠に掲載できるため、短期間で多くの人に認知を広げたい場合に効果的です。目的に応じた使い分けが成果を左右します。
お問い合わせ先はこちら↓
https://dym.asia/contact/
Q: YDAとGDN（Googleディスプレイネットワーク）の最も大きな違いは何ですか？
A: 違いは主に配信先とユーザー層です。YDAはYahoo!ニュースや知恵袋、LINE関連面など、国内ユーザーの生活導線に強いのが特長です。一方、GDNはYouTubeやGmailを含む幅広いWebサイトに配信でき、よりグローバルで広範囲なリーチが可能です。商材や狙いたい層によって、最適な媒体は変わります。</t>
        </is>
      </c>
      <c r="J413" s="47" t="n"/>
      <c r="K413" s="47" t="inlineStr">
        <is>
          <t>未確認</t>
        </is>
      </c>
      <c r="L413" s="47" t="inlineStr">
        <is>
          <t>未確認</t>
        </is>
      </c>
      <c r="M413" s="47" t="inlineStr">
        <is>
          <t>未依頼</t>
        </is>
      </c>
      <c r="N413" s="47" t="inlineStr">
        <is>
          <t>クリニック以外</t>
        </is>
      </c>
      <c r="O413" s="47" t="n"/>
      <c r="P413" s="47" t="n"/>
      <c r="Q413" s="47" t="n"/>
      <c r="R413" s="47" t="n"/>
    </row>
    <row r="414" ht="15.75" customHeight="1" s="185">
      <c r="A414" s="52">
        <f>row()-3</f>
        <v/>
      </c>
      <c r="B414" s="46" t="inlineStr">
        <is>
          <t>コラム一覧</t>
        </is>
      </c>
      <c r="C414" s="6" t="inlineStr">
        <is>
          <t>https://dym.asia/media/</t>
        </is>
      </c>
      <c r="D414" s="47" t="inlineStr">
        <is>
          <t>dym やめ とけ</t>
        </is>
      </c>
      <c r="E414" s="35" t="n">
        <v>0</v>
      </c>
      <c r="F414" s="36" t="n">
        <v>41</v>
      </c>
      <c r="G414" s="47" t="inlineStr">
        <is>
          <t>なし</t>
        </is>
      </c>
      <c r="H414" s="47" t="inlineStr">
        <is>
          <t>不可</t>
        </is>
      </c>
      <c r="I414" s="47" t="inlineStr">
        <is>
          <t>対応不要</t>
        </is>
      </c>
      <c r="J414" s="47" t="n"/>
      <c r="K414" s="47" t="inlineStr">
        <is>
          <t>対応不要</t>
        </is>
      </c>
      <c r="L414" s="47" t="inlineStr">
        <is>
          <t>対応不要</t>
        </is>
      </c>
      <c r="M414" s="47" t="inlineStr">
        <is>
          <t>対応不要</t>
        </is>
      </c>
      <c r="N414" s="47" t="inlineStr">
        <is>
          <t>クリニック以外</t>
        </is>
      </c>
      <c r="O414" s="47" t="n"/>
      <c r="P414" s="47" t="n"/>
      <c r="Q414" s="47" t="n"/>
      <c r="R414" s="47" t="n"/>
    </row>
    <row r="415" ht="15.75" customHeight="1" s="185">
      <c r="A415" s="52">
        <f>row()-3</f>
        <v/>
      </c>
      <c r="B415" s="46" t="inlineStr">
        <is>
          <t>36協定とは？残業時間の上限や注意点をわかりやすく解説</t>
        </is>
      </c>
      <c r="C415" s="6" t="inlineStr">
        <is>
          <t>https://dym.asia/media/36-agreements/</t>
        </is>
      </c>
      <c r="D415" s="47" t="inlineStr">
        <is>
          <t>1週間の労働時間</t>
        </is>
      </c>
      <c r="E415" s="35" t="n">
        <v>0</v>
      </c>
      <c r="F415" s="36" t="n">
        <v>1</v>
      </c>
      <c r="G415" s="47" t="inlineStr">
        <is>
          <t>あり</t>
        </is>
      </c>
      <c r="H415" s="47" t="inlineStr">
        <is>
          <t>既存</t>
        </is>
      </c>
      <c r="I415" s="47" t="inlineStr">
        <is>
          <t>対応不要</t>
        </is>
      </c>
      <c r="J415" s="47" t="n"/>
      <c r="K415" s="47" t="inlineStr">
        <is>
          <t>対応不要</t>
        </is>
      </c>
      <c r="L415" s="47" t="inlineStr">
        <is>
          <t>対応不要</t>
        </is>
      </c>
      <c r="M415" s="47" t="inlineStr">
        <is>
          <t>対応不要</t>
        </is>
      </c>
      <c r="N415" s="47" t="inlineStr">
        <is>
          <t>クリニック以外</t>
        </is>
      </c>
      <c r="O415" s="47" t="n"/>
      <c r="P415" s="47" t="n"/>
      <c r="Q415" s="47" t="n"/>
      <c r="R415" s="47" t="n"/>
    </row>
    <row r="416" ht="15.75" customHeight="1" s="185">
      <c r="A416" s="52">
        <f>row()-3</f>
        <v/>
      </c>
      <c r="B416" s="46" t="inlineStr">
        <is>
          <t>3C分析とは？やり方や業界別の活用例・成功させるポイント5つを紹介</t>
        </is>
      </c>
      <c r="C416" s="6" t="inlineStr">
        <is>
          <t>https://dym.asia/media/3c-analysis/</t>
        </is>
      </c>
      <c r="D416" s="47" t="inlineStr">
        <is>
          <t>3 c 分析</t>
        </is>
      </c>
      <c r="E416" s="35" t="n">
        <v>0</v>
      </c>
      <c r="F416" s="36" t="n">
        <v>39.5</v>
      </c>
      <c r="G416" s="47" t="inlineStr">
        <is>
          <t>あり</t>
        </is>
      </c>
      <c r="H416" s="47" t="inlineStr">
        <is>
          <t>既存</t>
        </is>
      </c>
      <c r="I416" s="47" t="inlineStr">
        <is>
          <t>対応不要</t>
        </is>
      </c>
      <c r="J416" s="47" t="n"/>
      <c r="K416" s="47" t="inlineStr">
        <is>
          <t>対応不要</t>
        </is>
      </c>
      <c r="L416" s="47" t="inlineStr">
        <is>
          <t>対応不要</t>
        </is>
      </c>
      <c r="M416" s="47" t="inlineStr">
        <is>
          <t>対応不要</t>
        </is>
      </c>
      <c r="N416" s="47" t="inlineStr">
        <is>
          <t>クリニック以外</t>
        </is>
      </c>
      <c r="O416" s="47" t="n"/>
      <c r="P416" s="47" t="n"/>
      <c r="Q416" s="47" t="n"/>
      <c r="R416" s="47" t="n"/>
    </row>
    <row r="417" ht="15.75" customHeight="1" s="185">
      <c r="A417" s="52">
        <f>row()-3</f>
        <v/>
      </c>
      <c r="B417" s="46" t="inlineStr">
        <is>
          <t>4P分析を分かりやすく解説！意味や3Cとの違い、分析の手順まで</t>
        </is>
      </c>
      <c r="C417" s="6" t="inlineStr">
        <is>
          <t>https://dym.asia/media/4p-analysis/</t>
        </is>
      </c>
      <c r="D417" s="47" t="inlineStr">
        <is>
          <t>"製品分析"</t>
        </is>
      </c>
      <c r="E417" s="35" t="n">
        <v>0</v>
      </c>
      <c r="F417" s="36" t="n">
        <v>31</v>
      </c>
      <c r="G417" s="47" t="inlineStr">
        <is>
          <t>なし</t>
        </is>
      </c>
      <c r="H417" s="47" t="inlineStr">
        <is>
          <t>可</t>
        </is>
      </c>
      <c r="I417" s="47" t="inlineStr">
        <is>
          <t>Q: 4P分析とは何ですか？どのような目的で活用されますか？
A: 4P分析とは、商品やサービスを「どう売るか」を整理するためのマーケティングフレームワークです。
Product（製品）、Price（価格）、Place（流通）、Promotion（販促）の4つの視点から戦略を組み立てることで、施策にブレがなくなり、市場での競争力を高めることができます。新商品立ち上げや既存サービスの見直し時によく活用されます。
お問い合わせ先はこちら↓
https://dym.asia/contact/?sid=681795991
Q: 4Pの各要素は、それぞれ具体的に何を分析するのですか？
A:Product（製品）：品質や機能、デザイン、強みなど、顧客に選ばれる理由を整理します。
Price（価格）：原価や競合価格、顧客が納得できる価格帯を踏まえて検討します。
Place（流通）：店舗・ECなどの販売チャネルや、届け方が最適かを考えます。
Promotion（販促）：広告やPR、キャンペーンなど、どう認知を広げ、購入につなげるかを整理します。
Q: 4P分析と3C分析や4C分析など、他のマーケティング分析との違いは何ですか？
A: 4P分析は、企業側の視点で「具体的に何を打つか」を決めるための分析です。
一方、3C分析は市場や競合、自社の立ち位置を把握するための分析、4C分析は顧客視点で「価値や利便性」を考える分析です。
これらを組み合わせることで、より実践的で成果につながるマーケティング戦略を立てることができます。</t>
        </is>
      </c>
      <c r="J417" s="47" t="n"/>
      <c r="K417" s="47" t="inlineStr">
        <is>
          <t>未確認</t>
        </is>
      </c>
      <c r="L417" s="47" t="inlineStr">
        <is>
          <t>未確認</t>
        </is>
      </c>
      <c r="M417" s="47" t="inlineStr">
        <is>
          <t>未依頼</t>
        </is>
      </c>
      <c r="N417" s="47" t="inlineStr">
        <is>
          <t>クリニック以外</t>
        </is>
      </c>
      <c r="O417" s="47" t="n"/>
      <c r="P417" s="47" t="n"/>
      <c r="Q417" s="47" t="n"/>
      <c r="R417" s="47" t="n"/>
    </row>
    <row r="418" ht="15.75" customHeight="1" s="185">
      <c r="A418" s="52">
        <f>row()-3</f>
        <v/>
      </c>
      <c r="B418" s="46" t="inlineStr">
        <is>
          <t>ABテストとは？やり方やメリット、特徴をわかりやすく解説</t>
        </is>
      </c>
      <c r="C418" s="6" t="inlineStr">
        <is>
          <t>https://dym.asia/media/ab-test/</t>
        </is>
      </c>
      <c r="D418" s="47" t="inlineStr">
        <is>
          <t>a/bテスト</t>
        </is>
      </c>
      <c r="E418" s="35" t="n">
        <v>0</v>
      </c>
      <c r="F418" s="36" t="n">
        <v>1</v>
      </c>
      <c r="G418" s="47" t="inlineStr">
        <is>
          <t>なし</t>
        </is>
      </c>
      <c r="H418" s="47" t="inlineStr">
        <is>
          <t>可</t>
        </is>
      </c>
      <c r="I418" s="10" t="inlineStr">
        <is>
          <t>Q: ABテストとは何ですか？どのような目的で実施される手法ですか？
A: ABテストとは、Webサイトやアプリの一部を2パターン用意し、実際のユーザーに見てもらいながら、どちらの反応が良いかを比べる検証方法です。
ボタンの色や文言、配置などを変えて試すことで、「どの改善が成果につながるのか」を数字で判断でき、コンバージョン率を着実に高めていくことを目的としています。
Q: ABテストを実施することで、期待できる主なメリットは何ですか？
A: 感覚や思い込みに頼らず、ユーザーの行動データをもとに改善できる点です。
小さな変更でも効果を確認しながら進められるため、無駄なコストやリスクを抑えつつ、CVRやCTRの改善が期待できます。施策の説得力が増すのも大きなメリットです。お問い合わせください。
お問い合わせ先はこちら↓
https://dym.asia/contact/
Q: ABテストを成功させるための重要なポイントは何ですか？
A: 一度に検証する変更点は、必ず一つに絞ることです。複数を同時に変えると、どこが成果に影響したのか分からなくなってしまいます。
また、同じ期間・条件で十分なデータを集めることも重要です。最低でも2週間程度検証することで、信頼性の高い結果が得られ、次の改善につなげやすくなります。</t>
        </is>
      </c>
      <c r="J418" s="47" t="n"/>
      <c r="K418" s="47" t="inlineStr">
        <is>
          <t>未確認</t>
        </is>
      </c>
      <c r="L418" s="47" t="inlineStr">
        <is>
          <t>未確認</t>
        </is>
      </c>
      <c r="M418" s="47" t="inlineStr">
        <is>
          <t>未依頼</t>
        </is>
      </c>
      <c r="N418" s="47" t="inlineStr">
        <is>
          <t>クリニック以外</t>
        </is>
      </c>
      <c r="O418" s="47" t="n"/>
      <c r="P418" s="47" t="n"/>
      <c r="Q418" s="47" t="n"/>
      <c r="R418" s="47" t="n"/>
    </row>
    <row r="419" ht="15.75" customHeight="1" s="185">
      <c r="A419" s="52">
        <f>row()-3</f>
        <v/>
      </c>
      <c r="B419" s="46" t="inlineStr">
        <is>
          <t>ABM（アカウントベースドマーケティング）とは？基礎知識を解説</t>
        </is>
      </c>
      <c r="C419" s="6" t="inlineStr">
        <is>
          <t>https://dym.asia/media/abm/</t>
        </is>
      </c>
      <c r="D419" s="47" t="inlineStr">
        <is>
          <t>abm</t>
        </is>
      </c>
      <c r="E419" s="35" t="n">
        <v>0</v>
      </c>
      <c r="F419" s="36" t="n">
        <v>68.45788336933046</v>
      </c>
      <c r="G419" s="47" t="inlineStr">
        <is>
          <t>なし</t>
        </is>
      </c>
      <c r="H419" s="47" t="inlineStr">
        <is>
          <t>可</t>
        </is>
      </c>
      <c r="I419" s="47" t="inlineStr">
        <is>
          <t>Q: ABM（アカウントベースドマーケティング）とは何ですか？従来のマーケティングと何が違いますか？
A: ABMとは、あらかじめ狙う企業を絞り込み、その企業ごとに最適なアプローチを行うマーケティング手法です。
多くの見込み客に広くアプローチする従来型のマーケティングに比べ、ABMは「この企業と取引したい」というターゲットに集中するのが特徴です。無駄な施策を減らし、長期的な関係づくりと高い成果を目指します。
Q: ABMをBtoBビジネスに導入する最大のメリットは何ですか？
A: 費用対効果が高く、成約につながりやすい点です。意思決定に関わる担当者や課題を事前に把握し、それぞれに合った情報を届けることで、商談の質が高まります。また、営業とマーケティングが同じ目標を共有しやすくなり、組織全体で成果を出しやすくなります。
Q: ABMを実践する上での重要な手順と、失敗を避けるための注意点は何ですか？
A: まず、重要度に応じてターゲット企業を整理し、それぞれの課題やニーズを丁寧に把握します。その上で、施策を実行・改善しながら継続的にアプローチしていきます。注意点としては、ターゲット選定を誤ると成果が出にくいことや、結果が出るまでに時間と工数がかかる点です。そのため、導入前に目的とゴールを明確にしておくことが成功のカギになります。</t>
        </is>
      </c>
      <c r="J419" s="47" t="n"/>
      <c r="K419" s="47" t="inlineStr">
        <is>
          <t>未確認</t>
        </is>
      </c>
      <c r="L419" s="47" t="inlineStr">
        <is>
          <t>未確認</t>
        </is>
      </c>
      <c r="M419" s="47" t="inlineStr">
        <is>
          <t>未依頼</t>
        </is>
      </c>
      <c r="N419" s="47" t="inlineStr">
        <is>
          <t>クリニック以外</t>
        </is>
      </c>
      <c r="O419" s="47" t="n"/>
      <c r="P419" s="47" t="n"/>
      <c r="Q419" s="47" t="n"/>
      <c r="R419" s="47" t="n"/>
    </row>
    <row r="420" ht="15.75" customHeight="1" s="185">
      <c r="A420" s="52">
        <f>row()-3</f>
        <v/>
      </c>
      <c r="B420" s="46" t="inlineStr">
        <is>
          <t>Webアクセシビリティとは？意味や2024年の義務化についてわかりやすく解説</t>
        </is>
      </c>
      <c r="C420" s="6" t="inlineStr">
        <is>
          <t>https://dym.asia/media/accessibility/</t>
        </is>
      </c>
      <c r="D420" s="47" t="inlineStr">
        <is>
          <t>accessibility requirements 意味</t>
        </is>
      </c>
      <c r="E420" s="35" t="n">
        <v>0</v>
      </c>
      <c r="F420" s="36" t="n">
        <v>2</v>
      </c>
      <c r="G420" s="47" t="inlineStr">
        <is>
          <t>なし</t>
        </is>
      </c>
      <c r="H420" s="47" t="inlineStr">
        <is>
          <t>可</t>
        </is>
      </c>
      <c r="I420" s="47" t="inlineStr">
        <is>
          <t>Q: Webアクセシビリティとは何ですか？なぜ重要視されているのですか？
A: Webアクセシビリティとは、障害の有無や年齢、使っている端末に関係なく、誰でも無理なくウェブサイトやサービスを利用できるようにする考え方です。高齢化が進む中で、すべての人が情報にアクセスできる環境を整えることが求められており、社会的な責任という意味でも重要性が高まっています。
Q: Webアクセシビリティ対応は、企業に法的な義務がありますか？　
A: はい。2024年4月の障害者差別解消法の改正により、民間企業にもウェブサイトやアプリのアクセシビリティへの配慮が求められるようになりました。現時点で罰則はありませんが、対応していない場合は行政指導の対象となる可能性があり、企業イメージや信頼性に影響するリスクがあります。
Q: Webアクセシビリティを向上させることで、企業はどのようなビジネス上のメリットを得られますか？
A: 法令対応にとどまらず、ビジネス面でもプラスになります。高齢者や障害のある方など、これまで取りこぼしていた層にもサービスを届けられるようになり、利用者の幅が広がります。また、サイト全体が使いやすくなることでSEO評価の向上や、問い合わせ・購入といった成果にもつながりやすくなります。</t>
        </is>
      </c>
      <c r="J420" s="47" t="n"/>
      <c r="K420" s="47" t="inlineStr">
        <is>
          <t>未確認</t>
        </is>
      </c>
      <c r="L420" s="47" t="inlineStr">
        <is>
          <t>未確認</t>
        </is>
      </c>
      <c r="M420" s="47" t="inlineStr">
        <is>
          <t>未依頼</t>
        </is>
      </c>
      <c r="N420" s="47" t="inlineStr">
        <is>
          <t>クリニック以外</t>
        </is>
      </c>
      <c r="O420" s="47" t="n"/>
      <c r="P420" s="47" t="n"/>
      <c r="Q420" s="47" t="n"/>
      <c r="R420" s="47" t="n"/>
    </row>
    <row r="421" ht="15.75" customHeight="1" s="185">
      <c r="A421" s="52">
        <f>row()-3</f>
        <v/>
      </c>
      <c r="B421" s="46" t="inlineStr">
        <is>
          <t>経理代行とは？アウトソーシングするメリットやおすすめの代行会社の選び方</t>
        </is>
      </c>
      <c r="C421" s="6" t="inlineStr">
        <is>
          <t>https://dym.asia/media/accounting-services/</t>
        </is>
      </c>
      <c r="D421" s="47" t="inlineStr">
        <is>
          <t>事務 経理 代行</t>
        </is>
      </c>
      <c r="E421" s="35" t="n">
        <v>0</v>
      </c>
      <c r="F421" s="36" t="n">
        <v>91</v>
      </c>
      <c r="G421" s="47" t="inlineStr">
        <is>
          <t>なし</t>
        </is>
      </c>
      <c r="H421" s="47" t="inlineStr">
        <is>
          <t>可</t>
        </is>
      </c>
      <c r="I421" s="47" t="inlineStr">
        <is>
          <t>Q: 会計・経理代行サービスとは、どのような業務を依頼できますか？
A: 会計・経理代行サービスでは、日々の記帳作業（仕訳や伝票入力）をはじめ、給与計算、請求書の発行や管理、年末調整、決算に向けたサポートなど、ルーティン化しやすい経理業務を幅広く任せることができます。経理の細かな作業を外部に任せることで、社内の担当者は本来注力すべき業務に集中しやすくなります。
Q: 会計代行サービスを導入する最大のメリットは何ですか？
A: 人件費や教育コストを抑えながら、安定した品質の経理業務を維持できる点です。専門知識を持つスタッフが対応するため、入力ミスや申告漏れといったトラブルを防ぎやすくなり、経理業務全体の安心感が高まります。
Q: 会計代行サービスに依頼する場合の費用相場はどれくらいですか？
A: 業務内容やボリュームによって差はありますが、一般的には月額2万円〜10万円程度が目安とされています。仕訳の件数や従業員数によって金額が変わるケースが多いため、自社に必要な業務範囲を整理したうえで確認するのがおすすめです。</t>
        </is>
      </c>
      <c r="J421" s="47" t="n"/>
      <c r="K421" s="47" t="inlineStr">
        <is>
          <t>未確認</t>
        </is>
      </c>
      <c r="L421" s="47" t="inlineStr">
        <is>
          <t>未確認</t>
        </is>
      </c>
      <c r="M421" s="47" t="inlineStr">
        <is>
          <t>未依頼</t>
        </is>
      </c>
      <c r="N421" s="47" t="inlineStr">
        <is>
          <t>クリニック以外</t>
        </is>
      </c>
      <c r="O421" s="47" t="n"/>
      <c r="P421" s="47" t="n"/>
      <c r="Q421" s="47" t="n"/>
      <c r="R421" s="47" t="n"/>
    </row>
    <row r="422" ht="15.75" customHeight="1" s="185">
      <c r="A422" s="52">
        <f>row()-3</f>
        <v/>
      </c>
      <c r="B422" s="46" t="inlineStr">
        <is>
          <t>広告運用代行サービス（業務委託）の費用相場とは？</t>
        </is>
      </c>
      <c r="C422" s="6" t="inlineStr">
        <is>
          <t>https://dym.asia/media/ad-ope-outsourcing/</t>
        </is>
      </c>
      <c r="D422" s="47" t="inlineStr">
        <is>
          <t>dym 広告</t>
        </is>
      </c>
      <c r="E422" s="35" t="n">
        <v>0</v>
      </c>
      <c r="F422" s="36" t="n">
        <v>16.5</v>
      </c>
      <c r="G422" s="47" t="inlineStr">
        <is>
          <t>なし</t>
        </is>
      </c>
      <c r="H422" s="47" t="inlineStr">
        <is>
          <t>可</t>
        </is>
      </c>
      <c r="I422" s="10" t="inlineStr">
        <is>
          <t>Q: 広告運用代行サービス（業務委託）とは何ですか？
A: 広告運用代行サービスとは、リスティング広告やSNS広告などの運用型広告を、専門会社に任せるサービスです。広告の目的整理から配信設定、入札調整、ターゲットの見直し、効果分析・改善までを一括で任せることで、広告効果を安定して高めていくことができます。
Q: 広告運用代行の費用相場はどのように決まりますか？　
A: 費用は主に「初期費用」と「運用手数料」で構成されます。手数料は、広告費の10〜20％を支払う割合型が一般的ですが、月額固定の定額制を採用している会社もあります。扱う広告の規模や、サポート内容、代行会社の実績によって金額は変わります。
Q: 広告運用を代行業者に依頼する最大のメリットは何ですか？
A: 広告のムダを減らし、成果につながる運用ができる点です。経験豊富な担当者が数字を見ながら細かく調整するため、費用対効果を高めやすくなります。また、社内で専任担当を置く必要がなくなり、他の重要業務に時間を割けるようになります。広告運用でお悩みの方は、なり、無駄な広告費を削減できます。また、自社で専門担当者を採用・育成するコストと手間を削減できます。ぜひお問い合わせください。
お問い合わせ先はこちら↓
https://dym.asia/contact/</t>
        </is>
      </c>
      <c r="J422" s="47" t="n"/>
      <c r="K422" s="47" t="inlineStr">
        <is>
          <t>未確認</t>
        </is>
      </c>
      <c r="L422" s="47" t="inlineStr">
        <is>
          <t>未確認</t>
        </is>
      </c>
      <c r="M422" s="47" t="inlineStr">
        <is>
          <t>未依頼</t>
        </is>
      </c>
      <c r="N422" s="47" t="inlineStr">
        <is>
          <t>クリニック以外</t>
        </is>
      </c>
      <c r="O422" s="47" t="n"/>
      <c r="P422" s="47" t="n"/>
      <c r="Q422" s="47" t="n"/>
      <c r="R422" s="47" t="n"/>
    </row>
    <row r="423" ht="15.75" customHeight="1" s="185">
      <c r="A423" s="52">
        <f>row()-3</f>
        <v/>
      </c>
      <c r="B423" s="46" t="inlineStr">
        <is>
          <t>事務代行とは？料金相場・メリット・選び方を徹底解説</t>
        </is>
      </c>
      <c r="C423" s="6" t="inlineStr">
        <is>
          <t>https://dym.asia/media/administrative-services/</t>
        </is>
      </c>
      <c r="D423" s="47" t="inlineStr">
        <is>
          <t>access 代行 相場</t>
        </is>
      </c>
      <c r="E423" s="35" t="n">
        <v>0</v>
      </c>
      <c r="F423" s="36" t="n">
        <v>37.83333333333334</v>
      </c>
      <c r="G423" s="47" t="inlineStr">
        <is>
          <t>なし</t>
        </is>
      </c>
      <c r="H423" s="47" t="inlineStr">
        <is>
          <t>可</t>
        </is>
      </c>
      <c r="I423" s="10" t="inlineStr">
        <is>
          <t>Q: 総務代行サービスとは、どのような業務を依頼できますか？
A: 総務代行サービスでは、備品や社内資産の管理、社員からの問い合わせ対応、名刺管理、オフィス環境の整備、郵便物や書類の管理、社内イベントの運営サポートなど、日常的に発生する総務業務を幅広く任せることができます。手間のかかる細かな業務を外部に任せることで、社内の負担を減らせます。
Q: 総務業務を外部に委託する最大のメリットは何ですか？
A: 社員が本来注力すべき仕事に集中できるようになる点です。あわせて、業務の属人化を防げるため、担当者が変わっても業務品質を保ちやすくなります。採用や育成にかかるコストを抑えられるのも、大きなメリットです。
Q: 総務代行サービスに依頼する場合の費用相場はどれくらいですか？
A: 依頼する業務内容やボリューム、常駐かリモートかといった提供形態によって異なりますが、月額5万円〜30万円前後が目安とされています。自社で担当者を雇用する場合と比べて、コストや運用面を含めて検討するのがおすすめです。総務業務の効率化をご検討中の方は、ぜひお問い合わせください。
お問い合わせ先はこちら↓
https://dym.asia/contact/</t>
        </is>
      </c>
      <c r="J423" s="47" t="n"/>
      <c r="K423" s="47" t="inlineStr">
        <is>
          <t>未確認</t>
        </is>
      </c>
      <c r="L423" s="47" t="inlineStr">
        <is>
          <t>未確認</t>
        </is>
      </c>
      <c r="M423" s="47" t="inlineStr">
        <is>
          <t>未依頼</t>
        </is>
      </c>
      <c r="N423" s="47" t="inlineStr">
        <is>
          <t>クリニック以外</t>
        </is>
      </c>
      <c r="O423" s="47" t="n"/>
      <c r="P423" s="47" t="n"/>
      <c r="Q423" s="47" t="n"/>
      <c r="R423" s="47" t="n"/>
    </row>
    <row r="424" ht="15.75" customHeight="1" s="185">
      <c r="A424" s="52">
        <f>row()-3</f>
        <v/>
      </c>
      <c r="B424" s="46" t="inlineStr">
        <is>
          <t>広告の種類とは？ 特徴と効果的な活用方法</t>
        </is>
      </c>
      <c r="C424" s="10" t="inlineStr">
        <is>
          <t>https://dym.asia/media/ads-type/</t>
        </is>
      </c>
      <c r="D424" s="47" t="inlineStr">
        <is>
          <t>4マスとは</t>
        </is>
      </c>
      <c r="E424" s="35" t="n">
        <v>0</v>
      </c>
      <c r="F424" s="36" t="n">
        <v>1</v>
      </c>
      <c r="G424" s="47" t="inlineStr">
        <is>
          <t>なし</t>
        </is>
      </c>
      <c r="H424" s="47" t="inlineStr">
        <is>
          <t>可</t>
        </is>
      </c>
      <c r="I424" s="10" t="inlineStr">
        <is>
          <t>Q: 広告は、どのような種類に分類されますか？
A: 広告は大きく分けて、ネット広告、テレビや新聞などのマス広告、そして販促に特化したSP広告の3つがあります。狙いたい層や予算、求める効果によって使い分けるのが一般的です。
Q: ネット広告、マス広告、SP広告の、それぞれの特徴は何ですか？
A: ネット広告は、年齢や興味関心などを細かく絞って配信でき、効果も数字で確認しやすいのが強みです。マス広告はテレビCMや新聞広告のように、多くの人に一気に認知を広げたい場合に向いています。SP広告はDMやイベントなど、実際に接点を持ちながら購入や来店を後押しする手法です。
Q: ネット広告の中で、特に費用対効果が高いとされる広告形式は何ですか？
A: 検索結果に表示されるリスティング広告は、すでに情報を探しているユーザーに直接アプローチできるため、無駄が少ないのが特長です。クリックされた分だけ費用が発生する仕組みなので、初めて広告を出す企業にも取り入れやすい方法です。
広告施策をご検討中の方は、ぜひお問い合わせください。　
お問い合わせ先はこちら↓
https://dym.asia/contact/</t>
        </is>
      </c>
      <c r="J424" s="47" t="n"/>
      <c r="K424" s="47" t="inlineStr">
        <is>
          <t>未確認</t>
        </is>
      </c>
      <c r="L424" s="47" t="inlineStr">
        <is>
          <t>未確認</t>
        </is>
      </c>
      <c r="M424" s="47" t="inlineStr">
        <is>
          <t>未依頼</t>
        </is>
      </c>
      <c r="N424" s="47" t="inlineStr">
        <is>
          <t>クリニック以外</t>
        </is>
      </c>
      <c r="O424" s="47" t="n"/>
      <c r="P424" s="47" t="n"/>
      <c r="Q424" s="47" t="n"/>
      <c r="R424" s="47" t="n"/>
    </row>
    <row r="425" ht="15.75" customHeight="1" s="185">
      <c r="A425" s="52">
        <f>row()-3</f>
        <v/>
      </c>
      <c r="B425" s="46" t="inlineStr">
        <is>
          <t>広告代理店のM&amp;Aの動向｜メリット・デメリットや成功戦略</t>
        </is>
      </c>
      <c r="C425" s="6" t="inlineStr">
        <is>
          <t>https://dym.asia/media/advertising-agency-mna/</t>
        </is>
      </c>
      <c r="D425" s="47" t="inlineStr">
        <is>
          <t>dym 広告代理店</t>
        </is>
      </c>
      <c r="E425" s="35" t="n">
        <v>0</v>
      </c>
      <c r="F425" s="36" t="n">
        <v>9.666666666666666</v>
      </c>
      <c r="G425" s="47" t="inlineStr">
        <is>
          <t>なし</t>
        </is>
      </c>
      <c r="H425" s="47" t="inlineStr">
        <is>
          <t>可</t>
        </is>
      </c>
      <c r="I425" s="10" t="inlineStr">
        <is>
          <t>Q: 広告代理店業界でM&amp;Aが活発化している主な背景は何ですか？
A: 一番の理由は、広告の主戦場が一気にデジタルへ移っていることです。特に中小の代理店では、デジタル人材や運用ノウハウ、システム投資を自社だけで揃えるのが難しくなっています。そのため、M&amp;Aを活用して体制を強化したり、成長スピードを早めたりする動きが目立っています。
Q: 広告代理店を売却する売り手（譲渡企業）側の主なメリットは何ですか？
A: 後継者の問題を解消しながら、これまで続けてきた事業を次につなげられる点が大きなメリットです。経営者にとっては、会社の価値をきちんと評価したうえで資金化でき、引退後の生活資金や次のチャレンジに充てることもできます。大手や資本力のある企業グループに入ることで、経営の安定につながるケースもあります。ぜひお問い合わせください。
お問い合わせ先はこちら↓
https://dym.asia/contact/
Q: 広告代理店のM&amp;Aで、買い手側（譲受企業）が特に注意すべきデメリットは何ですか？
A: 一番注意したいのは、人材が離れてしまうリスクです。広告代理店は、人のスキルや顧客との関係性がそのまま価値になります。買収後に社風や方針が合わず、キーパーソンが抜けてしまうと、想定していた成果が出なくなる可能性があります。</t>
        </is>
      </c>
      <c r="J425" s="47" t="n"/>
      <c r="K425" s="47" t="inlineStr">
        <is>
          <t>未確認</t>
        </is>
      </c>
      <c r="L425" s="47" t="inlineStr">
        <is>
          <t>未確認</t>
        </is>
      </c>
      <c r="M425" s="47" t="inlineStr">
        <is>
          <t>未依頼</t>
        </is>
      </c>
      <c r="N425" s="47" t="inlineStr">
        <is>
          <t>クリニック以外</t>
        </is>
      </c>
      <c r="O425" s="47" t="n"/>
      <c r="P425" s="47" t="n"/>
      <c r="Q425" s="47" t="n"/>
      <c r="R425" s="47" t="n"/>
    </row>
    <row r="426" ht="15.75" customHeight="1" s="185">
      <c r="A426" s="52">
        <f>row()-3</f>
        <v/>
      </c>
      <c r="B426" s="46" t="inlineStr">
        <is>
          <t>アフィリエイト広告とは？種類や仕組み、報酬について解説</t>
        </is>
      </c>
      <c r="C426" s="6" t="inlineStr">
        <is>
          <t>https://dym.asia/media/affiliate-ads/</t>
        </is>
      </c>
      <c r="D426" s="47" t="inlineStr">
        <is>
          <t>abcash アフィリエイト報酬</t>
        </is>
      </c>
      <c r="E426" s="35" t="n">
        <v>0</v>
      </c>
      <c r="F426" s="36" t="n">
        <v>3</v>
      </c>
      <c r="G426" s="47" t="inlineStr">
        <is>
          <t>なし</t>
        </is>
      </c>
      <c r="H426" s="47" t="inlineStr">
        <is>
          <t>可</t>
        </is>
      </c>
      <c r="I426" s="10" t="inlineStr">
        <is>
          <t>Q: アフィリエイト広告とは、具体的にどのような仕組みの広告ですか？
A: アフィリエイト広告は、成果が出た分だけ費用が発生する広告手法です。広告主と媒体を運営するアフィリエイター、その間をつなぐASPが連携し、広告経由で購入や申し込みがあった場合に報酬が支払われます。無駄打ちが少なく、効率的に集客できるのが特徴です。
Q: アフィリエイト広告の広告主にとっての最大のメリットは何ですか？
A: 成果が出たときにだけ費用がかかる点です。あらかじめ大きな広告費をかける必要がなく、費用対効果を見ながら運用できます。多くの媒体に紹介してもらえるため、認知拡大と集客を同時に狙えるのも魅力です。
ぜひお問い合わせください。
お問い合わせ先はこちら↓
https://dym.asia/contact/
Q: アフィリエイト広告には、成果報酬型以外にどのような報酬の種類がありますか？
A: 基本は成果報酬型ですが、広告が表示された回数に応じて支払う「インプレッション型」や、クリック数に応じる「クリック型」、一定期間の掲載に対して支払う「固定報酬型」などを採用するケースもあります。</t>
        </is>
      </c>
      <c r="J426" s="47" t="n"/>
      <c r="K426" s="47" t="inlineStr">
        <is>
          <t>未確認</t>
        </is>
      </c>
      <c r="L426" s="47" t="inlineStr">
        <is>
          <t>未確認</t>
        </is>
      </c>
      <c r="M426" s="47" t="inlineStr">
        <is>
          <t>未依頼</t>
        </is>
      </c>
      <c r="N426" s="47" t="inlineStr">
        <is>
          <t>クリニック以外</t>
        </is>
      </c>
      <c r="O426" s="47" t="n"/>
      <c r="P426" s="47" t="n"/>
      <c r="Q426" s="47" t="n"/>
      <c r="R426" s="47" t="n"/>
    </row>
    <row r="427" ht="15.75" customHeight="1" s="185">
      <c r="A427" s="52">
        <f>row()-3</f>
        <v/>
      </c>
      <c r="B427" s="46" t="inlineStr">
        <is>
          <t>アグリゲーションサイトとは？意味や求人広告活用方法を解説</t>
        </is>
      </c>
      <c r="C427" s="6" t="inlineStr">
        <is>
          <t>https://dym.asia/media/aggregation-site/</t>
        </is>
      </c>
      <c r="D427" s="47" t="inlineStr">
        <is>
          <t>aggregation site</t>
        </is>
      </c>
      <c r="E427" s="35" t="n">
        <v>0</v>
      </c>
      <c r="F427" s="36" t="n">
        <v>1</v>
      </c>
      <c r="G427" s="47" t="inlineStr">
        <is>
          <t>なし</t>
        </is>
      </c>
      <c r="H427" s="47" t="inlineStr">
        <is>
          <t>可</t>
        </is>
      </c>
      <c r="I427" s="10" t="inlineStr">
        <is>
          <t>Q: アグリゲーションサイトとは何ですか？求人サイトと何が違いますか？
A: アグリゲーションサイトは、企業の採用ページやさまざまな求人媒体に掲載されている求人情報を集めて、一覧で見られるようにしたサービスです。自社で求人を作成・掲載する一般的な求人サイトとは異なり、あくまで情報を集約して分かりやすく整理する役割を担っています。
Q: アグリゲーションサイトを求人広告に活用する最大のメリットは何ですか？
A: 無料で求人を掲載できる点と、集客力の高さが大きな強みです。利用者数の多いアグリゲーションサイトを使うことで、職種やエリアを問わず多くの求職者に情報を届けやすくなり、採用コストの抑制にもつながります。
Q: アグリゲーションサイトで収益を得るためのビジネスモデルには、どのようなものがありますか？
A: 検索結果内の広告枠や求人の上位表示といった有料オプションのほか、応募や採用が発生した際の成果報酬、データ提供などを組み合わせて収益化しているケースが一般的です。ぜひお問い合わせください。
お問い合わせ先はこちら↓
https://dym.asia/contact/</t>
        </is>
      </c>
      <c r="J427" s="47" t="n"/>
      <c r="K427" s="47" t="inlineStr">
        <is>
          <t>未確認</t>
        </is>
      </c>
      <c r="L427" s="47" t="inlineStr">
        <is>
          <t>未確認</t>
        </is>
      </c>
      <c r="M427" s="47" t="inlineStr">
        <is>
          <t>未依頼</t>
        </is>
      </c>
      <c r="N427" s="47" t="inlineStr">
        <is>
          <t>クリニック以外</t>
        </is>
      </c>
      <c r="O427" s="47" t="n"/>
      <c r="P427" s="47" t="n"/>
      <c r="Q427" s="47" t="n"/>
      <c r="R427" s="47" t="n"/>
    </row>
    <row r="428" ht="15.75" customHeight="1" s="185">
      <c r="A428" s="52">
        <f>row()-3</f>
        <v/>
      </c>
      <c r="B428" s="46" t="inlineStr">
        <is>
          <t>AISAS（アイサス）とは?意味や活用方法、AIDMAとの違いまでわかりやすく解説</t>
        </is>
      </c>
      <c r="C428" s="6" t="inlineStr">
        <is>
          <t>https://dym.asia/media/aisas/</t>
        </is>
      </c>
      <c r="D428" s="47" t="inlineStr">
        <is>
          <t>aiceas</t>
        </is>
      </c>
      <c r="E428" s="35" t="n">
        <v>0</v>
      </c>
      <c r="F428" s="36" t="n">
        <v>12</v>
      </c>
      <c r="G428" s="47" t="inlineStr">
        <is>
          <t>なし</t>
        </is>
      </c>
      <c r="H428" s="47" t="inlineStr">
        <is>
          <t>可</t>
        </is>
      </c>
      <c r="I428" s="47" t="inlineStr">
        <is>
          <t>Q: AISAS（アイサス）とは何ですか？AIDMA（アイドマ）と何が違いますか？
A: AISASは、ネットが当たり前になった今の消費者行動を整理した考え方です。従来のAIDMAが「欲しくなる」「記憶する」といった受け身の流れを重視していたのに対し、AISASでは「自分で調べる」「体験を共有する」といった、インターネットならではの行動が中心になっています。
Q: AISASの5つのステップは、それぞれどのような行動を示しますか？
A:まず広告や情報を見て存在を知り（Attention）、興味を持ちます（Interest）。次に、検索して詳しく調べたり比較したりし（Search）、納得すれば購入や利用に進みます（Action）。その後、使ってみた感想や評価をSNSや口コミで発信するのがShareです。
Q: AISASモデルを効果的に活用するための重要なポイントは何ですか？
A: 「検索されること」と「共有されること」を意識した施策が欠かせません。調べたときに役立つ情報をしっかり用意し、体験した人が思わず誰かに話したくなる仕掛けをつくることで、自然とファンが増えていきます。</t>
        </is>
      </c>
      <c r="J428" s="47" t="n"/>
      <c r="K428" s="47" t="inlineStr">
        <is>
          <t>未確認</t>
        </is>
      </c>
      <c r="L428" s="47" t="inlineStr">
        <is>
          <t>未確認</t>
        </is>
      </c>
      <c r="M428" s="47" t="inlineStr">
        <is>
          <t>未依頼</t>
        </is>
      </c>
      <c r="N428" s="47" t="inlineStr">
        <is>
          <t>クリニック以外</t>
        </is>
      </c>
      <c r="O428" s="47" t="n"/>
      <c r="P428" s="47" t="n"/>
      <c r="Q428" s="47" t="n"/>
      <c r="R428" s="47" t="n"/>
    </row>
    <row r="429" ht="15.75" customHeight="1" s="185">
      <c r="A429" s="52">
        <f>row()-3</f>
        <v/>
      </c>
      <c r="B429" s="46" t="inlineStr">
        <is>
          <t>アライアンスとは？特徴・種類、メリットやM&amp;Aとの違いを詳しく解説</t>
        </is>
      </c>
      <c r="C429" s="6" t="inlineStr">
        <is>
          <t>https://dym.asia/media/alliance/</t>
        </is>
      </c>
      <c r="D429" s="47" t="inlineStr">
        <is>
          <t>aliance</t>
        </is>
      </c>
      <c r="E429" s="35" t="n">
        <v>0</v>
      </c>
      <c r="F429" s="36" t="n">
        <v>1</v>
      </c>
      <c r="G429" s="47" t="inlineStr">
        <is>
          <t>なし</t>
        </is>
      </c>
      <c r="H429" s="47" t="inlineStr">
        <is>
          <t>可</t>
        </is>
      </c>
      <c r="I429" s="10" t="inlineStr">
        <is>
          <t>Q: ビジネスにおける「アライアンス（Alliance）」とは何ですか？M&amp;Aとどう違いますか？
A: アライアンスとは、複数の企業がそれぞれの強みを持ち寄り、協力しながらビジネスを進めていく関係のことです。人材や技術、ノウハウを共有しつつ成果を狙います。M&amp;Aのように経営権が移るわけではなく、あくまで各社が独立したまま、対等な立場で組む点が大きな違いです。
Q: アライアンスにはどのような種類がありますか？
A: 代表的なのは、業務を一緒に進める「業務提携」、関係を強めるために株式を持ち合う「資本提携」、技術やノウハウを共有する「技術提携」です。目的や関わり方によって、最適な形が選ばれます。
Q: アライアンスを締結する最大のメリットと、注意すべきデメリットは何ですか？
A: 最大のメリットは、各社の強みを活かしながら、コストやリスクを分担できることです。一方で、方向性や目的がズレると協力関係がうまく回らなくなったり、情報管理に注意が必要になったりする点は押さえておく必要があります。ぜひお問い合わせください。
お問い合わせ先はこちら↓
https://dym.asia/contact/</t>
        </is>
      </c>
      <c r="J429" s="47" t="n"/>
      <c r="K429" s="47" t="inlineStr">
        <is>
          <t>未確認</t>
        </is>
      </c>
      <c r="L429" s="47" t="inlineStr">
        <is>
          <t>未確認</t>
        </is>
      </c>
      <c r="M429" s="47" t="inlineStr">
        <is>
          <t>未依頼</t>
        </is>
      </c>
      <c r="N429" s="47" t="inlineStr">
        <is>
          <t>クリニック以外</t>
        </is>
      </c>
      <c r="O429" s="47" t="n"/>
      <c r="P429" s="47" t="n"/>
      <c r="Q429" s="47" t="n"/>
      <c r="R429" s="47" t="n"/>
    </row>
    <row r="430" ht="15.75" customHeight="1" s="185">
      <c r="A430" s="52">
        <f>row()-3</f>
        <v/>
      </c>
      <c r="B430" s="46" t="inlineStr">
        <is>
          <t>アルムナイ採用の意味とメリット：企業と元社員のWin-Winな関係構築</t>
        </is>
      </c>
      <c r="C430" s="10" t="inlineStr">
        <is>
          <t>https://dym.asia/media/alumni-recruitment/</t>
        </is>
      </c>
      <c r="D430" s="47" t="inlineStr">
        <is>
          <t>あるむない</t>
        </is>
      </c>
      <c r="E430" s="35" t="n">
        <v>0</v>
      </c>
      <c r="F430" s="36" t="n">
        <v>1</v>
      </c>
      <c r="G430" s="47" t="inlineStr">
        <is>
          <t>なし</t>
        </is>
      </c>
      <c r="H430" s="47" t="inlineStr">
        <is>
          <t>可</t>
        </is>
      </c>
      <c r="I430" s="47" t="inlineStr">
        <is>
          <t>Q: 「アルムナイ採用」とは何ですか？どのような背景で注目されていますか？
A: アルムナイ採用とは、過去に自社で働いていた元社員を、再び迎え入れる採用の仕組みです。人材不足が続く中で、転職や独立が当たり前になったこともあり、「一度辞めたら終わり」ではなく、再びつながる考え方が広がっています。企業側・元社員側の双方にメリットがある点から、注目されるようになりました。
Q: アルムナイ採用を導入することで、企業が得られる最大のメリットは何ですか？
A: 最大の強みは、即戦力となる人材をスムーズに確保できることです。元社員であれば、会社の雰囲気や仕事の進め方を理解しているため、立ち上がりが早く、教育コストも抑えられます。採用後の「思っていた仕事と違った」といったズレが起きにくいのも大きな利点です。
Q: アルムナイ採用を成功させるために、企業側がすべき重要なポイントは何ですか？
A: 大切なのは、退職後も元社員と良好な関係を保つことです。定期的な情報発信や交流の場を設けるなど、アルムナイネットワークを継続的に運用することが効果的です。また、社内の納得感を保つために、再雇用の条件や評価基準を事前に明確にしておくことも欠かせません。</t>
        </is>
      </c>
      <c r="J430" s="47" t="n"/>
      <c r="K430" s="47" t="inlineStr">
        <is>
          <t>未確認</t>
        </is>
      </c>
      <c r="L430" s="47" t="inlineStr">
        <is>
          <t>未確認</t>
        </is>
      </c>
      <c r="M430" s="47" t="inlineStr">
        <is>
          <t>未依頼</t>
        </is>
      </c>
      <c r="N430" s="47" t="inlineStr">
        <is>
          <t>クリニック以外</t>
        </is>
      </c>
      <c r="O430" s="47" t="n"/>
      <c r="P430" s="47" t="n"/>
      <c r="Q430" s="47" t="n"/>
      <c r="R430" s="47" t="n"/>
    </row>
    <row r="431" ht="15.75" customHeight="1" s="185">
      <c r="A431" s="52">
        <f>row()-3</f>
        <v/>
      </c>
      <c r="B431" s="46" t="inlineStr">
        <is>
          <t>アルムナイ採用とは？メリットやデメリット、導入方法まで徹底解説</t>
        </is>
      </c>
      <c r="C431" s="6" t="inlineStr">
        <is>
          <t>https://dym.asia/media/alumni/</t>
        </is>
      </c>
      <c r="D431" s="47" t="inlineStr">
        <is>
          <t>える ぼ し 認定 デメリット</t>
        </is>
      </c>
      <c r="E431" s="35" t="n">
        <v>0</v>
      </c>
      <c r="F431" s="36" t="n">
        <v>53</v>
      </c>
      <c r="G431" s="47" t="inlineStr">
        <is>
          <t>なし</t>
        </is>
      </c>
      <c r="H431" s="47" t="inlineStr">
        <is>
          <t>可</t>
        </is>
      </c>
      <c r="I431" s="47" t="inlineStr">
        <is>
          <t>Q: 「アルムナイ（Alumni）」とは、ビジネスにおいてどのような意味で使われていますか？
A: アルムナイ採用とは、過去に自社で働いていた元社員を、再び迎え入れる採用の仕組みです。人材不足が続く中で、転職や独立が当たり前になったこともあり、「一度辞めたら終わり」ではなく、再びつながる考え方が広がっています。企業側・元社員側の双方にメリットがある点から、注目されるようになりました。
Q: 企業がアルムナイ採用に力を入れる最大のメリットは何ですか？
A: 最大の強みは、即戦力となる人材をスムーズに確保できることです。元社員であれば、会社の雰囲気や仕事の進め方を理解しているため、立ち上がりが早く、教育コストも抑えられます。採用後の「思っていた仕事と違った」といったズレが起きにくいのも大きな利点です。
Q: アルムナイ採用を成功させるために、企業側が注意すべきデメリットは何ですか？
A: 大切なのは、退職後も元社員と良好な関係を保つことです。定期的な情報発信や交流の場を設けるなど、アルムナイネットワークを継続的に運用することが効果的です。また、社内の納得感を保つために、再雇用の条件や評価基準を事前に明確にしておくことも欠かせません。</t>
        </is>
      </c>
      <c r="J431" s="47" t="n"/>
      <c r="K431" s="47" t="inlineStr">
        <is>
          <t>未確認</t>
        </is>
      </c>
      <c r="L431" s="47" t="inlineStr">
        <is>
          <t>未確認</t>
        </is>
      </c>
      <c r="M431" s="47" t="inlineStr">
        <is>
          <t>未依頼</t>
        </is>
      </c>
      <c r="N431" s="47" t="inlineStr">
        <is>
          <t>クリニック以外</t>
        </is>
      </c>
      <c r="O431" s="47" t="n"/>
      <c r="P431" s="47" t="n"/>
      <c r="Q431" s="47" t="n"/>
      <c r="R431" s="47" t="n"/>
    </row>
    <row r="432" ht="15.75" customHeight="1" s="185">
      <c r="A432" s="52">
        <f>row()-3</f>
        <v/>
      </c>
      <c r="B432" s="46" t="inlineStr">
        <is>
          <t>ATSとは？採用管理を効率化するシステムの機能やメリット・デメリットを解説</t>
        </is>
      </c>
      <c r="C432" s="6" t="inlineStr">
        <is>
          <t>https://dym.asia/media/ats/</t>
        </is>
      </c>
      <c r="D432" s="47" t="inlineStr">
        <is>
          <t>ats とは</t>
        </is>
      </c>
      <c r="E432" s="35" t="n">
        <v>0</v>
      </c>
      <c r="F432" s="36" t="n">
        <v>24.92857142857143</v>
      </c>
      <c r="G432" s="47" t="inlineStr">
        <is>
          <t>なし</t>
        </is>
      </c>
      <c r="H432" s="47" t="inlineStr">
        <is>
          <t>可</t>
        </is>
      </c>
      <c r="I432" s="10" t="inlineStr">
        <is>
          <t>Q: ATS（採用管理システム）とは何ですか？どのような目的で導入されますか？
A: ATSは「Applicant Tracking System」の略で、採用活動をまとめて管理するためのシステムです。複数の求人サイトから届く応募情報や選考の進み具合を一か所で把握できるため、管理の手間が大きく減ります。人事担当者が細かな事務作業に追われることなく、応募者とのやり取りや選考そのものに時間を使えるようにするのが導入の目的です。
Q: ATSを導入することで、企業が得られる最大のメリットは何ですか？
A: 採用業務がスムーズになり、全体の質も上げやすくなる点です。応募者情報が整理されることで、連絡漏れや対応ミスを防げます。日程調整の自動化などで作業時間も短縮でき、結果として「どの媒体が効果的か」といった分析もしやすくなり、無駄の少ない採用につながります。ぜひお問い合わせください。
お問い合わせ先はこちら↓
https://dym.asia/contact/
Q: ATSを導入する際のデメリットや、失敗しないための注意点は何ですか？
A: 月額費用などのコストがかかることと、自社の採用フローに合わない可能性がある点です。導入前に、現在の採用の流れを整理しておかないと「使いこなせない」状態になりがちです。無料トライアルを活用し、実際の業務で違和感がないかを確認した上で導入を判断することが大切です。</t>
        </is>
      </c>
      <c r="J432" s="47" t="n"/>
      <c r="K432" s="47" t="inlineStr">
        <is>
          <t>未確認</t>
        </is>
      </c>
      <c r="L432" s="47" t="inlineStr">
        <is>
          <t>未確認</t>
        </is>
      </c>
      <c r="M432" s="47" t="inlineStr">
        <is>
          <t>未依頼</t>
        </is>
      </c>
      <c r="N432" s="47" t="inlineStr">
        <is>
          <t>クリニック以外</t>
        </is>
      </c>
      <c r="O432" s="47" t="n"/>
      <c r="P432" s="47" t="n"/>
      <c r="Q432" s="47" t="n"/>
      <c r="R432" s="47" t="n"/>
    </row>
    <row r="433" ht="15.75" customHeight="1" s="185">
      <c r="A433" s="52">
        <f>row()-3</f>
        <v/>
      </c>
      <c r="B433" s="46" t="inlineStr">
        <is>
          <t>監査役や社外取締役の紹介サービスとは？種類やおすすめの選び方について解説</t>
        </is>
      </c>
      <c r="C433" s="6" t="inlineStr">
        <is>
          <t>https://dym.asia/media/auditor_introduction/</t>
        </is>
      </c>
      <c r="D433" s="47" t="inlineStr">
        <is>
          <t>dym 役員</t>
        </is>
      </c>
      <c r="E433" s="35" t="n">
        <v>0</v>
      </c>
      <c r="F433" s="36" t="n">
        <v>64.5</v>
      </c>
      <c r="G433" s="47" t="inlineStr">
        <is>
          <t>なし</t>
        </is>
      </c>
      <c r="H433" s="47" t="inlineStr">
        <is>
          <t>可</t>
        </is>
      </c>
      <c r="I433" s="47" t="inlineStr">
        <is>
          <t>Q: 企業における「監査役」とは、どのような役割を担う役職ですか？
A: 監査役は、経営陣から一定の距離を保ちつつ、会社の経営が適切に行われているかをチェックする役割を担います。具体的には、財務の内容や業務の進め方を確認し、法律や社内ルールに沿って運営されているかを見守ります。経営の暴走や不正を防ぎ、会社の透明性を保つことで、企業としての信頼や安定した成長を支える存在です。
Q: 監査役の「選任義務」は、どのような企業に適用されますか？
A: 会社法では、資本金が5億円以上、または負債総額が200億円以上の「大会社」、もしくは株式に譲渡制限のない公開会社には、監査役の設置が義務付けられています。一方で、非公開会社であっても、経営の見える化やリスク管理を強化する目的で、あえて監査役を置く企業も少なくありません。
Q: 監査役にふさわしい人材や、紹介サービスを選ぶ際のポイントは何ですか？
A: 監査役には、会計や法律に関する知識はもちろん、特定の立場に偏らず物事を判断できる姿勢が求められます。公認会計士や弁護士といった専門家が選ばれることが多いのも、そのためです。紹介サービスを利用する場合は、人材の数だけでなく、実務経験の内容や、自社の課題に合った人物を提案してくれるかどうかを確認すると安心です。</t>
        </is>
      </c>
      <c r="J433" s="47" t="n"/>
      <c r="K433" s="47" t="inlineStr">
        <is>
          <t>未確認</t>
        </is>
      </c>
      <c r="L433" s="47" t="inlineStr">
        <is>
          <t>未確認</t>
        </is>
      </c>
      <c r="M433" s="47" t="inlineStr">
        <is>
          <t>未依頼</t>
        </is>
      </c>
      <c r="N433" s="47" t="inlineStr">
        <is>
          <t>クリニック以外</t>
        </is>
      </c>
      <c r="O433" s="47" t="n"/>
      <c r="P433" s="47" t="n"/>
      <c r="Q433" s="47" t="n"/>
      <c r="R433" s="47" t="n"/>
    </row>
    <row r="434" ht="15.75" customHeight="1" s="185">
      <c r="A434" s="52">
        <f>row()-3</f>
        <v/>
      </c>
      <c r="B434" s="46" t="inlineStr">
        <is>
          <t>BtoBマーケティングとは？基礎知識、戦略・計画の立案、施策</t>
        </is>
      </c>
      <c r="C434" s="6" t="inlineStr">
        <is>
          <t>https://dym.asia/media/b-to-b-marketing/</t>
        </is>
      </c>
      <c r="D434" s="47" t="inlineStr">
        <is>
          <t>b to b マーケティング</t>
        </is>
      </c>
      <c r="E434" s="35" t="n">
        <v>0</v>
      </c>
      <c r="F434" s="36" t="n">
        <v>83.75</v>
      </c>
      <c r="G434" s="47" t="inlineStr">
        <is>
          <t>なし</t>
        </is>
      </c>
      <c r="H434" s="47" t="inlineStr">
        <is>
          <t>可</t>
        </is>
      </c>
      <c r="I434" s="47" t="inlineStr">
        <is>
          <t>Q: BtoBマーケティングとは何ですか？BtoCマーケティングと何が違いますか？
A: BtoBマーケティングは、企業同士の取引を前提にしたマーケティング活動のことです。個人の感情や勢いで購入が決まることの多いBtoCとは違い、BtoBでは複数の担当者が関わり、費用対効果や数値を見ながら慎重に判断されます。そのため、短期的な売り込みよりも、信頼関係を築きながら見込み顧客を育てていく姿勢が重要になります。値に基づいた判断が重視されるため、長期的な信頼関係の構築とリード（見込み顧客）の育成が不可欠です。
Q: BtoBマーケティングの基本的な手順（プロセス）は何ですか？
A: 大きく分けると4つの流れがあります。まずは情報発信や広告を通じて見込み顧客と接点をつくり、次に継続的な情報提供で関心を深めます。その中から商談につながりそうな企業を見極め、最終的に営業活動を通じて受注へとつなげていく、という流れです。
Q: BtoBマーケティングで特に効果的な施策にはどのようなものがありますか？
A: 相手企業の課題解決に役立つ記事や資料を発信するコンテンツSEOや、今まさに情報を探している層に届けられるリスティング広告は定番の施策です。また、特定の企業に絞って個別にアプローチするABMも効果的です。こうした施策を営業と連携して進めることで、成果につながりやすくなります。</t>
        </is>
      </c>
      <c r="J434" s="47" t="n"/>
      <c r="K434" s="47" t="inlineStr">
        <is>
          <t>未確認</t>
        </is>
      </c>
      <c r="L434" s="47" t="inlineStr">
        <is>
          <t>未確認</t>
        </is>
      </c>
      <c r="M434" s="47" t="inlineStr">
        <is>
          <t>未依頼</t>
        </is>
      </c>
      <c r="N434" s="47" t="inlineStr">
        <is>
          <t>クリニック以外</t>
        </is>
      </c>
      <c r="O434" s="47" t="n"/>
      <c r="P434" s="47" t="n"/>
      <c r="Q434" s="47" t="n"/>
      <c r="R434" s="47" t="n"/>
    </row>
    <row r="435" ht="15.75" customHeight="1" s="185">
      <c r="A435" s="52">
        <f>row()-3</f>
        <v/>
      </c>
      <c r="B435" s="46" t="inlineStr">
        <is>
          <t>被リンクとは？チェックする方法とSEOに有効な獲得方法</t>
        </is>
      </c>
      <c r="C435" s="10" t="inlineStr">
        <is>
          <t>https://dym.asia/media/backlink/</t>
        </is>
      </c>
      <c r="D435" s="47" t="inlineStr">
        <is>
          <t>(被リンク数)</t>
        </is>
      </c>
      <c r="E435" s="35" t="n">
        <v>0</v>
      </c>
      <c r="F435" s="36" t="n">
        <v>64.09090909090909</v>
      </c>
      <c r="G435" s="47" t="inlineStr">
        <is>
          <t>なし</t>
        </is>
      </c>
      <c r="H435" s="47" t="inlineStr">
        <is>
          <t>可</t>
        </is>
      </c>
      <c r="I435" s="10" t="inlineStr">
        <is>
          <t>Q: 被リンク（バックリンク）とは何ですか？SEOにおいてなぜ重要視されるのですか？
A: 被リンクとは、他のWebサイトから自社サイトに向けて貼られたリンクのことです。検索エンジンはこのリンクを「このサイトは参考になる」と他サイトから評価されているサインとして見ています。そのため、信頼できるサイトからの被リンクが増えるほど、サイト全体の評価が高まり、検索結果でも上位に表示されやすくなります。
Q: 高品質な被リンクとは、どのような特徴を持つリンクですか？
A: 大切なのは数よりも中身です。自社サイトと内容的に近いテーマを扱っているサイトからリンクされているか、またそのサイト自体が信頼されているかがポイントになります。加えて、記事の流れの中で自然に紹介されているリンクほど、検索エンジンからも評価されやすくなります。
Q: 被リンクの調査や獲得方法にはどのようなものがありますか？
A: 被リンクの状況は、Google Search ConsoleやAhrefsなどのツールで確認できます。獲得するうえで一番効果的なのは、役立つ情報や独自性のあるコンテンツを継続して発信し、自然に紹介・引用してもらうことです。一方で、質の低いリンクや不自然なリンクがあると逆効果になることもあるため、見つけた場合は早めに対応することが大切です。ぜひお問い合わせください。お問い合わせ先はこちら↓
https://dym.asia/contact/</t>
        </is>
      </c>
      <c r="J435" s="47" t="n"/>
      <c r="K435" s="47" t="inlineStr">
        <is>
          <t>未確認</t>
        </is>
      </c>
      <c r="L435" s="47" t="inlineStr">
        <is>
          <t>未確認</t>
        </is>
      </c>
      <c r="M435" s="47" t="inlineStr">
        <is>
          <t>未依頼</t>
        </is>
      </c>
      <c r="N435" s="47" t="inlineStr">
        <is>
          <t>クリニック以外</t>
        </is>
      </c>
      <c r="O435" s="47" t="n"/>
      <c r="P435" s="47" t="n"/>
      <c r="Q435" s="47" t="n"/>
      <c r="R435" s="47" t="n"/>
    </row>
    <row r="436" ht="15.75" customHeight="1" s="185">
      <c r="A436" s="52">
        <f>row()-3</f>
        <v/>
      </c>
      <c r="B436" s="46" t="inlineStr">
        <is>
          <t>目の下のたるみ改善ガイド：原因から対策、専門的治療まで徹底解説</t>
        </is>
      </c>
      <c r="C436" s="6" t="inlineStr">
        <is>
          <t>https://dym.asia/media/bags-under-the-eyes/</t>
        </is>
      </c>
      <c r="D436" s="47" t="inlineStr">
        <is>
          <t>目 たるみ 原因</t>
        </is>
      </c>
      <c r="E436" s="35" t="n">
        <v>0</v>
      </c>
      <c r="F436" s="36" t="n">
        <v>95</v>
      </c>
      <c r="G436" s="47" t="inlineStr">
        <is>
          <t>なし</t>
        </is>
      </c>
      <c r="H436" s="47" t="inlineStr">
        <is>
          <t>可</t>
        </is>
      </c>
      <c r="I436" s="47" t="inlineStr">
        <is>
          <t>Q: 目の下のたるみの主な原因は何ですか？
A: 一番大きな原因は、年齢とともに肌のハリや弾力が少しずつ失われていくことです。コラーゲンやエラスチンが減ることで、目元の皮膚が支えきれなくなります。そこに睡眠不足やストレスによる血行不良、紫外線や乾燥といった日常的なダメージが重なることで、たるみが目立ちやすくなります。
Q: 目の下のたるみに対して、自宅でできる効果的なケア方法は何ですか？
A: 目元をやさしくマッサージして血流を良くしたり、簡単な表情筋トレーニングで目の周りの筋肉を動かすことが効果的です。あわせて、しっかり睡眠をとることも大切です。スキンケアでは、目元の保湿を意識し、日中は紫外線対策を忘れないようにしましょう。
Q: 目の下のたるみを根本的に解消するために、専門的な治療法にはどのようなものがありますか？
A: セルフケアで改善が難しい場合は、美容医療という選択肢もあります。たとえば、たるみの原因となる脂肪を整える脱脂術や、ヒアルロン酸注入によるハリの補正、高周波やハイフなどの機器を使った治療があります。症状や希望に合わせて、医師と相談しながら方法を選ぶことが大切です。</t>
        </is>
      </c>
      <c r="J436" s="47" t="inlineStr">
        <is>
          <t>クリニック</t>
        </is>
      </c>
      <c r="K436" s="47" t="inlineStr">
        <is>
          <t>対応不要</t>
        </is>
      </c>
      <c r="L436" s="47" t="inlineStr">
        <is>
          <t>対応不要</t>
        </is>
      </c>
      <c r="M436" s="47" t="inlineStr">
        <is>
          <t>未依頼</t>
        </is>
      </c>
      <c r="N436" s="47" t="inlineStr">
        <is>
          <t>クリニック以外</t>
        </is>
      </c>
      <c r="O436" s="47" t="n"/>
      <c r="P436" s="47" t="n"/>
      <c r="Q436" s="47" t="n"/>
      <c r="R436" s="47" t="n"/>
    </row>
    <row r="437" ht="15.75" customHeight="1" s="185">
      <c r="A437" s="52">
        <f>row()-3</f>
        <v/>
      </c>
      <c r="B437" s="46" t="inlineStr">
        <is>
          <t>バナー広告って何？メリット・デメリットや作成のポイントなどを一挙解説！</t>
        </is>
      </c>
      <c r="C437" s="6" t="inlineStr">
        <is>
          <t>https://dym.asia/media/banner-ad/</t>
        </is>
      </c>
      <c r="D437" s="47" t="inlineStr">
        <is>
          <t>banner とは</t>
        </is>
      </c>
      <c r="E437" s="35" t="n">
        <v>0</v>
      </c>
      <c r="F437" s="36" t="n">
        <v>1</v>
      </c>
      <c r="G437" s="47" t="inlineStr">
        <is>
          <t>なし</t>
        </is>
      </c>
      <c r="H437" s="47" t="inlineStr">
        <is>
          <t>可</t>
        </is>
      </c>
      <c r="I437" s="47" t="inlineStr">
        <is>
          <t>Q: バナー広告とは何ですか？リスティング広告やディスプレイ広告とどう違いますか？
A: バナー広告とは、Webサイトやアプリの広告枠に表示される、画像や動画を使った広告のことです。検索結果にテキストで表示されるリスティング広告とは違い、見た目で訴えかけるのが特徴です。商品やサービスをまだ探していない人にも届きやすく、認知度アップや興味づけを目的に使われることが多い広告です。なお、バナー広告はディスプレイ広告の一つに含まれます。
Q: バナー広告を導入する最大のメリットは何ですか？
A: 一目で内容が伝わるため、短い時間でも印象に残りやすい点が大きな魅力です。デザイン次第でブランドの世界観を表現できるので、認知拡大やイメージづくりにも向いています。明確なニーズがない層にも自然にアプローチできるのもメリットです。
Q: バナー広告を成功させるための作成・運用上のポイントは何ですか？
A: 誰に何を伝えたいのかをはっきりさせたうえで、情報を詰め込みすぎないデザインにすることが重要です。あわせて、複数のパターンを試しながら反応を見て改善していくことで、クリックされやすい広告に育てていくことができます。</t>
        </is>
      </c>
      <c r="J437" s="47" t="n"/>
      <c r="K437" s="47" t="inlineStr">
        <is>
          <t>未確認</t>
        </is>
      </c>
      <c r="L437" s="47" t="inlineStr">
        <is>
          <t>未確認</t>
        </is>
      </c>
      <c r="M437" s="47" t="inlineStr">
        <is>
          <t>未依頼</t>
        </is>
      </c>
      <c r="N437" s="47" t="inlineStr">
        <is>
          <t>クリニック以外</t>
        </is>
      </c>
      <c r="O437" s="47" t="n"/>
      <c r="P437" s="47" t="n"/>
      <c r="Q437" s="47" t="n"/>
      <c r="R437" s="47" t="n"/>
    </row>
    <row r="438" ht="15.75" customHeight="1" s="185">
      <c r="A438" s="52">
        <f>row()-3</f>
        <v/>
      </c>
      <c r="B438" s="46" t="inlineStr">
        <is>
          <t>【バナー制作の基本】作り方やポイント、失敗しないコツや外注のメリットまで解説</t>
        </is>
      </c>
      <c r="C438" s="6" t="inlineStr">
        <is>
          <t>https://dym.asia/media/banner_production/</t>
        </is>
      </c>
      <c r="D438" s="47" t="inlineStr">
        <is>
          <t>facebookバナー 作り方</t>
        </is>
      </c>
      <c r="E438" s="35" t="n">
        <v>0</v>
      </c>
      <c r="F438" s="36" t="n">
        <v>97</v>
      </c>
      <c r="G438" s="47" t="inlineStr">
        <is>
          <t>なし</t>
        </is>
      </c>
      <c r="H438" s="47" t="inlineStr">
        <is>
          <t>可</t>
        </is>
      </c>
      <c r="I438" s="47" t="inlineStr">
        <is>
          <t>Q: バナー広告とは何ですか？どのような目的で制作されますか？
A: バナー広告とは、Webサイトやアプリの広告スペースに表示される、画像や動画などの視覚的な広告のことです。主な目的は、ブランドや商品・サービスの認知を広めること、情報を伝えること、そして最終的にはユーザーに申し込みや購入といった行動を促すことです。
Q: 成果を上げられるバナーを制作するための、最も重要な鍵は何ですか？
A: 一番大事なのは、ターゲットをはっきりさせることと、バナーと遷移先ページの内容をそろえることです。ターゲットが思わず目を止めるようなデザインやキャッチコピーを作るだけでなく、バナーで伝えた内容とクリック先のページの情報が一致していることが、成果につながる鍵になります。
Q: バナー制作を外注する場合のメリットと、外注先を選ぶ際のポイントは何ですか？
A: 外注のメリットは、プロのデザイン力で成果につながるバナーを効率よく作れることと、自社スタッフの負担を減らせることです。外注先を選ぶときは、ただ安いだけでなく、自社の業界での制作実績があるか、複数パターンを作って効果を検証（A/Bテスト）できるか、そして運用や改善までサポートしてくれるかを重視すると良いでしょう。</t>
        </is>
      </c>
      <c r="J438" s="47" t="n"/>
      <c r="K438" s="47" t="inlineStr">
        <is>
          <t>未確認</t>
        </is>
      </c>
      <c r="L438" s="47" t="inlineStr">
        <is>
          <t>未確認</t>
        </is>
      </c>
      <c r="M438" s="47" t="inlineStr">
        <is>
          <t>未依頼</t>
        </is>
      </c>
      <c r="N438" s="47" t="inlineStr">
        <is>
          <t>クリニック以外</t>
        </is>
      </c>
      <c r="O438" s="47" t="n"/>
      <c r="P438" s="47" t="n"/>
      <c r="Q438" s="47" t="n"/>
      <c r="R438" s="47" t="n"/>
    </row>
    <row r="439" ht="15.75" customHeight="1" s="185">
      <c r="A439" s="52">
        <f>row()-3</f>
        <v/>
      </c>
      <c r="B439" s="46" t="inlineStr">
        <is>
          <t>基本給とは？手取りや月給との違い、平均額まで詳しく解説</t>
        </is>
      </c>
      <c r="C439" s="6" t="inlineStr">
        <is>
          <t>https://dym.asia/media/basic-salary/</t>
        </is>
      </c>
      <c r="D439" s="47" t="inlineStr">
        <is>
          <t>基本給 手取り 違い</t>
        </is>
      </c>
      <c r="E439" s="35" t="n">
        <v>0</v>
      </c>
      <c r="F439" s="36" t="n">
        <v>3</v>
      </c>
      <c r="G439" s="47" t="inlineStr">
        <is>
          <t>なし</t>
        </is>
      </c>
      <c r="H439" s="47" t="inlineStr">
        <is>
          <t>可</t>
        </is>
      </c>
      <c r="I439" s="47" t="inlineStr">
        <is>
          <t>Q: 「基本給」とは何ですか？「月給」や「手取り」と何が違いますか？
A: 基本給とは、給与の土台となる固定の金額のことです。残業代や各種手当、ボーナス、退職金などを計算するときの基準になります。月給は基本給に手当を足した「総支給額」を指し、手取りはそこから社会保険料や税金を引いた、実際に受け取る金額です。
Q: 基本給を決める方法には、どのような種類がありますか？
A: 仕事給型：仕事の内容や難しさに応じて決める方法。
属人給型：年齢や学歴、勤続年数など個人の属性で決める方法。
総合給型：仕事の価値と個人の能力を組み合わせて決める方法。
企業によっては、これらを組み合わせて制度を作っています。
Q: 日本の正社員の基本給の平均額は、年齢や学歴によってどの程度異なりますか？
A: 厚生労働省のデータでは、正社員の平均月収は年齢とともに上がる傾向があります。また、学歴別では大卒の方が高卒よりも平均額が高くなる傾向があります。基本給は残業代やボーナスの計算のベースになるので、年齢や経験によって生涯の収入に大きく影響します。</t>
        </is>
      </c>
      <c r="J439" s="47" t="n"/>
      <c r="K439" s="47" t="inlineStr">
        <is>
          <t>未確認</t>
        </is>
      </c>
      <c r="L439" s="47" t="inlineStr">
        <is>
          <t>未確認</t>
        </is>
      </c>
      <c r="M439" s="47" t="inlineStr">
        <is>
          <t>未依頼</t>
        </is>
      </c>
      <c r="N439" s="47" t="inlineStr">
        <is>
          <t>クリニック以外</t>
        </is>
      </c>
      <c r="O439" s="47" t="n"/>
      <c r="P439" s="47" t="n"/>
      <c r="Q439" s="47" t="n"/>
      <c r="R439" s="47" t="n"/>
    </row>
    <row r="440" ht="15.75" customHeight="1" s="185">
      <c r="A440" s="52">
        <f>row()-3</f>
        <v/>
      </c>
      <c r="B440" s="46" t="inlineStr">
        <is>
          <t>美肌になるには？ 肌を整える生活習慣と肌質別のスキンケア方法を解説</t>
        </is>
      </c>
      <c r="C440" s="6" t="inlineStr">
        <is>
          <t>https://dym.asia/media/beautiful-skin/</t>
        </is>
      </c>
      <c r="D440" s="47" t="inlineStr">
        <is>
          <t>男 美肌 食べ物</t>
        </is>
      </c>
      <c r="E440" s="35" t="n">
        <v>0</v>
      </c>
      <c r="F440" s="36" t="n">
        <v>97</v>
      </c>
      <c r="G440" s="47" t="inlineStr">
        <is>
          <t>なし</t>
        </is>
      </c>
      <c r="H440" s="47" t="inlineStr">
        <is>
          <t>可</t>
        </is>
      </c>
      <c r="I440" s="47" t="inlineStr">
        <is>
          <t>Q: 「美肌」とは、具体的にどのような状態の肌を指しますか？
A: 美肌とは、美容業界でよく言われる「うなはだけつ」という6つの条件がそろった肌のことです。具体的には、うるおい（水分と油分のバランス）、なめらかさ（凹凸がない）、ハリと弾力（コラーゲンやエラスチンの状態）、血色（血行）、そしてツヤがある状態を指します。
Q: お金をかけずに美肌になるための、日々の生活習慣で最も重要なポイントは何ですか？
A: 特に大切なのは、紫外線対策、十分な睡眠、バランスの良い食事の3つです。紫外線はコラーゲンを壊して肌の老化を早めるので、日焼け止めや日傘でしっかり防ぐことが必要です。また、睡眠中に分泌される成長ホルモンが肌を修復してくれるので、質の良い睡眠をとることも欠かせません。
Q: 肌質に応じた効果的なスキンケアを行うための基本的なポイントは何ですか？
A: 肌質に関係なく、洗顔後のしっかりした保湿と、肌をこすりすぎないことが基本です。例えば、乾燥肌の方はヒアルロン酸など保湿成分の多いクリームタイプを使い、脂性肌の方は過剰な皮脂を抑えるために、適切な洗顔と化粧水での水分補給を意識すると良いでしょう。</t>
        </is>
      </c>
      <c r="J440" s="47" t="inlineStr">
        <is>
          <t>クリニック</t>
        </is>
      </c>
      <c r="K440" s="47" t="inlineStr">
        <is>
          <t>対応不要</t>
        </is>
      </c>
      <c r="L440" s="47" t="inlineStr">
        <is>
          <t>対応不要</t>
        </is>
      </c>
      <c r="M440" s="47" t="inlineStr">
        <is>
          <t>未依頼</t>
        </is>
      </c>
      <c r="N440" s="47" t="inlineStr">
        <is>
          <t>クリニック以外</t>
        </is>
      </c>
      <c r="O440" s="47" t="n"/>
      <c r="P440" s="47" t="n"/>
      <c r="Q440" s="47" t="n"/>
      <c r="R440" s="47" t="n"/>
    </row>
    <row r="441" ht="15.75" customHeight="1" s="185">
      <c r="A441" s="52">
        <f>row()-3</f>
        <v/>
      </c>
      <c r="B441" s="46" t="inlineStr">
        <is>
          <t>美容クリニックM&amp;Aのメリットと成功のポイント｜譲渡の手続きも解説</t>
        </is>
      </c>
      <c r="C441" s="10" t="inlineStr">
        <is>
          <t>https://dym.asia/media/beauty-clinic-mna/</t>
        </is>
      </c>
      <c r="D441" s="47" t="inlineStr">
        <is>
          <t>m&amp;a クリニック</t>
        </is>
      </c>
      <c r="E441" s="35" t="n">
        <v>0</v>
      </c>
      <c r="F441" s="36" t="n">
        <v>62.05263157894737</v>
      </c>
      <c r="G441" s="47" t="inlineStr">
        <is>
          <t>なし</t>
        </is>
      </c>
      <c r="H441" s="47" t="inlineStr">
        <is>
          <t>可</t>
        </is>
      </c>
      <c r="I441" s="10" t="inlineStr">
        <is>
          <t>Q: 美容クリニックのM&amp;Aが増加している背景は何ですか？
A: 美容医療の市場が広がっていることと、後継者不足の問題が背景にあります。特に若い世代を中心に美容医療に対する心理的ハードルが下がったことで市場は拡大しています。売り手にとっては、廃業の手間をかけずに事業を続けながら、高額で譲渡できるチャンスがあるため、M&amp;Aは有効な選択肢となっています。
Q: 美容クリニックのM&amp;Aにおいて、売却側（譲渡する開業医）が特に注意すべきデメリットは何ですか？
A: 長年築いてきたブランドや診療方針が失われる可能性と、手続きの複雑さです。特に院長の個性やカリスマ性に依存しているクリニックでは、譲渡後に患者が離れたり、新しい経営者の下で自由に判断できなくなるリスクがあります。
Q: 美容クリニック特有のM&amp;Aを成功させるための重要ポイントは何ですか？
A: 美容クリニックならではのポイントをしっかり管理することが大切です。たとえば、コース契約や前受け収益の会計処理、医療機器の評価と譲渡などです。また、M&amp;A後も診療やオペレーションをスムーズに引き継ぐため、主要スタッフの雇用を確保して、継承計画を立てることが不可欠です。ぜひお問い合わせください。
お問い合わせ先はこちら↓
https://dym.asia/contact/</t>
        </is>
      </c>
      <c r="J441" s="47" t="n"/>
      <c r="K441" s="47" t="inlineStr">
        <is>
          <t>未確認</t>
        </is>
      </c>
      <c r="L441" s="47" t="inlineStr">
        <is>
          <t>未確認</t>
        </is>
      </c>
      <c r="M441" s="47" t="inlineStr">
        <is>
          <t>未依頼</t>
        </is>
      </c>
      <c r="N441" s="47" t="inlineStr">
        <is>
          <t>クリニック以外</t>
        </is>
      </c>
      <c r="O441" s="47" t="n"/>
      <c r="P441" s="47" t="n"/>
      <c r="Q441" s="47" t="n"/>
      <c r="R441" s="47" t="n"/>
    </row>
    <row r="442" ht="15.75" customHeight="1" s="185">
      <c r="A442" s="52">
        <f>row()-3</f>
        <v/>
      </c>
      <c r="B442" s="46" t="e">
        <v>#N/A</v>
      </c>
      <c r="C442" s="10" t="inlineStr">
        <is>
          <t>https://dym.asia/media/beauty-clinic-transfer/</t>
        </is>
      </c>
      <c r="D442" s="47" t="inlineStr">
        <is>
          <t>m&amp;a クリニック</t>
        </is>
      </c>
      <c r="E442" s="35" t="n">
        <v>0</v>
      </c>
      <c r="F442" s="36" t="n">
        <v>61.14285714285715</v>
      </c>
      <c r="G442" s="47" t="n"/>
      <c r="H442" s="47" t="n"/>
      <c r="I442" s="47" t="inlineStr">
        <is>
          <t>対応不要</t>
        </is>
      </c>
      <c r="J442" s="47" t="inlineStr">
        <is>
          <t>404エラーで開けませんでした。</t>
        </is>
      </c>
      <c r="K442" s="47" t="inlineStr">
        <is>
          <t>対応不要</t>
        </is>
      </c>
      <c r="L442" s="47" t="inlineStr">
        <is>
          <t>対応不要</t>
        </is>
      </c>
      <c r="M442" s="47" t="inlineStr">
        <is>
          <t>対応不要</t>
        </is>
      </c>
      <c r="N442" s="47" t="n"/>
      <c r="O442" s="47" t="n"/>
      <c r="P442" s="47" t="n"/>
      <c r="Q442" s="47" t="n"/>
      <c r="R442" s="47" t="n"/>
    </row>
    <row r="443">
      <c r="A443" s="55" t="n"/>
      <c r="B443" s="55" t="n"/>
      <c r="C443" s="47" t="n"/>
      <c r="D443" s="47" t="n"/>
      <c r="E443" s="47" t="n"/>
      <c r="F443" s="47" t="n"/>
      <c r="G443" s="47" t="n"/>
      <c r="H443" s="47" t="n"/>
      <c r="I443" s="47" t="n"/>
      <c r="J443" s="47" t="n"/>
      <c r="K443" s="47" t="n"/>
      <c r="L443" s="47" t="n"/>
      <c r="M443" s="47" t="n"/>
      <c r="N443" s="47" t="n"/>
      <c r="O443" s="47" t="n"/>
      <c r="P443" s="47" t="n"/>
      <c r="Q443" s="47" t="n"/>
      <c r="R443" s="47" t="n"/>
    </row>
    <row r="444">
      <c r="A444" s="55" t="n"/>
      <c r="B444" s="55" t="n"/>
      <c r="C444" s="47" t="n"/>
      <c r="D444" s="47" t="n"/>
      <c r="E444" s="47" t="n"/>
      <c r="F444" s="47" t="n"/>
      <c r="G444" s="47" t="n"/>
      <c r="H444" s="47" t="n"/>
      <c r="I444" s="47" t="n"/>
      <c r="J444" s="47" t="n"/>
      <c r="K444" s="47" t="n"/>
      <c r="L444" s="47" t="n"/>
      <c r="M444" s="47" t="n"/>
      <c r="N444" s="47" t="n"/>
      <c r="O444" s="47" t="n"/>
      <c r="P444" s="47" t="n"/>
      <c r="Q444" s="47" t="n"/>
      <c r="R444" s="47" t="n"/>
    </row>
    <row r="445">
      <c r="A445" s="55" t="n"/>
      <c r="B445" s="55" t="n"/>
      <c r="C445" s="47" t="n"/>
      <c r="D445" s="47" t="n"/>
      <c r="E445" s="47" t="n"/>
      <c r="F445" s="47" t="n"/>
      <c r="G445" s="47" t="n"/>
      <c r="H445" s="47" t="n"/>
      <c r="I445" s="47" t="n"/>
      <c r="J445" s="47" t="n"/>
      <c r="K445" s="47" t="n"/>
      <c r="L445" s="47" t="n"/>
      <c r="M445" s="47" t="n"/>
      <c r="N445" s="47" t="n"/>
      <c r="O445" s="47" t="n"/>
      <c r="P445" s="47" t="n"/>
      <c r="Q445" s="47" t="n"/>
      <c r="R445" s="47" t="n"/>
    </row>
    <row r="446">
      <c r="A446" s="55" t="n"/>
      <c r="B446" s="55" t="n"/>
      <c r="C446" s="47" t="n"/>
      <c r="D446" s="47" t="n"/>
      <c r="E446" s="47" t="n"/>
      <c r="F446" s="47" t="n"/>
      <c r="G446" s="47" t="n"/>
      <c r="H446" s="47" t="n"/>
      <c r="I446" s="47" t="n"/>
      <c r="J446" s="47" t="n"/>
      <c r="K446" s="47" t="n"/>
      <c r="L446" s="47" t="n"/>
      <c r="M446" s="47" t="n"/>
      <c r="N446" s="47" t="n"/>
      <c r="O446" s="47" t="n"/>
      <c r="P446" s="47" t="n"/>
      <c r="Q446" s="47" t="n"/>
      <c r="R446" s="47" t="n"/>
    </row>
    <row r="447">
      <c r="A447" s="55" t="n"/>
      <c r="B447" s="55" t="n"/>
      <c r="C447" s="47" t="n"/>
      <c r="D447" s="47" t="n"/>
      <c r="E447" s="47" t="n"/>
      <c r="F447" s="47" t="n"/>
      <c r="G447" s="47" t="n"/>
      <c r="H447" s="47" t="n"/>
      <c r="I447" s="47" t="n"/>
      <c r="J447" s="47" t="n"/>
      <c r="K447" s="47" t="n"/>
      <c r="L447" s="47" t="n"/>
      <c r="M447" s="47" t="n"/>
      <c r="N447" s="47" t="n"/>
      <c r="O447" s="47" t="n"/>
      <c r="P447" s="47" t="n"/>
      <c r="Q447" s="47" t="n"/>
      <c r="R447" s="47" t="n"/>
    </row>
    <row r="448">
      <c r="A448" s="55" t="n"/>
      <c r="B448" s="55" t="n"/>
      <c r="C448" s="47" t="n"/>
      <c r="D448" s="47" t="n"/>
      <c r="E448" s="47" t="n"/>
      <c r="F448" s="47" t="n"/>
      <c r="G448" s="47" t="n"/>
      <c r="H448" s="47" t="n"/>
      <c r="I448" s="47" t="n"/>
      <c r="J448" s="47" t="n"/>
      <c r="K448" s="47" t="n"/>
      <c r="L448" s="47" t="n"/>
      <c r="M448" s="47" t="n"/>
      <c r="N448" s="47" t="n"/>
      <c r="O448" s="47" t="n"/>
      <c r="P448" s="47" t="n"/>
      <c r="Q448" s="47" t="n"/>
      <c r="R448" s="47" t="n"/>
    </row>
  </sheetData>
  <autoFilter ref="$A$3:$N$442"/>
  <mergeCells count="1">
    <mergeCell ref="B1:C1"/>
  </mergeCells>
  <dataValidations count="5">
    <dataValidation sqref="H4:H442" showDropDown="0" showInputMessage="0" showErrorMessage="1" allowBlank="1" type="list">
      <formula1>"既存,可,不可"</formula1>
    </dataValidation>
    <dataValidation sqref="G4:G442" showDropDown="0" showInputMessage="0" showErrorMessage="1" allowBlank="1" type="list">
      <formula1>"あり,なし"</formula1>
    </dataValidation>
    <dataValidation sqref="M4:M442" showDropDown="0" showInputMessage="0" showErrorMessage="1" allowBlank="1" type="list">
      <formula1>"未依頼,進行中,完了,対応不要"</formula1>
    </dataValidation>
    <dataValidation sqref="K4:L442" showDropDown="0" showInputMessage="0" showErrorMessage="1" allowBlank="1" type="list">
      <formula1>"OK,要修正,未確認,修正中,対応不要,修正済"</formula1>
    </dataValidation>
    <dataValidation sqref="N4:N442" showDropDown="0" showInputMessage="0" showErrorMessage="1" allowBlank="1" type="list">
      <formula1>"クリニック,クリニック以外,たぶんクリニック"</formula1>
    </dataValidation>
  </dataValidation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I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I16" r:id="rId15"/>
    <hyperlink xmlns:r="http://schemas.openxmlformats.org/officeDocument/2006/relationships" ref="C17" r:id="rId16"/>
    <hyperlink xmlns:r="http://schemas.openxmlformats.org/officeDocument/2006/relationships" ref="C18" r:id="rId17"/>
    <hyperlink xmlns:r="http://schemas.openxmlformats.org/officeDocument/2006/relationships" ref="I18" r:id="rId18"/>
    <hyperlink xmlns:r="http://schemas.openxmlformats.org/officeDocument/2006/relationships" ref="C19" r:id="rId19"/>
    <hyperlink xmlns:r="http://schemas.openxmlformats.org/officeDocument/2006/relationships" ref="C20" r:id="rId20"/>
    <hyperlink xmlns:r="http://schemas.openxmlformats.org/officeDocument/2006/relationships" ref="C21" r:id="rId21"/>
    <hyperlink xmlns:r="http://schemas.openxmlformats.org/officeDocument/2006/relationships" ref="C22" r:id="rId22"/>
    <hyperlink xmlns:r="http://schemas.openxmlformats.org/officeDocument/2006/relationships" ref="I22" r:id="rId23"/>
    <hyperlink xmlns:r="http://schemas.openxmlformats.org/officeDocument/2006/relationships" ref="C23" r:id="rId24"/>
    <hyperlink xmlns:r="http://schemas.openxmlformats.org/officeDocument/2006/relationships" ref="I23" r:id="rId25"/>
    <hyperlink xmlns:r="http://schemas.openxmlformats.org/officeDocument/2006/relationships" ref="C24" r:id="rId26"/>
    <hyperlink xmlns:r="http://schemas.openxmlformats.org/officeDocument/2006/relationships" ref="C25" r:id="rId27"/>
    <hyperlink xmlns:r="http://schemas.openxmlformats.org/officeDocument/2006/relationships" ref="I25" r:id="rId28"/>
    <hyperlink xmlns:r="http://schemas.openxmlformats.org/officeDocument/2006/relationships" ref="C26" r:id="rId29"/>
    <hyperlink xmlns:r="http://schemas.openxmlformats.org/officeDocument/2006/relationships" ref="I26" r:id="rId30"/>
    <hyperlink xmlns:r="http://schemas.openxmlformats.org/officeDocument/2006/relationships" ref="C27" r:id="rId31"/>
    <hyperlink xmlns:r="http://schemas.openxmlformats.org/officeDocument/2006/relationships" ref="C28" r:id="rId32"/>
    <hyperlink xmlns:r="http://schemas.openxmlformats.org/officeDocument/2006/relationships" ref="C29" r:id="rId33"/>
    <hyperlink xmlns:r="http://schemas.openxmlformats.org/officeDocument/2006/relationships" ref="C30" r:id="rId34"/>
    <hyperlink xmlns:r="http://schemas.openxmlformats.org/officeDocument/2006/relationships" ref="C31" r:id="rId35"/>
    <hyperlink xmlns:r="http://schemas.openxmlformats.org/officeDocument/2006/relationships" ref="C32" r:id="rId36"/>
    <hyperlink xmlns:r="http://schemas.openxmlformats.org/officeDocument/2006/relationships" ref="C33" r:id="rId37"/>
    <hyperlink xmlns:r="http://schemas.openxmlformats.org/officeDocument/2006/relationships" ref="C34" r:id="rId38"/>
    <hyperlink xmlns:r="http://schemas.openxmlformats.org/officeDocument/2006/relationships" ref="C35" r:id="rId39"/>
    <hyperlink xmlns:r="http://schemas.openxmlformats.org/officeDocument/2006/relationships" ref="C36" r:id="rId40"/>
    <hyperlink xmlns:r="http://schemas.openxmlformats.org/officeDocument/2006/relationships" ref="C37" r:id="rId41"/>
    <hyperlink xmlns:r="http://schemas.openxmlformats.org/officeDocument/2006/relationships" ref="C38" r:id="rId42"/>
    <hyperlink xmlns:r="http://schemas.openxmlformats.org/officeDocument/2006/relationships" ref="C39" r:id="rId43"/>
    <hyperlink xmlns:r="http://schemas.openxmlformats.org/officeDocument/2006/relationships" ref="C40" r:id="rId44"/>
    <hyperlink xmlns:r="http://schemas.openxmlformats.org/officeDocument/2006/relationships" ref="C41" r:id="rId45"/>
    <hyperlink xmlns:r="http://schemas.openxmlformats.org/officeDocument/2006/relationships" ref="C42" r:id="rId46"/>
    <hyperlink xmlns:r="http://schemas.openxmlformats.org/officeDocument/2006/relationships" ref="C43" r:id="rId47"/>
    <hyperlink xmlns:r="http://schemas.openxmlformats.org/officeDocument/2006/relationships" ref="C44" r:id="rId48"/>
    <hyperlink xmlns:r="http://schemas.openxmlformats.org/officeDocument/2006/relationships" ref="C45" r:id="rId49"/>
    <hyperlink xmlns:r="http://schemas.openxmlformats.org/officeDocument/2006/relationships" ref="I45" r:id="rId50"/>
    <hyperlink xmlns:r="http://schemas.openxmlformats.org/officeDocument/2006/relationships" ref="C46" r:id="rId51"/>
    <hyperlink xmlns:r="http://schemas.openxmlformats.org/officeDocument/2006/relationships" ref="C47" r:id="rId52"/>
    <hyperlink xmlns:r="http://schemas.openxmlformats.org/officeDocument/2006/relationships" ref="I47" r:id="rId53"/>
    <hyperlink xmlns:r="http://schemas.openxmlformats.org/officeDocument/2006/relationships" ref="C48" r:id="rId54"/>
    <hyperlink xmlns:r="http://schemas.openxmlformats.org/officeDocument/2006/relationships" ref="C49" r:id="rId55"/>
    <hyperlink xmlns:r="http://schemas.openxmlformats.org/officeDocument/2006/relationships" ref="C50" r:id="rId56"/>
    <hyperlink xmlns:r="http://schemas.openxmlformats.org/officeDocument/2006/relationships" ref="C51" r:id="rId57"/>
    <hyperlink xmlns:r="http://schemas.openxmlformats.org/officeDocument/2006/relationships" ref="C52" r:id="rId58"/>
    <hyperlink xmlns:r="http://schemas.openxmlformats.org/officeDocument/2006/relationships" ref="I52" r:id="rId59"/>
    <hyperlink xmlns:r="http://schemas.openxmlformats.org/officeDocument/2006/relationships" ref="C53" r:id="rId60"/>
    <hyperlink xmlns:r="http://schemas.openxmlformats.org/officeDocument/2006/relationships" ref="C54" r:id="rId61"/>
    <hyperlink xmlns:r="http://schemas.openxmlformats.org/officeDocument/2006/relationships" ref="C55" r:id="rId62"/>
    <hyperlink xmlns:r="http://schemas.openxmlformats.org/officeDocument/2006/relationships" ref="C56" r:id="rId63"/>
    <hyperlink xmlns:r="http://schemas.openxmlformats.org/officeDocument/2006/relationships" ref="C57" r:id="rId64"/>
    <hyperlink xmlns:r="http://schemas.openxmlformats.org/officeDocument/2006/relationships" ref="C58" r:id="rId65"/>
    <hyperlink xmlns:r="http://schemas.openxmlformats.org/officeDocument/2006/relationships" ref="C59" r:id="rId66"/>
    <hyperlink xmlns:r="http://schemas.openxmlformats.org/officeDocument/2006/relationships" ref="C60" r:id="rId67"/>
    <hyperlink xmlns:r="http://schemas.openxmlformats.org/officeDocument/2006/relationships" ref="C61" r:id="rId68"/>
    <hyperlink xmlns:r="http://schemas.openxmlformats.org/officeDocument/2006/relationships" ref="C62" r:id="rId69"/>
    <hyperlink xmlns:r="http://schemas.openxmlformats.org/officeDocument/2006/relationships" ref="I62" r:id="rId70"/>
    <hyperlink xmlns:r="http://schemas.openxmlformats.org/officeDocument/2006/relationships" ref="C63" r:id="rId71"/>
    <hyperlink xmlns:r="http://schemas.openxmlformats.org/officeDocument/2006/relationships" ref="C64" r:id="rId72"/>
    <hyperlink xmlns:r="http://schemas.openxmlformats.org/officeDocument/2006/relationships" ref="C65" r:id="rId73"/>
    <hyperlink xmlns:r="http://schemas.openxmlformats.org/officeDocument/2006/relationships" ref="C66" r:id="rId74"/>
    <hyperlink xmlns:r="http://schemas.openxmlformats.org/officeDocument/2006/relationships" ref="I66" r:id="rId75"/>
    <hyperlink xmlns:r="http://schemas.openxmlformats.org/officeDocument/2006/relationships" ref="C67" r:id="rId76"/>
    <hyperlink xmlns:r="http://schemas.openxmlformats.org/officeDocument/2006/relationships" ref="C68" r:id="rId77"/>
    <hyperlink xmlns:r="http://schemas.openxmlformats.org/officeDocument/2006/relationships" ref="C69" r:id="rId78"/>
    <hyperlink xmlns:r="http://schemas.openxmlformats.org/officeDocument/2006/relationships" ref="I69" r:id="rId79"/>
    <hyperlink xmlns:r="http://schemas.openxmlformats.org/officeDocument/2006/relationships" ref="C70" r:id="rId80"/>
    <hyperlink xmlns:r="http://schemas.openxmlformats.org/officeDocument/2006/relationships" ref="I70" r:id="rId81"/>
    <hyperlink xmlns:r="http://schemas.openxmlformats.org/officeDocument/2006/relationships" ref="C71" r:id="rId82"/>
    <hyperlink xmlns:r="http://schemas.openxmlformats.org/officeDocument/2006/relationships" ref="C72" r:id="rId83"/>
    <hyperlink xmlns:r="http://schemas.openxmlformats.org/officeDocument/2006/relationships" ref="C73" r:id="rId84"/>
    <hyperlink xmlns:r="http://schemas.openxmlformats.org/officeDocument/2006/relationships" ref="C74" r:id="rId85"/>
    <hyperlink xmlns:r="http://schemas.openxmlformats.org/officeDocument/2006/relationships" ref="C75" r:id="rId86"/>
    <hyperlink xmlns:r="http://schemas.openxmlformats.org/officeDocument/2006/relationships" ref="C76" r:id="rId87"/>
    <hyperlink xmlns:r="http://schemas.openxmlformats.org/officeDocument/2006/relationships" ref="C77" r:id="rId88"/>
    <hyperlink xmlns:r="http://schemas.openxmlformats.org/officeDocument/2006/relationships" ref="C78" r:id="rId89"/>
    <hyperlink xmlns:r="http://schemas.openxmlformats.org/officeDocument/2006/relationships" ref="C79" r:id="rId90"/>
    <hyperlink xmlns:r="http://schemas.openxmlformats.org/officeDocument/2006/relationships" ref="I79" r:id="rId91"/>
    <hyperlink xmlns:r="http://schemas.openxmlformats.org/officeDocument/2006/relationships" ref="C80" r:id="rId92"/>
    <hyperlink xmlns:r="http://schemas.openxmlformats.org/officeDocument/2006/relationships" ref="C81" r:id="rId93"/>
    <hyperlink xmlns:r="http://schemas.openxmlformats.org/officeDocument/2006/relationships" ref="C82" r:id="rId94"/>
    <hyperlink xmlns:r="http://schemas.openxmlformats.org/officeDocument/2006/relationships" ref="I82" r:id="rId95"/>
    <hyperlink xmlns:r="http://schemas.openxmlformats.org/officeDocument/2006/relationships" ref="C83" r:id="rId96"/>
    <hyperlink xmlns:r="http://schemas.openxmlformats.org/officeDocument/2006/relationships" ref="C84" r:id="rId97"/>
    <hyperlink xmlns:r="http://schemas.openxmlformats.org/officeDocument/2006/relationships" ref="C85" r:id="rId98"/>
    <hyperlink xmlns:r="http://schemas.openxmlformats.org/officeDocument/2006/relationships" ref="I85" r:id="rId99"/>
    <hyperlink xmlns:r="http://schemas.openxmlformats.org/officeDocument/2006/relationships" ref="C86" r:id="rId100"/>
    <hyperlink xmlns:r="http://schemas.openxmlformats.org/officeDocument/2006/relationships" ref="C87" r:id="rId101"/>
    <hyperlink xmlns:r="http://schemas.openxmlformats.org/officeDocument/2006/relationships" ref="C88" r:id="rId102"/>
    <hyperlink xmlns:r="http://schemas.openxmlformats.org/officeDocument/2006/relationships" ref="I88" r:id="rId103"/>
    <hyperlink xmlns:r="http://schemas.openxmlformats.org/officeDocument/2006/relationships" ref="C89" r:id="rId104"/>
    <hyperlink xmlns:r="http://schemas.openxmlformats.org/officeDocument/2006/relationships" ref="I89" r:id="rId105"/>
    <hyperlink xmlns:r="http://schemas.openxmlformats.org/officeDocument/2006/relationships" ref="C90" r:id="rId106"/>
    <hyperlink xmlns:r="http://schemas.openxmlformats.org/officeDocument/2006/relationships" ref="C91" r:id="rId107"/>
    <hyperlink xmlns:r="http://schemas.openxmlformats.org/officeDocument/2006/relationships" ref="C92" r:id="rId108"/>
    <hyperlink xmlns:r="http://schemas.openxmlformats.org/officeDocument/2006/relationships" ref="I92" r:id="rId109"/>
    <hyperlink xmlns:r="http://schemas.openxmlformats.org/officeDocument/2006/relationships" ref="C93" r:id="rId110"/>
    <hyperlink xmlns:r="http://schemas.openxmlformats.org/officeDocument/2006/relationships" ref="I93" r:id="rId111"/>
    <hyperlink xmlns:r="http://schemas.openxmlformats.org/officeDocument/2006/relationships" ref="C94" r:id="rId112"/>
    <hyperlink xmlns:r="http://schemas.openxmlformats.org/officeDocument/2006/relationships" ref="C95" r:id="rId113"/>
    <hyperlink xmlns:r="http://schemas.openxmlformats.org/officeDocument/2006/relationships" ref="I95" r:id="rId114"/>
    <hyperlink xmlns:r="http://schemas.openxmlformats.org/officeDocument/2006/relationships" ref="C96" r:id="rId115"/>
    <hyperlink xmlns:r="http://schemas.openxmlformats.org/officeDocument/2006/relationships" ref="C97" r:id="rId116"/>
    <hyperlink xmlns:r="http://schemas.openxmlformats.org/officeDocument/2006/relationships" ref="C98" r:id="rId117"/>
    <hyperlink xmlns:r="http://schemas.openxmlformats.org/officeDocument/2006/relationships" ref="I98" r:id="rId118"/>
    <hyperlink xmlns:r="http://schemas.openxmlformats.org/officeDocument/2006/relationships" ref="C99" r:id="rId119"/>
    <hyperlink xmlns:r="http://schemas.openxmlformats.org/officeDocument/2006/relationships" ref="I99" r:id="rId120"/>
    <hyperlink xmlns:r="http://schemas.openxmlformats.org/officeDocument/2006/relationships" ref="C100" r:id="rId121"/>
    <hyperlink xmlns:r="http://schemas.openxmlformats.org/officeDocument/2006/relationships" ref="C101" r:id="rId122"/>
    <hyperlink xmlns:r="http://schemas.openxmlformats.org/officeDocument/2006/relationships" ref="C102" r:id="rId123"/>
    <hyperlink xmlns:r="http://schemas.openxmlformats.org/officeDocument/2006/relationships" ref="C103" r:id="rId124"/>
    <hyperlink xmlns:r="http://schemas.openxmlformats.org/officeDocument/2006/relationships" ref="C104" r:id="rId125"/>
    <hyperlink xmlns:r="http://schemas.openxmlformats.org/officeDocument/2006/relationships" ref="C105" r:id="rId126"/>
    <hyperlink xmlns:r="http://schemas.openxmlformats.org/officeDocument/2006/relationships" ref="I105" r:id="rId127"/>
    <hyperlink xmlns:r="http://schemas.openxmlformats.org/officeDocument/2006/relationships" ref="C106" r:id="rId128"/>
    <hyperlink xmlns:r="http://schemas.openxmlformats.org/officeDocument/2006/relationships" ref="C107" r:id="rId129"/>
    <hyperlink xmlns:r="http://schemas.openxmlformats.org/officeDocument/2006/relationships" ref="C108" r:id="rId130"/>
    <hyperlink xmlns:r="http://schemas.openxmlformats.org/officeDocument/2006/relationships" ref="C109" r:id="rId131"/>
    <hyperlink xmlns:r="http://schemas.openxmlformats.org/officeDocument/2006/relationships" ref="C110" r:id="rId132"/>
    <hyperlink xmlns:r="http://schemas.openxmlformats.org/officeDocument/2006/relationships" ref="C111" r:id="rId133"/>
    <hyperlink xmlns:r="http://schemas.openxmlformats.org/officeDocument/2006/relationships" ref="C112" r:id="rId134"/>
    <hyperlink xmlns:r="http://schemas.openxmlformats.org/officeDocument/2006/relationships" ref="I112" r:id="rId135"/>
    <hyperlink xmlns:r="http://schemas.openxmlformats.org/officeDocument/2006/relationships" ref="C113" r:id="rId136"/>
    <hyperlink xmlns:r="http://schemas.openxmlformats.org/officeDocument/2006/relationships" ref="C114" r:id="rId137"/>
    <hyperlink xmlns:r="http://schemas.openxmlformats.org/officeDocument/2006/relationships" ref="C115" r:id="rId138"/>
    <hyperlink xmlns:r="http://schemas.openxmlformats.org/officeDocument/2006/relationships" ref="C116" r:id="rId139"/>
    <hyperlink xmlns:r="http://schemas.openxmlformats.org/officeDocument/2006/relationships" ref="C117" r:id="rId140"/>
    <hyperlink xmlns:r="http://schemas.openxmlformats.org/officeDocument/2006/relationships" ref="I117" r:id="rId141"/>
    <hyperlink xmlns:r="http://schemas.openxmlformats.org/officeDocument/2006/relationships" ref="C118" r:id="rId142"/>
    <hyperlink xmlns:r="http://schemas.openxmlformats.org/officeDocument/2006/relationships" ref="C119" r:id="rId143"/>
    <hyperlink xmlns:r="http://schemas.openxmlformats.org/officeDocument/2006/relationships" ref="C120" r:id="rId144"/>
    <hyperlink xmlns:r="http://schemas.openxmlformats.org/officeDocument/2006/relationships" ref="I120" r:id="rId145"/>
    <hyperlink xmlns:r="http://schemas.openxmlformats.org/officeDocument/2006/relationships" ref="C121" r:id="rId146"/>
    <hyperlink xmlns:r="http://schemas.openxmlformats.org/officeDocument/2006/relationships" ref="C122" r:id="rId147"/>
    <hyperlink xmlns:r="http://schemas.openxmlformats.org/officeDocument/2006/relationships" ref="C123" r:id="rId148"/>
    <hyperlink xmlns:r="http://schemas.openxmlformats.org/officeDocument/2006/relationships" ref="C124" r:id="rId149"/>
    <hyperlink xmlns:r="http://schemas.openxmlformats.org/officeDocument/2006/relationships" ref="I124" r:id="rId150"/>
    <hyperlink xmlns:r="http://schemas.openxmlformats.org/officeDocument/2006/relationships" ref="C125" r:id="rId151"/>
    <hyperlink xmlns:r="http://schemas.openxmlformats.org/officeDocument/2006/relationships" ref="I125" r:id="rId152"/>
    <hyperlink xmlns:r="http://schemas.openxmlformats.org/officeDocument/2006/relationships" ref="C126" r:id="rId153"/>
    <hyperlink xmlns:r="http://schemas.openxmlformats.org/officeDocument/2006/relationships" ref="C127" r:id="rId154"/>
    <hyperlink xmlns:r="http://schemas.openxmlformats.org/officeDocument/2006/relationships" ref="I127" r:id="rId155"/>
    <hyperlink xmlns:r="http://schemas.openxmlformats.org/officeDocument/2006/relationships" ref="C128" r:id="rId156"/>
    <hyperlink xmlns:r="http://schemas.openxmlformats.org/officeDocument/2006/relationships" ref="I128" r:id="rId157"/>
    <hyperlink xmlns:r="http://schemas.openxmlformats.org/officeDocument/2006/relationships" ref="C129" r:id="rId158"/>
    <hyperlink xmlns:r="http://schemas.openxmlformats.org/officeDocument/2006/relationships" ref="C130" r:id="rId159"/>
    <hyperlink xmlns:r="http://schemas.openxmlformats.org/officeDocument/2006/relationships" ref="C131" r:id="rId160"/>
    <hyperlink xmlns:r="http://schemas.openxmlformats.org/officeDocument/2006/relationships" ref="C132" r:id="rId161"/>
    <hyperlink xmlns:r="http://schemas.openxmlformats.org/officeDocument/2006/relationships" ref="C133" r:id="rId162"/>
    <hyperlink xmlns:r="http://schemas.openxmlformats.org/officeDocument/2006/relationships" ref="C134" r:id="rId163"/>
    <hyperlink xmlns:r="http://schemas.openxmlformats.org/officeDocument/2006/relationships" ref="C135" r:id="rId164"/>
    <hyperlink xmlns:r="http://schemas.openxmlformats.org/officeDocument/2006/relationships" ref="I135" r:id="rId165"/>
    <hyperlink xmlns:r="http://schemas.openxmlformats.org/officeDocument/2006/relationships" ref="C136" r:id="rId166"/>
    <hyperlink xmlns:r="http://schemas.openxmlformats.org/officeDocument/2006/relationships" ref="I136" r:id="rId167"/>
    <hyperlink xmlns:r="http://schemas.openxmlformats.org/officeDocument/2006/relationships" ref="C137" r:id="rId168"/>
    <hyperlink xmlns:r="http://schemas.openxmlformats.org/officeDocument/2006/relationships" ref="C138" r:id="rId169"/>
    <hyperlink xmlns:r="http://schemas.openxmlformats.org/officeDocument/2006/relationships" ref="I138" r:id="rId170"/>
    <hyperlink xmlns:r="http://schemas.openxmlformats.org/officeDocument/2006/relationships" ref="C139" r:id="rId171"/>
    <hyperlink xmlns:r="http://schemas.openxmlformats.org/officeDocument/2006/relationships" ref="C140" r:id="rId172"/>
    <hyperlink xmlns:r="http://schemas.openxmlformats.org/officeDocument/2006/relationships" ref="I140" r:id="rId173"/>
    <hyperlink xmlns:r="http://schemas.openxmlformats.org/officeDocument/2006/relationships" ref="C141" r:id="rId174"/>
    <hyperlink xmlns:r="http://schemas.openxmlformats.org/officeDocument/2006/relationships" ref="C142" r:id="rId175"/>
    <hyperlink xmlns:r="http://schemas.openxmlformats.org/officeDocument/2006/relationships" ref="I142" r:id="rId176"/>
    <hyperlink xmlns:r="http://schemas.openxmlformats.org/officeDocument/2006/relationships" ref="C143" r:id="rId177"/>
    <hyperlink xmlns:r="http://schemas.openxmlformats.org/officeDocument/2006/relationships" ref="C144" r:id="rId178"/>
    <hyperlink xmlns:r="http://schemas.openxmlformats.org/officeDocument/2006/relationships" ref="C145" r:id="rId179"/>
    <hyperlink xmlns:r="http://schemas.openxmlformats.org/officeDocument/2006/relationships" ref="C146" r:id="rId180"/>
    <hyperlink xmlns:r="http://schemas.openxmlformats.org/officeDocument/2006/relationships" ref="C147" r:id="rId181"/>
    <hyperlink xmlns:r="http://schemas.openxmlformats.org/officeDocument/2006/relationships" ref="C148" r:id="rId182"/>
    <hyperlink xmlns:r="http://schemas.openxmlformats.org/officeDocument/2006/relationships" ref="C149" r:id="rId183"/>
    <hyperlink xmlns:r="http://schemas.openxmlformats.org/officeDocument/2006/relationships" ref="C150" r:id="rId184"/>
    <hyperlink xmlns:r="http://schemas.openxmlformats.org/officeDocument/2006/relationships" ref="C151" r:id="rId185"/>
    <hyperlink xmlns:r="http://schemas.openxmlformats.org/officeDocument/2006/relationships" ref="C152" r:id="rId186"/>
    <hyperlink xmlns:r="http://schemas.openxmlformats.org/officeDocument/2006/relationships" ref="C153" r:id="rId187"/>
    <hyperlink xmlns:r="http://schemas.openxmlformats.org/officeDocument/2006/relationships" ref="C154" r:id="rId188"/>
    <hyperlink xmlns:r="http://schemas.openxmlformats.org/officeDocument/2006/relationships" ref="C155" r:id="rId189"/>
    <hyperlink xmlns:r="http://schemas.openxmlformats.org/officeDocument/2006/relationships" ref="C156" r:id="rId190"/>
    <hyperlink xmlns:r="http://schemas.openxmlformats.org/officeDocument/2006/relationships" ref="I156" r:id="rId191"/>
    <hyperlink xmlns:r="http://schemas.openxmlformats.org/officeDocument/2006/relationships" ref="C157" r:id="rId192"/>
    <hyperlink xmlns:r="http://schemas.openxmlformats.org/officeDocument/2006/relationships" ref="C158" r:id="rId193"/>
    <hyperlink xmlns:r="http://schemas.openxmlformats.org/officeDocument/2006/relationships" ref="C159" r:id="rId194"/>
    <hyperlink xmlns:r="http://schemas.openxmlformats.org/officeDocument/2006/relationships" ref="C160" r:id="rId195"/>
    <hyperlink xmlns:r="http://schemas.openxmlformats.org/officeDocument/2006/relationships" ref="C161" r:id="rId196"/>
    <hyperlink xmlns:r="http://schemas.openxmlformats.org/officeDocument/2006/relationships" ref="I161" r:id="rId197"/>
    <hyperlink xmlns:r="http://schemas.openxmlformats.org/officeDocument/2006/relationships" ref="C162" r:id="rId198"/>
    <hyperlink xmlns:r="http://schemas.openxmlformats.org/officeDocument/2006/relationships" ref="C163" r:id="rId199"/>
    <hyperlink xmlns:r="http://schemas.openxmlformats.org/officeDocument/2006/relationships" ref="C164" r:id="rId200"/>
    <hyperlink xmlns:r="http://schemas.openxmlformats.org/officeDocument/2006/relationships" ref="C165" r:id="rId201"/>
    <hyperlink xmlns:r="http://schemas.openxmlformats.org/officeDocument/2006/relationships" ref="I165" r:id="rId202"/>
    <hyperlink xmlns:r="http://schemas.openxmlformats.org/officeDocument/2006/relationships" ref="C166" r:id="rId203"/>
    <hyperlink xmlns:r="http://schemas.openxmlformats.org/officeDocument/2006/relationships" ref="C167" r:id="rId204"/>
    <hyperlink xmlns:r="http://schemas.openxmlformats.org/officeDocument/2006/relationships" ref="C168" r:id="rId205"/>
    <hyperlink xmlns:r="http://schemas.openxmlformats.org/officeDocument/2006/relationships" ref="C169" r:id="rId206"/>
    <hyperlink xmlns:r="http://schemas.openxmlformats.org/officeDocument/2006/relationships" ref="I169" r:id="rId207"/>
    <hyperlink xmlns:r="http://schemas.openxmlformats.org/officeDocument/2006/relationships" ref="C170" r:id="rId208"/>
    <hyperlink xmlns:r="http://schemas.openxmlformats.org/officeDocument/2006/relationships" ref="C171" r:id="rId209"/>
    <hyperlink xmlns:r="http://schemas.openxmlformats.org/officeDocument/2006/relationships" ref="C172" r:id="rId210"/>
    <hyperlink xmlns:r="http://schemas.openxmlformats.org/officeDocument/2006/relationships" ref="I172" r:id="rId211"/>
    <hyperlink xmlns:r="http://schemas.openxmlformats.org/officeDocument/2006/relationships" ref="C173" r:id="rId212"/>
    <hyperlink xmlns:r="http://schemas.openxmlformats.org/officeDocument/2006/relationships" ref="C174" r:id="rId213"/>
    <hyperlink xmlns:r="http://schemas.openxmlformats.org/officeDocument/2006/relationships" ref="C175" r:id="rId214"/>
    <hyperlink xmlns:r="http://schemas.openxmlformats.org/officeDocument/2006/relationships" ref="C176" r:id="rId215"/>
    <hyperlink xmlns:r="http://schemas.openxmlformats.org/officeDocument/2006/relationships" ref="C177" r:id="rId216"/>
    <hyperlink xmlns:r="http://schemas.openxmlformats.org/officeDocument/2006/relationships" ref="C178" r:id="rId217"/>
    <hyperlink xmlns:r="http://schemas.openxmlformats.org/officeDocument/2006/relationships" ref="C179" r:id="rId218"/>
    <hyperlink xmlns:r="http://schemas.openxmlformats.org/officeDocument/2006/relationships" ref="C180" r:id="rId219"/>
    <hyperlink xmlns:r="http://schemas.openxmlformats.org/officeDocument/2006/relationships" ref="C181" r:id="rId220"/>
    <hyperlink xmlns:r="http://schemas.openxmlformats.org/officeDocument/2006/relationships" ref="C182" r:id="rId221"/>
    <hyperlink xmlns:r="http://schemas.openxmlformats.org/officeDocument/2006/relationships" ref="C183" r:id="rId222"/>
    <hyperlink xmlns:r="http://schemas.openxmlformats.org/officeDocument/2006/relationships" ref="I183" r:id="rId223"/>
    <hyperlink xmlns:r="http://schemas.openxmlformats.org/officeDocument/2006/relationships" ref="C184" r:id="rId224"/>
    <hyperlink xmlns:r="http://schemas.openxmlformats.org/officeDocument/2006/relationships" ref="C185" r:id="rId225"/>
    <hyperlink xmlns:r="http://schemas.openxmlformats.org/officeDocument/2006/relationships" ref="I185" r:id="rId226"/>
    <hyperlink xmlns:r="http://schemas.openxmlformats.org/officeDocument/2006/relationships" ref="C186" r:id="rId227"/>
    <hyperlink xmlns:r="http://schemas.openxmlformats.org/officeDocument/2006/relationships" ref="C187" r:id="rId228"/>
    <hyperlink xmlns:r="http://schemas.openxmlformats.org/officeDocument/2006/relationships" ref="C188" r:id="rId229"/>
    <hyperlink xmlns:r="http://schemas.openxmlformats.org/officeDocument/2006/relationships" ref="C189" r:id="rId230"/>
    <hyperlink xmlns:r="http://schemas.openxmlformats.org/officeDocument/2006/relationships" ref="C190" r:id="rId231"/>
    <hyperlink xmlns:r="http://schemas.openxmlformats.org/officeDocument/2006/relationships" ref="C191" r:id="rId232"/>
    <hyperlink xmlns:r="http://schemas.openxmlformats.org/officeDocument/2006/relationships" ref="C192" r:id="rId233"/>
    <hyperlink xmlns:r="http://schemas.openxmlformats.org/officeDocument/2006/relationships" ref="C193" r:id="rId234"/>
    <hyperlink xmlns:r="http://schemas.openxmlformats.org/officeDocument/2006/relationships" ref="C194" r:id="rId235"/>
    <hyperlink xmlns:r="http://schemas.openxmlformats.org/officeDocument/2006/relationships" ref="C195" r:id="rId236"/>
    <hyperlink xmlns:r="http://schemas.openxmlformats.org/officeDocument/2006/relationships" ref="C196" r:id="rId237"/>
    <hyperlink xmlns:r="http://schemas.openxmlformats.org/officeDocument/2006/relationships" ref="C197" r:id="rId238"/>
    <hyperlink xmlns:r="http://schemas.openxmlformats.org/officeDocument/2006/relationships" ref="C198" r:id="rId239"/>
    <hyperlink xmlns:r="http://schemas.openxmlformats.org/officeDocument/2006/relationships" ref="C199" r:id="rId240"/>
    <hyperlink xmlns:r="http://schemas.openxmlformats.org/officeDocument/2006/relationships" ref="C200" r:id="rId241"/>
    <hyperlink xmlns:r="http://schemas.openxmlformats.org/officeDocument/2006/relationships" ref="C201" r:id="rId242"/>
    <hyperlink xmlns:r="http://schemas.openxmlformats.org/officeDocument/2006/relationships" ref="C202" r:id="rId243"/>
    <hyperlink xmlns:r="http://schemas.openxmlformats.org/officeDocument/2006/relationships" ref="C203" r:id="rId244"/>
    <hyperlink xmlns:r="http://schemas.openxmlformats.org/officeDocument/2006/relationships" ref="I203" r:id="rId245"/>
    <hyperlink xmlns:r="http://schemas.openxmlformats.org/officeDocument/2006/relationships" ref="C204" r:id="rId246"/>
    <hyperlink xmlns:r="http://schemas.openxmlformats.org/officeDocument/2006/relationships" ref="C205" r:id="rId247"/>
    <hyperlink xmlns:r="http://schemas.openxmlformats.org/officeDocument/2006/relationships" ref="I205" r:id="rId248"/>
    <hyperlink xmlns:r="http://schemas.openxmlformats.org/officeDocument/2006/relationships" ref="C206" r:id="rId249"/>
    <hyperlink xmlns:r="http://schemas.openxmlformats.org/officeDocument/2006/relationships" ref="I206" r:id="rId250"/>
    <hyperlink xmlns:r="http://schemas.openxmlformats.org/officeDocument/2006/relationships" ref="C207" r:id="rId251"/>
    <hyperlink xmlns:r="http://schemas.openxmlformats.org/officeDocument/2006/relationships" ref="C208" r:id="rId252"/>
    <hyperlink xmlns:r="http://schemas.openxmlformats.org/officeDocument/2006/relationships" ref="C209" r:id="rId253"/>
    <hyperlink xmlns:r="http://schemas.openxmlformats.org/officeDocument/2006/relationships" ref="C210" r:id="rId254"/>
    <hyperlink xmlns:r="http://schemas.openxmlformats.org/officeDocument/2006/relationships" ref="C211" r:id="rId255"/>
    <hyperlink xmlns:r="http://schemas.openxmlformats.org/officeDocument/2006/relationships" ref="C212" r:id="rId256"/>
    <hyperlink xmlns:r="http://schemas.openxmlformats.org/officeDocument/2006/relationships" ref="I212" r:id="rId257"/>
    <hyperlink xmlns:r="http://schemas.openxmlformats.org/officeDocument/2006/relationships" ref="C213" r:id="rId258"/>
    <hyperlink xmlns:r="http://schemas.openxmlformats.org/officeDocument/2006/relationships" ref="C214" r:id="rId259"/>
    <hyperlink xmlns:r="http://schemas.openxmlformats.org/officeDocument/2006/relationships" ref="C215" r:id="rId260"/>
    <hyperlink xmlns:r="http://schemas.openxmlformats.org/officeDocument/2006/relationships" ref="I215" r:id="rId261"/>
    <hyperlink xmlns:r="http://schemas.openxmlformats.org/officeDocument/2006/relationships" ref="C216" r:id="rId262"/>
    <hyperlink xmlns:r="http://schemas.openxmlformats.org/officeDocument/2006/relationships" ref="C217" r:id="rId263"/>
    <hyperlink xmlns:r="http://schemas.openxmlformats.org/officeDocument/2006/relationships" ref="I217" r:id="rId264"/>
    <hyperlink xmlns:r="http://schemas.openxmlformats.org/officeDocument/2006/relationships" ref="C218" r:id="rId265"/>
    <hyperlink xmlns:r="http://schemas.openxmlformats.org/officeDocument/2006/relationships" ref="C219" r:id="rId266"/>
    <hyperlink xmlns:r="http://schemas.openxmlformats.org/officeDocument/2006/relationships" ref="I219" r:id="rId267"/>
    <hyperlink xmlns:r="http://schemas.openxmlformats.org/officeDocument/2006/relationships" ref="C220" r:id="rId268"/>
    <hyperlink xmlns:r="http://schemas.openxmlformats.org/officeDocument/2006/relationships" ref="C221" r:id="rId269"/>
    <hyperlink xmlns:r="http://schemas.openxmlformats.org/officeDocument/2006/relationships" ref="C222" r:id="rId270"/>
    <hyperlink xmlns:r="http://schemas.openxmlformats.org/officeDocument/2006/relationships" ref="C223" r:id="rId271"/>
    <hyperlink xmlns:r="http://schemas.openxmlformats.org/officeDocument/2006/relationships" ref="C224" r:id="rId272"/>
    <hyperlink xmlns:r="http://schemas.openxmlformats.org/officeDocument/2006/relationships" ref="C225" r:id="rId273"/>
    <hyperlink xmlns:r="http://schemas.openxmlformats.org/officeDocument/2006/relationships" ref="C226" r:id="rId274"/>
    <hyperlink xmlns:r="http://schemas.openxmlformats.org/officeDocument/2006/relationships" ref="C227" r:id="rId275"/>
    <hyperlink xmlns:r="http://schemas.openxmlformats.org/officeDocument/2006/relationships" ref="C228" r:id="rId276"/>
    <hyperlink xmlns:r="http://schemas.openxmlformats.org/officeDocument/2006/relationships" ref="C229" r:id="rId277"/>
    <hyperlink xmlns:r="http://schemas.openxmlformats.org/officeDocument/2006/relationships" ref="C230" r:id="rId278"/>
    <hyperlink xmlns:r="http://schemas.openxmlformats.org/officeDocument/2006/relationships" ref="C231" r:id="rId279"/>
    <hyperlink xmlns:r="http://schemas.openxmlformats.org/officeDocument/2006/relationships" ref="I231" r:id="rId280"/>
    <hyperlink xmlns:r="http://schemas.openxmlformats.org/officeDocument/2006/relationships" ref="C232" r:id="rId281"/>
    <hyperlink xmlns:r="http://schemas.openxmlformats.org/officeDocument/2006/relationships" ref="C233" r:id="rId282"/>
    <hyperlink xmlns:r="http://schemas.openxmlformats.org/officeDocument/2006/relationships" ref="I233" r:id="rId283"/>
    <hyperlink xmlns:r="http://schemas.openxmlformats.org/officeDocument/2006/relationships" ref="C234" r:id="rId284"/>
    <hyperlink xmlns:r="http://schemas.openxmlformats.org/officeDocument/2006/relationships" ref="I234" r:id="rId285"/>
    <hyperlink xmlns:r="http://schemas.openxmlformats.org/officeDocument/2006/relationships" ref="C235" r:id="rId286"/>
    <hyperlink xmlns:r="http://schemas.openxmlformats.org/officeDocument/2006/relationships" ref="C236" r:id="rId287"/>
    <hyperlink xmlns:r="http://schemas.openxmlformats.org/officeDocument/2006/relationships" ref="C237" r:id="rId288"/>
    <hyperlink xmlns:r="http://schemas.openxmlformats.org/officeDocument/2006/relationships" ref="I237" r:id="rId289"/>
    <hyperlink xmlns:r="http://schemas.openxmlformats.org/officeDocument/2006/relationships" ref="C238" r:id="rId290"/>
    <hyperlink xmlns:r="http://schemas.openxmlformats.org/officeDocument/2006/relationships" ref="I238" r:id="rId291"/>
    <hyperlink xmlns:r="http://schemas.openxmlformats.org/officeDocument/2006/relationships" ref="C239" r:id="rId292"/>
    <hyperlink xmlns:r="http://schemas.openxmlformats.org/officeDocument/2006/relationships" ref="C240" r:id="rId293"/>
    <hyperlink xmlns:r="http://schemas.openxmlformats.org/officeDocument/2006/relationships" ref="C241" r:id="rId294"/>
    <hyperlink xmlns:r="http://schemas.openxmlformats.org/officeDocument/2006/relationships" ref="C242" r:id="rId295"/>
    <hyperlink xmlns:r="http://schemas.openxmlformats.org/officeDocument/2006/relationships" ref="I242" r:id="rId296"/>
    <hyperlink xmlns:r="http://schemas.openxmlformats.org/officeDocument/2006/relationships" ref="C243" r:id="rId297"/>
    <hyperlink xmlns:r="http://schemas.openxmlformats.org/officeDocument/2006/relationships" ref="I243" r:id="rId298"/>
    <hyperlink xmlns:r="http://schemas.openxmlformats.org/officeDocument/2006/relationships" ref="C244" r:id="rId299"/>
    <hyperlink xmlns:r="http://schemas.openxmlformats.org/officeDocument/2006/relationships" ref="C245" r:id="rId300"/>
    <hyperlink xmlns:r="http://schemas.openxmlformats.org/officeDocument/2006/relationships" ref="C246" r:id="rId301"/>
    <hyperlink xmlns:r="http://schemas.openxmlformats.org/officeDocument/2006/relationships" ref="C247" r:id="rId302"/>
    <hyperlink xmlns:r="http://schemas.openxmlformats.org/officeDocument/2006/relationships" ref="C248" r:id="rId303"/>
    <hyperlink xmlns:r="http://schemas.openxmlformats.org/officeDocument/2006/relationships" ref="C249" r:id="rId304"/>
    <hyperlink xmlns:r="http://schemas.openxmlformats.org/officeDocument/2006/relationships" ref="C250" r:id="rId305"/>
    <hyperlink xmlns:r="http://schemas.openxmlformats.org/officeDocument/2006/relationships" ref="C251" r:id="rId306"/>
    <hyperlink xmlns:r="http://schemas.openxmlformats.org/officeDocument/2006/relationships" ref="C252" r:id="rId307"/>
    <hyperlink xmlns:r="http://schemas.openxmlformats.org/officeDocument/2006/relationships" ref="C253" r:id="rId308"/>
    <hyperlink xmlns:r="http://schemas.openxmlformats.org/officeDocument/2006/relationships" ref="C254" r:id="rId309"/>
    <hyperlink xmlns:r="http://schemas.openxmlformats.org/officeDocument/2006/relationships" ref="C255" r:id="rId310"/>
    <hyperlink xmlns:r="http://schemas.openxmlformats.org/officeDocument/2006/relationships" ref="C256" r:id="rId311"/>
    <hyperlink xmlns:r="http://schemas.openxmlformats.org/officeDocument/2006/relationships" ref="I256" r:id="rId312"/>
    <hyperlink xmlns:r="http://schemas.openxmlformats.org/officeDocument/2006/relationships" ref="C257" r:id="rId313"/>
    <hyperlink xmlns:r="http://schemas.openxmlformats.org/officeDocument/2006/relationships" ref="C258" r:id="rId314"/>
    <hyperlink xmlns:r="http://schemas.openxmlformats.org/officeDocument/2006/relationships" ref="C259" r:id="rId315"/>
    <hyperlink xmlns:r="http://schemas.openxmlformats.org/officeDocument/2006/relationships" ref="C260" r:id="rId316"/>
    <hyperlink xmlns:r="http://schemas.openxmlformats.org/officeDocument/2006/relationships" ref="C261" r:id="rId317"/>
    <hyperlink xmlns:r="http://schemas.openxmlformats.org/officeDocument/2006/relationships" ref="C262" r:id="rId318"/>
    <hyperlink xmlns:r="http://schemas.openxmlformats.org/officeDocument/2006/relationships" ref="C263" r:id="rId319"/>
    <hyperlink xmlns:r="http://schemas.openxmlformats.org/officeDocument/2006/relationships" ref="C264" r:id="rId320"/>
    <hyperlink xmlns:r="http://schemas.openxmlformats.org/officeDocument/2006/relationships" ref="I264" r:id="rId321"/>
    <hyperlink xmlns:r="http://schemas.openxmlformats.org/officeDocument/2006/relationships" ref="C265" r:id="rId322"/>
    <hyperlink xmlns:r="http://schemas.openxmlformats.org/officeDocument/2006/relationships" ref="I265" r:id="rId323"/>
    <hyperlink xmlns:r="http://schemas.openxmlformats.org/officeDocument/2006/relationships" ref="C266" r:id="rId324"/>
    <hyperlink xmlns:r="http://schemas.openxmlformats.org/officeDocument/2006/relationships" ref="I266" r:id="rId325"/>
    <hyperlink xmlns:r="http://schemas.openxmlformats.org/officeDocument/2006/relationships" ref="C267" r:id="rId326"/>
    <hyperlink xmlns:r="http://schemas.openxmlformats.org/officeDocument/2006/relationships" ref="I267" r:id="rId327"/>
    <hyperlink xmlns:r="http://schemas.openxmlformats.org/officeDocument/2006/relationships" ref="C268" r:id="rId328"/>
    <hyperlink xmlns:r="http://schemas.openxmlformats.org/officeDocument/2006/relationships" ref="C269" r:id="rId329"/>
    <hyperlink xmlns:r="http://schemas.openxmlformats.org/officeDocument/2006/relationships" ref="I269" r:id="rId330"/>
    <hyperlink xmlns:r="http://schemas.openxmlformats.org/officeDocument/2006/relationships" ref="C270" r:id="rId331"/>
    <hyperlink xmlns:r="http://schemas.openxmlformats.org/officeDocument/2006/relationships" ref="C271" r:id="rId332"/>
    <hyperlink xmlns:r="http://schemas.openxmlformats.org/officeDocument/2006/relationships" ref="I271" r:id="rId333"/>
    <hyperlink xmlns:r="http://schemas.openxmlformats.org/officeDocument/2006/relationships" ref="C272" r:id="rId334"/>
    <hyperlink xmlns:r="http://schemas.openxmlformats.org/officeDocument/2006/relationships" ref="C273" r:id="rId335"/>
    <hyperlink xmlns:r="http://schemas.openxmlformats.org/officeDocument/2006/relationships" ref="C274" r:id="rId336"/>
    <hyperlink xmlns:r="http://schemas.openxmlformats.org/officeDocument/2006/relationships" ref="I274" r:id="rId337"/>
    <hyperlink xmlns:r="http://schemas.openxmlformats.org/officeDocument/2006/relationships" ref="C275" r:id="rId338"/>
    <hyperlink xmlns:r="http://schemas.openxmlformats.org/officeDocument/2006/relationships" ref="C276" r:id="rId339"/>
    <hyperlink xmlns:r="http://schemas.openxmlformats.org/officeDocument/2006/relationships" ref="C277" r:id="rId340"/>
    <hyperlink xmlns:r="http://schemas.openxmlformats.org/officeDocument/2006/relationships" ref="C278" r:id="rId341"/>
    <hyperlink xmlns:r="http://schemas.openxmlformats.org/officeDocument/2006/relationships" ref="I278" r:id="rId342"/>
    <hyperlink xmlns:r="http://schemas.openxmlformats.org/officeDocument/2006/relationships" ref="C279" r:id="rId343"/>
    <hyperlink xmlns:r="http://schemas.openxmlformats.org/officeDocument/2006/relationships" ref="C280" r:id="rId344"/>
    <hyperlink xmlns:r="http://schemas.openxmlformats.org/officeDocument/2006/relationships" ref="I280" r:id="rId345"/>
    <hyperlink xmlns:r="http://schemas.openxmlformats.org/officeDocument/2006/relationships" ref="C281" r:id="rId346"/>
    <hyperlink xmlns:r="http://schemas.openxmlformats.org/officeDocument/2006/relationships" ref="I281" r:id="rId347"/>
    <hyperlink xmlns:r="http://schemas.openxmlformats.org/officeDocument/2006/relationships" ref="C282" r:id="rId348"/>
    <hyperlink xmlns:r="http://schemas.openxmlformats.org/officeDocument/2006/relationships" ref="C283" r:id="rId349"/>
    <hyperlink xmlns:r="http://schemas.openxmlformats.org/officeDocument/2006/relationships" ref="I283" r:id="rId350"/>
    <hyperlink xmlns:r="http://schemas.openxmlformats.org/officeDocument/2006/relationships" ref="C284" r:id="rId351"/>
    <hyperlink xmlns:r="http://schemas.openxmlformats.org/officeDocument/2006/relationships" ref="I284" r:id="rId352"/>
    <hyperlink xmlns:r="http://schemas.openxmlformats.org/officeDocument/2006/relationships" ref="C285" r:id="rId353"/>
    <hyperlink xmlns:r="http://schemas.openxmlformats.org/officeDocument/2006/relationships" ref="I285" r:id="rId354"/>
    <hyperlink xmlns:r="http://schemas.openxmlformats.org/officeDocument/2006/relationships" ref="C286" r:id="rId355"/>
    <hyperlink xmlns:r="http://schemas.openxmlformats.org/officeDocument/2006/relationships" ref="I286" r:id="rId356"/>
    <hyperlink xmlns:r="http://schemas.openxmlformats.org/officeDocument/2006/relationships" ref="C287" r:id="rId357"/>
    <hyperlink xmlns:r="http://schemas.openxmlformats.org/officeDocument/2006/relationships" ref="C288" r:id="rId358"/>
    <hyperlink xmlns:r="http://schemas.openxmlformats.org/officeDocument/2006/relationships" ref="C289" r:id="rId359"/>
    <hyperlink xmlns:r="http://schemas.openxmlformats.org/officeDocument/2006/relationships" ref="C290" r:id="rId360"/>
    <hyperlink xmlns:r="http://schemas.openxmlformats.org/officeDocument/2006/relationships" ref="I290" r:id="rId361"/>
    <hyperlink xmlns:r="http://schemas.openxmlformats.org/officeDocument/2006/relationships" ref="C291" r:id="rId362"/>
    <hyperlink xmlns:r="http://schemas.openxmlformats.org/officeDocument/2006/relationships" ref="C292" r:id="rId363"/>
    <hyperlink xmlns:r="http://schemas.openxmlformats.org/officeDocument/2006/relationships" ref="C293" r:id="rId364"/>
    <hyperlink xmlns:r="http://schemas.openxmlformats.org/officeDocument/2006/relationships" ref="I293" r:id="rId365"/>
    <hyperlink xmlns:r="http://schemas.openxmlformats.org/officeDocument/2006/relationships" ref="C294" r:id="rId366"/>
    <hyperlink xmlns:r="http://schemas.openxmlformats.org/officeDocument/2006/relationships" ref="I294" r:id="rId367"/>
    <hyperlink xmlns:r="http://schemas.openxmlformats.org/officeDocument/2006/relationships" ref="C295" r:id="rId368"/>
    <hyperlink xmlns:r="http://schemas.openxmlformats.org/officeDocument/2006/relationships" ref="I295" r:id="rId369"/>
    <hyperlink xmlns:r="http://schemas.openxmlformats.org/officeDocument/2006/relationships" ref="C296" r:id="rId370"/>
    <hyperlink xmlns:r="http://schemas.openxmlformats.org/officeDocument/2006/relationships" ref="C297" r:id="rId371"/>
    <hyperlink xmlns:r="http://schemas.openxmlformats.org/officeDocument/2006/relationships" ref="C298" r:id="rId372"/>
    <hyperlink xmlns:r="http://schemas.openxmlformats.org/officeDocument/2006/relationships" ref="I298" r:id="rId373"/>
    <hyperlink xmlns:r="http://schemas.openxmlformats.org/officeDocument/2006/relationships" ref="C299" r:id="rId374"/>
    <hyperlink xmlns:r="http://schemas.openxmlformats.org/officeDocument/2006/relationships" ref="I299" r:id="rId375"/>
    <hyperlink xmlns:r="http://schemas.openxmlformats.org/officeDocument/2006/relationships" ref="C300" r:id="rId376"/>
    <hyperlink xmlns:r="http://schemas.openxmlformats.org/officeDocument/2006/relationships" ref="I300" r:id="rId377"/>
    <hyperlink xmlns:r="http://schemas.openxmlformats.org/officeDocument/2006/relationships" ref="C301" r:id="rId378"/>
    <hyperlink xmlns:r="http://schemas.openxmlformats.org/officeDocument/2006/relationships" ref="I301" r:id="rId379"/>
    <hyperlink xmlns:r="http://schemas.openxmlformats.org/officeDocument/2006/relationships" ref="C302" r:id="rId380"/>
    <hyperlink xmlns:r="http://schemas.openxmlformats.org/officeDocument/2006/relationships" ref="I302" r:id="rId381"/>
    <hyperlink xmlns:r="http://schemas.openxmlformats.org/officeDocument/2006/relationships" ref="C303" r:id="rId382"/>
    <hyperlink xmlns:r="http://schemas.openxmlformats.org/officeDocument/2006/relationships" ref="I303" r:id="rId383"/>
    <hyperlink xmlns:r="http://schemas.openxmlformats.org/officeDocument/2006/relationships" ref="C304" r:id="rId384"/>
    <hyperlink xmlns:r="http://schemas.openxmlformats.org/officeDocument/2006/relationships" ref="I304" r:id="rId385"/>
    <hyperlink xmlns:r="http://schemas.openxmlformats.org/officeDocument/2006/relationships" ref="C305" r:id="rId386"/>
    <hyperlink xmlns:r="http://schemas.openxmlformats.org/officeDocument/2006/relationships" ref="I305" r:id="rId387"/>
    <hyperlink xmlns:r="http://schemas.openxmlformats.org/officeDocument/2006/relationships" ref="C306" r:id="rId388"/>
    <hyperlink xmlns:r="http://schemas.openxmlformats.org/officeDocument/2006/relationships" ref="C307" r:id="rId389"/>
    <hyperlink xmlns:r="http://schemas.openxmlformats.org/officeDocument/2006/relationships" ref="C308" r:id="rId390"/>
    <hyperlink xmlns:r="http://schemas.openxmlformats.org/officeDocument/2006/relationships" ref="I308" r:id="rId391"/>
    <hyperlink xmlns:r="http://schemas.openxmlformats.org/officeDocument/2006/relationships" ref="C309" r:id="rId392"/>
    <hyperlink xmlns:r="http://schemas.openxmlformats.org/officeDocument/2006/relationships" ref="I309" r:id="rId393"/>
    <hyperlink xmlns:r="http://schemas.openxmlformats.org/officeDocument/2006/relationships" ref="C310" r:id="rId394"/>
    <hyperlink xmlns:r="http://schemas.openxmlformats.org/officeDocument/2006/relationships" ref="C311" r:id="rId395"/>
    <hyperlink xmlns:r="http://schemas.openxmlformats.org/officeDocument/2006/relationships" ref="I311" r:id="rId396"/>
    <hyperlink xmlns:r="http://schemas.openxmlformats.org/officeDocument/2006/relationships" ref="C312" r:id="rId397"/>
    <hyperlink xmlns:r="http://schemas.openxmlformats.org/officeDocument/2006/relationships" ref="I312" r:id="rId398"/>
    <hyperlink xmlns:r="http://schemas.openxmlformats.org/officeDocument/2006/relationships" ref="C313" r:id="rId399"/>
    <hyperlink xmlns:r="http://schemas.openxmlformats.org/officeDocument/2006/relationships" ref="I313" r:id="rId400"/>
    <hyperlink xmlns:r="http://schemas.openxmlformats.org/officeDocument/2006/relationships" ref="C314" r:id="rId401"/>
    <hyperlink xmlns:r="http://schemas.openxmlformats.org/officeDocument/2006/relationships" ref="I314" r:id="rId402"/>
    <hyperlink xmlns:r="http://schemas.openxmlformats.org/officeDocument/2006/relationships" ref="C315" r:id="rId403"/>
    <hyperlink xmlns:r="http://schemas.openxmlformats.org/officeDocument/2006/relationships" ref="I315" r:id="rId404"/>
    <hyperlink xmlns:r="http://schemas.openxmlformats.org/officeDocument/2006/relationships" ref="C316" r:id="rId405"/>
    <hyperlink xmlns:r="http://schemas.openxmlformats.org/officeDocument/2006/relationships" ref="I316" r:id="rId406"/>
    <hyperlink xmlns:r="http://schemas.openxmlformats.org/officeDocument/2006/relationships" ref="C317" r:id="rId407"/>
    <hyperlink xmlns:r="http://schemas.openxmlformats.org/officeDocument/2006/relationships" ref="I317" r:id="rId408"/>
    <hyperlink xmlns:r="http://schemas.openxmlformats.org/officeDocument/2006/relationships" ref="C318" r:id="rId409"/>
    <hyperlink xmlns:r="http://schemas.openxmlformats.org/officeDocument/2006/relationships" ref="I318" r:id="rId410"/>
    <hyperlink xmlns:r="http://schemas.openxmlformats.org/officeDocument/2006/relationships" ref="C319" r:id="rId411"/>
    <hyperlink xmlns:r="http://schemas.openxmlformats.org/officeDocument/2006/relationships" ref="I319" r:id="rId412"/>
    <hyperlink xmlns:r="http://schemas.openxmlformats.org/officeDocument/2006/relationships" ref="C320" r:id="rId413"/>
    <hyperlink xmlns:r="http://schemas.openxmlformats.org/officeDocument/2006/relationships" ref="I320" r:id="rId414"/>
    <hyperlink xmlns:r="http://schemas.openxmlformats.org/officeDocument/2006/relationships" ref="C321" r:id="rId415"/>
    <hyperlink xmlns:r="http://schemas.openxmlformats.org/officeDocument/2006/relationships" ref="C322" r:id="rId416"/>
    <hyperlink xmlns:r="http://schemas.openxmlformats.org/officeDocument/2006/relationships" ref="C323" r:id="rId417"/>
    <hyperlink xmlns:r="http://schemas.openxmlformats.org/officeDocument/2006/relationships" ref="C324" r:id="rId418"/>
    <hyperlink xmlns:r="http://schemas.openxmlformats.org/officeDocument/2006/relationships" ref="I324" r:id="rId419"/>
    <hyperlink xmlns:r="http://schemas.openxmlformats.org/officeDocument/2006/relationships" ref="C325" r:id="rId420"/>
    <hyperlink xmlns:r="http://schemas.openxmlformats.org/officeDocument/2006/relationships" ref="C326" r:id="rId421"/>
    <hyperlink xmlns:r="http://schemas.openxmlformats.org/officeDocument/2006/relationships" ref="C327" r:id="rId422"/>
    <hyperlink xmlns:r="http://schemas.openxmlformats.org/officeDocument/2006/relationships" ref="C328" r:id="rId423"/>
    <hyperlink xmlns:r="http://schemas.openxmlformats.org/officeDocument/2006/relationships" ref="I328" r:id="rId424"/>
    <hyperlink xmlns:r="http://schemas.openxmlformats.org/officeDocument/2006/relationships" ref="C329" r:id="rId425"/>
    <hyperlink xmlns:r="http://schemas.openxmlformats.org/officeDocument/2006/relationships" ref="C330" r:id="rId426"/>
    <hyperlink xmlns:r="http://schemas.openxmlformats.org/officeDocument/2006/relationships" ref="C331" r:id="rId427"/>
    <hyperlink xmlns:r="http://schemas.openxmlformats.org/officeDocument/2006/relationships" ref="I331" r:id="rId428"/>
    <hyperlink xmlns:r="http://schemas.openxmlformats.org/officeDocument/2006/relationships" ref="C332" r:id="rId429"/>
    <hyperlink xmlns:r="http://schemas.openxmlformats.org/officeDocument/2006/relationships" ref="I332" r:id="rId430"/>
    <hyperlink xmlns:r="http://schemas.openxmlformats.org/officeDocument/2006/relationships" ref="C333" r:id="rId431"/>
    <hyperlink xmlns:r="http://schemas.openxmlformats.org/officeDocument/2006/relationships" ref="C334" r:id="rId432"/>
    <hyperlink xmlns:r="http://schemas.openxmlformats.org/officeDocument/2006/relationships" ref="I334" r:id="rId433"/>
    <hyperlink xmlns:r="http://schemas.openxmlformats.org/officeDocument/2006/relationships" ref="C335" r:id="rId434"/>
    <hyperlink xmlns:r="http://schemas.openxmlformats.org/officeDocument/2006/relationships" ref="I335" r:id="rId435"/>
    <hyperlink xmlns:r="http://schemas.openxmlformats.org/officeDocument/2006/relationships" ref="C336" r:id="rId436"/>
    <hyperlink xmlns:r="http://schemas.openxmlformats.org/officeDocument/2006/relationships" ref="C337" r:id="rId437"/>
    <hyperlink xmlns:r="http://schemas.openxmlformats.org/officeDocument/2006/relationships" ref="C338" r:id="rId438"/>
    <hyperlink xmlns:r="http://schemas.openxmlformats.org/officeDocument/2006/relationships" ref="C339" r:id="rId439"/>
    <hyperlink xmlns:r="http://schemas.openxmlformats.org/officeDocument/2006/relationships" ref="C340" r:id="rId440"/>
    <hyperlink xmlns:r="http://schemas.openxmlformats.org/officeDocument/2006/relationships" ref="I340" r:id="rId441"/>
    <hyperlink xmlns:r="http://schemas.openxmlformats.org/officeDocument/2006/relationships" ref="C341" r:id="rId442"/>
    <hyperlink xmlns:r="http://schemas.openxmlformats.org/officeDocument/2006/relationships" ref="I341" r:id="rId443"/>
    <hyperlink xmlns:r="http://schemas.openxmlformats.org/officeDocument/2006/relationships" ref="C342" r:id="rId444"/>
    <hyperlink xmlns:r="http://schemas.openxmlformats.org/officeDocument/2006/relationships" ref="C343" r:id="rId445"/>
    <hyperlink xmlns:r="http://schemas.openxmlformats.org/officeDocument/2006/relationships" ref="I343" r:id="rId446"/>
    <hyperlink xmlns:r="http://schemas.openxmlformats.org/officeDocument/2006/relationships" ref="C344" r:id="rId447"/>
    <hyperlink xmlns:r="http://schemas.openxmlformats.org/officeDocument/2006/relationships" ref="I344" r:id="rId448"/>
    <hyperlink xmlns:r="http://schemas.openxmlformats.org/officeDocument/2006/relationships" ref="C345" r:id="rId449"/>
    <hyperlink xmlns:r="http://schemas.openxmlformats.org/officeDocument/2006/relationships" ref="C346" r:id="rId450"/>
    <hyperlink xmlns:r="http://schemas.openxmlformats.org/officeDocument/2006/relationships" ref="C347" r:id="rId451"/>
    <hyperlink xmlns:r="http://schemas.openxmlformats.org/officeDocument/2006/relationships" ref="I347" r:id="rId452"/>
    <hyperlink xmlns:r="http://schemas.openxmlformats.org/officeDocument/2006/relationships" ref="C348" r:id="rId453"/>
    <hyperlink xmlns:r="http://schemas.openxmlformats.org/officeDocument/2006/relationships" ref="C349" r:id="rId454"/>
    <hyperlink xmlns:r="http://schemas.openxmlformats.org/officeDocument/2006/relationships" ref="I349" r:id="rId455"/>
    <hyperlink xmlns:r="http://schemas.openxmlformats.org/officeDocument/2006/relationships" ref="C350" r:id="rId456"/>
    <hyperlink xmlns:r="http://schemas.openxmlformats.org/officeDocument/2006/relationships" ref="C351" r:id="rId457"/>
    <hyperlink xmlns:r="http://schemas.openxmlformats.org/officeDocument/2006/relationships" ref="I351" r:id="rId458"/>
    <hyperlink xmlns:r="http://schemas.openxmlformats.org/officeDocument/2006/relationships" ref="C352" r:id="rId459"/>
    <hyperlink xmlns:r="http://schemas.openxmlformats.org/officeDocument/2006/relationships" ref="C353" r:id="rId460"/>
    <hyperlink xmlns:r="http://schemas.openxmlformats.org/officeDocument/2006/relationships" ref="C354" r:id="rId461"/>
    <hyperlink xmlns:r="http://schemas.openxmlformats.org/officeDocument/2006/relationships" ref="C355" r:id="rId462"/>
    <hyperlink xmlns:r="http://schemas.openxmlformats.org/officeDocument/2006/relationships" ref="I355" r:id="rId463"/>
    <hyperlink xmlns:r="http://schemas.openxmlformats.org/officeDocument/2006/relationships" ref="C356" r:id="rId464"/>
    <hyperlink xmlns:r="http://schemas.openxmlformats.org/officeDocument/2006/relationships" ref="C357" r:id="rId465"/>
    <hyperlink xmlns:r="http://schemas.openxmlformats.org/officeDocument/2006/relationships" ref="C358" r:id="rId466"/>
    <hyperlink xmlns:r="http://schemas.openxmlformats.org/officeDocument/2006/relationships" ref="C359" r:id="rId467"/>
    <hyperlink xmlns:r="http://schemas.openxmlformats.org/officeDocument/2006/relationships" ref="I359" r:id="rId468"/>
    <hyperlink xmlns:r="http://schemas.openxmlformats.org/officeDocument/2006/relationships" ref="C360" r:id="rId469"/>
    <hyperlink xmlns:r="http://schemas.openxmlformats.org/officeDocument/2006/relationships" ref="C361" r:id="rId470"/>
    <hyperlink xmlns:r="http://schemas.openxmlformats.org/officeDocument/2006/relationships" ref="C362" r:id="rId471"/>
    <hyperlink xmlns:r="http://schemas.openxmlformats.org/officeDocument/2006/relationships" ref="I362" r:id="rId472"/>
    <hyperlink xmlns:r="http://schemas.openxmlformats.org/officeDocument/2006/relationships" ref="C363" r:id="rId473"/>
    <hyperlink xmlns:r="http://schemas.openxmlformats.org/officeDocument/2006/relationships" ref="I363" r:id="rId474"/>
    <hyperlink xmlns:r="http://schemas.openxmlformats.org/officeDocument/2006/relationships" ref="C364" r:id="rId475"/>
    <hyperlink xmlns:r="http://schemas.openxmlformats.org/officeDocument/2006/relationships" ref="I364" r:id="rId476"/>
    <hyperlink xmlns:r="http://schemas.openxmlformats.org/officeDocument/2006/relationships" ref="C365" r:id="rId477"/>
    <hyperlink xmlns:r="http://schemas.openxmlformats.org/officeDocument/2006/relationships" ref="I365" r:id="rId478"/>
    <hyperlink xmlns:r="http://schemas.openxmlformats.org/officeDocument/2006/relationships" ref="C366" r:id="rId479"/>
    <hyperlink xmlns:r="http://schemas.openxmlformats.org/officeDocument/2006/relationships" ref="C367" r:id="rId480"/>
    <hyperlink xmlns:r="http://schemas.openxmlformats.org/officeDocument/2006/relationships" ref="I367" r:id="rId481"/>
    <hyperlink xmlns:r="http://schemas.openxmlformats.org/officeDocument/2006/relationships" ref="C368" r:id="rId482"/>
    <hyperlink xmlns:r="http://schemas.openxmlformats.org/officeDocument/2006/relationships" ref="C369" r:id="rId483"/>
    <hyperlink xmlns:r="http://schemas.openxmlformats.org/officeDocument/2006/relationships" ref="I369" r:id="rId484"/>
    <hyperlink xmlns:r="http://schemas.openxmlformats.org/officeDocument/2006/relationships" ref="C370" r:id="rId485"/>
    <hyperlink xmlns:r="http://schemas.openxmlformats.org/officeDocument/2006/relationships" ref="C371" r:id="rId486"/>
    <hyperlink xmlns:r="http://schemas.openxmlformats.org/officeDocument/2006/relationships" ref="C372" r:id="rId487"/>
    <hyperlink xmlns:r="http://schemas.openxmlformats.org/officeDocument/2006/relationships" ref="I372" r:id="rId488"/>
    <hyperlink xmlns:r="http://schemas.openxmlformats.org/officeDocument/2006/relationships" ref="C373" r:id="rId489"/>
    <hyperlink xmlns:r="http://schemas.openxmlformats.org/officeDocument/2006/relationships" ref="I373" r:id="rId490"/>
    <hyperlink xmlns:r="http://schemas.openxmlformats.org/officeDocument/2006/relationships" ref="C374" r:id="rId491"/>
    <hyperlink xmlns:r="http://schemas.openxmlformats.org/officeDocument/2006/relationships" ref="I374" r:id="rId492"/>
    <hyperlink xmlns:r="http://schemas.openxmlformats.org/officeDocument/2006/relationships" ref="C375" r:id="rId493"/>
    <hyperlink xmlns:r="http://schemas.openxmlformats.org/officeDocument/2006/relationships" ref="I375" r:id="rId494"/>
    <hyperlink xmlns:r="http://schemas.openxmlformats.org/officeDocument/2006/relationships" ref="C376" r:id="rId495"/>
    <hyperlink xmlns:r="http://schemas.openxmlformats.org/officeDocument/2006/relationships" ref="I376" r:id="rId496"/>
    <hyperlink xmlns:r="http://schemas.openxmlformats.org/officeDocument/2006/relationships" ref="C377" r:id="rId497"/>
    <hyperlink xmlns:r="http://schemas.openxmlformats.org/officeDocument/2006/relationships" ref="I377" r:id="rId498"/>
    <hyperlink xmlns:r="http://schemas.openxmlformats.org/officeDocument/2006/relationships" ref="C378" r:id="rId499"/>
    <hyperlink xmlns:r="http://schemas.openxmlformats.org/officeDocument/2006/relationships" ref="C379" r:id="rId500"/>
    <hyperlink xmlns:r="http://schemas.openxmlformats.org/officeDocument/2006/relationships" ref="C380" r:id="rId501"/>
    <hyperlink xmlns:r="http://schemas.openxmlformats.org/officeDocument/2006/relationships" ref="C381" r:id="rId502"/>
    <hyperlink xmlns:r="http://schemas.openxmlformats.org/officeDocument/2006/relationships" ref="C382" r:id="rId503"/>
    <hyperlink xmlns:r="http://schemas.openxmlformats.org/officeDocument/2006/relationships" ref="C383" r:id="rId504"/>
    <hyperlink xmlns:r="http://schemas.openxmlformats.org/officeDocument/2006/relationships" ref="C384" r:id="rId505"/>
    <hyperlink xmlns:r="http://schemas.openxmlformats.org/officeDocument/2006/relationships" ref="I384" r:id="rId506"/>
    <hyperlink xmlns:r="http://schemas.openxmlformats.org/officeDocument/2006/relationships" ref="C385" r:id="rId507"/>
    <hyperlink xmlns:r="http://schemas.openxmlformats.org/officeDocument/2006/relationships" ref="I385" r:id="rId508"/>
    <hyperlink xmlns:r="http://schemas.openxmlformats.org/officeDocument/2006/relationships" ref="C386" r:id="rId509"/>
    <hyperlink xmlns:r="http://schemas.openxmlformats.org/officeDocument/2006/relationships" ref="C387" r:id="rId510"/>
    <hyperlink xmlns:r="http://schemas.openxmlformats.org/officeDocument/2006/relationships" ref="C388" r:id="rId511"/>
    <hyperlink xmlns:r="http://schemas.openxmlformats.org/officeDocument/2006/relationships" ref="I388" r:id="rId512"/>
    <hyperlink xmlns:r="http://schemas.openxmlformats.org/officeDocument/2006/relationships" ref="C389" r:id="rId513"/>
    <hyperlink xmlns:r="http://schemas.openxmlformats.org/officeDocument/2006/relationships" ref="I389" r:id="rId514"/>
    <hyperlink xmlns:r="http://schemas.openxmlformats.org/officeDocument/2006/relationships" ref="C390" r:id="rId515"/>
    <hyperlink xmlns:r="http://schemas.openxmlformats.org/officeDocument/2006/relationships" ref="I390" r:id="rId516"/>
    <hyperlink xmlns:r="http://schemas.openxmlformats.org/officeDocument/2006/relationships" ref="C391" r:id="rId517"/>
    <hyperlink xmlns:r="http://schemas.openxmlformats.org/officeDocument/2006/relationships" ref="C392" r:id="rId518"/>
    <hyperlink xmlns:r="http://schemas.openxmlformats.org/officeDocument/2006/relationships" ref="I392" r:id="rId519"/>
    <hyperlink xmlns:r="http://schemas.openxmlformats.org/officeDocument/2006/relationships" ref="C393" r:id="rId520"/>
    <hyperlink xmlns:r="http://schemas.openxmlformats.org/officeDocument/2006/relationships" ref="I393" r:id="rId521"/>
    <hyperlink xmlns:r="http://schemas.openxmlformats.org/officeDocument/2006/relationships" ref="C394" r:id="rId522"/>
    <hyperlink xmlns:r="http://schemas.openxmlformats.org/officeDocument/2006/relationships" ref="I394" r:id="rId523"/>
    <hyperlink xmlns:r="http://schemas.openxmlformats.org/officeDocument/2006/relationships" ref="C395" r:id="rId524"/>
    <hyperlink xmlns:r="http://schemas.openxmlformats.org/officeDocument/2006/relationships" ref="C396" r:id="rId525"/>
    <hyperlink xmlns:r="http://schemas.openxmlformats.org/officeDocument/2006/relationships" ref="C397" r:id="rId526"/>
    <hyperlink xmlns:r="http://schemas.openxmlformats.org/officeDocument/2006/relationships" ref="C398" r:id="rId527"/>
    <hyperlink xmlns:r="http://schemas.openxmlformats.org/officeDocument/2006/relationships" ref="I398" r:id="rId528"/>
    <hyperlink xmlns:r="http://schemas.openxmlformats.org/officeDocument/2006/relationships" ref="C399" r:id="rId529"/>
    <hyperlink xmlns:r="http://schemas.openxmlformats.org/officeDocument/2006/relationships" ref="C400" r:id="rId530"/>
    <hyperlink xmlns:r="http://schemas.openxmlformats.org/officeDocument/2006/relationships" ref="C401" r:id="rId531"/>
    <hyperlink xmlns:r="http://schemas.openxmlformats.org/officeDocument/2006/relationships" ref="C402" r:id="rId532"/>
    <hyperlink xmlns:r="http://schemas.openxmlformats.org/officeDocument/2006/relationships" ref="I402" r:id="rId533"/>
    <hyperlink xmlns:r="http://schemas.openxmlformats.org/officeDocument/2006/relationships" ref="C403" r:id="rId534"/>
    <hyperlink xmlns:r="http://schemas.openxmlformats.org/officeDocument/2006/relationships" ref="I403" r:id="rId535"/>
    <hyperlink xmlns:r="http://schemas.openxmlformats.org/officeDocument/2006/relationships" ref="C404" r:id="rId536"/>
    <hyperlink xmlns:r="http://schemas.openxmlformats.org/officeDocument/2006/relationships" ref="I404" r:id="rId537"/>
    <hyperlink xmlns:r="http://schemas.openxmlformats.org/officeDocument/2006/relationships" ref="C405" r:id="rId538"/>
    <hyperlink xmlns:r="http://schemas.openxmlformats.org/officeDocument/2006/relationships" ref="C406" r:id="rId539"/>
    <hyperlink xmlns:r="http://schemas.openxmlformats.org/officeDocument/2006/relationships" ref="C407" r:id="rId540"/>
    <hyperlink xmlns:r="http://schemas.openxmlformats.org/officeDocument/2006/relationships" ref="C408" r:id="rId541"/>
    <hyperlink xmlns:r="http://schemas.openxmlformats.org/officeDocument/2006/relationships" ref="C409" r:id="rId542"/>
    <hyperlink xmlns:r="http://schemas.openxmlformats.org/officeDocument/2006/relationships" ref="I409" r:id="rId543"/>
    <hyperlink xmlns:r="http://schemas.openxmlformats.org/officeDocument/2006/relationships" ref="C410" r:id="rId544"/>
    <hyperlink xmlns:r="http://schemas.openxmlformats.org/officeDocument/2006/relationships" ref="C411" r:id="rId545"/>
    <hyperlink xmlns:r="http://schemas.openxmlformats.org/officeDocument/2006/relationships" ref="C412" r:id="rId546"/>
    <hyperlink xmlns:r="http://schemas.openxmlformats.org/officeDocument/2006/relationships" ref="I412" r:id="rId547"/>
    <hyperlink xmlns:r="http://schemas.openxmlformats.org/officeDocument/2006/relationships" ref="C413" r:id="rId548"/>
    <hyperlink xmlns:r="http://schemas.openxmlformats.org/officeDocument/2006/relationships" ref="I413" r:id="rId549"/>
    <hyperlink xmlns:r="http://schemas.openxmlformats.org/officeDocument/2006/relationships" ref="C414" r:id="rId550"/>
    <hyperlink xmlns:r="http://schemas.openxmlformats.org/officeDocument/2006/relationships" ref="C415" r:id="rId551"/>
    <hyperlink xmlns:r="http://schemas.openxmlformats.org/officeDocument/2006/relationships" ref="C416" r:id="rId552"/>
    <hyperlink xmlns:r="http://schemas.openxmlformats.org/officeDocument/2006/relationships" ref="C417" r:id="rId553"/>
    <hyperlink xmlns:r="http://schemas.openxmlformats.org/officeDocument/2006/relationships" ref="C418" r:id="rId554"/>
    <hyperlink xmlns:r="http://schemas.openxmlformats.org/officeDocument/2006/relationships" ref="I418" r:id="rId555"/>
    <hyperlink xmlns:r="http://schemas.openxmlformats.org/officeDocument/2006/relationships" ref="C419" r:id="rId556"/>
    <hyperlink xmlns:r="http://schemas.openxmlformats.org/officeDocument/2006/relationships" ref="C420" r:id="rId557"/>
    <hyperlink xmlns:r="http://schemas.openxmlformats.org/officeDocument/2006/relationships" ref="C421" r:id="rId558"/>
    <hyperlink xmlns:r="http://schemas.openxmlformats.org/officeDocument/2006/relationships" ref="C422" r:id="rId559"/>
    <hyperlink xmlns:r="http://schemas.openxmlformats.org/officeDocument/2006/relationships" ref="I422" r:id="rId560"/>
    <hyperlink xmlns:r="http://schemas.openxmlformats.org/officeDocument/2006/relationships" ref="C423" r:id="rId561"/>
    <hyperlink xmlns:r="http://schemas.openxmlformats.org/officeDocument/2006/relationships" ref="I423" r:id="rId562"/>
    <hyperlink xmlns:r="http://schemas.openxmlformats.org/officeDocument/2006/relationships" ref="C424" r:id="rId563"/>
    <hyperlink xmlns:r="http://schemas.openxmlformats.org/officeDocument/2006/relationships" ref="I424" r:id="rId564"/>
    <hyperlink xmlns:r="http://schemas.openxmlformats.org/officeDocument/2006/relationships" ref="C425" r:id="rId565"/>
    <hyperlink xmlns:r="http://schemas.openxmlformats.org/officeDocument/2006/relationships" ref="I425" r:id="rId566"/>
    <hyperlink xmlns:r="http://schemas.openxmlformats.org/officeDocument/2006/relationships" ref="C426" r:id="rId567"/>
    <hyperlink xmlns:r="http://schemas.openxmlformats.org/officeDocument/2006/relationships" ref="I426" r:id="rId568"/>
    <hyperlink xmlns:r="http://schemas.openxmlformats.org/officeDocument/2006/relationships" ref="C427" r:id="rId569"/>
    <hyperlink xmlns:r="http://schemas.openxmlformats.org/officeDocument/2006/relationships" ref="I427" r:id="rId570"/>
    <hyperlink xmlns:r="http://schemas.openxmlformats.org/officeDocument/2006/relationships" ref="C428" r:id="rId571"/>
    <hyperlink xmlns:r="http://schemas.openxmlformats.org/officeDocument/2006/relationships" ref="C429" r:id="rId572"/>
    <hyperlink xmlns:r="http://schemas.openxmlformats.org/officeDocument/2006/relationships" ref="I429" r:id="rId573"/>
    <hyperlink xmlns:r="http://schemas.openxmlformats.org/officeDocument/2006/relationships" ref="C430" r:id="rId574"/>
    <hyperlink xmlns:r="http://schemas.openxmlformats.org/officeDocument/2006/relationships" ref="C431" r:id="rId575"/>
    <hyperlink xmlns:r="http://schemas.openxmlformats.org/officeDocument/2006/relationships" ref="C432" r:id="rId576"/>
    <hyperlink xmlns:r="http://schemas.openxmlformats.org/officeDocument/2006/relationships" ref="I432" r:id="rId577"/>
    <hyperlink xmlns:r="http://schemas.openxmlformats.org/officeDocument/2006/relationships" ref="C433" r:id="rId578"/>
    <hyperlink xmlns:r="http://schemas.openxmlformats.org/officeDocument/2006/relationships" ref="C434" r:id="rId579"/>
    <hyperlink xmlns:r="http://schemas.openxmlformats.org/officeDocument/2006/relationships" ref="C435" r:id="rId580"/>
    <hyperlink xmlns:r="http://schemas.openxmlformats.org/officeDocument/2006/relationships" ref="I435" r:id="rId581"/>
    <hyperlink xmlns:r="http://schemas.openxmlformats.org/officeDocument/2006/relationships" ref="C436" r:id="rId582"/>
    <hyperlink xmlns:r="http://schemas.openxmlformats.org/officeDocument/2006/relationships" ref="C437" r:id="rId583"/>
    <hyperlink xmlns:r="http://schemas.openxmlformats.org/officeDocument/2006/relationships" ref="C438" r:id="rId584"/>
    <hyperlink xmlns:r="http://schemas.openxmlformats.org/officeDocument/2006/relationships" ref="C439" r:id="rId585"/>
    <hyperlink xmlns:r="http://schemas.openxmlformats.org/officeDocument/2006/relationships" ref="C440" r:id="rId586"/>
    <hyperlink xmlns:r="http://schemas.openxmlformats.org/officeDocument/2006/relationships" ref="C441" r:id="rId587"/>
    <hyperlink xmlns:r="http://schemas.openxmlformats.org/officeDocument/2006/relationships" ref="I441" r:id="rId588"/>
    <hyperlink xmlns:r="http://schemas.openxmlformats.org/officeDocument/2006/relationships" ref="C442" r:id="rId589"/>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2.63" defaultRowHeight="15.75" customHeight="1"/>
  <cols>
    <col width="10.25" customWidth="1" style="185" min="1" max="1"/>
    <col width="53.63" customWidth="1" style="185" min="2" max="3"/>
    <col hidden="1" width="12.63" customWidth="1" style="185" min="5" max="6"/>
    <col width="13.75" customWidth="1" style="185" min="7" max="7"/>
    <col width="41.63" customWidth="1" style="185" min="9" max="9"/>
    <col width="16.88" customWidth="1" style="185" min="11" max="12"/>
  </cols>
  <sheetData>
    <row r="1" ht="57" customHeight="1" s="185">
      <c r="A1" s="51" t="n"/>
      <c r="B1" s="30" t="inlineStr">
        <is>
          <t>1. C列のURLを踏んでコラム記事を確認
2. 目次に「よくある質問」の有無を確認しG列に記入
3. 「よくある質問」が無かった場合、新規で「よくある質問」の追加可否（そもそも質問とか生じないテーマではないか）をH列に記入
4. H列が「可」の場合、どんな質問が想定されるか1記事当たり4つ考案してI列に記入</t>
        </is>
      </c>
      <c r="D1" s="31" t="n"/>
      <c r="E1" s="32" t="n"/>
      <c r="F1" s="32" t="n"/>
      <c r="G1" s="31" t="n"/>
      <c r="H1" s="47" t="n"/>
      <c r="I1" s="47" t="inlineStr">
        <is>
          <t>プロンプト例（GeminiPro推奨）
=======================
下記コラムに「よくある質問」の見出しを追加したい。
質問は一問一答形式。QとAは段落分けて。スプレッドシートの一つのセルにコピペしやすい形で出力。
目的としては、SEOにおけるLLMOおよびPAA対策。
コラム記事の主テーマに沿って読者が抱く疑問を基に3つ考案して。
"記事のURLを添付"
=======================</t>
        </is>
      </c>
      <c r="J1" s="41" t="inlineStr">
        <is>
          <t>↓お問い合わせ先はすべて下記URLに統一
https://dym.asia/media/recruiting-contact/
お問い合わせはこちらの前の訴求文は、なるべく自然になるように。</t>
        </is>
      </c>
      <c r="K1" s="47" t="n"/>
      <c r="L1" s="47" t="n"/>
      <c r="M1" s="47" t="n"/>
      <c r="N1" s="47" t="n"/>
      <c r="O1" s="47" t="n"/>
      <c r="P1" s="47" t="n"/>
      <c r="Q1" s="47" t="n"/>
      <c r="R1" s="47" t="n"/>
      <c r="S1" s="47" t="n"/>
      <c r="T1" s="47" t="n"/>
      <c r="U1" s="47" t="n"/>
      <c r="V1" s="47" t="n"/>
      <c r="W1" s="47" t="n"/>
      <c r="X1" s="47" t="n"/>
      <c r="Y1" s="47" t="n"/>
      <c r="Z1" s="47" t="n"/>
    </row>
    <row r="2">
      <c r="A2" s="51" t="n"/>
      <c r="B2" s="42" t="n"/>
      <c r="C2" s="31" t="n"/>
      <c r="D2" s="31" t="n"/>
      <c r="E2" s="32" t="n"/>
      <c r="F2" s="32" t="n"/>
      <c r="G2" s="31" t="n"/>
      <c r="H2" s="47" t="n"/>
      <c r="I2" s="47" t="n"/>
      <c r="J2" s="47" t="n"/>
      <c r="K2" s="47" t="n"/>
      <c r="L2" s="47" t="n"/>
      <c r="M2" s="47" t="n"/>
      <c r="N2" s="47" t="n"/>
      <c r="O2" s="47" t="n"/>
      <c r="P2" s="47" t="n"/>
      <c r="Q2" s="47" t="n"/>
      <c r="R2" s="47" t="n"/>
      <c r="S2" s="47" t="n"/>
      <c r="T2" s="47" t="n"/>
      <c r="U2" s="47" t="n"/>
      <c r="V2" s="47" t="n"/>
      <c r="W2" s="47" t="n"/>
      <c r="X2" s="47" t="n"/>
      <c r="Y2" s="47" t="n"/>
      <c r="Z2" s="47" t="n"/>
    </row>
    <row r="3">
      <c r="A3" s="1" t="inlineStr">
        <is>
          <t>No</t>
        </is>
      </c>
      <c r="B3" s="43" t="inlineStr">
        <is>
          <t>Title</t>
        </is>
      </c>
      <c r="C3" s="2" t="inlineStr">
        <is>
          <t>URL</t>
        </is>
      </c>
      <c r="D3" s="2" t="inlineStr">
        <is>
          <t>Query</t>
        </is>
      </c>
      <c r="E3" s="33" t="inlineStr">
        <is>
          <t>Clicks</t>
        </is>
      </c>
      <c r="F3" s="33" t="inlineStr">
        <is>
          <t>Position</t>
        </is>
      </c>
      <c r="G3" s="2" t="inlineStr">
        <is>
          <t>FAQ有無</t>
        </is>
      </c>
      <c r="H3" s="2" t="inlineStr">
        <is>
          <t>FAQ追加可否</t>
        </is>
      </c>
      <c r="I3" s="2" t="inlineStr">
        <is>
          <t>FAQ案</t>
        </is>
      </c>
      <c r="J3" s="34" t="inlineStr">
        <is>
          <t>メモ</t>
        </is>
      </c>
      <c r="K3" s="34" t="inlineStr">
        <is>
          <t>コンプラチェック</t>
        </is>
      </c>
      <c r="L3" s="34" t="inlineStr">
        <is>
          <t>管理部チェック</t>
        </is>
      </c>
      <c r="M3" s="47" t="n"/>
      <c r="N3" s="47" t="n"/>
      <c r="O3" s="47" t="n"/>
      <c r="P3" s="47" t="n"/>
      <c r="Q3" s="47" t="n"/>
      <c r="R3" s="47" t="n"/>
      <c r="S3" s="47" t="n"/>
      <c r="T3" s="47" t="n"/>
      <c r="U3" s="47" t="n"/>
      <c r="V3" s="47" t="n"/>
      <c r="W3" s="47" t="n"/>
      <c r="X3" s="47" t="n"/>
      <c r="Y3" s="47" t="n"/>
      <c r="Z3" s="47" t="n"/>
    </row>
    <row r="4" ht="15.75" customHeight="1" s="185">
      <c r="A4" s="52">
        <f>row()-3</f>
        <v/>
      </c>
      <c r="B4" s="46" t="inlineStr">
        <is>
          <t>INTP（論理学者）の性格・特徴は？相性や向いている仕事も解説！</t>
        </is>
      </c>
      <c r="C4" s="6" t="inlineStr">
        <is>
          <t>https://dym.asia/media/recruiting/intp/</t>
        </is>
      </c>
      <c r="D4" s="47" t="inlineStr">
        <is>
          <t>intp</t>
        </is>
      </c>
      <c r="E4" s="35" t="n">
        <v>2911</v>
      </c>
      <c r="F4" s="36" t="n">
        <v>4.819695043239413</v>
      </c>
      <c r="G4" s="47" t="inlineStr">
        <is>
          <t>なし</t>
        </is>
      </c>
      <c r="H4" s="47" t="inlineStr">
        <is>
          <t>可</t>
        </is>
      </c>
      <c r="I4" s="44" t="inlineStr">
        <is>
          <t>Q. INTP（論理学者）の特性を最も生かせる、具体的な職業や職種は何ですか？
A. INTPの強みは、論理的思考力と独創性です。これを活かせる職業としては、プログラマー、システムエンジニア、研究職、データサイエンティスト、大学教授などが挙げられます。特に、一人でじっくり問題を解決できる環境や、知的好奇心を満たせる分野が向いています。
Q. INTP（論理学者）が職場の人間関係やコミュニケーションで注意すべき点は何ですか？
A. INTPは感情表現が控えめで、冷たく見られることがあります。円滑に人間関係を築くためには、論理の正しさだけでなく、相手の気持ちや意図をくみ取る姿勢が大切です。結論を急がず、相手の意見や自由な考えを尊重することも心がけましょう。
Q. INTP-Aは「自己主張型」で自信があり、ストレスにも強いのが特徴です。INTP-Tは「慎重型」で自己批判的ですが、その分、物事を深く慎重に分析する傾向があります。日本人には、INTP-AよりもINTP-Tの方が多く見られます。
株式会社DYMでは、求職者様に対して様々な就職支援サービスを提供しております。
お問い合わせはこちら↓
https://dym.asia/media/recruiting-contact/</t>
        </is>
      </c>
      <c r="J4" s="47" t="n"/>
      <c r="K4" s="47" t="inlineStr">
        <is>
          <t>未確認</t>
        </is>
      </c>
      <c r="L4" s="47" t="inlineStr">
        <is>
          <t>未確認</t>
        </is>
      </c>
      <c r="M4" s="47" t="n"/>
      <c r="N4" s="47" t="n"/>
      <c r="O4" s="47" t="n"/>
      <c r="P4" s="47" t="n"/>
      <c r="Q4" s="47" t="n"/>
      <c r="R4" s="47" t="n"/>
      <c r="S4" s="47" t="n"/>
      <c r="T4" s="47" t="n"/>
      <c r="U4" s="47" t="n"/>
      <c r="V4" s="47" t="n"/>
      <c r="W4" s="47" t="n"/>
      <c r="X4" s="47" t="n"/>
      <c r="Y4" s="47" t="n"/>
      <c r="Z4" s="47" t="n"/>
    </row>
    <row r="5" ht="15.75" customHeight="1" s="185">
      <c r="A5" s="52">
        <f>row()-3</f>
        <v/>
      </c>
      <c r="B5" s="46" t="inlineStr">
        <is>
          <t>INFP（仲介者）の性格診断｜特徴や恋愛も解説</t>
        </is>
      </c>
      <c r="C5" s="6" t="inlineStr">
        <is>
          <t>https://dym.asia/media/recruiting/infp/</t>
        </is>
      </c>
      <c r="D5" s="47" t="inlineStr">
        <is>
          <t>infp 性格</t>
        </is>
      </c>
      <c r="E5" s="35" t="n">
        <v>2107</v>
      </c>
      <c r="F5" s="36" t="n">
        <v>4.604951121451458</v>
      </c>
      <c r="G5" s="47" t="inlineStr">
        <is>
          <t>なし</t>
        </is>
      </c>
      <c r="H5" s="47" t="inlineStr">
        <is>
          <t>可</t>
        </is>
      </c>
      <c r="I5" s="10" t="inlineStr">
        <is>
          <t>Q. INFP（仲介者）に向いている仕事の具体例を教えてください。
A. INFPは「深い共感力」「創造力」「独自の価値観」を持つため、これらの強みを活かせる仕事が向いています。たとえば、人の心に寄り添うカウンセラーや教師、独自の感性を表現できる作家やデザイナー、そして自分の信念に基づいて行動できるNPOやNGOの職員などが向いているでしょう。
Q. INFPの性格タイプにはINFP-AとINFP-Tの2種類あると聞きましたが、どのような違いがありますか？
A. INFP-Aは感情が安定していて自己評価も安定しているため、自信を持って行動しやすいタイプです。
一方、INFP-Tは感情の起伏がやや大きく、周囲の影響を敏感に受けやすい傾向があります。ただし、その繊細さゆえに深い共感力や独自の視点を持つことができるのも特徴です。
Q. 恋愛において、INFP（仲介者）はどのような価値観を大切にしますか？
A.INFPは恋愛で、表面的な楽しさよりも「心のつながり」を最も大切にします。理想主義的な性格から、自分と相手の価値観を深く理解し合い、魂レベルで共鳴できる関係を求めます。さらに、相手に対する深い共感力と誠実さを持ち、信頼と安心感のある関係を築こうとします。
株式会社DYMでは、求職者様に対して様々な就職支援サービスを提供しております。
お問い合わせはこちら↓
https://dym.asia/media/recruiting-contact/</t>
        </is>
      </c>
      <c r="J5" s="47" t="n"/>
      <c r="K5" s="47" t="inlineStr">
        <is>
          <t>未確認</t>
        </is>
      </c>
      <c r="L5" s="47" t="inlineStr">
        <is>
          <t>未確認</t>
        </is>
      </c>
      <c r="M5" s="47" t="n"/>
      <c r="N5" s="47" t="n"/>
      <c r="O5" s="47" t="n"/>
      <c r="P5" s="47" t="n"/>
      <c r="Q5" s="47" t="n"/>
      <c r="R5" s="47" t="n"/>
      <c r="S5" s="47" t="n"/>
      <c r="T5" s="47" t="n"/>
      <c r="U5" s="47" t="n"/>
      <c r="V5" s="47" t="n"/>
      <c r="W5" s="47" t="n"/>
      <c r="X5" s="47" t="n"/>
      <c r="Y5" s="47" t="n"/>
      <c r="Z5" s="47" t="n"/>
    </row>
    <row r="6" ht="15.75" customHeight="1" s="185">
      <c r="A6" s="52">
        <f>row()-3</f>
        <v/>
      </c>
      <c r="B6" s="46" t="inlineStr">
        <is>
          <t>ESFJ（領事官）の性格診断、相性、仕事を紹介</t>
        </is>
      </c>
      <c r="C6" s="6" t="inlineStr">
        <is>
          <t>https://dym.asia/media/recruiting/esfj/</t>
        </is>
      </c>
      <c r="D6" s="47" t="inlineStr">
        <is>
          <t>領事館 mbti</t>
        </is>
      </c>
      <c r="E6" s="35" t="n">
        <v>1301</v>
      </c>
      <c r="F6" s="36" t="n">
        <v>4.568299335441914</v>
      </c>
      <c r="G6" s="47" t="inlineStr">
        <is>
          <t>なし</t>
        </is>
      </c>
      <c r="H6" s="47" t="inlineStr">
        <is>
          <t>可</t>
        </is>
      </c>
      <c r="I6" s="10" t="inlineStr">
        <is>
          <t>Q. ESFJ（領事官）の強みと弱みを教えてください。
A. ESFJの強みは、「協調性や社交性が高い」「周囲への気配りやサポートができる」「責任感があり組織的に行動できる」点です。人とのつながりを大切にしながら、チームをまとめて物事をやり遂げられます。一方で弱みとしては、「他人の承認に頼りすぎる」「感情の起伏が激しい」「柔軟性に欠ける」ことがあります。周囲の意見に振り回されやすかったり、急な変化に対応しづらいこともあります。
Q. ESFJ（領事官）はどのような職業に向いていますか？
A. ESFJは社交性や協調性、責任感を活かせる仕事が向いています。たとえば、教師や看護師などの教育・医療系、顧客対応の多い営業やサービス業、組織を支える事務職や管理職などです。人の役に立っていることを実感できる環境で特に力を発揮します。
Q. ESFJ（領事官）と相性の良い性格タイプはどれですか？
A. ESFJと相性が良いのは、ISFP（冒険家）やISTP（巨匠）のように内向的でも献身を評価してくれるタイプ、またはENFP（広報運動家）やENTP（討論者）のように社交的でアイデア豊かなタイプです。ESFJの計画性と、相手の柔軟性や独創性がうまく補完し合える組み合わせが良好とされています。
株式会社DYMでは、求職者様に対して様々な就職支援サービスを提供しております。
お問い合わせはこちら↓
https://dym.asia/media/recruiting-contact/</t>
        </is>
      </c>
      <c r="J6" s="47" t="n"/>
      <c r="K6" s="47" t="inlineStr">
        <is>
          <t>未確認</t>
        </is>
      </c>
      <c r="L6" s="47" t="inlineStr">
        <is>
          <t>未確認</t>
        </is>
      </c>
      <c r="M6" s="47" t="n"/>
      <c r="N6" s="47" t="n"/>
      <c r="O6" s="47" t="n"/>
      <c r="P6" s="47" t="n"/>
      <c r="Q6" s="47" t="n"/>
      <c r="R6" s="47" t="n"/>
      <c r="S6" s="47" t="n"/>
      <c r="T6" s="47" t="n"/>
      <c r="U6" s="47" t="n"/>
      <c r="V6" s="47" t="n"/>
      <c r="W6" s="47" t="n"/>
      <c r="X6" s="47" t="n"/>
      <c r="Y6" s="47" t="n"/>
      <c r="Z6" s="47" t="n"/>
    </row>
    <row r="7" ht="15.75" customHeight="1" s="185">
      <c r="A7" s="52">
        <f>row()-3</f>
        <v/>
      </c>
      <c r="B7" s="46" t="inlineStr">
        <is>
          <t>ENFP（広報運動家）の性格・相性・恋愛傾向を徹底解説！</t>
        </is>
      </c>
      <c r="C7" s="6" t="inlineStr">
        <is>
          <t>https://dym.asia/media/recruiting/enfp/</t>
        </is>
      </c>
      <c r="D7" s="47" t="inlineStr">
        <is>
          <t>enfp 性格</t>
        </is>
      </c>
      <c r="E7" s="35" t="n">
        <v>1042</v>
      </c>
      <c r="F7" s="36" t="n">
        <v>4.370199050266958</v>
      </c>
      <c r="G7" s="47" t="inlineStr">
        <is>
          <t>なし</t>
        </is>
      </c>
      <c r="H7" s="47" t="inlineStr">
        <is>
          <t>可</t>
        </is>
      </c>
      <c r="I7" s="10" t="inlineStr">
        <is>
          <t>Q. ENFP（広報運動家）に向いている仕事は、どのような職種ですか？
A. ENFPは創造力と社交性を活かせる仕事が向いています。具体的には、企画、広報、営業、コンサルタント、教育、クリエイティブ職など、人と関わりながら新しいアイデアを活かせる職種です。ルーティンワークよりも自由度が高く、変化のある環境でこそ力を発揮できます。
Q. ENFP（広報運動家）が仕事や私生活で抱えやすい悩みや短所は何ですか？
A. ENFPは、新しいことにすぐ興味が移りやすく、飽きっぽい傾向があります。また、感情の起伏が激しく、論理より感情を優先しがちなところもあります。計画を立てて一つのことに集中するのが苦手な場合もあり、理想と現実のギャップに悩んだり、タスク管理で困ることがあります。
Q. ENFP（広報運動家）が恋愛で求めるものや、相性の良い相手のタイプを教えてください。
A. ENFPは恋愛で、表面的な楽しさより「感情的な深いつながり」と「自由な自己表現の尊重」を重視します。一緒にいて情熱やインスピレーションを感じられる関係を理想としています。相性の良いタイプは、ENFJ（主人公）やINFJ（提唱者）など、ENFPの自由な考えを理解し尊重してくれるタイプです。
株式会社DYMでは、求職者様に対して様々な就職支援サービスを提供しております。
お問い合わせはこちら↓
https://dym.asia/media/recruiting-contact/</t>
        </is>
      </c>
      <c r="J7" s="47" t="n"/>
      <c r="K7" s="47" t="inlineStr">
        <is>
          <t>未確認</t>
        </is>
      </c>
      <c r="L7" s="47" t="inlineStr">
        <is>
          <t>未確認</t>
        </is>
      </c>
      <c r="M7" s="47" t="n"/>
      <c r="N7" s="47" t="n"/>
      <c r="O7" s="47" t="n"/>
      <c r="P7" s="47" t="n"/>
      <c r="Q7" s="47" t="n"/>
      <c r="R7" s="47" t="n"/>
      <c r="S7" s="47" t="n"/>
      <c r="T7" s="47" t="n"/>
      <c r="U7" s="47" t="n"/>
      <c r="V7" s="47" t="n"/>
      <c r="W7" s="47" t="n"/>
      <c r="X7" s="47" t="n"/>
      <c r="Y7" s="47" t="n"/>
      <c r="Z7" s="47" t="n"/>
    </row>
    <row r="8" ht="15.75" customHeight="1" s="185">
      <c r="A8" s="52">
        <f>row()-3</f>
        <v/>
      </c>
      <c r="B8" s="46" t="inlineStr">
        <is>
          <t>ESTP（起業家）の性格と特徴｜16Personalities診断でわかる相性</t>
        </is>
      </c>
      <c r="C8" s="6" t="inlineStr">
        <is>
          <t>https://dym.asia/media/recruiting/estp/</t>
        </is>
      </c>
      <c r="D8" s="47" t="inlineStr">
        <is>
          <t>estp</t>
        </is>
      </c>
      <c r="E8" s="35" t="n">
        <v>939</v>
      </c>
      <c r="F8" s="36" t="n">
        <v>5.274746541020619</v>
      </c>
      <c r="G8" s="47" t="inlineStr">
        <is>
          <t>なし</t>
        </is>
      </c>
      <c r="H8" s="47" t="inlineStr">
        <is>
          <t>可</t>
        </is>
      </c>
      <c r="I8" s="10" t="inlineStr">
        <is>
          <t>Q. ESTP（起業家）の最も大きな長所と短所は何ですか？
A. ESTPの大きな長所は、「柔軟な対応力」「コミュニケーション力の高さ」「危機管理能力」です。行動力があり、その場の状況に合わせて臨機応変に対応し、問題を解決することができます。一方、短所としては「衝動的になりやすい」「長期的な計画が苦手」「繊細さに欠ける」ことがあります。深く考えず行動してしまったり、他人の気持ちに配慮しきれないことがある点に注意が必要です。
Q. ESTP（起業家）に向いている、能力を活かせる仕事の分野を教えてください。
A. ESTPは行動力や現実的な問題解決力、社交性を活かせる仕事が向いています。具体例としては、営業職、起業家、コンサルタント、トレーダー、警察官、消防士など、現場で素早く判断し実践できる職種です。刺激的で変化の多い環境ほど能力を発揮しやすいでしょう。
Q. ESTP（起業家）と最も相性が良いとされる性格タイプは何ですか？
A. ESTPと相性が良いのは、ISFJ（擁護者）やISTJ（管理者）です。ESTPの行動力や柔軟な発想に対して、これらのタイプは安定性や計画性、細かい配慮を提供できます。特に、ESTPの大胆さとISTJの堅実さが組み合わさると、効率よく物事を達成できる関係になります。
株式会社DYMでは、求職者様に対して様々な就職支援サービスを提供しております。
お問い合わせはこちら↓
https://dym.asia/media/recruiting-contact/</t>
        </is>
      </c>
      <c r="J8" s="47" t="n"/>
      <c r="K8" s="47" t="inlineStr">
        <is>
          <t>未確認</t>
        </is>
      </c>
      <c r="L8" s="47" t="inlineStr">
        <is>
          <t>未確認</t>
        </is>
      </c>
      <c r="M8" s="47" t="n"/>
      <c r="N8" s="47" t="n"/>
      <c r="O8" s="47" t="n"/>
      <c r="P8" s="47" t="n"/>
      <c r="Q8" s="47" t="n"/>
      <c r="R8" s="47" t="n"/>
      <c r="S8" s="47" t="n"/>
      <c r="T8" s="47" t="n"/>
      <c r="U8" s="47" t="n"/>
      <c r="V8" s="47" t="n"/>
      <c r="W8" s="47" t="n"/>
      <c r="X8" s="47" t="n"/>
      <c r="Y8" s="47" t="n"/>
      <c r="Z8" s="47" t="n"/>
    </row>
    <row r="9" ht="15.75" customHeight="1" s="185">
      <c r="A9" s="52">
        <f>row()-3</f>
        <v/>
      </c>
      <c r="B9" s="46" t="inlineStr">
        <is>
          <t>ISTP（巨匠）の性格と相性｜16Personalities診断でわかる特徴</t>
        </is>
      </c>
      <c r="C9" s="6" t="inlineStr">
        <is>
          <t>https://dym.asia/media/recruiting/istp/</t>
        </is>
      </c>
      <c r="D9" s="47" t="inlineStr">
        <is>
          <t>istp</t>
        </is>
      </c>
      <c r="E9" s="35" t="n">
        <v>924</v>
      </c>
      <c r="F9" s="36" t="n">
        <v>5.795034954194692</v>
      </c>
      <c r="G9" s="47" t="inlineStr">
        <is>
          <t>なし</t>
        </is>
      </c>
      <c r="H9" s="47" t="inlineStr">
        <is>
          <t>可</t>
        </is>
      </c>
      <c r="I9" s="10" t="inlineStr">
        <is>
          <t>Q. ISTP（巨匠）が仕事を選ぶ上で最も重視すべきポイントは何ですか？
A. ISTPは「論理的思考力」「問題解決力」「手先の器用さ」といったスキルを活かせる仕事を選ぶことが大切です。具体的には、エンジニア、技術職、職人、データアナリストなど、一人で集中して作業でき、自由な裁量や即応性が求められる環境が向いています。こうした環境ではモチベーションを高く保ちやすくなります。
Q. ISTP（巨匠）の性格からくる恋愛傾向や、心を開くサインを教えてください。
A. ISTPは感情表現が控えめで、恋愛でも自立したクールな関係を好みます。束縛や干渉を嫌い、自分のペースを尊重してくれる相手に惹かれます。心を開くサインとしては、自分の趣味や専門分野について話す時間が増えたり、手助けや問題解決といった実用的な行動で愛情を示したりする傾向があります。
Q. ISTP（巨匠）は集団生活や人間関係でどのような点に悩みやすいですか？
A.ISTPは内向的で感情表現が苦手なため、周囲から「何を考えているかわからない」「冷たい」と誤解されやすく、孤立しやすい傾向があります。また、規則や計画、他人からの干渉を嫌うため、組織の中で窮屈さを感じたり、ストレスを抱えやすいこともあります。
株式会社DYMでは、求職者様に対して様々な就職支援サービスを提供しております。
お問い合わせはこちら↓
https://dym.asia/media/recruiting-contact/</t>
        </is>
      </c>
      <c r="J9" s="47" t="n"/>
      <c r="K9" s="47" t="inlineStr">
        <is>
          <t>未確認</t>
        </is>
      </c>
      <c r="L9" s="47" t="inlineStr">
        <is>
          <t>未確認</t>
        </is>
      </c>
      <c r="M9" s="47" t="n"/>
      <c r="N9" s="47" t="n"/>
      <c r="O9" s="47" t="n"/>
      <c r="P9" s="47" t="n"/>
      <c r="Q9" s="47" t="n"/>
      <c r="R9" s="47" t="n"/>
      <c r="S9" s="47" t="n"/>
      <c r="T9" s="47" t="n"/>
      <c r="U9" s="47" t="n"/>
      <c r="V9" s="47" t="n"/>
      <c r="W9" s="47" t="n"/>
      <c r="X9" s="47" t="n"/>
      <c r="Y9" s="47" t="n"/>
      <c r="Z9" s="47" t="n"/>
    </row>
    <row r="10" ht="15.75" customHeight="1" s="185">
      <c r="A10" s="52">
        <f>row()-3</f>
        <v/>
      </c>
      <c r="B10" s="46" t="inlineStr">
        <is>
          <t>ENTP（討論者）の性格特徴！相性・恋愛・仕事は？</t>
        </is>
      </c>
      <c r="C10" s="6" t="inlineStr">
        <is>
          <t>https://dym.asia/media/recruiting/entp/</t>
        </is>
      </c>
      <c r="D10" s="47" t="inlineStr">
        <is>
          <t>entp</t>
        </is>
      </c>
      <c r="E10" s="35" t="n">
        <v>644</v>
      </c>
      <c r="F10" s="36" t="n">
        <v>5.576452208296753</v>
      </c>
      <c r="G10" s="47" t="inlineStr">
        <is>
          <t>なし</t>
        </is>
      </c>
      <c r="H10" s="47" t="inlineStr">
        <is>
          <t>可</t>
        </is>
      </c>
      <c r="I10" s="10" t="inlineStr">
        <is>
          <t>Q. ENTP（討論者）が仕事で能力を発揮しやすい環境や、向いている職業は何ですか？
A. ENTPは革新的なアイデアと論理的思考を活かせる、自由度の高い環境で力を発揮します。具体的には、起業家、戦略コンサルタント、新規事業開発、マーケティング、弁護士など、常に新しい課題に挑戦し、議論やブレーンストーミングを通して解決策を生み出せる職業が向いています。ルーティンワークよりも、変化や挑戦の多い環境が合っています。
Q. ENTP（討論者）が人間関係や恋愛で心を開くために必要な要素は何ですか？
A. ENTPは感情的な共感よりも「知的な刺激」を重視します。議論やアイデアのやり取りを楽しめる相手に心を開きやすいです。恋愛では、自分の価値観を尊重し、束縛せず、知的好奇心を満たしてくれる自立したパートナーを求めます。議論を楽しみながらお互いを高め合える関係が理想です。
Q. ENTP（討論者）が最も嫌うことや、モチベーションを下げるNG行動・言葉は何ですか？
A. ENTPは「自由な発想を制限されること」や「常識に縛られること」が苦手です。「それは無理だ」「ルール通りにやれ」「常識で考えろ」といった言葉は、モチベーションを大きく下げます。また、非論理的な主張や議論を避ける態度にも強い不満を感じます。
株式会社DYMでは、求職者様に対して様々な就職支援サービスを提供しております。
お問い合わせはこちら↓
https://dym.asia/media/recruiting-contact/</t>
        </is>
      </c>
      <c r="J10" s="47" t="n"/>
      <c r="K10" s="47" t="inlineStr">
        <is>
          <t>未確認</t>
        </is>
      </c>
      <c r="L10" s="47" t="inlineStr">
        <is>
          <t>未確認</t>
        </is>
      </c>
      <c r="M10" s="47" t="n"/>
      <c r="N10" s="47" t="n"/>
      <c r="O10" s="47" t="n"/>
      <c r="P10" s="47" t="n"/>
      <c r="Q10" s="47" t="n"/>
      <c r="R10" s="47" t="n"/>
      <c r="S10" s="47" t="n"/>
      <c r="T10" s="47" t="n"/>
      <c r="U10" s="47" t="n"/>
      <c r="V10" s="47" t="n"/>
      <c r="W10" s="47" t="n"/>
      <c r="X10" s="47" t="n"/>
      <c r="Y10" s="47" t="n"/>
      <c r="Z10" s="47" t="n"/>
    </row>
    <row r="11" ht="15.75" customHeight="1" s="185">
      <c r="A11" s="52">
        <f>row()-3</f>
        <v/>
      </c>
      <c r="B11" s="46" t="inlineStr">
        <is>
          <t>INFJ（提唱者）の基本性格と相性！男女別の特徴やあるあるも解説</t>
        </is>
      </c>
      <c r="C11" s="6" t="inlineStr">
        <is>
          <t>https://dym.asia/media/recruiting/infj/</t>
        </is>
      </c>
      <c r="D11" s="47" t="inlineStr">
        <is>
          <t>infj</t>
        </is>
      </c>
      <c r="E11" s="35" t="n">
        <v>561</v>
      </c>
      <c r="F11" s="36" t="n">
        <v>3.598195237054181</v>
      </c>
      <c r="G11" s="47" t="inlineStr">
        <is>
          <t>なし</t>
        </is>
      </c>
      <c r="H11" s="47" t="inlineStr">
        <is>
          <t>可</t>
        </is>
      </c>
      <c r="I11" s="10" t="inlineStr">
        <is>
          <t>Q. INFJ（提唱者）の最大の特徴である「共感力」と「理想主義」は、仕事でどのように活かせますか？
A. INFJの強みである「共感力」と「深い洞察力」は、人の気持ちや社会の問題の本質を理解するのに役立ちます。これを活かせる仕事としては、カウンセラー、教師、社会福祉士、人事、ライター、デザイナーなど、人の成長や社会貢献に直結する分野が向いています。理想や情熱を具体的な行動につなげることがポイントです。
Q. INFJ（提唱者）が人間関係や恋愛で抱えやすい悩みや、相性の良い相手のタイプは何ですか？
A. INFJは他人の気持ちに敏感すぎるあまり、自己犠牲的になりやすく、自分の深い内面が理解されにくいことで孤独を感じることがあります。恋愛では、精神的に深くつながれる関係を求めます。相性が良いのは、ENFP（広報運動家）やENFJ（主人公）など、お互いの理想を理解し、静かに支え合えるタイプです。
Q. INFJ（提唱者）のサブタイプであるINFJ-AとINFJ-Tの違いは何ですか？
A. INFJ-T（慎重型）は完璧主義で、他人の評価に敏感なため不安を感じやすいですが、その分自己改善意識が高いのが特徴です。
INFJ-A（自己主張型）は、自分の判断に自信があり、ストレス耐性が高く、困難な状況でも冷静さを保てる傾向があります。
株式会社DYMでは、求職者様に対して様々な就職支援サービスを提供しております。
お問い合わせはこちら↓
https://dym.asia/media/recruiting-contact/</t>
        </is>
      </c>
      <c r="J11" s="47" t="n"/>
      <c r="K11" s="47" t="inlineStr">
        <is>
          <t>未確認</t>
        </is>
      </c>
      <c r="L11" s="47" t="inlineStr">
        <is>
          <t>未確認</t>
        </is>
      </c>
      <c r="M11" s="47" t="n"/>
      <c r="N11" s="47" t="n"/>
      <c r="O11" s="47" t="n"/>
      <c r="P11" s="47" t="n"/>
      <c r="Q11" s="47" t="n"/>
      <c r="R11" s="47" t="n"/>
      <c r="S11" s="47" t="n"/>
      <c r="T11" s="47" t="n"/>
      <c r="U11" s="47" t="n"/>
      <c r="V11" s="47" t="n"/>
      <c r="W11" s="47" t="n"/>
      <c r="X11" s="47" t="n"/>
      <c r="Y11" s="47" t="n"/>
      <c r="Z11" s="47" t="n"/>
    </row>
    <row r="12" ht="15.75" customHeight="1" s="185">
      <c r="A12" s="52">
        <f>row()-3</f>
        <v/>
      </c>
      <c r="B12" s="46" t="inlineStr">
        <is>
          <t>メンタルを強くする方法5選｜心を鍛える習慣も紹介</t>
        </is>
      </c>
      <c r="C12" s="6" t="inlineStr">
        <is>
          <t>https://dym.asia/media/recruiting/how-to-strengthen-mentality/</t>
        </is>
      </c>
      <c r="D12" s="47" t="inlineStr">
        <is>
          <t>メンタルを強くする方法</t>
        </is>
      </c>
      <c r="E12" s="35" t="n">
        <v>547</v>
      </c>
      <c r="F12" s="36" t="n">
        <v>2.545044209484944</v>
      </c>
      <c r="G12" s="47" t="inlineStr">
        <is>
          <t>なし</t>
        </is>
      </c>
      <c r="H12" s="47" t="inlineStr">
        <is>
          <t>可</t>
        </is>
      </c>
      <c r="I12" s="10" t="inlineStr">
        <is>
          <t>Q. メンタルが強い人になるために、日常生活で取り入れるべき具体的な習慣は何ですか？
A. メンタルを鍛えるためにおすすめの習慣は大きく3つあります。
ポジティブな思考を意識する：毎日、感謝できることや良かった出来事を簡単に書き出すだけでも、前向きな気持ちが育ちます。
小さな成功体験を積み重ねる：目標を小さく分けてひとつずつ達成することで、自信が自然に高まります。
運動と睡眠をしっかりとる：適度な運動と質の良い睡眠は、心身の健康を保ち、ストレスに負けない力をつけます。
Q. メンタルが弱い人が克服すべき、否定的な思考パターンにはどのようなものがありますか？
A. メンタルが弱い人によく見られるのは、自分を否定的に考えがち（自己肯定感の低さ）、他人と比べて落ち込みやすい、ストレスに弱く疲れやすい、という傾向です。克服するには、他人との比較をやめ、自分の成長に目を向け、失敗を学びに変える「レジリエンス（精神的回復力）」を意識して鍛えることが大切です。
Q. ストレス耐性を高めるために、仕事中や人間関係において実践できる対処法は何ですか？
A.ストレスを感じたときは、まず自分の感情を客観的に見ること（マインドフルネス）が有効です。
また、問題を「成長のチャンス」と捉えるリフレーミングも効果的です。さらに、メンタルが強い人と積極的に関わり、考え方や対処法を学ぶことも、ストレス耐性を高める上で役立ちます。
株式会社DYMでは、求職者様に対して様々な就職支援サービスを提供しております。
お問い合わせはこちら↓
https://dym.asia/media/recruiting-contact/</t>
        </is>
      </c>
      <c r="J12" s="47" t="n"/>
      <c r="K12" s="47" t="inlineStr">
        <is>
          <t>未確認</t>
        </is>
      </c>
      <c r="L12" s="47" t="inlineStr">
        <is>
          <t>未確認</t>
        </is>
      </c>
      <c r="M12" s="47" t="n"/>
      <c r="N12" s="47" t="n"/>
      <c r="O12" s="47" t="n"/>
      <c r="P12" s="47" t="n"/>
      <c r="Q12" s="47" t="n"/>
      <c r="R12" s="47" t="n"/>
      <c r="S12" s="47" t="n"/>
      <c r="T12" s="47" t="n"/>
      <c r="U12" s="47" t="n"/>
      <c r="V12" s="47" t="n"/>
      <c r="W12" s="47" t="n"/>
      <c r="X12" s="47" t="n"/>
      <c r="Y12" s="47" t="n"/>
      <c r="Z12" s="47" t="n"/>
    </row>
    <row r="13" ht="15.75" customHeight="1" s="185">
      <c r="A13" s="52">
        <f>row()-3</f>
        <v/>
      </c>
      <c r="B13" s="46" t="inlineStr">
        <is>
          <t>ISTJ（管理者）の性格と恋愛傾向は？仕事や相性も解説！</t>
        </is>
      </c>
      <c r="C13" s="6" t="inlineStr">
        <is>
          <t>https://dym.asia/media/recruiting/istj/</t>
        </is>
      </c>
      <c r="D13" s="47" t="inlineStr">
        <is>
          <t>istj 性格</t>
        </is>
      </c>
      <c r="E13" s="35" t="n">
        <v>471</v>
      </c>
      <c r="F13" s="36" t="n">
        <v>3.019265915321352</v>
      </c>
      <c r="G13" s="47" t="inlineStr">
        <is>
          <t>なし</t>
        </is>
      </c>
      <c r="H13" s="47" t="inlineStr">
        <is>
          <t>可</t>
        </is>
      </c>
      <c r="I13" s="10" t="inlineStr">
        <is>
          <t>Q. ISTJ（管理者）の強みである「責任感」や「計画性」を最も活かせる仕事や職業は何ですか？
A. ISTJは「責任感が強い」「正確」「ルールを守る」といった堅実な特性を活かせる仕事で力を発揮します。具体的には、会計士、公務員、エンジニア、システム管理者、品質管理、医療事務などが向いています。細かい作業や決められた手順を正確にこなす仕事で、ISTJの強みが最も発揮されます。
Q. ISTJ（管理者）が人間関係や恋愛で安定した関係を築くために必要なコミュニケーションの注意点は何ですか？
A.ISTJは感情よりも論理や事実を重視するため、コミュニケーションでは**「正確で具体的な内容」**を意識することが大切です。また、約束や規則を守り、感情的な批判ではなく事実に基づいた建設的なフィードバックを行うことで、信頼関係を築きやすくなります。
Q. ISTJ（管理者）のサブタイプであるISTJ-AとISTJ-Tは、どのような違いがありますか？
A. ISTJ-A（自己主張型）は、自分の判断や能力に自信があり、ストレスや批判に動じにくい安定感のあるタイプです。ISTJ-T（慎重型）は、自己批判的で完璧を目指すため、不確実なことや変化に敏感に反応します。どちらも堅実ですが、ISTJ-Tの方がより細かい部分に注意を払う傾向があります。
株式会社DYMでは、求職者様に対して様々な就職支援サービスを提供しております。
お問い合わせはこちら↓
https://dym.asia/media/recruiting-contact/</t>
        </is>
      </c>
      <c r="J13" s="47" t="n"/>
      <c r="K13" s="47" t="inlineStr">
        <is>
          <t>未確認</t>
        </is>
      </c>
      <c r="L13" s="47" t="inlineStr">
        <is>
          <t>未確認</t>
        </is>
      </c>
      <c r="M13" s="47" t="n"/>
      <c r="N13" s="47" t="n"/>
      <c r="O13" s="47" t="n"/>
      <c r="P13" s="47" t="n"/>
      <c r="Q13" s="47" t="n"/>
      <c r="R13" s="47" t="n"/>
      <c r="S13" s="47" t="n"/>
      <c r="T13" s="47" t="n"/>
      <c r="U13" s="47" t="n"/>
      <c r="V13" s="47" t="n"/>
      <c r="W13" s="47" t="n"/>
      <c r="X13" s="47" t="n"/>
      <c r="Y13" s="47" t="n"/>
      <c r="Z13" s="47" t="n"/>
    </row>
    <row r="14" ht="15.75" customHeight="1" s="185">
      <c r="A14" s="52">
        <f>row()-3</f>
        <v/>
      </c>
      <c r="B14" s="46" t="inlineStr">
        <is>
          <t>文系におすすめの職業一覧！専門職や高収入を狙える業界も紹介</t>
        </is>
      </c>
      <c r="C14" s="6" t="inlineStr">
        <is>
          <t>https://dym.asia/media/recruiting/humanities/</t>
        </is>
      </c>
      <c r="D14" s="47" t="inlineStr">
        <is>
          <t>文系 職業</t>
        </is>
      </c>
      <c r="E14" s="35" t="n">
        <v>427</v>
      </c>
      <c r="F14" s="36" t="n">
        <v>2.52338961851157</v>
      </c>
      <c r="G14" s="47" t="inlineStr">
        <is>
          <t>なし</t>
        </is>
      </c>
      <c r="H14" s="47" t="inlineStr">
        <is>
          <t>可</t>
        </is>
      </c>
      <c r="I14" s="10" t="inlineStr">
        <is>
          <t>Q. 文系出身者が高収入を目指しやすい、おすすめの業界や職種にはどのようなものがありますか？
A. 文系の方が高収入を目指しやすい業界としては、金融、IT・Web、コンサルティング、外資系企業、不動産などがあります。特に、経営コンサルタントのように専門知識や実績が求められる職種や、営業のように成果が給与に直結する職種は、文系の強みであるコミュニケーション力や論理的思考力を活かして高収入を狙いやすいです。
Q. 文系が就職活動でアピールすべき最大の強みと、それを裏付けるために取るべき行動は何ですか？
A. 文系の強みは、コミュニケーション力、論理的思考力、文章力、適応力などです。これをアピールするには、学生時代の経験や学びを具体的なエピソードと一緒に整理して話せるように自己分析を行うことが大切です。また、インターンシップで実務経験を積んだり、簿記検定や宅地建物取引士などの資格を取得したりすることで、専門性の裏付けにもなります。
Q. 文系におすすめの専門職にはどのような種類があり、それぞれどのような資格が必要ですか？
A. 文系向けの専門職には、法律・会計系の弁護士、公認会計士、行政書士のほか、心理やキャリアに関わる臨床心理士、キャリアコンサルタントなどがあります。多くの専門職では国家資格や専門資格が必要です。たとえば、弁護士になるには司法試験、行政書士になるには行政書士試験に合格する必要があります。
株式会社DYMでは、求職者様に対して様々な就職支援サービスを提供しております。
お問い合わせはこちら↓
https://dym.asia/media/recruiting-contact/</t>
        </is>
      </c>
      <c r="J14" s="47" t="n"/>
      <c r="K14" s="47" t="inlineStr">
        <is>
          <t>未確認</t>
        </is>
      </c>
      <c r="L14" s="47" t="inlineStr">
        <is>
          <t>未確認</t>
        </is>
      </c>
      <c r="M14" s="47" t="n"/>
      <c r="N14" s="47" t="n"/>
      <c r="O14" s="47" t="n"/>
      <c r="P14" s="47" t="n"/>
      <c r="Q14" s="47" t="n"/>
      <c r="R14" s="47" t="n"/>
      <c r="S14" s="47" t="n"/>
      <c r="T14" s="47" t="n"/>
      <c r="U14" s="47" t="n"/>
      <c r="V14" s="47" t="n"/>
      <c r="W14" s="47" t="n"/>
      <c r="X14" s="47" t="n"/>
      <c r="Y14" s="47" t="n"/>
      <c r="Z14" s="47" t="n"/>
    </row>
    <row r="15" ht="15.75" customHeight="1" s="185">
      <c r="A15" s="52">
        <f>row()-3</f>
        <v/>
      </c>
      <c r="B15" s="46" t="inlineStr">
        <is>
          <t>働きたくない人に向いてる仕事15選！自分に合った適職の見つけ方</t>
        </is>
      </c>
      <c r="C15" s="6" t="inlineStr">
        <is>
          <t>https://dym.asia/media/recruiting/15-jobs-for-not-working/</t>
        </is>
      </c>
      <c r="D15" s="47" t="inlineStr">
        <is>
          <t>自分に合った仕事</t>
        </is>
      </c>
      <c r="E15" s="35" t="n">
        <v>424</v>
      </c>
      <c r="F15" s="36" t="n">
        <v>4.90582624146638</v>
      </c>
      <c r="G15" s="47" t="inlineStr">
        <is>
          <t>なし</t>
        </is>
      </c>
      <c r="H15" s="47" t="inlineStr">
        <is>
          <t>可</t>
        </is>
      </c>
      <c r="I15" s="10" t="inlineStr">
        <is>
          <t>Q. 「働きたくない」と感じる人が、無理なく長く続けられる仕事（適職）を見つけるための重要なアプローチは何ですか？
A. 適職を見つけるには、「自分を知る」と「仕事を知る」の2つの視点から考えるのがポイントです。特に、自分が苦手なこと（人間関係のストレスやプレッシャーなど）をはっきりさせ、それが少ない仕事を消去法で絞っていく方法が効果的です。そして最終的には、他人の意見ではなく、自分自身で「この仕事が合っている」と感じることが大切です。
Q. 人間関係のストレスやプレッシャーが少なく、「一人で黙々とできる」仕事には、具体的にどのような職種がありますか？
A. 自分のペースで集中できる仕事には、Webライター、データ入力、翻訳、動画編集、システムエンジニア（SE）などの在宅・リモートワークが向いています。また、警備員、清掃員、ドライバー・配送業のように、個人で作業を完結できる仕事もおすすめです。こうした職種は、自分のペースで成果を出すことに集中できる環境を提供してくれます。
Q. 「やりたい仕事」と「向いている仕事」の違いは何ですか？適職を見つける上で、どのように考えれば良いですか？
A. 「やりたい仕事」は興味や憧れから選ぶもので、「向いている仕事」は自分の能力や性格と仕事がマッチし、自然に高い成果を出せる仕事を指します。ポイントは、やりたい仕事にこだわりすぎず、自分の強みを活かせて評価されやすい仕事を選び、経験を通じて少しずつ「自分に合った形に作り上げていく」という柔軟な考え方です。
株式会社DYMでは、求職者様に対して様々な就職支援サービスを提供しております。
お問い合わせはこちら↓
https://dym.asia/media/recruiting-contact/</t>
        </is>
      </c>
      <c r="J15" s="47" t="n"/>
      <c r="K15" s="47" t="inlineStr">
        <is>
          <t>未確認</t>
        </is>
      </c>
      <c r="L15" s="47" t="inlineStr">
        <is>
          <t>未確認</t>
        </is>
      </c>
      <c r="M15" s="47" t="n"/>
      <c r="N15" s="47" t="n"/>
      <c r="O15" s="47" t="n"/>
      <c r="P15" s="47" t="n"/>
      <c r="Q15" s="47" t="n"/>
      <c r="R15" s="47" t="n"/>
      <c r="S15" s="47" t="n"/>
      <c r="T15" s="47" t="n"/>
      <c r="U15" s="47" t="n"/>
      <c r="V15" s="47" t="n"/>
      <c r="W15" s="47" t="n"/>
      <c r="X15" s="47" t="n"/>
      <c r="Y15" s="47" t="n"/>
      <c r="Z15" s="47" t="n"/>
    </row>
    <row r="16" ht="15.75" customHeight="1" s="185">
      <c r="A16" s="52">
        <f>row()-3</f>
        <v/>
      </c>
      <c r="B16" s="46" t="inlineStr">
        <is>
          <t>ENTJ（指揮官）の性格と恋愛傾向｜16Personalities診断でわかる相性</t>
        </is>
      </c>
      <c r="C16" s="6" t="inlineStr">
        <is>
          <t>https://dym.asia/media/recruiting/entj/</t>
        </is>
      </c>
      <c r="D16" s="47" t="inlineStr">
        <is>
          <t>entj 恋愛 男</t>
        </is>
      </c>
      <c r="E16" s="35" t="n">
        <v>408</v>
      </c>
      <c r="F16" s="36" t="n">
        <v>1.546757164404223</v>
      </c>
      <c r="G16" s="47" t="inlineStr">
        <is>
          <t>なし</t>
        </is>
      </c>
      <c r="H16" s="47" t="inlineStr">
        <is>
          <t>可</t>
        </is>
      </c>
      <c r="I16" s="10" t="inlineStr">
        <is>
          <t>Q. ENTJ（指揮官）タイプの基本的な性格特徴と、仕事で長所を活かすためのポイントは何ですか？
A.ENTJは決断力と戦略的思考に優れたリーダータイプです。カリスマ性や行動力、論理的な思考力を活かして、目標に向かって周囲を引っ張ることができます。仕事では、経営コンサルタント、起業家、プロジェクトマネージャーなど、明確な目標があり、リーダーシップと戦略性を発揮できる職種で特に活躍しやすいです。
Q. ENTJ（指揮官）タイプと相性の良い・悪い性格タイプは、それぞれどのような特徴がありますか？
A. ENTJと相性が良いのは、INTP（論理学者）やISTP（巨匠）のように、論理的な議論を楽しみ、ENTJの目標達成をサポートできるタイプです。逆に、INFP（仲介者）やISFP（冒険家）のように感情や価値観を重視するタイプとは衝突しやすく、ENTJの合理的すぎるやり方が時に相手を傷つけることがあります。
Q. ENTJ（指揮官）が恋愛や結婚において取る傾向や、注意すべき短所は何ですか？
A. ENTJは恋愛でも効率と合理性を重視し、長期的な目標（結婚など）を見据えて行動します。愛情表現は直接的で情熱的ですが、パートナーにも成長や知的刺激を求める傾向があります。注意すべきは、自己中心的で支配的になりやすい点です。相手の感情や意見に配慮し、支配的になりすぎないよう意識することが大切です。
株式会社DYMでは、求職者様に対して様々な就職支援サービスを提供しております。
お問い合わせはこちら↓
https://dym.asia/media/recruiting-contact/</t>
        </is>
      </c>
      <c r="J16" s="47" t="n"/>
      <c r="K16" s="47" t="inlineStr">
        <is>
          <t>未確認</t>
        </is>
      </c>
      <c r="L16" s="47" t="inlineStr">
        <is>
          <t>未確認</t>
        </is>
      </c>
      <c r="M16" s="47" t="n"/>
      <c r="N16" s="47" t="n"/>
      <c r="O16" s="47" t="n"/>
      <c r="P16" s="47" t="n"/>
      <c r="Q16" s="47" t="n"/>
      <c r="R16" s="47" t="n"/>
      <c r="S16" s="47" t="n"/>
      <c r="T16" s="47" t="n"/>
      <c r="U16" s="47" t="n"/>
      <c r="V16" s="47" t="n"/>
      <c r="W16" s="47" t="n"/>
      <c r="X16" s="47" t="n"/>
      <c r="Y16" s="47" t="n"/>
      <c r="Z16" s="47" t="n"/>
    </row>
    <row r="17" ht="15.75" customHeight="1" s="185">
      <c r="A17" s="52">
        <f>row()-3</f>
        <v/>
      </c>
      <c r="B17" s="46" t="inlineStr">
        <is>
          <t>ISFJ（擁護者）の性格と相性：特徴や恋愛、仕事も解説</t>
        </is>
      </c>
      <c r="C17" s="6" t="inlineStr">
        <is>
          <t>https://dym.asia/media/recruiting/isfj/</t>
        </is>
      </c>
      <c r="D17" s="47" t="inlineStr">
        <is>
          <t>擁護者 mbti</t>
        </is>
      </c>
      <c r="E17" s="35" t="n">
        <v>328</v>
      </c>
      <c r="F17" s="36" t="n">
        <v>4.125446659938354</v>
      </c>
      <c r="G17" s="47" t="inlineStr">
        <is>
          <t>なし</t>
        </is>
      </c>
      <c r="H17" s="47" t="inlineStr">
        <is>
          <t>可</t>
        </is>
      </c>
      <c r="I17" s="10" t="inlineStr">
        <is>
          <t>Q. ISFJ（擁護者）タイプの主な長所と、その強みを最大限に活かせる職業にはどのようなものがありますか？
A. ISFJの長所は、献身的で責任感が強く、細かいところにも気を配れる共感力の高さです。この特性を活かせる仕事としては、看護師、教師、事務職、図書館司書などが挙げられます。安定した環境で人を支える役割や、ルールを守りながら正確に作業する仕事で力を発揮できます。特に医療や教育の分野では、献身性と共感力を活かして、人々の安心や成長に貢献できます。
Q. ISFJ（擁護者）が人間関係や仕事でストレスを抱えやすいのはなぜですか？また、どのような点に注意すべきですか？
A. ISFJは他人を優先しすぎて自分のニーズを後回しにする傾向があり、その結果ストレスをためやすいです。批判に弱く、急な変化や予定の変更にも影響を受けやすいです。自分の気持ちをきちんと表現すること、頼まれたことをすべて引き受けない勇気を持つこと、そして自分を大切にする時間を意識的に作ることが大切です。
Q. ISFJ（擁護者）と恋愛・結婚において最も相性が良いとされるタイプと、その理由は何ですか？
A. ISFJと相性が良いのは、ESFJ（領事官）やESTJ（幹部）など同じ「番人タイプ」、またISTP（巨匠）です。ESFJは価値観や安定志向が似ており、ESTJは論理的な判断力でISFJを支えてくれます。誠実さと安定を重視し、お互いの献身性を理解できる相手と特に良い関係を築きやすいです。
株式会社DYMでは、求職者様に対して様々な就職支援サービスを提供しております。
お問い合わせはこちら↓
https://dym.asia/media/recruiting-contact/</t>
        </is>
      </c>
      <c r="J17" s="47" t="n"/>
      <c r="K17" s="47" t="inlineStr">
        <is>
          <t>未確認</t>
        </is>
      </c>
      <c r="L17" s="47" t="inlineStr">
        <is>
          <t>未確認</t>
        </is>
      </c>
      <c r="M17" s="47" t="n"/>
      <c r="N17" s="47" t="n"/>
      <c r="O17" s="47" t="n"/>
      <c r="P17" s="47" t="n"/>
      <c r="Q17" s="47" t="n"/>
      <c r="R17" s="47" t="n"/>
      <c r="S17" s="47" t="n"/>
      <c r="T17" s="47" t="n"/>
      <c r="U17" s="47" t="n"/>
      <c r="V17" s="47" t="n"/>
      <c r="W17" s="47" t="n"/>
      <c r="X17" s="47" t="n"/>
      <c r="Y17" s="47" t="n"/>
      <c r="Z17" s="47" t="n"/>
    </row>
    <row r="18" ht="15.75" customHeight="1" s="185">
      <c r="A18" s="52">
        <f>row()-3</f>
        <v/>
      </c>
      <c r="B18" s="46" t="inlineStr">
        <is>
          <t>ESTJ（幹部）の性格診断｜相性、特徴、恋愛傾向を解説</t>
        </is>
      </c>
      <c r="C18" s="6" t="inlineStr">
        <is>
          <t>https://dym.asia/media/recruiting/estj/</t>
        </is>
      </c>
      <c r="D18" s="47" t="inlineStr">
        <is>
          <t>幹部</t>
        </is>
      </c>
      <c r="E18" s="35" t="n">
        <v>284</v>
      </c>
      <c r="F18" s="36" t="n">
        <v>4.084128639024781</v>
      </c>
      <c r="G18" s="47" t="inlineStr">
        <is>
          <t>なし</t>
        </is>
      </c>
      <c r="H18" s="47" t="inlineStr">
        <is>
          <t>可</t>
        </is>
      </c>
      <c r="I18" s="10" t="inlineStr">
        <is>
          <t>Q. ESTJ（幹部）タイプの特徴と、その強みを活かせる仕事・職種にはどのようなものがありますか？
A. ESTJは強い責任感と現実的な判断力、高い計画性を持つ「組織のまとめ役」です。実行力と安定した意思決定を活かせる仕事としては、管理職やプロジェクトマネージャーのような指導的立場、経理・財務、公務員、警察など、規律や正確性が求められる職種が向いています。論理や事実に基づき、効率よく目標を達成することが得意です。
Q. ESTJ（幹部）が対人関係や仕事で短所となりやすい点と、周囲から誤解を避けるためのヒントは何ですか？
A. ESTJは論理を重視するあまり、物言いがストレートで「頑固」「冷たい」と誤解されやすいです。特に感情を大切にする人には威圧的に映ることもあります。誤解を避けるには、結論だけでなく相手の気持ちにも配慮して話すこと、そして自分の価値観を押し付けすぎない柔軟さを意識することがポイントです。
Q. ESTJ（幹部）と恋愛・結婚において相性が良いタイプ、悪いタイプはそれぞれどのようなタイプですか？
A. 相性が良いのは、INFJ（提唱者）、ESFJ（領事官）、ISFJ（擁護者）など、誠実さと安定を重視するタイプです。特にINFJとは、ESTJの現実的な考えをINFJの洞察力がうまく補完し合えます。逆に相性が合いにくいのは、INFP（仲介者）、ISTJ（管理者）、ISTP（巨匠）です。ESTJの規律を重んじる姿勢と、これらのタイプの自由さや内向的な性質が衝突しやすいため注意が必要です。
株式会社DYMでは、求職者様に対して様々な就職支援サービスを提供しております。
お問い合わせはこちら↓
https://dym.asia/media/recruiting-contact/</t>
        </is>
      </c>
      <c r="J18" s="47" t="n"/>
      <c r="K18" s="47" t="inlineStr">
        <is>
          <t>未確認</t>
        </is>
      </c>
      <c r="L18" s="47" t="inlineStr">
        <is>
          <t>未確認</t>
        </is>
      </c>
      <c r="M18" s="47" t="n"/>
      <c r="N18" s="47" t="n"/>
      <c r="O18" s="47" t="n"/>
      <c r="P18" s="47" t="n"/>
      <c r="Q18" s="47" t="n"/>
      <c r="R18" s="47" t="n"/>
      <c r="S18" s="47" t="n"/>
      <c r="T18" s="47" t="n"/>
      <c r="U18" s="47" t="n"/>
      <c r="V18" s="47" t="n"/>
      <c r="W18" s="47" t="n"/>
      <c r="X18" s="47" t="n"/>
      <c r="Y18" s="47" t="n"/>
      <c r="Z18" s="47" t="n"/>
    </row>
    <row r="19" ht="15.75" customHeight="1" s="185">
      <c r="A19" s="52">
        <f>row()-3</f>
        <v/>
      </c>
      <c r="B19" s="46" t="inlineStr">
        <is>
          <t>ENFJ（主人公）と相性の良い性格まとめ！恋愛・仕事の相性も解説</t>
        </is>
      </c>
      <c r="C19" s="6" t="inlineStr">
        <is>
          <t>https://dym.asia/media/recruiting/enfj/</t>
        </is>
      </c>
      <c r="D19" s="47" t="inlineStr">
        <is>
          <t>主人公</t>
        </is>
      </c>
      <c r="E19" s="35" t="n">
        <v>273</v>
      </c>
      <c r="F19" s="36" t="n">
        <v>7.649883551099356</v>
      </c>
      <c r="G19" s="47" t="inlineStr">
        <is>
          <t>なし</t>
        </is>
      </c>
      <c r="H19" s="47" t="inlineStr">
        <is>
          <t>可</t>
        </is>
      </c>
      <c r="I19" s="10" t="inlineStr">
        <is>
          <t>Q. ENFJ（主人公）タイプの主な強みと、その特性を活かして活躍できる職業にはどのようなものがありますか？
A. ENFJの強みは、熱意あるリーダーシップ、高い共感力、そして社交性です。人を励まし、成長をサポートすることに喜びを感じます。この特性を活かせる仕事としては、教師やキャリアコンサルタントなど教育関連、セラピストなどのヘルスケア、経営者や人事・採用担当、社会運動家など、人との関わりや育成を通じて影響力を発揮できる分野が向いています。
Q. ENFJ（主人公）が人間関係や仕事で抱えやすい短所や課題、そして克服するためのヒントは何ですか？
A. ENFJは理想が高いため現実とのギャップに悩んだり、調和を重視するあまり本音を抑えてしまうことがあります。また、他人の感情に影響を受けやすく、自己犠牲に陥ることも。克服するには、**「すべての人を満足させることはできない」**と割り切り、自分の時間や感情を守るための境界線を意識することが大切です。
Q. ENFJ（主人公）が恋愛において相性の良いタイプと、その関係を長続きさせるためのポイントは何ですか？
A. 恋愛で相性が良いのは、ESTP（起業家）、ENTJ（指揮官）、ISFJ（擁護者）など、ENFJに欠ける現実的な視点や論理性を補えるタイプです。ENFJは情熱的で献身的なパートナーになりますが、長く良い関係を続けるためには、相手の自立性を尊重し、支配的になりすぎないこと、相手に過度な感情的負担をかけないことがポイントです。
株式会社DYMでは、求職者様に対して様々な就職支援サービスを提供しております。
お問い合わせはこちら↓
https://dym.asia/media/recruiting-contact/</t>
        </is>
      </c>
      <c r="J19" s="47" t="n"/>
      <c r="K19" s="47" t="inlineStr">
        <is>
          <t>未確認</t>
        </is>
      </c>
      <c r="L19" s="47" t="inlineStr">
        <is>
          <t>未確認</t>
        </is>
      </c>
      <c r="M19" s="47" t="n"/>
      <c r="N19" s="47" t="n"/>
      <c r="O19" s="47" t="n"/>
      <c r="P19" s="47" t="n"/>
      <c r="Q19" s="47" t="n"/>
      <c r="R19" s="47" t="n"/>
      <c r="S19" s="47" t="n"/>
      <c r="T19" s="47" t="n"/>
      <c r="U19" s="47" t="n"/>
      <c r="V19" s="47" t="n"/>
      <c r="W19" s="47" t="n"/>
      <c r="X19" s="47" t="n"/>
      <c r="Y19" s="47" t="n"/>
      <c r="Z19" s="47" t="n"/>
    </row>
    <row r="20" ht="15.75" customHeight="1" s="185">
      <c r="A20" s="52">
        <f>row()-3</f>
        <v/>
      </c>
      <c r="B20" s="46" t="inlineStr">
        <is>
          <t>INTJ型性格診断｜建築家タイプの特徴</t>
        </is>
      </c>
      <c r="C20" s="6" t="inlineStr">
        <is>
          <t>https://dym.asia/media/recruiting/intj/</t>
        </is>
      </c>
      <c r="D20" s="47" t="inlineStr">
        <is>
          <t>intj</t>
        </is>
      </c>
      <c r="E20" s="35" t="n">
        <v>219</v>
      </c>
      <c r="F20" s="36" t="n">
        <v>8.801196711351068</v>
      </c>
      <c r="G20" s="47" t="inlineStr">
        <is>
          <t>なし</t>
        </is>
      </c>
      <c r="H20" s="47" t="inlineStr">
        <is>
          <t>可</t>
        </is>
      </c>
      <c r="I20" s="10" t="inlineStr">
        <is>
          <t>Q. INTJ（建築家）タイプが持つ主要な長所と、それを活かせる具体的な職業分野は何ですか？
A. INTJの強みは、分析力が高く、戦略的に物事を考えられること、そして強い独立心です。感情に流されず論理的に考え、独自の視点と長期的な計画で複雑な課題を解決できます。この力を活かせる仕事としては、研究者、システムエンジニア、ITコンサルタント、戦略立案など、深く考え探求できる分野が向いています。新しい仕組みや理論を作る仕事で特に力を発揮できます。
Q. INTJ（建築家）が人間関係で「冷たい」と誤解されやすいのはなぜですか？また、孤立を避けるための対処法は何ですか？
A. INTJは感情表現が得意ではなく、論理を優先するため、周囲から「冷たい」「近づきにくい」と思われやすい傾向があります。また、建前や集団行動が苦手で独自の考えを持つため、少数派になりやすく、孤立を感じることもあります。孤立を避けるには、自分の考えを分かりやすく伝えること、信頼できる相手には心を開くこと、さらに一人の時間や趣味を楽しむことが精神的な安定につながります。
Q. INTJ（建築家）が恋愛や結婚に求めるものは何ですか？また、相性の良い・悪いタイプの特徴を教えてください。
A. INTJは恋愛でも誠実さと知的な刺激を重視し、将来を見据えた関係を望みます。感情的なドラマよりも、論理的で分かりやすいコミュニケーションを好みます。相性が良いのは、ENFP（広報運動家）やENTP（討論者）など、INTJに柔軟性や明るさをもたらすタイプです。逆に相性が悪いのは、ESFP（エンターテイナー）やESFJ（領事官）など、感情や社交性を重視するため、INTJの非社交的な性質を理解しにくいタイプです。
株式会社DYMでは、求職者様に対して様々な就職支援サービスを提供しております。
お問い合わせはこちら↓
https://dym.asia/media/recruiting-contact/</t>
        </is>
      </c>
      <c r="J20" s="47" t="n"/>
      <c r="K20" s="47" t="inlineStr">
        <is>
          <t>未確認</t>
        </is>
      </c>
      <c r="L20" s="47" t="inlineStr">
        <is>
          <t>未確認</t>
        </is>
      </c>
      <c r="M20" s="47" t="n"/>
      <c r="N20" s="47" t="n"/>
      <c r="O20" s="47" t="n"/>
      <c r="P20" s="47" t="n"/>
      <c r="Q20" s="47" t="n"/>
      <c r="R20" s="47" t="n"/>
      <c r="S20" s="47" t="n"/>
      <c r="T20" s="47" t="n"/>
      <c r="U20" s="47" t="n"/>
      <c r="V20" s="47" t="n"/>
      <c r="W20" s="47" t="n"/>
      <c r="X20" s="47" t="n"/>
      <c r="Y20" s="47" t="n"/>
      <c r="Z20" s="47" t="n"/>
    </row>
    <row r="21" ht="15.75" customHeight="1" s="185">
      <c r="A21" s="52">
        <f>row()-3</f>
        <v/>
      </c>
      <c r="B21" s="46" t="inlineStr">
        <is>
          <t>【2025年版】稼げる仕事｜女性で高収入も夢じゃない！</t>
        </is>
      </c>
      <c r="C21" s="6" t="inlineStr">
        <is>
          <t>https://dym.asia/media/recruiting/high-income-women-jobs-2025/</t>
        </is>
      </c>
      <c r="D21" s="47" t="inlineStr">
        <is>
          <t>稼げる仕事</t>
        </is>
      </c>
      <c r="E21" s="35" t="n">
        <v>178</v>
      </c>
      <c r="F21" s="36" t="n">
        <v>7.250250090032412</v>
      </c>
      <c r="G21" s="47" t="inlineStr">
        <is>
          <t>なし</t>
        </is>
      </c>
      <c r="H21" s="47" t="inlineStr">
        <is>
          <t>可</t>
        </is>
      </c>
      <c r="I21" s="10" t="inlineStr">
        <is>
          <t>Q. 2025年版において、女性が高収入を狙える「難関資格が必要な専門職」と「資格不要の高給職」には、具体的にどのような仕事がありますか？
A. 資格が必要な専門職では、医師（平均年収：約1,138万円）、弁護士（約972万円）、弁理士（約945万円）など、専門知識やスキルが収入に直結する仕事があります。一方、資格が不要でも高収入が狙える仕事には、成果主義の営業職（保険・不動産・人材など）や、IT系のエンジニア・SEなどがあります。こうした職種は、実績を積むことで収入を大きく伸ばすことが可能です。
Q. 女性が高収入の仕事に就くために必要な要素や、キャリアアップを実現するための具体的な方法は何ですか？
A. 高収入を狙うには、専門知識や資格の有無に関わらず、「成果が評価されやすい環境」で働くことが大切です。キャリアアップのためには、専門資格の取得、語学力（特に英語）の向上、本業に関連する副業や転職での経験を積むことが有効です。また、高収入の求人を効率よく探すために、転職エージェントの活用もおすすめです。
Q. 医師、歯科医師、弁護士など、女性が活躍する専門職の平均年収の最新データ（令和5年賃金構造基本統計調査に基づく）を教えてください。
A. 令和5年の賃金構造基本統計調査によると、女性の専門職の平均年収は以下の通りです。
医師：約1,138万円
弁護士：約972万円
歯科医師：約878万円
大学教授：約998万円
これらの職業は専門性が高く、社会的責任も大きいため、年収にしっかり反映されやすい傾向があります。
株式会社DYMでは、求職者様に対して様々な就職支援サービスを提供しております。
お問い合わせはこちら↓
https://dym.asia/media/recruiting-contact/</t>
        </is>
      </c>
      <c r="J21" s="47" t="n"/>
      <c r="K21" s="47" t="inlineStr">
        <is>
          <t>未確認</t>
        </is>
      </c>
      <c r="L21" s="47" t="inlineStr">
        <is>
          <t>未確認</t>
        </is>
      </c>
      <c r="M21" s="47" t="n"/>
      <c r="N21" s="47" t="n"/>
      <c r="O21" s="47" t="n"/>
      <c r="P21" s="47" t="n"/>
      <c r="Q21" s="47" t="n"/>
      <c r="R21" s="47" t="n"/>
      <c r="S21" s="47" t="n"/>
      <c r="T21" s="47" t="n"/>
      <c r="U21" s="47" t="n"/>
      <c r="V21" s="47" t="n"/>
      <c r="W21" s="47" t="n"/>
      <c r="X21" s="47" t="n"/>
      <c r="Y21" s="47" t="n"/>
      <c r="Z21" s="47" t="n"/>
    </row>
    <row r="22" ht="15.75" customHeight="1" s="185">
      <c r="A22" s="52">
        <f>row()-3</f>
        <v/>
      </c>
      <c r="B22" s="46" t="inlineStr">
        <is>
          <t>メガベンチャーと大手の違いを解説！メリットとデメリットとは</t>
        </is>
      </c>
      <c r="C22" s="6" t="inlineStr">
        <is>
          <t>https://dym.asia/media/recruiting/mega-venture-major-company/</t>
        </is>
      </c>
      <c r="D22" s="47" t="inlineStr">
        <is>
          <t>メガベンチャー</t>
        </is>
      </c>
      <c r="E22" s="35" t="n">
        <v>176</v>
      </c>
      <c r="F22" s="36" t="n">
        <v>5.152072735144496</v>
      </c>
      <c r="G22" s="47" t="inlineStr">
        <is>
          <t>なし</t>
        </is>
      </c>
      <c r="H22" s="47" t="inlineStr">
        <is>
          <t>可</t>
        </is>
      </c>
      <c r="I22" s="47" t="inlineStr">
        <is>
          <t>Q. メガベンチャーとは具体的にどのような企業を指しますか？また、従来の大手企業と比べた際の決定的な違いは何ですか？
A. メガベンチャーとは、創業から短期間で急成長し、大企業に匹敵する規模まで成長したベンチャー企業のことです。大手企業との大きな違いは、意思決定が早く柔軟であること、イノベーションを重視する文化があること、そして比較的歴史が浅くフラットな組織構造であることです。大企業の安定性とベンチャーのスピード感を兼ね備えた存在と言えます。
Q. メガベンチャーに就職することで得られる主なメリットと、事前に理解しておくべきデメリットは何ですか？
A. メリットは、成長の機会が多く自己成長のスピードが速いこと、柔軟な働き方がしやすいこと、大企業並みの経営基盤があることです。一方で、急成長によって業務量が増える可能性や、組織体制の変化が早くルールや仕組みが不透明になりやすい点がデメリットとして挙げられます。
Q. 就職・転職において、メガベンチャーと大手企業、どちらが自分に合っているかを判断するための自己分析のポイントは何ですか？
A. 判断のポイントは、自分のキャリアで何を重視するかです。自由な裁量や変化への挑戦を求めるならメガベンチャーが向いています。安定した環境や整った研修制度、明確なキャリアパスを重視するなら大手企業が適しています。「スピード感と安定、どちらを優先するか」を軸に自己分析すると、選ぶ企業が見えてきます。
株式会社DYMでは、求職者様に対して様々な就職支援サービスを提供しております。
お問い合わせはこちら↓
https://dym.asia/media/recruiting-contact/</t>
        </is>
      </c>
      <c r="J22" s="47" t="n"/>
      <c r="K22" s="47" t="inlineStr">
        <is>
          <t>未確認</t>
        </is>
      </c>
      <c r="L22" s="47" t="inlineStr">
        <is>
          <t>未確認</t>
        </is>
      </c>
      <c r="M22" s="47" t="n"/>
      <c r="N22" s="47" t="n"/>
      <c r="O22" s="47" t="n"/>
      <c r="P22" s="47" t="n"/>
      <c r="Q22" s="47" t="n"/>
      <c r="R22" s="47" t="n"/>
      <c r="S22" s="47" t="n"/>
      <c r="T22" s="47" t="n"/>
      <c r="U22" s="47" t="n"/>
      <c r="V22" s="47" t="n"/>
      <c r="W22" s="47" t="n"/>
      <c r="X22" s="47" t="n"/>
      <c r="Y22" s="47" t="n"/>
      <c r="Z22" s="47" t="n"/>
    </row>
    <row r="23" ht="15.75" customHeight="1" s="185">
      <c r="A23" s="52">
        <f>row()-3</f>
        <v/>
      </c>
      <c r="B23" s="46" t="inlineStr">
        <is>
          <t>企業説明会の服装は？服装自由・私服指定やオンライン合同説明会でのポイント</t>
        </is>
      </c>
      <c r="C23" s="6" t="inlineStr">
        <is>
          <t>https://dym.asia/media/recruiting/session-wearing/</t>
        </is>
      </c>
      <c r="D23" s="47" t="inlineStr">
        <is>
          <t>企業説明会 服装</t>
        </is>
      </c>
      <c r="E23" s="35" t="n">
        <v>173</v>
      </c>
      <c r="F23" s="36" t="n">
        <v>1.64010989010989</v>
      </c>
      <c r="G23" s="47" t="inlineStr">
        <is>
          <t>なし</t>
        </is>
      </c>
      <c r="H23" s="47" t="inlineStr">
        <is>
          <t>可</t>
        </is>
      </c>
      <c r="I23" s="10" t="inlineStr">
        <is>
          <t>Q. 企業説明会で「服装自由」と指示された場合、具体的にどのような服装を選べば良いですか？また、スーツで参加しても問題ないですか？
A. 「服装自由」と指定された場合は、オフィスカジュアルが無難です。男性ならジャケットに襟付きシャツとスラックス、女性ならブラウスにスカートやパンツといった組み合わせで、清潔感を意識しましょう。スーツで参加しても問題はありませんが、カジュアルな雰囲気の企業では浮いてしまうこともあるので、事前に企業の服装イメージを調べておくと安心です。
Q. 面接や説明会で好印象を与えるための、スーツ着用時の基本的なマナーと注意点を教えてください。
A.清潔感と誠実さが大切です。スーツは黒やダークネイビーなど落ち着いた色を選び、サイズやシワに注意します。アクセサリーは控えめに、靴やカバンもきちんと整えましょう。女性はスカートでもパンツでも構いませんが、スカートは膝丈程度が目安です。ストッキングを履くなど、細部までマナーを守ることが印象アップにつながります。
Q. オンラインの企業説明会や面接に臨む際の服装で、特に注意すべきポイントは何ですか？
A. オンラインでも清潔感は最優先です。画面に映る上半身だけでなく、全身の服装にも気を配り、ラフすぎる格好は避けます。髪型やメイクも整えることで、画面越しでも誠実さや熱意が伝わります。背景や照明も整え、ビジネスシーンにふさわしい環境で臨むことがポイントです。
株式会社DYMでは、求職者様に対して様々な就職支援サービスを提供しております。
お問い合わせはこちら↓
https://dym.asia/media/recruiting-contact/</t>
        </is>
      </c>
      <c r="J23" s="47" t="n"/>
      <c r="K23" s="47" t="inlineStr">
        <is>
          <t>未確認</t>
        </is>
      </c>
      <c r="L23" s="47" t="inlineStr">
        <is>
          <t>未確認</t>
        </is>
      </c>
      <c r="M23" s="47" t="n"/>
      <c r="N23" s="47" t="n"/>
      <c r="O23" s="47" t="n"/>
      <c r="P23" s="47" t="n"/>
      <c r="Q23" s="47" t="n"/>
      <c r="R23" s="47" t="n"/>
      <c r="S23" s="47" t="n"/>
      <c r="T23" s="47" t="n"/>
      <c r="U23" s="47" t="n"/>
      <c r="V23" s="47" t="n"/>
      <c r="W23" s="47" t="n"/>
      <c r="X23" s="47" t="n"/>
      <c r="Y23" s="47" t="n"/>
      <c r="Z23" s="47" t="n"/>
    </row>
    <row r="24" ht="15.75" customHeight="1" s="185">
      <c r="A24" s="52">
        <f>row()-3</f>
        <v/>
      </c>
      <c r="B24" s="46" t="inlineStr">
        <is>
          <t>企業選びの軸を聞かれたら？例文と決め方を紹介</t>
        </is>
      </c>
      <c r="C24" s="6" t="inlineStr">
        <is>
          <t>https://dym.asia/media/recruiting/jobselect-important/</t>
        </is>
      </c>
      <c r="D24" s="47" t="inlineStr">
        <is>
          <t>企業選びの軸</t>
        </is>
      </c>
      <c r="E24" s="35" t="n">
        <v>167</v>
      </c>
      <c r="F24" s="36" t="n">
        <v>2.707713125845737</v>
      </c>
      <c r="G24" s="47" t="inlineStr">
        <is>
          <t>なし</t>
        </is>
      </c>
      <c r="H24" s="47" t="inlineStr">
        <is>
          <t>可</t>
        </is>
      </c>
      <c r="I24" s="10" t="inlineStr">
        <is>
          <t>Q. 後悔しない企業選びのために、就職活動の軸を決める際の最も重要な手順と具体的な自己分析の方法を教えてください。
A. まずは自分を知ることが大切です。過去の経験を振り返り、「どんなときに力を発揮できたか」「どんな瞬間にやりがいを感じたか」を掘り下げてみましょう。そこから、自分の価値観や強み、働く環境への考え方を整理し、「チームワーク重視」「個人の成果重視」など、ブレない就活の軸を3つほど設定すると良いです。
Q. 企業選びの軸として考慮すべき「6つの主要なチェックポイント」には何がありますか？
A. 企業を選ぶ際に押さえておきたい6つの軸は次の通りです。
事業内容：企業が提供する価値や市場での立ち位置
経営層・方針：経営理念やビジョンと自分の価値観の一致度
企業規模・安定性：従業員数、財務状況、成長性
企業風土・社風：コミュニケーションスタイルや組織文化（OB・OG訪問で確認すると安心）
待遇・福利厚生・働き方：給与、昇給制度、ワークライフバランス
入社後3年以内の定着率：長く働ける環境かどうかの目安
Q. 面接で「企業選びの軸」を質問された際、説得力を持って答えるための構成と例文のポイントは何ですか？
A. 伝え方の基本は、
「軸の提示」→「軸の根拠（過去の経験）」→「企業への貢献意欲」の順です。ポイントは、設定した軸が応募先企業の魅力や価値観とつながっていることを具体的に示すことです。
例：「成長機会」を軸にする場合
「貴社の新規事業への挑戦姿勢は、過去に〇〇という経験で培った私の挑戦意欲と一致しており、入社後は〇〇という形で貢献したいと考えています。」
株式会社DYMでは、求職者様に対して様々な就職支援サービスを提供しております。
お問い合わせはこちら↓
https://dym.asia/media/recruiting-contact/</t>
        </is>
      </c>
      <c r="J24" s="47" t="n"/>
      <c r="K24" s="47" t="inlineStr">
        <is>
          <t>未確認</t>
        </is>
      </c>
      <c r="L24" s="47" t="inlineStr">
        <is>
          <t>未確認</t>
        </is>
      </c>
      <c r="M24" s="47" t="n"/>
      <c r="N24" s="47" t="n"/>
      <c r="O24" s="47" t="n"/>
      <c r="P24" s="47" t="n"/>
      <c r="Q24" s="47" t="n"/>
      <c r="R24" s="47" t="n"/>
      <c r="S24" s="47" t="n"/>
      <c r="T24" s="47" t="n"/>
      <c r="U24" s="47" t="n"/>
      <c r="V24" s="47" t="n"/>
      <c r="W24" s="47" t="n"/>
      <c r="X24" s="47" t="n"/>
      <c r="Y24" s="47" t="n"/>
      <c r="Z24" s="47" t="n"/>
    </row>
    <row r="25" ht="15.75" customHeight="1" s="185">
      <c r="A25" s="52">
        <f>row()-3</f>
        <v/>
      </c>
      <c r="B25" s="46" t="inlineStr">
        <is>
          <t>ISFP（冒険家）の性格診断｜相性・恋愛・仕事は？</t>
        </is>
      </c>
      <c r="C25" s="6" t="inlineStr">
        <is>
          <t>https://dym.asia/media/recruiting/isfp/</t>
        </is>
      </c>
      <c r="D25" s="47" t="inlineStr">
        <is>
          <t>isfp</t>
        </is>
      </c>
      <c r="E25" s="35" t="n">
        <v>157</v>
      </c>
      <c r="F25" s="36" t="n">
        <v>8.921513743912232</v>
      </c>
      <c r="G25" s="47" t="inlineStr">
        <is>
          <t>なし</t>
        </is>
      </c>
      <c r="H25" s="47" t="inlineStr">
        <is>
          <t>可</t>
        </is>
      </c>
      <c r="I25" s="10" t="inlineStr">
        <is>
          <t>Q. ISFP（冒険家）の基本的な性格特性と、仕事や人間関係で特に重視する価値観は何ですか？
A. ISFPは感受性が豊かで創造性に優れたタイプです。自由で自分らしく生きることを重視し、「今、この瞬間」を大切に行動します。人間関係では、多くの人と浅く関わるよりも、少数の親しい人との深い絆を大事にし、他者の感情に敏感で調和を重んじる傾向があります。
Q. ISFP（冒険家）の適職・向いている仕事にはどのような分野がありますか？また、仕事選びで避けるべき環境は何ですか？
A. ISFPは感性や創造性を活かせる仕事や、人をサポートして調和を築ける仕事に向いています。たとえば、デザイナー、芸術家、美容師、セラピスト、医療・福祉関連、データ入力などが適職です。逆に、厳しいルールやノルマが多い職場、長期計画や競争を重視する環境はストレスを感じやすく、避けた方が無難です。
Q. ISFP（冒険家）の恋愛傾向や相性の良い相手（タイプ）の特徴を教えてください。
A. ISFPは恋愛で言葉より行動で愛情を示すことが多く、小さな気遣いやサプライズが得意です。内面には深い愛情と強い個性を秘めています。相性の良いタイプは、ISFPの自由な精神を理解し、価値観を尊重できる穏やかな相手です。また、内向的なISFPの情熱を引き出してくれる外向的なタイプとも良い関係を築きやすいです。
株式会社DYMでは、求職者様に対して様々な就職支援サービスを提供しております。
お問い合わせはこちら↓
https://dym.asia/media/recruiting-contact/</t>
        </is>
      </c>
      <c r="J25" s="47" t="n"/>
      <c r="K25" s="47" t="inlineStr">
        <is>
          <t>未確認</t>
        </is>
      </c>
      <c r="L25" s="47" t="inlineStr">
        <is>
          <t>未確認</t>
        </is>
      </c>
      <c r="M25" s="47" t="n"/>
      <c r="N25" s="47" t="n"/>
      <c r="O25" s="47" t="n"/>
      <c r="P25" s="47" t="n"/>
      <c r="Q25" s="47" t="n"/>
      <c r="R25" s="47" t="n"/>
      <c r="S25" s="47" t="n"/>
      <c r="T25" s="47" t="n"/>
      <c r="U25" s="47" t="n"/>
      <c r="V25" s="47" t="n"/>
      <c r="W25" s="47" t="n"/>
      <c r="X25" s="47" t="n"/>
      <c r="Y25" s="47" t="n"/>
      <c r="Z25" s="47" t="n"/>
    </row>
    <row r="26" ht="15.75" customHeight="1" s="185">
      <c r="A26" s="52">
        <f>row()-3</f>
        <v/>
      </c>
      <c r="B26" s="46" t="inlineStr">
        <is>
          <t>16Personalities診断とは？16種類の性格一覧や日本人に多いタイプを徹底解説！</t>
        </is>
      </c>
      <c r="C26" s="6" t="inlineStr">
        <is>
          <t>https://dym.asia/media/recruiting/mbti/</t>
        </is>
      </c>
      <c r="D26" s="47" t="inlineStr">
        <is>
          <t>16personalities</t>
        </is>
      </c>
      <c r="E26" s="35" t="n">
        <v>131</v>
      </c>
      <c r="F26" s="36" t="n">
        <v>5.558025141191474</v>
      </c>
      <c r="G26" s="47" t="inlineStr">
        <is>
          <t>なし</t>
        </is>
      </c>
      <c r="H26" s="47" t="inlineStr">
        <is>
          <t>可</t>
        </is>
      </c>
      <c r="I26" s="10" t="inlineStr">
        <is>
          <t>Q. 16Personalities診断とはどのような診断で、16種類のタイプはどのように分類されていますか？
A. 16Personalities診断は、心理学に基づき個人の思考や行動の傾向を16タイプに分類する性格診断です。タイプは以下の4つの指標で決まります。
興味・関心の向き（外向型 E / 内向型 I）
物事の捉え方（現実型 S / 直感型 N）
判断の仕方（論理型 T / 感情型 F）
外界との関わり方（計画型 J / 柔軟型 P）
さらに、各タイプには自己主張型（-A）と神経質型（-T）が加わり、合計16タイプが構成されています。
Q. 16Personalities診断は、就職活動や人間関係においてどのように活用できますか？また、そのメリットは何ですか？
A. 最大のメリットは、自分の強みや弱み、特定の状況での行動パターンを客観的に理解できることです。
就職活動では、自分に向いている仕事や職種を考える参考になります。
人間関係では、相性の傾向（例：ESFJとINTJ）を把握して、コミュニケーションやストレス管理に役立てられます。
Q. 日本人に比較的多いとされる性格タイプは何ですか？また、この診断とMBTIの違いについて教えてください。
A. 2023年のデータでは、日本で最も多いタイプはINFP-T（仲介者）で約12.9％です。全体的に内向型（I）や神経質型（-T）が多い傾向にあります。16Personalities診断はオンラインで広く使われているもので、公式のMBTI（Myers-Briggs Type Indicator）とは別のものです。結果は絶対ではなく、あくまで自己理解の参考として活用するのがよいでしょう。
株式会社DYMでは、求職者様に対して様々な就職支援サービスを提供しております。
お問い合わせはこちら↓
https://dym.asia/media/recruiting-contact/</t>
        </is>
      </c>
      <c r="J26" s="47" t="n"/>
      <c r="K26" s="47" t="inlineStr">
        <is>
          <t>未確認</t>
        </is>
      </c>
      <c r="L26" s="47" t="inlineStr">
        <is>
          <t>未確認</t>
        </is>
      </c>
      <c r="M26" s="47" t="n"/>
      <c r="N26" s="47" t="n"/>
      <c r="O26" s="47" t="n"/>
      <c r="P26" s="47" t="n"/>
      <c r="Q26" s="47" t="n"/>
      <c r="R26" s="47" t="n"/>
      <c r="S26" s="47" t="n"/>
      <c r="T26" s="47" t="n"/>
      <c r="U26" s="47" t="n"/>
      <c r="V26" s="47" t="n"/>
      <c r="W26" s="47" t="n"/>
      <c r="X26" s="47" t="n"/>
      <c r="Y26" s="47" t="n"/>
      <c r="Z26" s="47" t="n"/>
    </row>
    <row r="27" ht="15.75" customHeight="1" s="185">
      <c r="A27" s="52">
        <f>row()-3</f>
        <v/>
      </c>
      <c r="B27" s="46" t="inlineStr">
        <is>
          <t>やりたい仕事がない？見つけられない原因と見つけ方を解説！</t>
        </is>
      </c>
      <c r="C27" s="6" t="inlineStr">
        <is>
          <t>https://dym.asia/media/recruiting/find-dream-job/</t>
        </is>
      </c>
      <c r="D27" s="47" t="inlineStr">
        <is>
          <t>やりたい仕事がない</t>
        </is>
      </c>
      <c r="E27" s="35" t="n">
        <v>129</v>
      </c>
      <c r="F27" s="36" t="n">
        <v>4.834773767158109</v>
      </c>
      <c r="G27" s="47" t="inlineStr">
        <is>
          <t>なし</t>
        </is>
      </c>
      <c r="H27" s="47" t="inlineStr">
        <is>
          <t>可</t>
        </is>
      </c>
      <c r="I27" s="10" t="inlineStr">
        <is>
          <t>Q. やりたい仕事が見つからない主な原因は何ですか？また、最初に取り組むべき効果的な自己分析の方法を教えてください。
A. 主な原因としては、自己分析が十分でないこと、理想の条件が高すぎること、自分に自信が持てないことなどが挙げられます。まず取り組むべきは、自分の**強みや価値観、そして「やりたくないこと」**を書き出す自己分析です。これにより、漠然とした希望ではなく、本当に譲れない条件の優先順位が明確になり、自分に合った仕事の方向性が見えてきます。
Q. 自分に合った仕事を見つけるために、大企業以外に目を向ける重要性と、具体的な求人探しのコツは何ですか？
A. 日本の企業の多くは中小企業です。知名度の高い大企業だけでなく、中小企業の求人も視野に入れることで選択肢は大きく広がります。
具体的なコツは、企業の事業内容や理念、成長性などをしっかり調べること。また、転職エージェントやハローワークなど複数の情報源を併用して、効率よく求人を探すことも大切です。
Q. 長期的な転職活動で焦りや不安を感じた際の対処法や、キャリアビジョンを考える重要性について教えてください。
A. 焦りや不安を感じたら、まず休息を取ったり、友人やキャリアアドバイザーに相談して気持ちを整理しましょう。アルバイトや短期派遣で一時的に収入を得るのも有効です。
また、長期的なキャリアビジョンを考えることで、仕事探しの目標が明確になり、モチベーションを保ちやすくなります。
株式会社DYMでは、求職者様に対して様々な就職支援サービスを提供しております。
お問い合わせはこちら↓
https://dym.asia/media/recruiting-contact/</t>
        </is>
      </c>
      <c r="J27" s="47" t="n"/>
      <c r="K27" s="47" t="inlineStr">
        <is>
          <t>未確認</t>
        </is>
      </c>
      <c r="L27" s="47" t="inlineStr">
        <is>
          <t>未確認</t>
        </is>
      </c>
      <c r="M27" s="47" t="n"/>
      <c r="N27" s="47" t="n"/>
      <c r="O27" s="47" t="n"/>
      <c r="P27" s="47" t="n"/>
      <c r="Q27" s="47" t="n"/>
      <c r="R27" s="47" t="n"/>
      <c r="S27" s="47" t="n"/>
      <c r="T27" s="47" t="n"/>
      <c r="U27" s="47" t="n"/>
      <c r="V27" s="47" t="n"/>
      <c r="W27" s="47" t="n"/>
      <c r="X27" s="47" t="n"/>
      <c r="Y27" s="47" t="n"/>
      <c r="Z27" s="47" t="n"/>
    </row>
    <row r="28" ht="15.75" customHeight="1" s="185">
      <c r="A28" s="52">
        <f>row()-3</f>
        <v/>
      </c>
      <c r="B28" s="46" t="inlineStr">
        <is>
          <t>ISFP（冒険家）の性格診断｜相性・恋愛・仕事は？</t>
        </is>
      </c>
      <c r="C28" s="6" t="inlineStr">
        <is>
          <t>https://dym.asia/media/recruiting/decline-an-offer-after-consent/</t>
        </is>
      </c>
      <c r="D28" s="47" t="inlineStr">
        <is>
          <t>内定承諾後辞退</t>
        </is>
      </c>
      <c r="E28" s="35" t="n">
        <v>112</v>
      </c>
      <c r="F28" s="36" t="n">
        <v>7.811348256116606</v>
      </c>
      <c r="G28" s="47" t="inlineStr">
        <is>
          <t>なし</t>
        </is>
      </c>
      <c r="H28" s="47" t="inlineStr">
        <is>
          <t>可</t>
        </is>
      </c>
      <c r="I28" s="10" t="inlineStr">
        <is>
          <t>Q. 内定承諾後の辞退は法的に可能ですか？また、辞退によって生じる主なリスクは何ですか？
A.内定承諾後でも辞退は可能です。承諾により学生と企業の間に労働契約が成立したとみなされますが、民法第627条に基づき、労働契約の解約は自由にできます。
ただし、企業側は採用計画や費用面で影響を受けるため、辞退によって損害賠償請求を受けたり、企業との信頼関係が悪化したりする可能性があります。実際に訴訟に発展することは稀です。
Q. 内定承諾後の辞退を企業に伝える際、適切なタイミングとマナー、連絡手段は何ですか？
A. 辞退を決めたら、できるだけ早く企業に連絡することが大切です。基本は電話で、採用担当者に直接辞退の意向と謝意を誠実に伝えましょう。メールは、電話が難しい場合の補足や、正式な記録として使うと良いです。連絡時には、辞退理由を簡潔に伝えつつ、企業に迷惑をかけたことへの配慮を示すことがポイントです。
Q. 内定承諾後の辞退を避けるために、就職活動の段階で学生が注意すべき点は何ですか？
A. 辞退を防ぐには、内定承諾前にしっかり自己分析と企業研究を行うことが重要です。給与や福利厚生だけでなく、企業文化や職場の雰囲気との相性も確認しましょう。複数の内定を比較する際も、条件だけでなく自分が長く働けるかどうかを基準に判断することで、安易な承諾や後悔を避けられます。
株式会社DYMでは、求職者様に対して様々な就職支援サービスを提供しております。
お問い合わせはこちら↓
https://dym.asia/media/recruiting-contact/</t>
        </is>
      </c>
      <c r="J28" s="47" t="n"/>
      <c r="K28" s="47" t="inlineStr">
        <is>
          <t>未確認</t>
        </is>
      </c>
      <c r="L28" s="47" t="inlineStr">
        <is>
          <t>未確認</t>
        </is>
      </c>
      <c r="M28" s="47" t="n"/>
      <c r="N28" s="47" t="n"/>
      <c r="O28" s="47" t="n"/>
      <c r="P28" s="47" t="n"/>
      <c r="Q28" s="47" t="n"/>
      <c r="R28" s="47" t="n"/>
      <c r="S28" s="47" t="n"/>
      <c r="T28" s="47" t="n"/>
      <c r="U28" s="47" t="n"/>
      <c r="V28" s="47" t="n"/>
      <c r="W28" s="47" t="n"/>
      <c r="X28" s="47" t="n"/>
      <c r="Y28" s="47" t="n"/>
      <c r="Z28" s="47" t="n"/>
    </row>
    <row r="29" ht="15.75" customHeight="1" s="185">
      <c r="A29" s="52">
        <f>row()-3</f>
        <v/>
      </c>
      <c r="B29" s="46" t="inlineStr">
        <is>
          <t>面接で落ちた人に共通する理由は？落とされるサインや不採用が続く際の対策</t>
        </is>
      </c>
      <c r="C29" s="6" t="inlineStr">
        <is>
          <t>https://dym.asia/media/recruiting/fail-the-interview/</t>
        </is>
      </c>
      <c r="D29" s="47" t="inlineStr">
        <is>
          <t>面接 落ちた</t>
        </is>
      </c>
      <c r="E29" s="35" t="n">
        <v>107</v>
      </c>
      <c r="F29" s="36" t="n">
        <v>5.769522046449007</v>
      </c>
      <c r="G29" s="47" t="inlineStr">
        <is>
          <t>なし</t>
        </is>
      </c>
      <c r="H29" s="47" t="inlineStr">
        <is>
          <t>可</t>
        </is>
      </c>
      <c r="I29" s="47" t="inlineStr">
        <is>
          <t>Q. 面接で不採用になる理由は、選考の段階（1次・2次・最終）によってどのように異なりますか？
A. 不採用になる理由は、選考の段階ごとに重視されるポイントで変わります。
1次面接：ビジネスマナーやコミュニケーション能力、志望動機の一貫性など、社会人としての基本が見られます。
2次面接：実務スキルや既存メンバーとの相性、仕事に対する姿勢がチェックされます。
最終面接：入社後のキャリアビジョンや企業との価値観の一致が大きく影響します。
Q. 面接中に不合格の可能性を示すサインは何ですか？また、そのようなサインに気づいた際の適切な対応方法を教えてください。
A. 例えば、面接官がほとんどメモを取らない、予定より早く面接が終わる、質問が基本的な内容ばかり、などです。
こうしたサインに気づいても、あまり気にしすぎず、落ち着いて話すことが大切です。回答を具体的にする、積極的な姿勢や入社意欲を表情や態度で示す、といった努力が挽回につながります。
Q. 面接で不採用が続く場合に、内定獲得のために実践すべき具体的な対策は何ですか？
A. 面接の失敗は成長のチャンスと考え、PDCAを回すことが大切です。
・面接直後に質問と回答を振り返り、記録する
・キャリアアドバイザーに相談し、客観的なフィードバックをもらう
・模擬面接を繰り返し、苦手な質問への回答をブラッシュアップする
・企業研究や自己PR・志望動機の一貫性を見直す
こうした取り組みで、次回以降の面接通過率を上げることができます。
株式会社DYMでは、求職者様に対して様々な就職支援サービスを提供しております。
お問い合わせはこちら↓
https://dym.asia/media/recruiting-contact/</t>
        </is>
      </c>
      <c r="J29" s="47" t="n"/>
      <c r="K29" s="47" t="inlineStr">
        <is>
          <t>未確認</t>
        </is>
      </c>
      <c r="L29" s="47" t="inlineStr">
        <is>
          <t>未確認</t>
        </is>
      </c>
      <c r="M29" s="47" t="n"/>
      <c r="N29" s="47" t="n"/>
      <c r="O29" s="47" t="n"/>
      <c r="P29" s="47" t="n"/>
      <c r="Q29" s="47" t="n"/>
      <c r="R29" s="47" t="n"/>
      <c r="S29" s="47" t="n"/>
      <c r="T29" s="47" t="n"/>
      <c r="U29" s="47" t="n"/>
      <c r="V29" s="47" t="n"/>
      <c r="W29" s="47" t="n"/>
      <c r="X29" s="47" t="n"/>
      <c r="Y29" s="47" t="n"/>
      <c r="Z29" s="47" t="n"/>
    </row>
    <row r="30" ht="15.75" customHeight="1" s="185">
      <c r="A30" s="52">
        <f>row()-3</f>
        <v/>
      </c>
      <c r="B30" s="46" t="inlineStr">
        <is>
          <t>新卒の最終面接でよく聞かれる質問と回答のコツ｜事前準備の方法も解説</t>
        </is>
      </c>
      <c r="C30" s="6" t="inlineStr">
        <is>
          <t>https://dym.asia/media/recruiting/new-graduate-final-interview/</t>
        </is>
      </c>
      <c r="D30" s="47" t="inlineStr">
        <is>
          <t>最終面接 聞かれること</t>
        </is>
      </c>
      <c r="E30" s="35" t="n">
        <v>94</v>
      </c>
      <c r="F30" s="36" t="n">
        <v>5.711501244124966</v>
      </c>
      <c r="G30" s="47" t="inlineStr">
        <is>
          <t>なし</t>
        </is>
      </c>
      <c r="H30" s="47" t="inlineStr">
        <is>
          <t>可</t>
        </is>
      </c>
      <c r="I30" s="10" t="inlineStr">
        <is>
          <t>Q. 内定承諾後の辞退は法的に可能ですか？また、辞退によって生じる主なリスクは何ですか？
A. 法的には内定承諾後でも辞退は可能です。内定を受けた時点で労働契約が成立したと見なされますが、民法第627条により労働契約は解約（辞職）が認められています。ただし、企業側は採用計画や費用が無駄になるため、学生側は損害賠償請求や信頼関係の悪化といったリスクを負う可能性があります。とはいえ、実際に訴訟に発展するケースは非常にまれです。
Q. 内定承諾後の辞退を企業に伝える際、適切なタイミングとマナー、連絡手段は何ですか？
A. 辞退を決めたら、できるだけ早く企業に連絡しましょう。基本は電話で、採用担当者に直接、辞退の意思と謝意を誠実に伝えるのがマナーです。メールは、電話が難しい場合や、正式な記録として送る場合に使います。伝える際は、理由を簡潔に述べ、企業の採用活動に迷惑をかけたことへの配慮も示すと印象が良くなります。
Q. 内定承諾後の辞退を避けるために、就職活動の段階で学生が注意すべき点は何ですか？
A. 内定辞退を防ぐには、承諾前に自己分析と企業研究をしっかり行うことが大切です。辞退の主な理由は「より条件の良い他社の内定」や「企業との相性の再考」です。そのため、複数内定がある場合は給与や福利厚生だけでなく、社風や職場の雰囲気も確認しましょう。安易に承諾せず、判断基準と時期を明確にしておくことが重要です。
株式会社DYMでは、求職者様に対して様々な就職支援サービスを提供しております。
お問い合わせはこちら↓
https://dym.asia/media/recruiting-contact/</t>
        </is>
      </c>
      <c r="J30" s="47" t="n"/>
      <c r="K30" s="47" t="inlineStr">
        <is>
          <t>未確認</t>
        </is>
      </c>
      <c r="L30" s="47" t="inlineStr">
        <is>
          <t>未確認</t>
        </is>
      </c>
      <c r="M30" s="47" t="n"/>
      <c r="N30" s="47" t="n"/>
      <c r="O30" s="47" t="n"/>
      <c r="P30" s="47" t="n"/>
      <c r="Q30" s="47" t="n"/>
      <c r="R30" s="47" t="n"/>
      <c r="S30" s="47" t="n"/>
      <c r="T30" s="47" t="n"/>
      <c r="U30" s="47" t="n"/>
      <c r="V30" s="47" t="n"/>
      <c r="W30" s="47" t="n"/>
      <c r="X30" s="47" t="n"/>
      <c r="Y30" s="47" t="n"/>
      <c r="Z30" s="47" t="n"/>
    </row>
    <row r="31" ht="15.75" customHeight="1" s="185">
      <c r="A31" s="52">
        <f>row()-3</f>
        <v/>
      </c>
      <c r="B31" s="46" t="inlineStr">
        <is>
          <t>基本給とは？手取りや月給との違い、平均額まで詳しく解説</t>
        </is>
      </c>
      <c r="C31" s="6" t="inlineStr">
        <is>
          <t>https://dym.asia/media/recruiting/basic-salary/</t>
        </is>
      </c>
      <c r="D31" s="47" t="inlineStr">
        <is>
          <t>基本給 平均</t>
        </is>
      </c>
      <c r="E31" s="35" t="n">
        <v>88</v>
      </c>
      <c r="F31" s="36" t="n">
        <v>6.721981057616417</v>
      </c>
      <c r="G31" s="47" t="inlineStr">
        <is>
          <t>なし</t>
        </is>
      </c>
      <c r="H31" s="47" t="inlineStr">
        <is>
          <t>可</t>
        </is>
      </c>
      <c r="I31" s="10" t="inlineStr">
        <is>
          <t>Q. 基本給とは何ですか？また、求人情報や給与明細でよく見る「月給」「手取り」「額面」とはどう違いますか？
A. 基本給とは、給与の土台となる固定の金額で、残業代やボーナス、退職金などを計算する基準にもなります。
月給：基本給に固定の諸手当を加えた金額。
額面：月給に残業代などを含めた、税金や社会保険料が引かれる前の総支給額。
手取り：額面から税金や社会保険料を差し引いた、実際に受け取る金額です。
Q. 基本給の決定方法にはどのような種類がありますか？それぞれの特徴を教えてください。
A. 基本給の決め方には大きく3種類あります。
仕事給型：職務の価値や難易度に応じて決まる方法。成果主義を採用する欧米企業でよく見られます。
属人給型：年齢や勤続年数、学歴など個人の属性に基づいて決まる方法。日本の年功序列型賃金制度の基礎です。
総合給型：仕事給型と属人給型を組み合わせ、職務内容と個人の能力の両方を考慮して決定する方法で、日本企業で広く使われています。
Q. 基本給の金額は、残業代やボーナス、社会保険料にどのような影響を与えますか？
A. 基本給は給与計算の基準となるため、非常に重要です。残業代や休日手当は基本給をもとに計算されるため、基本給が高いほど割増賃金も高くなります。ボーナスや退職金も基本給をベースに計算されることが多いです。
社会保険料の計算（健康保険や厚生年金など）にも影響します。
株式会社DYMでは、求職者様に対して様々な就職支援サービスを提供しております。
お問い合わせはこちら↓
https://dym.asia/media/recruiting-contact/</t>
        </is>
      </c>
      <c r="J31" s="47" t="n"/>
      <c r="K31" s="47" t="inlineStr">
        <is>
          <t>未確認</t>
        </is>
      </c>
      <c r="L31" s="47" t="inlineStr">
        <is>
          <t>未確認</t>
        </is>
      </c>
      <c r="M31" s="47" t="n"/>
      <c r="N31" s="47" t="n"/>
      <c r="O31" s="47" t="n"/>
      <c r="P31" s="47" t="n"/>
      <c r="Q31" s="47" t="n"/>
      <c r="R31" s="47" t="n"/>
      <c r="S31" s="47" t="n"/>
      <c r="T31" s="47" t="n"/>
      <c r="U31" s="47" t="n"/>
      <c r="V31" s="47" t="n"/>
      <c r="W31" s="47" t="n"/>
      <c r="X31" s="47" t="n"/>
      <c r="Y31" s="47" t="n"/>
      <c r="Z31" s="47" t="n"/>
    </row>
    <row r="32" ht="15.75" customHeight="1" s="185">
      <c r="A32" s="52">
        <f>row()-3</f>
        <v/>
      </c>
      <c r="B32" s="46" t="inlineStr">
        <is>
          <t>就職浪人は新卒扱い？就活は不利？就職留年との違いやメリット・デメリットを解説</t>
        </is>
      </c>
      <c r="C32" s="6" t="inlineStr">
        <is>
          <t>https://dym.asia/media/recruiting/new-graduate-taking-job-hunting-year/</t>
        </is>
      </c>
      <c r="D32" s="47" t="inlineStr">
        <is>
          <t>就職浪人</t>
        </is>
      </c>
      <c r="E32" s="35" t="n">
        <v>86</v>
      </c>
      <c r="F32" s="36" t="n">
        <v>3.947103877453327</v>
      </c>
      <c r="G32" s="47" t="inlineStr">
        <is>
          <t>なし</t>
        </is>
      </c>
      <c r="H32" s="47" t="inlineStr">
        <is>
          <t>可</t>
        </is>
      </c>
      <c r="I32" s="10" t="inlineStr">
        <is>
          <t>Q. 「就職浪人」と「就職留年」、「第二新卒」の違いは何ですか？就職浪人でも新卒扱いになりますか？
A.就職浪人は、大学を卒業したあとも就職活動を続ける人を指します。企業によっては「既卒」として扱われ、新卒枠での応募が難しくなることがあります。
就職留年は、大学に在籍したまま（単位を残すなど）新卒の立場で就職活動を続ける方法です。
第二新卒は、大学卒業後に一度正社員として就職し、短期間で転職活動を行う人を指します。
就職浪人は企業によって新卒扱いされない場合もあるため、応募前に採用基準を確認することが大切です。
Q. 就職浪人を選択する主なメリットとデメリット（リスク）は何ですか？
A. メリット：自己分析や業界研究、資格取得などに時間を使えるため、「本当にやりたい仕事」を見つけやすくなります。
デメリット（リスク）：企業によっては既卒扱いとなり新卒枠から外れること、面接で「なぜ卒業時に就職しなかったのか」を問われ、ネガティブな印象を持たれる可能性があること、大学の就職サポートを受けられなくなることなどが挙げられます。
Q. 就職浪人として就職活動を成功させるために、浪人期間中に実践すべき重要なことは何ですか？
A. 浪人期間を有効に使ったことを、面接で具体的に示すことが大切です。
・前回の経験を活かして徹底的な自己分析や企業研究を行う
・資格取得や語学力の向上など自己研鑽に励む
・アルバイトやインターン経験から、入社意欲や成長意欲を証明できる具体的なエピソードを準備する
これらを通して、「ただ待っていた期間ではない」ことを示すのがポイントです。
株式会社DYMでは、求職者様に対して様々な就職支援サービスを提供しております。
お問い合わせはこちら↓
https://dym.asia/media/recruiting-contact/</t>
        </is>
      </c>
      <c r="J32" s="47" t="n"/>
      <c r="K32" s="47" t="inlineStr">
        <is>
          <t>未確認</t>
        </is>
      </c>
      <c r="L32" s="47" t="inlineStr">
        <is>
          <t>未確認</t>
        </is>
      </c>
      <c r="M32" s="47" t="n"/>
      <c r="N32" s="47" t="n"/>
      <c r="O32" s="47" t="n"/>
      <c r="P32" s="47" t="n"/>
      <c r="Q32" s="47" t="n"/>
      <c r="R32" s="47" t="n"/>
      <c r="S32" s="47" t="n"/>
      <c r="T32" s="47" t="n"/>
      <c r="U32" s="47" t="n"/>
      <c r="V32" s="47" t="n"/>
      <c r="W32" s="47" t="n"/>
      <c r="X32" s="47" t="n"/>
      <c r="Y32" s="47" t="n"/>
      <c r="Z32" s="47" t="n"/>
    </row>
    <row r="33" ht="15.75" customHeight="1" s="185">
      <c r="A33" s="52">
        <f>row()-3</f>
        <v/>
      </c>
      <c r="B33" s="46" t="inlineStr">
        <is>
          <t>就活早期化が進む理由とは？意味や背景、対策まで徹底解説</t>
        </is>
      </c>
      <c r="C33" s="6" t="inlineStr">
        <is>
          <t>https://dym.asia/media/recruiting/early-job-hunting/</t>
        </is>
      </c>
      <c r="D33" s="47" t="inlineStr">
        <is>
          <t>就活 早期化</t>
        </is>
      </c>
      <c r="E33" s="35" t="n">
        <v>79</v>
      </c>
      <c r="F33" s="36" t="n">
        <v>1.801346801346801</v>
      </c>
      <c r="G33" s="47" t="inlineStr">
        <is>
          <t>なし</t>
        </is>
      </c>
      <c r="H33" s="47" t="inlineStr">
        <is>
          <t>可</t>
        </is>
      </c>
      <c r="I33" s="10" t="inlineStr">
        <is>
          <t>Q. 就活早期化が進む背景には、どのような企業側の採用戦略や要因がありますか？
A.就活の早期化が進んでいる大きな理由は、企業間の優秀な人材の争奪戦が激しくなっていることです。少子高齢化や景気回復の影響で、企業は他社より早く優秀な学生を確保したいと考えています。
また、インターンシップの重要性が増していることも背景にあります。2023年4月のルール見直しにより、条件を満たすインターンシップは実質的に選考の場として活用できるようになり、企業は選考を前倒ししやすくなりました。
Q. 早期就活に取り組むことによる学生にとっての主なメリットとデメリットは何ですか？
A. メリット
・早期に内定を獲得できる可能性が高まる
・自己分析や準備に十分な時間を確保できる
・内定後は学業や学生生活に集中できる期間が長くなる
デメリット
・学業との両立が難しくなり、精神的プレッシャーが増す
・企業研究が不十分なまま進路を決めてしまうミスマッチのリスク
・学生間で情報格差が広がる可能性
Q. 就活早期化のトレンドに対応し、内定を獲得するために学生が取り組むべき具体的な準備は何ですか？
A. 早期化に対応するには、計画的に準備を進めることが重要です。具体的には：
・自己分析を早めに行い、就職活動の軸を固める
・業界研究や企業研究を進めて情報の質を高める
・インターンシップを積極的に活用し、早期選考の機会を逃さない
もし準備が遅れてしまった場合は、就活エージェントなど第三者のサポートを活用するのも有効です。
株式会社DYMでは、求職者様に対して様々な就職支援サービスを提供しております。
お問い合わせはこちら↓
https://dym.asia/media/recruiting-contact/</t>
        </is>
      </c>
      <c r="J33" s="47" t="n"/>
      <c r="K33" s="47" t="inlineStr">
        <is>
          <t>未確認</t>
        </is>
      </c>
      <c r="L33" s="47" t="inlineStr">
        <is>
          <t>未確認</t>
        </is>
      </c>
      <c r="M33" s="47" t="n"/>
      <c r="N33" s="47" t="n"/>
      <c r="O33" s="47" t="n"/>
      <c r="P33" s="47" t="n"/>
      <c r="Q33" s="47" t="n"/>
      <c r="R33" s="47" t="n"/>
      <c r="S33" s="47" t="n"/>
      <c r="T33" s="47" t="n"/>
      <c r="U33" s="47" t="n"/>
      <c r="V33" s="47" t="n"/>
      <c r="W33" s="47" t="n"/>
      <c r="X33" s="47" t="n"/>
      <c r="Y33" s="47" t="n"/>
      <c r="Z33" s="47" t="n"/>
    </row>
    <row r="34" ht="15.75" customHeight="1" s="185">
      <c r="A34" s="52">
        <f>row()-3</f>
        <v/>
      </c>
      <c r="B34" s="46" t="inlineStr">
        <is>
          <t>有効求人倍率とは何か？計算方法や最新動向も紹介</t>
        </is>
      </c>
      <c r="C34" s="6" t="inlineStr">
        <is>
          <t>https://dym.asia/media/recruiting/ratio-of-job-openings-to-job-applicants/</t>
        </is>
      </c>
      <c r="D34" s="47" t="inlineStr">
        <is>
          <t>有効求人倍率</t>
        </is>
      </c>
      <c r="E34" s="35" t="n">
        <v>75</v>
      </c>
      <c r="F34" s="36" t="n">
        <v>8.13261497712497</v>
      </c>
      <c r="G34" s="47" t="inlineStr">
        <is>
          <t>なし</t>
        </is>
      </c>
      <c r="H34" s="47" t="inlineStr">
        <is>
          <t>可</t>
        </is>
      </c>
      <c r="I34" s="10" t="inlineStr">
        <is>
          <t>Q. 有効求人倍率とは何ですか？また、計算方法と、その数値が1.0を上回る・下回ることで何を示しますか？
A. 有効求人倍率とは、ある期間にハローワークなどで登録されている**「有効求人数」（企業が募集している職の数）を、「有効求職者数」（仕事を探している人の数）**で割った割合のことです。計算式は次の通りです。
有効求人倍率 = 有効求人数 ÷ 有効求職者数
・倍率が 1.0を上回る 場合：求人の方が多く、求職者に有利な「売り手市場」であることを示します。
・倍率が 1.0未満 の場合：求職者の方が多く、就職がやや難しい「買い手市場」であることを意味します。
Q. 有効求人倍率が高い場合と低い場合では、労働市場において求職者と企業それぞれにどのような影響がありますか？
A. 高い場合（売り手市場）
・求職者は選択肢が多く、自分に合った仕事を選びやすい
・企業は人材確保が難しくなり、賃金や条件の改善が必要になることも
低い場合（買い手市場）
・求職者は仕事を見つけにくく、就職活動がやや厳しい
・企業は比較的スムーズに人材を採用できる
有効求人倍率は景気や人手不足の状況を測る、労働市場の重要な指標です。
Q. 有効求人倍率を就職活動で活用する際に、数値の解釈で注意すべき3つのポイントは何ですか？
A. 有効求人倍率を活用する際は、次の3つに注意しましょう。
・ハローワークの求人のみを対象としており、民間の求人サイトの情報は含まれていない
・パートやアルバイトなど正社員以外の求人も含まれることがあるため、正社員の状況を正確に示すとは限らない
・季節的な変動があるため、季節調整値も確認して一時的な数字に惑わされない
株式会社DYMでは、求職者様に対して様々な就職支援サービスを提供しております。
お問い合わせはこちら↓
https://dym.asia/media/recruiting-contact/</t>
        </is>
      </c>
      <c r="J34" s="47" t="n"/>
      <c r="K34" s="47" t="inlineStr">
        <is>
          <t>未確認</t>
        </is>
      </c>
      <c r="L34" s="47" t="inlineStr">
        <is>
          <t>未確認</t>
        </is>
      </c>
      <c r="M34" s="47" t="n"/>
      <c r="N34" s="47" t="n"/>
      <c r="O34" s="47" t="n"/>
      <c r="P34" s="47" t="n"/>
      <c r="Q34" s="47" t="n"/>
      <c r="R34" s="47" t="n"/>
      <c r="S34" s="47" t="n"/>
      <c r="T34" s="47" t="n"/>
      <c r="U34" s="47" t="n"/>
      <c r="V34" s="47" t="n"/>
      <c r="W34" s="47" t="n"/>
      <c r="X34" s="47" t="n"/>
      <c r="Y34" s="47" t="n"/>
      <c r="Z34" s="47" t="n"/>
    </row>
    <row r="35" ht="15.75" customHeight="1" s="185">
      <c r="A35" s="52">
        <f>row()-3</f>
        <v/>
      </c>
      <c r="B35" s="46" t="inlineStr">
        <is>
          <t>ESFP（エンターテイナー）の相性診断｜特徴・性格・恋愛まで徹底解説</t>
        </is>
      </c>
      <c r="C35" s="6" t="inlineStr">
        <is>
          <t>https://dym.asia/media/recruiting/esfp/</t>
        </is>
      </c>
      <c r="D35" s="47" t="inlineStr">
        <is>
          <t>esfp</t>
        </is>
      </c>
      <c r="E35" s="35" t="n">
        <v>66</v>
      </c>
      <c r="F35" s="36" t="n">
        <v>7.673638367654175</v>
      </c>
      <c r="G35" s="47" t="inlineStr">
        <is>
          <t>なし</t>
        </is>
      </c>
      <c r="H35" s="47" t="inlineStr">
        <is>
          <t>可</t>
        </is>
      </c>
      <c r="I35" s="10" t="inlineStr">
        <is>
          <t>Q. ESFP（エンターテイナー）の基本的な性格と、16Personalitiesにおける4つの略称（E・S・F・P）の意味を教えてください。
A.ESFP、通称「エンターテイナー」は、社交的でエネルギッシュ、人を楽しませることに喜びを感じる性格です。彼らは「今この瞬間」を大切にし、五感を通じて世界を体験することを好みます。略称の意味はそれぞれ、Eが外向型で社交的、Sが感覚型で現実的かつ五感を重視、Fが感情型で人間関係や感情を大切にすること、Pが知覚型で柔軟かつ臨機応変な対応を好むことを表しています。
Q. ESFP（エンターテイナー）が仕事で長所を活かしやすい職業や業界の傾向は何ですか？
A. ESFPは高い社交性や共感力、表現力を活かせる仕事で力を発揮します。特に人と関わる機会が多く、その場の状況に応じて柔軟に対応できる職場が向いています。具体的には、人を楽しませるエンターテイメント業界や顧客と直接接する販売・サービス業、営業職、教育、医療・福祉などの分野が適しています。
Q. ESFP（エンターテイナー）の恋愛傾向はどのようなものですか？また、特に相性が良いとされる性格タイプを教えてください。
A. ESFPは恋愛においても情熱的でロマンチックな一面を持ち、パートナーを楽しませることに喜びを感じます。感情をオープンに表現し、相手の気持ちに寄り添うことを大切にします。相性が良いとされるのは、ESFPのエネルギーや感情の豊かさを理解しバランスを取ってくれるINTPや、リーダーシップを発揮するENTJ、そして優しさを持つISFJなどです。
株式会社DYMでは、求職者様に対して様々な就職支援サービスを提供しております。
お問い合わせはこちら↓
https://dym.asia/media/recruiting-contact/</t>
        </is>
      </c>
      <c r="K35" s="47" t="inlineStr">
        <is>
          <t>未確認</t>
        </is>
      </c>
      <c r="L35" s="47" t="inlineStr">
        <is>
          <t>未確認</t>
        </is>
      </c>
      <c r="M35" s="47" t="n"/>
      <c r="N35" s="47" t="n"/>
      <c r="O35" s="47" t="n"/>
      <c r="P35" s="47" t="n"/>
      <c r="Q35" s="47" t="n"/>
      <c r="R35" s="47" t="n"/>
      <c r="S35" s="47" t="n"/>
      <c r="T35" s="47" t="n"/>
      <c r="U35" s="47" t="n"/>
      <c r="V35" s="47" t="n"/>
      <c r="W35" s="47" t="n"/>
      <c r="X35" s="47" t="n"/>
      <c r="Y35" s="47" t="n"/>
      <c r="Z35" s="47" t="n"/>
    </row>
    <row r="36" ht="15.75" customHeight="1" s="185">
      <c r="A36" s="52">
        <f>row()-3</f>
        <v/>
      </c>
      <c r="B36" s="46" t="inlineStr">
        <is>
          <t>第二新卒とは？年齢は何歳まで？定義や転職のコツ</t>
        </is>
      </c>
      <c r="C36" s="6" t="inlineStr">
        <is>
          <t>https://dym.asia/media/recruiting/former-recruitment-age/</t>
        </is>
      </c>
      <c r="D36" s="47" t="inlineStr">
        <is>
          <t>第二新卒とは</t>
        </is>
      </c>
      <c r="E36" s="35" t="n">
        <v>64</v>
      </c>
      <c r="F36" s="36" t="n">
        <v>6.503853907269062</v>
      </c>
      <c r="G36" s="47" t="inlineStr">
        <is>
          <t>なし</t>
        </is>
      </c>
      <c r="H36" s="47" t="inlineStr">
        <is>
          <t>可</t>
        </is>
      </c>
      <c r="I36" s="10" t="inlineStr">
        <is>
          <t>Q. 転職面接において、前職の退職理由を伝える際の基本的なポイントと、採用担当者が知りたいことは何ですか？
A. 退職理由を伝えるときの基本は、前向きな姿勢を示すことと、同じ理由でまたすぐ辞める心配がないことを伝えることです。採用担当者が知りたいのは、入社後に同じ問題で早期に退職しないかどうか、そして前職での経験から何を学び、それを次にどう活かそうとしているかという前向きな意欲です。面接では批判的な表現は避け、「前職では達成できなかった目標を御社で実現したい」といった形で話を締めると印象が良くなります。
Q. 「人間関係の不満」や「給与への不満」といったネガティブな退職理由を、面接でポジティブに変換して伝えるコツを教えてください。
A. ネガティブな退職理由は、自分の成長や挑戦意欲に置き換えて伝えると効果的です。「人間関係の不満」は、チームでより大きな目標を達成できる環境を求めている、と言い換えられます。「給与への不満」は、正当な評価のもとで責任ある役割を通じて貢献したい、という意欲として伝えましょう。大切なのは、不満の原因を他人や環境のせいにせず、自分のキャリア目標に焦点を当てることです。
Q. 退職理由の回答に一貫性を持たせるために、職務経歴書や志望動機とどのように関連付けて準備すべきですか？
A. 退職理由、志望動機、職務経歴書は、キャリアの軸で自然につながるように準備することが大切です。前職での課題や不足を退職理由として整理し、それが次の会社で実現したい目標につながるようにします。そして、その目標を志望動機として示し、これまでの経験が目標達成に役立つことを職務経歴で証明する、という流れで話を組み立てると、面接官に納得感を与え、入社意欲の高さを伝えられます。
株式会社DYMでは、求職者様に対して様々な就職支援サービスを提供しております。
お問い合わせはこちら↓
https://dym.asia/media/recruiting-contact/</t>
        </is>
      </c>
      <c r="J36" s="47" t="n"/>
      <c r="K36" s="47" t="inlineStr">
        <is>
          <t>未確認</t>
        </is>
      </c>
      <c r="L36" s="47" t="inlineStr">
        <is>
          <t>未確認</t>
        </is>
      </c>
      <c r="M36" s="47" t="n"/>
      <c r="N36" s="47" t="n"/>
      <c r="O36" s="47" t="n"/>
      <c r="P36" s="47" t="n"/>
      <c r="Q36" s="47" t="n"/>
      <c r="R36" s="47" t="n"/>
      <c r="S36" s="47" t="n"/>
      <c r="T36" s="47" t="n"/>
      <c r="U36" s="47" t="n"/>
      <c r="V36" s="47" t="n"/>
      <c r="W36" s="47" t="n"/>
      <c r="X36" s="47" t="n"/>
      <c r="Y36" s="47" t="n"/>
      <c r="Z36" s="47" t="n"/>
    </row>
    <row r="37" ht="15.75" customHeight="1" s="185">
      <c r="A37" s="52">
        <f>row()-3</f>
        <v/>
      </c>
      <c r="B37" s="46" t="inlineStr">
        <is>
          <t>自己都合退職で失業保険はもらえる？いつから、いくらもらえるかを解説</t>
        </is>
      </c>
      <c r="C37" s="6" t="inlineStr">
        <is>
          <t>https://dym.asia/media/recruiting/voluntary-unemployment-insurance/</t>
        </is>
      </c>
      <c r="D37" s="47" t="inlineStr">
        <is>
          <t>失業保険 自己都合</t>
        </is>
      </c>
      <c r="E37" s="35" t="n">
        <v>60</v>
      </c>
      <c r="F37" s="36" t="n">
        <v>2.267923760428678</v>
      </c>
      <c r="G37" s="47" t="inlineStr">
        <is>
          <t>なし</t>
        </is>
      </c>
      <c r="H37" s="47" t="inlineStr">
        <is>
          <t>可</t>
        </is>
      </c>
      <c r="I37" s="10" t="inlineStr">
        <is>
          <t>Q. 退職後、健康保険を継続するための主な選択肢として、「任意継続」と「国民健康保険」がありますが、それぞれの違いは何ですか？
A. 任意継続被保険者制度は、退職前に加入していた会社の健康保険を退職後も最長2年間続けられる制度です。この制度のメリットは、在職中とほぼ同じ給付を受けられることや、扶養家族がいる場合でも保険料の負担が比較的有利になる点です。一方、国民健康保険は、市区町村が運営する保険で、保険料は前年の所得などに応じて決まり、扶養家族の概念はありません。どちらを選ぶかは、家族構成や所得、保険料負担のバランスを考えて決めることが大切です。
Q. 任意継続被保険者制度を利用するための条件と、保険料が退職前と比べてどのように変わるのか教えてください。
A. 任意継続を利用するには、退職日までに会社の健康保険に2か月以上連続して加入していることと、退職日の翌日から20日以内に手続きを行うことが必要です。保険料は、在職中は会社と折半で支払っていましたが、任意継続では全額自己負担になります。ただし、保険料には上限があり、基本的には退職時の標準報酬月額に基づいて決まります。
Q. 任意継続制度の最大のメリットと、デメリット（注意点）にはどのようなものがありますか？
A. 大きなメリットは、給与が高めの人や扶養家族がいる場合に、国民健康保険よりも保険料が安くなる可能性があることです。注意点としては、加入できる期間が最長2年間に限られていること、保険料を納付期限までに支払わないと資格を失うこと、そして制度終了後に国民健康保険に切り替える手続きが必要になることです。これらを踏まえて、自分の状況に合わせてどちらの保険を選ぶかを判断することが大切です。
株式会社DYMでは、求職者様に対して様々な就職支援サービスを提供しております。
お問い合わせはこちら↓
https://dym.asia/media/recruiting-contact/</t>
        </is>
      </c>
      <c r="J37" s="47" t="n"/>
      <c r="K37" s="47" t="inlineStr">
        <is>
          <t>未確認</t>
        </is>
      </c>
      <c r="L37" s="47" t="inlineStr">
        <is>
          <t>未確認</t>
        </is>
      </c>
      <c r="M37" s="47" t="n"/>
      <c r="N37" s="47" t="n"/>
      <c r="O37" s="47" t="n"/>
      <c r="P37" s="47" t="n"/>
      <c r="Q37" s="47" t="n"/>
      <c r="R37" s="47" t="n"/>
      <c r="S37" s="47" t="n"/>
      <c r="T37" s="47" t="n"/>
      <c r="U37" s="47" t="n"/>
      <c r="V37" s="47" t="n"/>
      <c r="W37" s="47" t="n"/>
      <c r="X37" s="47" t="n"/>
      <c r="Y37" s="47" t="n"/>
      <c r="Z37" s="47" t="n"/>
    </row>
    <row r="38" ht="15.75" customHeight="1" s="185">
      <c r="A38" s="52">
        <f>row()-3</f>
        <v/>
      </c>
      <c r="B38" s="46" t="inlineStr">
        <is>
          <t>ブラック企業とは？定義・特徴から見抜くポイント</t>
        </is>
      </c>
      <c r="C38" s="6" t="inlineStr">
        <is>
          <t>https://dym.asia/media/recruiting/black-company/</t>
        </is>
      </c>
      <c r="D38" s="47" t="inlineStr">
        <is>
          <t>ブラック企業</t>
        </is>
      </c>
      <c r="E38" s="35" t="n">
        <v>56</v>
      </c>
      <c r="F38" s="36" t="n">
        <v>5.651238169324517</v>
      </c>
      <c r="G38" s="47" t="inlineStr">
        <is>
          <t>なし</t>
        </is>
      </c>
      <c r="H38" s="47" t="inlineStr">
        <is>
          <t>可</t>
        </is>
      </c>
      <c r="I38" s="10" t="inlineStr">
        <is>
          <t>Q. 厚生労働省が定義するブラック企業の特徴と、労働者にとっての最大の問題点は何ですか？
A.厚生労働省はブラック企業に明確な定義を示していませんが、一般的には極端な長時間労働やノルマの強制、未払い残業やハラスメントが横行している、コンプライアンス意識が低いといった特徴があります。働く人にとって最大の問題は、過度なストレスや長時間労働によって心身の健康が損なわれることです。最悪の場合は過労死や過労自殺のリスクもあり、こうした環境は企業の信用や競争力低下にもつながります。
Q. 求人情報や面接の段階で、ブラック企業かどうかを見抜くための具体的なチェックポイントを教えてください。
A. 求人情報では、労働時間が曖昧に書かれている、給与に「みなし残業代」が含まれているのに残業時間が長すぎる、年間休日が極端に少ないといった点に注目します。面接や会社訪問では、社員の離職率を尋ねたり、社員の表情や雰囲気が疲れていないかを見ることも大切です。加えて、評価制度や研修・教育体制が具体的で整っているかどうかも確認すると、働きやすさの目安になります。
Q. ブラック企業の特徴とされる「長時間労働」や「低賃金」のほかに、見過ごされがちな特徴にはどのようなものがありますか？
A. 労働条件以外では、精神論ばかりで仕事を語る文化や、上司や経営陣の独断で方針が決まることが挙げられます。根性論を強要し、合理的な評価や休息を軽視する企業は注意が必要です。また、入社後の離職率や休職率が高い場合も劣悪な労働環境のサインです。さらに、募集要項で仕事内容が曖昧に書かれていて、入社後に想定外の業務を任されるケースも少なくありません。
株式会社DYMでは、求職者様に対して様々な就職支援サービスを提供しております。
お問い合わせはこちら↓
https://dym.asia/media/recruiting-contact/</t>
        </is>
      </c>
      <c r="J38" s="47" t="n"/>
      <c r="K38" s="47" t="inlineStr">
        <is>
          <t>未確認</t>
        </is>
      </c>
      <c r="L38" s="47" t="inlineStr">
        <is>
          <t>未確認</t>
        </is>
      </c>
      <c r="M38" s="47" t="n"/>
      <c r="N38" s="47" t="n"/>
      <c r="O38" s="47" t="n"/>
      <c r="P38" s="47" t="n"/>
      <c r="Q38" s="47" t="n"/>
      <c r="R38" s="47" t="n"/>
      <c r="S38" s="47" t="n"/>
      <c r="T38" s="47" t="n"/>
      <c r="U38" s="47" t="n"/>
      <c r="V38" s="47" t="n"/>
      <c r="W38" s="47" t="n"/>
      <c r="X38" s="47" t="n"/>
      <c r="Y38" s="47" t="n"/>
      <c r="Z38" s="47" t="n"/>
    </row>
    <row r="39" ht="15.75" customHeight="1" s="185">
      <c r="A39" s="52">
        <f>row()-3</f>
        <v/>
      </c>
      <c r="B39" s="46" t="inlineStr">
        <is>
          <t>非正規雇用女性の課題｜正規雇用の増加の可能性は？</t>
        </is>
      </c>
      <c r="C39" s="6" t="inlineStr">
        <is>
          <t>https://dym.asia/media/recruiting/non-regular-employment-female/</t>
        </is>
      </c>
      <c r="D39" s="47" t="inlineStr">
        <is>
          <t>女性 非正規雇用 多い理由</t>
        </is>
      </c>
      <c r="E39" s="35" t="n">
        <v>55</v>
      </c>
      <c r="F39" s="36" t="n">
        <v>1.396491228070175</v>
      </c>
      <c r="G39" s="47" t="inlineStr">
        <is>
          <t>なし</t>
        </is>
      </c>
      <c r="H39" s="47" t="inlineStr">
        <is>
          <t>可</t>
        </is>
      </c>
      <c r="I39" s="10" t="inlineStr">
        <is>
          <t>Q: 美容クリニックのM&amp;Aが増加している背景は何ですか？
A: 美容医療市場が拡大していることと、後継者不在の問題を解消したいというニーズが主な理由です。若い世代を中心に美容医療に対する心理的ハードルが下がったことで市場自体が大きくなり、クリニックのオーナーは廃業コストをかけずに事業を続けながら、高額で売却できる可能性があるため、M&amp;Aは有効な選択肢になっています。
Q: 美容クリニックのM&amp;Aにおいて、売却側（譲渡する開業医）が特に注意すべきデメリットは何ですか？
A: 長年築いてきたブランドや診療方針が失われる可能性と、手続きが複雑になることです。特に院長個人のカリスマ性に頼っていた場合は、譲渡後に患者が離れてしまったり、新しい経営者の下で自由に判断できなくなるリスクがあります。
Q: 美容クリニック特有のM&amp;Aを成功させるための重要ポイントは何ですか？
A: コース契約や前受け収益の会計処理、医療機器の評価・譲渡など、美容クリニックならではの項目を正しく管理することが重要です。また、M&amp;A後に診療やオペレーションをスムーズに引き継ぐためには、主要スタッフなど継承のキーマンを特定して雇用を確保する計画を立てることも欠かせません。
株式会社DYMでは、求職者様に対して様々な就職支援サービスを提供しております。
お問い合わせはこちら↓
https://dym.asia/media/recruiting-contact/</t>
        </is>
      </c>
      <c r="J39" s="47" t="n"/>
      <c r="K39" s="47" t="inlineStr">
        <is>
          <t>未確認</t>
        </is>
      </c>
      <c r="L39" s="47" t="inlineStr">
        <is>
          <t>未確認</t>
        </is>
      </c>
      <c r="M39" s="47" t="n"/>
      <c r="N39" s="47" t="n"/>
      <c r="O39" s="47" t="n"/>
      <c r="P39" s="47" t="n"/>
      <c r="Q39" s="47" t="n"/>
      <c r="R39" s="47" t="n"/>
      <c r="S39" s="47" t="n"/>
      <c r="T39" s="47" t="n"/>
      <c r="U39" s="47" t="n"/>
      <c r="V39" s="47" t="n"/>
      <c r="W39" s="47" t="n"/>
      <c r="X39" s="47" t="n"/>
      <c r="Y39" s="47" t="n"/>
      <c r="Z39" s="47" t="n"/>
    </row>
    <row r="40" ht="15.75" customHeight="1" s="185">
      <c r="A40" s="52">
        <f>row()-3</f>
        <v/>
      </c>
      <c r="B40" s="46" t="inlineStr">
        <is>
          <t>第二新卒とはいつまで？新卒・既卒との違いや転職するメリット・デメリット</t>
        </is>
      </c>
      <c r="C40" s="6" t="inlineStr">
        <is>
          <t>https://dym.asia/media/recruiting/about-former-graduate/</t>
        </is>
      </c>
      <c r="D40" s="47" t="inlineStr">
        <is>
          <t>第二新卒 いつまで</t>
        </is>
      </c>
      <c r="E40" s="35" t="n">
        <v>54</v>
      </c>
      <c r="F40" s="36" t="n">
        <v>6.214808087567516</v>
      </c>
      <c r="G40" s="47" t="inlineStr">
        <is>
          <t>なし</t>
        </is>
      </c>
      <c r="H40" s="47" t="inlineStr">
        <is>
          <t>可</t>
        </is>
      </c>
      <c r="I40" s="10" t="inlineStr">
        <is>
          <t>Q: 「第二新卒」とは、どのような人材を指し、何歳までが対象ですか？
A: 第二新卒とは、新卒で入社してからおおむね1年から3年以内に転職活動をしている若手の社会人を指します。明確な年齢の制限はありませんが、四年制大学を卒業した場合だと、おおよそ25歳から27歳くらいまでが対象となることが多く、企業によって定義は少しずつ異なります。
Q: 第二新卒は、新卒や既卒と比べて転職市場でどのような強みがありますか？
A: すでに基本的なビジネスマナーや社会人としての常識を身につけているため、企業は教育にかかるコストを抑えられます。さらに、新卒と同じくらい若く、伸びしろがあると評価される一方で、一度社会に出た経験から自己分析ができ、仕事に対する目的意識が明確な点も強みです。そのため、転職市場での需要は高い傾向にあります。
Q: 第二新卒が転職を成功させるために、企業側が懸念するデメリットへの対策は何ですか？
A: 企業は「すぐに辞めてしまうのではないか」と不安を抱くことがあります。そのため、退職理由を前向きに伝えることが大切です。前職での不満を挙げるのではなく、「前職で培ったスキルを活かし、志望する企業でどう貢献し、どのように成長したいか」という具体的なビジョンを面接でしっかりと示すことが、内定獲得につながります。
株式会社DYMでは、求職者様に対して様々な就職支援サービスを提供しております。
お問い合わせはこちら↓
https://dym.asia/media/recruiting-contact/</t>
        </is>
      </c>
      <c r="J40" s="47" t="n"/>
      <c r="K40" s="47" t="inlineStr">
        <is>
          <t>未確認</t>
        </is>
      </c>
      <c r="L40" s="47" t="inlineStr">
        <is>
          <t>未確認</t>
        </is>
      </c>
      <c r="M40" s="47" t="n"/>
      <c r="N40" s="47" t="n"/>
      <c r="O40" s="47" t="n"/>
      <c r="P40" s="47" t="n"/>
      <c r="Q40" s="47" t="n"/>
      <c r="R40" s="47" t="n"/>
      <c r="S40" s="47" t="n"/>
      <c r="T40" s="47" t="n"/>
      <c r="U40" s="47" t="n"/>
      <c r="V40" s="47" t="n"/>
      <c r="W40" s="47" t="n"/>
      <c r="X40" s="47" t="n"/>
      <c r="Y40" s="47" t="n"/>
      <c r="Z40" s="47" t="n"/>
    </row>
    <row r="41" ht="15.75" customHeight="1" s="185">
      <c r="A41" s="52">
        <f>row()-3</f>
        <v/>
      </c>
      <c r="B41" s="46" t="inlineStr">
        <is>
          <t>企業説明会に最適なカバン選び｜おすすめのポイントと注意点</t>
        </is>
      </c>
      <c r="C41" s="10" t="inlineStr">
        <is>
          <t>https://dym.asia/media/recruiting/session-bag/</t>
        </is>
      </c>
      <c r="D41" s="47" t="inlineStr">
        <is>
          <t>会社説明会 カバン</t>
        </is>
      </c>
      <c r="E41" s="35" t="n">
        <v>53</v>
      </c>
      <c r="F41" s="36" t="n">
        <v>1.079365079365079</v>
      </c>
      <c r="G41" s="47" t="inlineStr">
        <is>
          <t>なし</t>
        </is>
      </c>
      <c r="H41" s="47" t="inlineStr">
        <is>
          <t>可</t>
        </is>
      </c>
      <c r="I41" s="10" t="inlineStr">
        <is>
          <t>Q: 企業説明会に持参するカバンは、どのような種類が最適ですか？
A: 無難で使いやすいのは、リクルートバッグを含むビジネスバッグです。フォーマルな印象を与えやすく、A4サイズの書類や資料を折らずに収納できる点も便利です。女性の場合は、A4サイズが入るシンプルなトートバッグも適しています。
Q: カバン選びで、就活生の第一印象を良くするために重視すべきポイントは何ですか？
A: 清潔感があり、スーツに合う落ち着いた色、例えば黒や濃紺を選ぶことが大切です。装飾が少なくシンプルなデザインであることもポイントです。さらに、会場で床に置くときにだらしなく見えないよう、自立するカバンを選ぶと印象が良くなります。
Q: 企業説明会後のカバンの活用方法として、どのような再利用方法がありますか？
A: 説明会で使ったカバンは、そのまま商談や打ち合わせなどのビジネスシーンでも活用できます。トートバッグやリュックの場合でも、落ち着いたデザインであればプライベートでも違和感なく使えるため、長く活用できるアイテムとなります。
株式会社DYMでは、求職者様に対して様々な就職支援サービスを提供しております。
お問い合わせはこちら↓
https://dym.asia/media/recruiting-contact/</t>
        </is>
      </c>
      <c r="J41" s="47" t="n"/>
      <c r="K41" s="47" t="inlineStr">
        <is>
          <t>未確認</t>
        </is>
      </c>
      <c r="L41" s="47" t="inlineStr">
        <is>
          <t>未確認</t>
        </is>
      </c>
      <c r="M41" s="47" t="n"/>
      <c r="N41" s="47" t="n"/>
      <c r="O41" s="47" t="n"/>
      <c r="P41" s="47" t="n"/>
      <c r="Q41" s="47" t="n"/>
      <c r="R41" s="47" t="n"/>
      <c r="S41" s="47" t="n"/>
      <c r="T41" s="47" t="n"/>
      <c r="U41" s="47" t="n"/>
      <c r="V41" s="47" t="n"/>
      <c r="W41" s="47" t="n"/>
      <c r="X41" s="47" t="n"/>
      <c r="Y41" s="47" t="n"/>
      <c r="Z41" s="47" t="n"/>
    </row>
    <row r="42" ht="15.75" customHeight="1" s="185">
      <c r="A42" s="52">
        <f>row()-3</f>
        <v/>
      </c>
      <c r="B42" s="46" t="inlineStr">
        <is>
          <t>会社説明会の服装、服装自由・私服指定の注意点</t>
        </is>
      </c>
      <c r="C42" s="6" t="inlineStr">
        <is>
          <t>https://dym.asia/media/recruiting/online-session-wearing/</t>
        </is>
      </c>
      <c r="D42" s="47" t="inlineStr">
        <is>
          <t>web説明会 服装自由</t>
        </is>
      </c>
      <c r="E42" s="35" t="n">
        <v>49</v>
      </c>
      <c r="F42" s="36" t="n">
        <v>2.116161616161616</v>
      </c>
      <c r="G42" s="47" t="inlineStr">
        <is>
          <t>なし</t>
        </is>
      </c>
      <c r="H42" s="47" t="inlineStr">
        <is>
          <t>可</t>
        </is>
      </c>
      <c r="I42" s="10" t="inlineStr">
        <is>
          <t>Q: Web説明会（オンライン）に参加する際の服装は、どのように選ぶべきですか？
A: 基本的には、指定がなくてもスーツを着用するのが無難です。もし「服装自由」や「私服可」といった指示がある場合は、企業の文化や雰囲気に合わせてビジネスカジュアルを意識し、清潔感と礼儀正しさを大切にした服装を選ぶと良いでしょう。
Q: Web説明会に私服（服装自由）で参加する場合、どのような服装がビジネスカジュアルに該当しますか？
A: 男性はジャケットに襟付きシャツ、チノパンを組み合わせた服装が一般的です。女性はブラウスにジャケットやカーディガンを合わせ、シンプルなスカートやパンツと組み合わせると好印象です。派手な色や露出の多い服は避け、落ち着いた色味で清潔感を意識することが大切です。
Q: Web説明会ならではの、服装以外で注意すべきポイントは何ですか？
A: 服装だけでなく、事前に通信環境を整えておくことや、カメラに映る背景がシンプルであることに気を配ることも重要です。また、顔が明るく見える照明の確認や、企業からカメラをオンにするよう指示があった場合に備えて髪型やメイクにも注意すると、より好印象を与えられます。
株式会社DYMでは、求職者様に対して様々な就職支援サービスを提供しております。
お問い合わせはこちら↓
https://dym.asia/media/recruiting-contact/</t>
        </is>
      </c>
      <c r="J42" s="47" t="n"/>
      <c r="K42" s="47" t="inlineStr">
        <is>
          <t>未確認</t>
        </is>
      </c>
      <c r="L42" s="47" t="inlineStr">
        <is>
          <t>未確認</t>
        </is>
      </c>
      <c r="M42" s="47" t="n"/>
      <c r="N42" s="47" t="n"/>
      <c r="O42" s="47" t="n"/>
      <c r="P42" s="47" t="n"/>
      <c r="Q42" s="47" t="n"/>
      <c r="R42" s="47" t="n"/>
      <c r="S42" s="47" t="n"/>
      <c r="T42" s="47" t="n"/>
      <c r="U42" s="47" t="n"/>
      <c r="V42" s="47" t="n"/>
      <c r="W42" s="47" t="n"/>
      <c r="X42" s="47" t="n"/>
      <c r="Y42" s="47" t="n"/>
      <c r="Z42" s="47" t="n"/>
    </row>
    <row r="43" ht="15.75" customHeight="1" s="185">
      <c r="A43" s="52">
        <f>row()-3</f>
        <v/>
      </c>
      <c r="B43" s="46" t="inlineStr">
        <is>
          <t>就活で合同説明会に行くべきか？メリットと参加のポイントを解説</t>
        </is>
      </c>
      <c r="C43" s="6" t="inlineStr">
        <is>
          <t>https://dym.asia/media/recruiting/career-fair-should/</t>
        </is>
      </c>
      <c r="D43" s="47" t="inlineStr">
        <is>
          <t>合同説明会 行くべきか</t>
        </is>
      </c>
      <c r="E43" s="35" t="n">
        <v>42</v>
      </c>
      <c r="F43" s="36" t="n">
        <v>2.013861386138614</v>
      </c>
      <c r="G43" s="47" t="inlineStr">
        <is>
          <t>なし</t>
        </is>
      </c>
      <c r="H43" s="47" t="inlineStr">
        <is>
          <t>可</t>
        </is>
      </c>
      <c r="I43" s="10" t="inlineStr">
        <is>
          <t>Q: 就職活動において、合同説明会に参加するメリットは何ですか？
A: 合同説明会に参加することで、普段は目にしない業界や企業を知ることができ、視野を広げられます。多くの企業が一堂に会するため、短時間で複数の業界を比較できるだけでなく、Webサイトや求人情報だけではわからない企業の雰囲気や社員の様子を直接感じられる貴重な機会になります。
Q: 合同説明会に「単に参加するだけ」では意味が薄いのはなぜですか？
A: ただ漠然と説明を聞くだけでは、既に知っている情報しか得られず、時間と労力を無駄にしてしまうことがあります。人気企業のブースでは待ち時間が長くなることも多いため、「興味のある業界について詳しく知る」「自分の適性を見極める」といった具体的な目的を持って参加することが大切です。
Q: 合同説明会に参加する際、選考に有利になるなど、採用への影響はありますか？
A: 合同説明会自体で直接選考に有利になることはあまりありませんが、企業の担当者と直接話すことで、自分の熱意や真摯な姿勢を印象付けることはできます。また、他の学生の質問ややり取りから貴重な情報を得ることもでき、その後の就職活動に役立てることが可能です。
株式会社DYMでは、求職者様に対して様々な就職支援サービスを提供しております。
お問い合わせはこちら↓
https://dym.asia/media/recruiting-contact/</t>
        </is>
      </c>
      <c r="J43" s="47" t="n"/>
      <c r="K43" s="47" t="inlineStr">
        <is>
          <t>未確認</t>
        </is>
      </c>
      <c r="L43" s="47" t="inlineStr">
        <is>
          <t>未確認</t>
        </is>
      </c>
      <c r="M43" s="47" t="n"/>
      <c r="N43" s="47" t="n"/>
      <c r="O43" s="47" t="n"/>
      <c r="P43" s="47" t="n"/>
      <c r="Q43" s="47" t="n"/>
      <c r="R43" s="47" t="n"/>
      <c r="S43" s="47" t="n"/>
      <c r="T43" s="47" t="n"/>
      <c r="U43" s="47" t="n"/>
      <c r="V43" s="47" t="n"/>
      <c r="W43" s="47" t="n"/>
      <c r="X43" s="47" t="n"/>
      <c r="Y43" s="47" t="n"/>
      <c r="Z43" s="47" t="n"/>
    </row>
    <row r="44" ht="15.75" customHeight="1" s="185">
      <c r="A44" s="52">
        <f>row()-3</f>
        <v/>
      </c>
      <c r="B44" s="46" t="inlineStr">
        <is>
          <t>新卒向け履歴書の自己PR例文と強みを紹介</t>
        </is>
      </c>
      <c r="C44" s="10" t="inlineStr">
        <is>
          <t>https://dym.asia/media/recruiting/new-graduate-resume-self-promotion/</t>
        </is>
      </c>
      <c r="D44" s="47" t="inlineStr">
        <is>
          <t>履歴書 自己pr</t>
        </is>
      </c>
      <c r="E44" s="35" t="n">
        <v>41</v>
      </c>
      <c r="F44" s="36" t="n">
        <v>7.744838332684067</v>
      </c>
      <c r="G44" s="47" t="inlineStr">
        <is>
          <t>なし</t>
        </is>
      </c>
      <c r="H44" s="47" t="inlineStr">
        <is>
          <t>可</t>
        </is>
      </c>
      <c r="I44" s="10" t="inlineStr">
        <is>
          <t>Q: 履歴書の「自己PR」とエントリーシート（ES）の自己PRは、どのように書き分けるべきですか？
A: 履歴書の自己PRは限られたスペースの中で、自分の強みと企業への貢献を端的に伝えることに重点を置くべきです。200〜300字程度で簡潔にまとめ、読み手がすぐに理解できる内容にすると効果的です。一方で、エントリーシートでは字数に余裕があるため、具体的なエピソードの背景や行動の過程、そこから得た学びなどを詳しく書くことができます。履歴書は“短くてわかりやすく”、ESは“具体性と深みを出す”という違いを意識すると良いでしょう。
Q: 企業が新卒の履歴書にある自己PRを重視する目的は何ですか？
A: 企業は自己PRを通じて、応募者の人柄や価値観が自社に合うかどうかを知ろうとしています。単に能力を評価するのではなく、仕事に取り組む姿勢やコミュニケーションの仕方、論理的な思考力など、入社後に組織で活躍できる可能性を判断するための材料として重視しているのです。
Q: 履歴書の自己PRを最大限アピールするための構成とポイントは何ですか？
A: 履歴書の自己PRは、「結論として自分の強みを伝える → その強みを裏付ける具体的なエピソード → 企業でどのように活かして貢献できるか」という流れで書くと効果的です。大切なのは、企業が求める人材像に合った表現を取り入れ、抽象的にならずに具体例を示すこと、そして入社後に自分がどのように貢献できるかを明確に伝えることです。
株式会社DYMでは、求職者様に対して様々な就職支援サービスを提供しております。
お問い合わせはこちら↓
https://dym.asia/media/recruiting-contact/</t>
        </is>
      </c>
      <c r="J44" s="47" t="n"/>
      <c r="K44" s="47" t="inlineStr">
        <is>
          <t>未確認</t>
        </is>
      </c>
      <c r="L44" s="47" t="inlineStr">
        <is>
          <t>未確認</t>
        </is>
      </c>
      <c r="M44" s="47" t="n"/>
      <c r="N44" s="47" t="n"/>
      <c r="O44" s="47" t="n"/>
      <c r="P44" s="47" t="n"/>
      <c r="Q44" s="47" t="n"/>
      <c r="R44" s="47" t="n"/>
      <c r="S44" s="47" t="n"/>
      <c r="T44" s="47" t="n"/>
      <c r="U44" s="47" t="n"/>
      <c r="V44" s="47" t="n"/>
      <c r="W44" s="47" t="n"/>
      <c r="X44" s="47" t="n"/>
      <c r="Y44" s="47" t="n"/>
      <c r="Z44" s="47" t="n"/>
    </row>
    <row r="45" ht="15.75" customHeight="1" s="185">
      <c r="A45" s="52">
        <f>row()-3</f>
        <v/>
      </c>
      <c r="B45" s="46" t="inlineStr">
        <is>
          <t>服装に関して記載なしのWEB説明会、就活生におすすめの対応方法とは？</t>
        </is>
      </c>
      <c r="C45" s="6" t="inlineStr">
        <is>
          <t>https://dym.asia/media/recruiting/online-session-wearing-no-note/</t>
        </is>
      </c>
      <c r="D45" s="47" t="inlineStr">
        <is>
          <t>web説明会 服装 記載なし</t>
        </is>
      </c>
      <c r="E45" s="35" t="n">
        <v>41</v>
      </c>
      <c r="F45" s="36" t="n">
        <v>2.746835443037975</v>
      </c>
      <c r="G45" s="47" t="inlineStr">
        <is>
          <t>なし</t>
        </is>
      </c>
      <c r="H45" s="47" t="inlineStr">
        <is>
          <t>可</t>
        </is>
      </c>
      <c r="I45" s="10" t="inlineStr">
        <is>
          <t>Q: 服装に関する記載がないWeb説明会では、何を着るのが最も適切ですか？
A: 服装の指定が特にない場合でも、基本的にはスーツを着用するのが無難です。Web説明会も就職活動の一環であり、真剣さや社会人としての意識を示すために、企業側もスーツでの参加を想定していることが多いからです。業界や企業の雰囲気に合わせてビジネスカジュアルを選ぶのもひとつの方法です。
Q: 「服装自由」や「私服可」の場合、どのような服装がWeb説明会に適していますか？
A: ビジネスカジュアルを意識し、清潔感があり落ち着いた色味の服装を選ぶと安心です。ラフすぎるTシャツやパーカーは避け、男性であれば襟付きのシャツやジャケット、女性であればブラウスやカーディガンなど、画面越しでも礼儀正しい印象を与えられる服装を心がけましょう。
Q: Web説明会に参加する際、服装以外に注意すべき「画面映り」のポイントは何ですか？
A: 服装以外では、通信環境を事前に整え、カメラに映る背景をシンプルに整えておくことが大切です。ライブ配信型でカメラをオンにする場合は、髪型やメイクにも気を配り、顔が明るく見える照明を確認しておくことで、企業担当者に好印象を与えることができます。
株式会社DYMでは、求職者様に対して様々な就職支援サービスを提供しております。
お問い合わせはこちら↓
https://dym.asia/media/recruiting-contact/</t>
        </is>
      </c>
      <c r="J45" s="47" t="n"/>
      <c r="K45" s="47" t="inlineStr">
        <is>
          <t>未確認</t>
        </is>
      </c>
      <c r="L45" s="47" t="inlineStr">
        <is>
          <t>未確認</t>
        </is>
      </c>
      <c r="M45" s="47" t="n"/>
      <c r="N45" s="47" t="n"/>
      <c r="O45" s="47" t="n"/>
      <c r="P45" s="47" t="n"/>
      <c r="Q45" s="47" t="n"/>
      <c r="R45" s="47" t="n"/>
      <c r="S45" s="47" t="n"/>
      <c r="T45" s="47" t="n"/>
      <c r="U45" s="47" t="n"/>
      <c r="V45" s="47" t="n"/>
      <c r="W45" s="47" t="n"/>
      <c r="X45" s="47" t="n"/>
      <c r="Y45" s="47" t="n"/>
      <c r="Z45" s="47" t="n"/>
    </row>
    <row r="46" ht="15.75" customHeight="1" s="185">
      <c r="A46" s="52">
        <f>row()-3</f>
        <v/>
      </c>
      <c r="B46" s="46" t="inlineStr">
        <is>
          <t>適性検査「SPI」とは？どんなテスト？内容・対策・受験方法を解説</t>
        </is>
      </c>
      <c r="C46" s="6" t="inlineStr">
        <is>
          <t>https://dym.asia/media/recruiting/spi/</t>
        </is>
      </c>
      <c r="D46" s="47" t="inlineStr">
        <is>
          <t>spiとは</t>
        </is>
      </c>
      <c r="E46" s="35" t="n">
        <v>41</v>
      </c>
      <c r="F46" s="36" t="n">
        <v>1.768551315966462</v>
      </c>
      <c r="G46" s="47" t="inlineStr">
        <is>
          <t>なし</t>
        </is>
      </c>
      <c r="H46" s="47" t="inlineStr">
        <is>
          <t>可</t>
        </is>
      </c>
      <c r="I46" s="10" t="inlineStr">
        <is>
          <t>Q: 適性検査「SPI」とは何ですか？企業が採用選考で導入する主な目的は何ですか？
A: SPIは「総合適性検査（Synthetic Personality Inventory）」の略で、企業が採用選考で応募者の性格や能力を多角的に測るためのテストです。企業がSPIを導入する理由は、応募者の性格や考え方が自社の社風や文化に合っているかを客観的に判断し、入社後のミスマッチを防ぐことにあります。
Q: SPIの検査内容は具体的に何で構成され、どのような能力を測るのですか？
A: SPIは大きく分けて性格検査と能力検査の2種類で構成されています。性格検査では、応募者の行動パターンや考え方から仕事への取り組み方やストレス耐性を把握します。能力検査では、言語分野で言葉の理解力を、非言語分野で数的処理能力や論理的思考力を測り、働く上で必要な基礎的な知的能力を確認します。
Q: SPI対策はいつから、どのくらいの勉強時間で行うのが目安ですか？
A: 多くの人は受検日の3か月前くらいから対策を始めています。勉強時間の目安は30〜60時間程度です。大切なのは、いくつもの問題集に手を広げるよりも、一冊を徹底的に繰り返し練習し、出題形式や時間配分に慣れることです。こうすることで、当日焦らずに問題に取り組むことができます。
株式会社DYMでは、求職者様に対して様々な就職支援サービスを提供しております。
お問い合わせはこちら↓
https://dym.asia/media/recruiting-contact/</t>
        </is>
      </c>
      <c r="J46" s="47" t="n"/>
      <c r="K46" s="47" t="inlineStr">
        <is>
          <t>未確認</t>
        </is>
      </c>
      <c r="L46" s="47" t="inlineStr">
        <is>
          <t>未確認</t>
        </is>
      </c>
      <c r="M46" s="47" t="n"/>
      <c r="N46" s="47" t="n"/>
      <c r="O46" s="47" t="n"/>
      <c r="P46" s="47" t="n"/>
      <c r="Q46" s="47" t="n"/>
      <c r="R46" s="47" t="n"/>
      <c r="S46" s="47" t="n"/>
      <c r="T46" s="47" t="n"/>
      <c r="U46" s="47" t="n"/>
      <c r="V46" s="47" t="n"/>
      <c r="W46" s="47" t="n"/>
      <c r="X46" s="47" t="n"/>
      <c r="Y46" s="47" t="n"/>
      <c r="Z46" s="47" t="n"/>
    </row>
    <row r="47" ht="15.75" customHeight="1" s="185">
      <c r="A47" s="52">
        <f>row()-3</f>
        <v/>
      </c>
      <c r="B47" s="46" t="inlineStr">
        <is>
          <t>高卒女性の就職、資格なしでもできる仕事</t>
        </is>
      </c>
      <c r="C47" s="6" t="inlineStr">
        <is>
          <t>https://dym.asia/media/recruiting/woman-highschool-graduation/</t>
        </is>
      </c>
      <c r="D47" s="47" t="inlineStr">
        <is>
          <t>高卒就職 女</t>
        </is>
      </c>
      <c r="E47" s="35" t="n">
        <v>40</v>
      </c>
      <c r="F47" s="36" t="n">
        <v>3.382926829268293</v>
      </c>
      <c r="G47" s="47" t="inlineStr">
        <is>
          <t>なし</t>
        </is>
      </c>
      <c r="H47" s="47" t="inlineStr">
        <is>
          <t>可</t>
        </is>
      </c>
      <c r="I47" s="10" t="inlineStr">
        <is>
          <t>Q: 資格や経験がない高卒女性でも、就職を成功させることは可能ですか？
A: もちろん可能です。文部科学省の調査では、高卒女性の就職内定率はおよそ97％と非常に高く、学歴や資格が大きな壁になることはほとんどありません。多くの企業は若さやポテンシャルを重視しており、未経験でも挑戦できる職種は介護、事務、IT関連、営業など幅広くあります。
Q: 高卒女性の初任給や平均給与は、大卒や高卒男性と比べてどのくらい違いますか？
A: 平均的には高卒女性の給与は高卒男性や大卒女性よりやや低い傾向がありますが、これはあくまで平均値であり、仕事内容やスキル、実績次第でそれ以上の給与を得ることも十分可能です。初任給の差はおよそ4万円程度とされています。最近では、企業が資格取得やスキルアップをサポートする動きも増えてきています。
Q: 高卒女性が就職を成功させるために、特に重要なポイントは何ですか？
A: 大切なのは、自分自身の強みや経験をしっかり整理し、アピールできるようにすることです。「資格がないから仕方ない」と諦めず、在学中やアルバイトで培ったスキルや成長意欲を前面に出すことがカギです。また、自分に合った企業を選び、履歴書や面接対策をしっかり行うことで、成功の可能性はぐっと高まります。
株式会社DYMでは、求職者様に対して様々な就職支援サービスを提供しております。
お問い合わせはこちら↓
https://dym.asia/media/recruiting-contact/</t>
        </is>
      </c>
      <c r="J47" s="47" t="n"/>
      <c r="K47" s="47" t="inlineStr">
        <is>
          <t>未確認</t>
        </is>
      </c>
      <c r="L47" s="47" t="inlineStr">
        <is>
          <t>未確認</t>
        </is>
      </c>
      <c r="M47" s="47" t="n"/>
      <c r="N47" s="47" t="n"/>
      <c r="O47" s="47" t="n"/>
      <c r="P47" s="47" t="n"/>
      <c r="Q47" s="47" t="n"/>
      <c r="R47" s="47" t="n"/>
      <c r="S47" s="47" t="n"/>
      <c r="T47" s="47" t="n"/>
      <c r="U47" s="47" t="n"/>
      <c r="V47" s="47" t="n"/>
      <c r="W47" s="47" t="n"/>
      <c r="X47" s="47" t="n"/>
      <c r="Y47" s="47" t="n"/>
      <c r="Z47" s="47" t="n"/>
    </row>
    <row r="48" ht="15.75" customHeight="1" s="185">
      <c r="A48" s="52">
        <f>row()-3</f>
        <v/>
      </c>
      <c r="B48" s="46" t="inlineStr">
        <is>
          <t>向いている仕事がわからない？適職診断で解決！</t>
        </is>
      </c>
      <c r="C48" s="6" t="inlineStr">
        <is>
          <t>https://dym.asia/media/recruiting/suitable-job/</t>
        </is>
      </c>
      <c r="D48" s="47" t="inlineStr">
        <is>
          <t>dym適職診断</t>
        </is>
      </c>
      <c r="E48" s="35" t="n">
        <v>39</v>
      </c>
      <c r="F48" s="36" t="n">
        <v>1.148648648648649</v>
      </c>
      <c r="G48" s="47" t="inlineStr">
        <is>
          <t>なし</t>
        </is>
      </c>
      <c r="H48" s="47" t="inlineStr">
        <is>
          <t>可</t>
        </is>
      </c>
      <c r="I48" s="47" t="inlineStr">
        <is>
          <t>Q: 「向いている仕事がわからない」という悩みを解決するために、最初にすべきことは何ですか？
A: まず大切なのは、自分自身と仕事の両方をよく知ることです。自己分析を通じて、楽しいと感じる瞬間や、これまで人から褒められた経験を振り返り、自分の強みや性格を客観的に理解することが最初の一歩になります。自分をよく知ることで、どんな仕事が自分に合うか見えてきます。
Q: 自分に向いている仕事の条件には、どのようなものがありますか？
A: 向いている仕事には2つのポイントがあります。1つは、自分の性格に合っていて、取り組むうちにやりがいや楽しさを感じられることです。もう1つは、周囲から評価されやすく、自分の力を発揮することで上司やお客さんに感謝され、自己肯定感を高められる仕事であることです。この2つがそろうと、仕事に対するモチベーションも自然に高まります。
Q: 客観的に適職を見つけるための具体的な方法には、どのようなものがありますか？
A: 性格診断などの適職診断ツールを活用して、自分の性格や資質を客観的に数字で把握するのが効果的です。また、家族や友人に自分の長所や得意なことを聞くことで、第三者の視点から気づきを得られます。さらに、就職エージェントに相談してプロのアドバイスを受けることも、自分に合った仕事を見つける大きな助けになります。
株式会社DYMでは、求職者様に対して様々な就職支援サービスを提供しております。
お問い合わせはこちら↓
https://dym.asia/media/recruiting-contact/</t>
        </is>
      </c>
      <c r="J48" s="47" t="n"/>
      <c r="K48" s="47" t="inlineStr">
        <is>
          <t>未確認</t>
        </is>
      </c>
      <c r="L48" s="47" t="inlineStr">
        <is>
          <t>未確認</t>
        </is>
      </c>
      <c r="M48" s="47" t="n"/>
      <c r="N48" s="47" t="n"/>
      <c r="O48" s="47" t="n"/>
      <c r="P48" s="47" t="n"/>
      <c r="Q48" s="47" t="n"/>
      <c r="R48" s="47" t="n"/>
      <c r="S48" s="47" t="n"/>
      <c r="T48" s="47" t="n"/>
      <c r="U48" s="47" t="n"/>
      <c r="V48" s="47" t="n"/>
      <c r="W48" s="47" t="n"/>
      <c r="X48" s="47" t="n"/>
      <c r="Y48" s="47" t="n"/>
      <c r="Z48" s="47" t="n"/>
    </row>
    <row r="49" ht="15.75" customHeight="1" s="185">
      <c r="A49" s="52">
        <f>row()-3</f>
        <v/>
      </c>
      <c r="B49" s="46" t="inlineStr">
        <is>
          <t>早期選考とは？業種別の特徴や成功に導く対策を解説</t>
        </is>
      </c>
      <c r="C49" s="6" t="inlineStr">
        <is>
          <t>https://dym.asia/media/recruiting/early-selection/</t>
        </is>
      </c>
      <c r="D49" s="47" t="inlineStr">
        <is>
          <t>早期選考とは</t>
        </is>
      </c>
      <c r="E49" s="35" t="n">
        <v>38</v>
      </c>
      <c r="F49" s="36" t="n">
        <v>4.449555837563452</v>
      </c>
      <c r="G49" s="47" t="inlineStr">
        <is>
          <t>なし</t>
        </is>
      </c>
      <c r="H49" s="47" t="inlineStr">
        <is>
          <t>可</t>
        </is>
      </c>
      <c r="I49" s="10" t="inlineStr">
        <is>
          <t>Q: 就職活動における「早期選考」とは何ですか？
A: 早期選考とは、通常の就活解禁日より前に行われる採用選考のことを指します。企業は優秀な学生を早く確保したいと考え、選考スケジュールを効率化する目的で実施します。一方、学生にとっては、他の学生よりも早く内定を得られるチャンスとなるのが特徴です。
Q: 早期選考を実施している主な業界と、その理由は何ですか？
A: 早期選考を取り入れるのは、競争が激しい業界や外資系企業に多く見られます。たとえば、コンサルティング、金融、総合商社、IT・テクノロジー業界などです。これらの業界では、即戦力となる人材を他社に先駆けて確保することで、企業の競争力や国際的な強みを維持する狙いがあります。
Q: 早期選考で合格率を高めるために、学生がすべき対策は何ですか？
A: 通常の就活よりも前倒しで準備を始めることが重要です。まず自己分析を徹底し、自分の強みや価値観を整理します。その上で、希望する企業や業界についてじっくり調べ、特徴や求められるスキルを理解しておきましょう。また、早期選考ではインターンシップが選考に組み込まれていることが多いため、グループワークやエントリーシートの作成など、実践的な準備を進めることが合格率アップにつながります。
株式会社DYMでは、求職者様に対して様々な就職支援サービスを提供しております。
お問い合わせはこちら↓
https://dym.asia/media/recruiting-contact/</t>
        </is>
      </c>
      <c r="J49" s="47" t="n"/>
      <c r="K49" s="47" t="inlineStr">
        <is>
          <t>未確認</t>
        </is>
      </c>
      <c r="L49" s="47" t="inlineStr">
        <is>
          <t>未確認</t>
        </is>
      </c>
      <c r="M49" s="47" t="n"/>
      <c r="N49" s="47" t="n"/>
      <c r="O49" s="47" t="n"/>
      <c r="P49" s="47" t="n"/>
      <c r="Q49" s="47" t="n"/>
      <c r="R49" s="47" t="n"/>
      <c r="S49" s="47" t="n"/>
      <c r="T49" s="47" t="n"/>
      <c r="U49" s="47" t="n"/>
      <c r="V49" s="47" t="n"/>
      <c r="W49" s="47" t="n"/>
      <c r="X49" s="47" t="n"/>
      <c r="Y49" s="47" t="n"/>
      <c r="Z49" s="47" t="n"/>
    </row>
    <row r="50" ht="15.75" customHeight="1" s="185">
      <c r="A50" s="52">
        <f>row()-3</f>
        <v/>
      </c>
      <c r="B50" s="46" t="inlineStr">
        <is>
          <t>新卒の履歴書書き方完全版！例文付き</t>
        </is>
      </c>
      <c r="C50" s="6" t="inlineStr">
        <is>
          <t>https://dym.asia/media/recruiting/shinsotsu-rirekisho-guide/</t>
        </is>
      </c>
      <c r="D50" s="47" t="inlineStr">
        <is>
          <t>履歴書 書き方 新卒</t>
        </is>
      </c>
      <c r="E50" s="35" t="n">
        <v>38</v>
      </c>
      <c r="F50" s="36" t="n">
        <v>7.177574590952839</v>
      </c>
      <c r="G50" s="47" t="inlineStr">
        <is>
          <t>なし</t>
        </is>
      </c>
      <c r="H50" s="47" t="inlineStr">
        <is>
          <t>可</t>
        </is>
      </c>
      <c r="I50" s="10" t="inlineStr">
        <is>
          <t>Q: 新卒の履歴書とエントリーシート（ES）の自己PRは、何を基準に書き分けるべきですか？
A: 履歴書の自己PRは、限られたスペースで端的に自分の強みと企業での貢献意欲を伝えることを重視します。人事データとしても使われる公的な書類なので、簡潔さが大切です。一方、ESでは文字数に余裕があるため、自分の強みを支える具体的なエピソードの背景や過程を詳しく書き、人物像をより立体的に伝えることを意識して書き分けます。
Q: 履歴書は手書きとパソコン入力のどちらで作成するのが適切ですか？また、書き間違えた場合はどうすべきですか？
A: 企業から指定がなければ手書きでもパソコン入力でも問題ありません。手書きは丁寧さや熱意が伝わりやすく、パソコン入力は清潔感と読みやすさに優れています。もし書き間違えた場合は、修正液や修正テープは使わず、必ず新しい履歴書に書き直すのがマナーです。
Q: 履歴書に貼付する証明写真の裏側には、何を記入すべきですか？
A: 写真が履歴書から剥がれてしまった場合に誰のものかわかるよう、裏側には学校名・学部・氏名を記入するのが一般的です。にじまない油性ペンを使い、文字が写真の表面に透けないよう注意しましょう。
株式会社DYMでは、求職者様に対して様々な就職支援サービスを提供しております。
お問い合わせはこちら↓
https://dym.asia/media/recruiting-contact/</t>
        </is>
      </c>
      <c r="J50" s="47" t="n"/>
      <c r="K50" s="47" t="inlineStr">
        <is>
          <t>未確認</t>
        </is>
      </c>
      <c r="L50" s="47" t="inlineStr">
        <is>
          <t>未確認</t>
        </is>
      </c>
      <c r="M50" s="47" t="n"/>
      <c r="N50" s="47" t="n"/>
      <c r="O50" s="47" t="n"/>
      <c r="P50" s="47" t="n"/>
      <c r="Q50" s="47" t="n"/>
      <c r="R50" s="47" t="n"/>
      <c r="S50" s="47" t="n"/>
      <c r="T50" s="47" t="n"/>
      <c r="U50" s="47" t="n"/>
      <c r="V50" s="47" t="n"/>
      <c r="W50" s="47" t="n"/>
      <c r="X50" s="47" t="n"/>
      <c r="Y50" s="47" t="n"/>
      <c r="Z50" s="47" t="n"/>
    </row>
    <row r="51" ht="15.75" customHeight="1" s="185">
      <c r="A51" s="52">
        <f>row()-3</f>
        <v/>
      </c>
      <c r="B51" s="46" t="inlineStr">
        <is>
          <t>最終面接の逆質問で好印象を与えるには？質問例とNG例を紹介</t>
        </is>
      </c>
      <c r="C51" s="6" t="inlineStr">
        <is>
          <t>https://dym.asia/media/recruiting/counter-question/</t>
        </is>
      </c>
      <c r="D51" s="47" t="inlineStr">
        <is>
          <t>転職 最終面接 逆質問</t>
        </is>
      </c>
      <c r="E51" s="35" t="n">
        <v>27</v>
      </c>
      <c r="F51" s="36" t="n">
        <v>8.399103139013452</v>
      </c>
      <c r="G51" s="47" t="inlineStr">
        <is>
          <t>なし</t>
        </is>
      </c>
      <c r="H51" s="47" t="inlineStr">
        <is>
          <t>可</t>
        </is>
      </c>
      <c r="I51" s="10" t="inlineStr">
        <is>
          <t>Q: 面接における「逆質問」とは、企業にとってどのような目的がありますか？
A: 逆質問は単なる形式的なものではなく、企業側には明確な意図があります。主な目的は、応募者の入社意欲や熱意を確認すること、企業の事業や経営方針にどれだけ理解があるかを見ること、そして質問を通じて応募者の思考力や課題に対する考え方を評価することです。
Q: 最終面接で逆質問をする際、好印象を与えるためのポイントは何ですか？
A: 自分の考えや価値観を簡単に伝えたうえで、経営層の視点に立った質問をすることが効果的です。たとえば、「御社に入社した場合、○○という目標に向けてどのようなキャリアを描くことができますか」といった、入社後の活躍を具体的にイメージさせる質問は、熱意や理解度の高さを示すうえで好印象につながります。
Q: 逆質問で面接官に悪い印象を与えてしまうNGな質問には、どのようなものがありますか？
A: 企業のホームページや説明会で簡単にわかる情報を質問することや、「特にありません」と答えてしまうことは印象が悪くなります。また、逆質問の最初に給与や福利厚生について尋ねることや、同業他社と比較するような質問も、志望度が低いと受け取られる可能性があるため避けるべきです。
株式会社DYMでは、求職者様に対して様々な就職支援サービスを提供しております。
お問い合わせはこちら↓
https://dym.asia/media/recruiting-contact/</t>
        </is>
      </c>
      <c r="J51" s="47" t="n"/>
      <c r="K51" s="47" t="inlineStr">
        <is>
          <t>未確認</t>
        </is>
      </c>
      <c r="L51" s="47" t="inlineStr">
        <is>
          <t>未確認</t>
        </is>
      </c>
      <c r="M51" s="47" t="n"/>
      <c r="N51" s="47" t="n"/>
      <c r="O51" s="47" t="n"/>
      <c r="P51" s="47" t="n"/>
      <c r="Q51" s="47" t="n"/>
      <c r="R51" s="47" t="n"/>
      <c r="S51" s="47" t="n"/>
      <c r="T51" s="47" t="n"/>
      <c r="U51" s="47" t="n"/>
      <c r="V51" s="47" t="n"/>
      <c r="W51" s="47" t="n"/>
      <c r="X51" s="47" t="n"/>
      <c r="Y51" s="47" t="n"/>
      <c r="Z51" s="47" t="n"/>
    </row>
    <row r="52" ht="15.75" customHeight="1" s="185">
      <c r="A52" s="52">
        <f>row()-3</f>
        <v/>
      </c>
      <c r="B52" s="46" t="inlineStr">
        <is>
          <t>就活の選考辞退はメール？電話？理由の伝え方と例文を紹介</t>
        </is>
      </c>
      <c r="C52" s="6" t="inlineStr">
        <is>
          <t>https://dym.asia/media/recruiting/declining-selection/</t>
        </is>
      </c>
      <c r="D52" s="47" t="inlineStr">
        <is>
          <t>選考辞退 メール 例文</t>
        </is>
      </c>
      <c r="E52" s="35" t="n">
        <v>27</v>
      </c>
      <c r="F52" s="36" t="n">
        <v>7.936223426427678</v>
      </c>
      <c r="G52" s="47" t="inlineStr">
        <is>
          <t>なし</t>
        </is>
      </c>
      <c r="H52" s="47" t="inlineStr">
        <is>
          <t>可</t>
        </is>
      </c>
      <c r="I52" s="10" t="inlineStr">
        <is>
          <t>Q: 選考辞退の連絡は、メールだけで十分ですか？それとも電話が必要ですか？
A: 選考直前、たとえば3日前などの場合は、電話での連絡が適切です。電話であれば企業に即座に伝わり、誠意も直接示せます。選考日までに1週間以上の余裕がある場合は、メールでの連絡でも問題ありません。ただ、メールと電話の両方で伝えるとより確実で、誠意が伝わりやすくなります。
Q: 選考辞退の連絡は、いつ行うのが適切なタイミングですか？
A: 辞退を決めたら、できるだけ早く連絡することが大切です。企業は応募者のために時間や労力をかけているので、早めに伝えることで採用計画の調整がしやすくなり、企業側の無駄な準備や期待を避けられます。連絡なしで辞退する、いわゆる無断欠席は社会人としてのマナーに反するため、絶対に避けるべきです。
Q: 選考辞退の理由を、詳細に伝える必要はありますか？
A: 理由を詳しく説明する必要はありません。他社で内定をもらった場合など、やむを得ない事情であることを簡潔に伝えれば十分です。「一身上の都合」といった表現でも問題ありません。ただ、これまでの選考過程での企業の対応に対する感謝の気持ちは忘れずに伝え、良好な関係を保つことが大切です。
株式会社DYMでは、求職者様に対して様々な就職支援サービスを提供しております。
お問い合わせはこちら↓
https://dym.asia/media/recruiting-contact/</t>
        </is>
      </c>
      <c r="J52" s="47" t="n"/>
      <c r="K52" s="47" t="inlineStr">
        <is>
          <t>未確認</t>
        </is>
      </c>
      <c r="L52" s="47" t="inlineStr">
        <is>
          <t>未確認</t>
        </is>
      </c>
      <c r="M52" s="47" t="n"/>
      <c r="N52" s="47" t="n"/>
      <c r="O52" s="47" t="n"/>
      <c r="P52" s="47" t="n"/>
      <c r="Q52" s="47" t="n"/>
      <c r="R52" s="47" t="n"/>
      <c r="S52" s="47" t="n"/>
      <c r="T52" s="47" t="n"/>
      <c r="U52" s="47" t="n"/>
      <c r="V52" s="47" t="n"/>
      <c r="W52" s="47" t="n"/>
      <c r="X52" s="47" t="n"/>
      <c r="Y52" s="47" t="n"/>
      <c r="Z52" s="47" t="n"/>
    </row>
    <row r="53" ht="15.75" customHeight="1" s="185">
      <c r="A53" s="52">
        <f>row()-3</f>
        <v/>
      </c>
      <c r="B53" s="46" t="inlineStr">
        <is>
          <t>総合職と一般職の違いとは？仕事内容や向いている人の特徴を紹介</t>
        </is>
      </c>
      <c r="C53" s="6" t="inlineStr">
        <is>
          <t>https://dym.asia/media/recruiting/general-position/</t>
        </is>
      </c>
      <c r="D53" s="47" t="inlineStr">
        <is>
          <t>総合職とは</t>
        </is>
      </c>
      <c r="E53" s="35" t="n">
        <v>27</v>
      </c>
      <c r="F53" s="36" t="n">
        <v>6.087373333893958</v>
      </c>
      <c r="G53" s="47" t="inlineStr">
        <is>
          <t>なし</t>
        </is>
      </c>
      <c r="H53" s="47" t="inlineStr">
        <is>
          <t>可</t>
        </is>
      </c>
      <c r="I53" s="10" t="inlineStr">
        <is>
          <t>Q: 「総合職」と「一般職」の最も大きな違いは何ですか？
A: 総合職と一般職の大きな違いは、仕事内容とキャリアの幅にあります。総合職は将来の管理職や幹部候補として、営業や企画、戦略など幅広い業務に携わりながら、転勤や異動を経験してキャリアを積むのが特徴です。一方、一般職は限られた範囲の業務を担当し、サポートや事務的な業務が中心となるため、転勤や配置転換が少なく、ワークライフバランスを重視しやすい働き方が可能です。
Q: 給与・待遇面において、総合職と一般職にはどの程度の差がありますか？
A: 総合職は責任の重い管理業務や企業の基幹業務を担うことが前提となるため、給与は一般職より高い傾向があります。インセンティブや昇給・昇進の機会も多く、長期的に見れば生涯賃金に大きな差が出る可能性があります。
Q: 総合職か一般職かを選ぶ際に、最も重視すべきポイントは何ですか？
A: 総合職か一般職かを選ぶ際には、自分の将来の働き方やライフスタイルの優先度を明確にすることが大切です。転勤や長時間労働も受け入れて昇進や高収入を目指すなら総合職、仕事とプライベートの両立や同じ地域で長く働くことを重視するなら一般職が適しています。
株式会社DYMでは、求職者様に対して様々な就職支援サービスを提供しております。
お問い合わせはこちら↓
https://dym.asia/media/recruiting-contact/</t>
        </is>
      </c>
      <c r="J53" s="47" t="n"/>
      <c r="K53" s="47" t="inlineStr">
        <is>
          <t>未確認</t>
        </is>
      </c>
      <c r="L53" s="47" t="inlineStr">
        <is>
          <t>未確認</t>
        </is>
      </c>
      <c r="M53" s="47" t="n"/>
      <c r="N53" s="47" t="n"/>
      <c r="O53" s="47" t="n"/>
      <c r="P53" s="47" t="n"/>
      <c r="Q53" s="47" t="n"/>
      <c r="R53" s="47" t="n"/>
      <c r="S53" s="47" t="n"/>
      <c r="T53" s="47" t="n"/>
      <c r="U53" s="47" t="n"/>
      <c r="V53" s="47" t="n"/>
      <c r="W53" s="47" t="n"/>
      <c r="X53" s="47" t="n"/>
      <c r="Y53" s="47" t="n"/>
      <c r="Z53" s="47" t="n"/>
    </row>
    <row r="54" ht="15.75" customHeight="1" s="185">
      <c r="A54" s="52">
        <f>row()-3</f>
        <v/>
      </c>
      <c r="B54" s="46" t="inlineStr">
        <is>
          <t>新卒の年収ランキングまとめ！高収入を狙うためのポイントや注意点も解説</t>
        </is>
      </c>
      <c r="C54" s="6" t="inlineStr">
        <is>
          <t>https://dym.asia/media/recruiting/new-graduate-salary-ranking/</t>
        </is>
      </c>
      <c r="D54" s="47" t="inlineStr">
        <is>
          <t>新卒年収ランキング</t>
        </is>
      </c>
      <c r="E54" s="35" t="n">
        <v>27</v>
      </c>
      <c r="F54" s="36" t="n">
        <v>5.965986394557823</v>
      </c>
      <c r="G54" s="47" t="inlineStr">
        <is>
          <t>なし</t>
        </is>
      </c>
      <c r="H54" s="47" t="inlineStr">
        <is>
          <t>可</t>
        </is>
      </c>
      <c r="I54" s="10" t="inlineStr">
        <is>
          <t>Q: 新卒の平均年収（初任給ベース）の相場は、最終学歴によってどの程度違いますか？
A: 厚生労働省の調査によると、最終学歴が高いほど、平均年収も高くなる傾向があります。ボーナスを含まない1か月の賃金では、大卒でおよそ23.7万円、大学院卒で約27.6万円となっています。大学院卒の場合、年収が400万円を超えるのは好条件と言えるでしょう。
Q: 新卒で高年収（年収400万円以上）を狙うために、選ぶべき業界は何ですか？
A: 高い専門性や競争力が求められる業界が、高年収を狙いやすい傾向にあります。具体的には、コンサルティングや調査、IT系、外資系企業、商社、金融業界などです。特にIT業界は技術の進化が早く、今後も年収が伸びやすいと予想されています。
Q: 年収を基準に企業を選ぶ際、新卒が注意すべきポイントは何ですか？
A: 初任給の高さと年収の高さは必ずしも一致しない点に注意が必要です。ボーナスや手当の内容を確認することに加え、残業時間やワークライフバランスが整いやすいかも考慮しましょう。年収だけでなく、働きやすさや成長環境を含めて総合的に判断することが、長期的に満足できるキャリアを築くために大切です。
株式会社DYMでは、求職者様に対して様々な就職支援サービスを提供しております。
お問い合わせはこちら↓
https://dym.asia/media/recruiting-contact/</t>
        </is>
      </c>
      <c r="J54" s="47" t="n"/>
      <c r="K54" s="47" t="inlineStr">
        <is>
          <t>未確認</t>
        </is>
      </c>
      <c r="L54" s="47" t="inlineStr">
        <is>
          <t>未確認</t>
        </is>
      </c>
      <c r="M54" s="47" t="n"/>
      <c r="N54" s="47" t="n"/>
      <c r="O54" s="47" t="n"/>
      <c r="P54" s="47" t="n"/>
      <c r="Q54" s="47" t="n"/>
      <c r="R54" s="47" t="n"/>
      <c r="S54" s="47" t="n"/>
      <c r="T54" s="47" t="n"/>
      <c r="U54" s="47" t="n"/>
      <c r="V54" s="47" t="n"/>
      <c r="W54" s="47" t="n"/>
      <c r="X54" s="47" t="n"/>
      <c r="Y54" s="47" t="n"/>
      <c r="Z54" s="47" t="n"/>
    </row>
    <row r="55" ht="15.75" customHeight="1" s="185">
      <c r="A55" s="52">
        <f>row()-3</f>
        <v/>
      </c>
      <c r="B55" s="46" t="inlineStr">
        <is>
          <t>「自分の強み」の見つけ方｜強みが分からない人の分析方法や自己PR例文を紹介</t>
        </is>
      </c>
      <c r="C55" s="10" t="inlineStr">
        <is>
          <t>https://dym.asia/media/recruiting/strengths/</t>
        </is>
      </c>
      <c r="D55" s="47" t="inlineStr">
        <is>
          <t>自分の強み</t>
        </is>
      </c>
      <c r="E55" s="35" t="n">
        <v>26</v>
      </c>
      <c r="F55" s="36" t="n">
        <v>3.050455501051156</v>
      </c>
      <c r="G55" s="47" t="inlineStr">
        <is>
          <t>なし</t>
        </is>
      </c>
      <c r="H55" s="47" t="inlineStr">
        <is>
          <t>可</t>
        </is>
      </c>
      <c r="I55" s="10" t="inlineStr">
        <is>
          <t>Q: 就職活動において、「自分の強み」をどのように見つければ良いですか？
A: 自分の強みは、仕事で活かせるスキルを整理して考えると見つけやすくなります。たとえば、ヒューマンスキルやポータブルスキル、テクニカルスキルなどの観点で過去の経験を振り返ってみると良いでしょう。特に、仕事やアルバイトで人から感謝されたこと、スムーズにこなせた作業、やりがいを感じた瞬間を思い出すことで、自分でも気づかなかった実践的な能力に気づくことができます。
Q: 自分の強みを効果的に企業に伝えるための自己PRの構成（書き方）を教えてください。
A: 自己PRは「結論（自分の強み）→その根拠となる具体的なエピソード→その強みを企業でどう活かすか」という流れで簡潔にまとめるのが基本です。ここでの強みは単なる性格的な長所ではなく、仕事で再現できる実践的な能力であることを意識すると、説得力が増します。
Q: 自分の強みが分からない人が、客観的な視点を取り入れるための有効な方法は何ですか？
A: まず、過去の経験を整理するために自分史やマインドマップを作ると整理しやすくなります。加えて、家族や友人に自分の長所や得意なことを尋ねてみるのも効果的です。また、適職診断などのツールを使って性格タイプや強みを客観的に把握することで、自己理解を深めることができます。
株式会社DYMでは、求職者様に対して様々な就職支援サービスを提供しております。
お問い合わせはこちら↓
https://dym.asia/media/recruiting-contact/</t>
        </is>
      </c>
      <c r="J55" s="47" t="n"/>
      <c r="K55" s="47" t="inlineStr">
        <is>
          <t>未確認</t>
        </is>
      </c>
      <c r="L55" s="47" t="inlineStr">
        <is>
          <t>未確認</t>
        </is>
      </c>
      <c r="M55" s="47" t="n"/>
      <c r="N55" s="47" t="n"/>
      <c r="O55" s="47" t="n"/>
      <c r="P55" s="47" t="n"/>
      <c r="Q55" s="47" t="n"/>
      <c r="R55" s="47" t="n"/>
      <c r="S55" s="47" t="n"/>
      <c r="T55" s="47" t="n"/>
      <c r="U55" s="47" t="n"/>
      <c r="V55" s="47" t="n"/>
      <c r="W55" s="47" t="n"/>
      <c r="X55" s="47" t="n"/>
      <c r="Y55" s="47" t="n"/>
      <c r="Z55" s="47" t="n"/>
    </row>
    <row r="56" ht="15.75" customHeight="1" s="185">
      <c r="A56" s="52">
        <f>row()-3</f>
        <v/>
      </c>
      <c r="B56" s="46" t="inlineStr">
        <is>
          <t>学歴フィルターの実態｜就活で学歴フィルターがある企業の特徴・乗り越え方</t>
        </is>
      </c>
      <c r="C56" s="6" t="inlineStr">
        <is>
          <t>https://dym.asia/media/recruiting/university-filter/</t>
        </is>
      </c>
      <c r="D56" s="47" t="inlineStr">
        <is>
          <t>学歴フィルター42校</t>
        </is>
      </c>
      <c r="E56" s="35" t="n">
        <v>26</v>
      </c>
      <c r="F56" s="36" t="n">
        <v>7.062152133580705</v>
      </c>
      <c r="G56" s="47" t="inlineStr">
        <is>
          <t>なし</t>
        </is>
      </c>
      <c r="H56" s="47" t="inlineStr">
        <is>
          <t>可</t>
        </is>
      </c>
      <c r="I56" s="10" t="inlineStr">
        <is>
          <t>Q: 「学歴フィルター」とは何ですか？本当に存在するものですか？
A: 学歴フィルターとは、企業が採用選考の際に応募者の出身大学や偏差値を基準として選考し、一定の基準に満たない学生を早い段階で除外する方法です。多くの企業は公にはしていませんが、就活中に学歴フィルターを感じた学生は約44％にのぼるという調査もあり、実際には採用効率化の手段として存在しているのが現状です。
Q: 企業が学歴フィルターを導入する主な理由は何ですか？
A: 応募者が非常に多い企業では、一次選考で効率的にふるいにかける必要があります。そのため、大学名を目安に選考負担を減らしたり、学業での成果を入社後のポテンシャルの指標として活用したりすることが多いのです。つまり、単なる学歴だけでなく、知的作業への適性を判断する一つの目安として利用されています。
Q: 学歴に自信がない学生が、学歴フィルターを乗り越えて内定を獲得するための戦略は何ですか？
A: 学歴以外で自分を評価してもらうため、専門性の高いスキルや難関資格の取得でアピールするのが効果的です。さらに、インターンシップに参加して企業からの評価を早い段階で得たり、就活エージェントを活用して非公開求人を紹介してもらったりすることで、学歴以外の強みで差別化することができます。
株式会社DYMでは、求職者様に対して様々な就職支援サービスを提供しております。
お問い合わせはこちら↓
https://dym.asia/media/recruiting-contact/</t>
        </is>
      </c>
      <c r="J56" s="47" t="n"/>
      <c r="K56" s="47" t="inlineStr">
        <is>
          <t>未確認</t>
        </is>
      </c>
      <c r="L56" s="47" t="inlineStr">
        <is>
          <t>未確認</t>
        </is>
      </c>
      <c r="M56" s="47" t="n"/>
      <c r="N56" s="47" t="n"/>
      <c r="O56" s="47" t="n"/>
      <c r="P56" s="47" t="n"/>
      <c r="Q56" s="47" t="n"/>
      <c r="R56" s="47" t="n"/>
      <c r="S56" s="47" t="n"/>
      <c r="T56" s="47" t="n"/>
      <c r="U56" s="47" t="n"/>
      <c r="V56" s="47" t="n"/>
      <c r="W56" s="47" t="n"/>
      <c r="X56" s="47" t="n"/>
      <c r="Y56" s="47" t="n"/>
      <c r="Z56" s="47" t="n"/>
    </row>
    <row r="57" ht="15.75" customHeight="1" s="185">
      <c r="A57" s="52">
        <f>row()-3</f>
        <v/>
      </c>
      <c r="B57" s="46" t="inlineStr">
        <is>
          <t>40代女性の転職は厳しい？資格なし・未経験可の正社員職場と成功のヒント</t>
        </is>
      </c>
      <c r="C57" s="6" t="inlineStr">
        <is>
          <t>https://dym.asia/media/recruiting/40s-job-change-woman/</t>
        </is>
      </c>
      <c r="D57" s="47" t="inlineStr">
        <is>
          <t>40代 転職 女性 資格なし</t>
        </is>
      </c>
      <c r="E57" s="35" t="n">
        <v>25</v>
      </c>
      <c r="F57" s="36" t="n">
        <v>4.243362831858407</v>
      </c>
      <c r="G57" s="47" t="inlineStr">
        <is>
          <t>なし</t>
        </is>
      </c>
      <c r="H57" s="47" t="inlineStr">
        <is>
          <t>可</t>
        </is>
      </c>
      <c r="I57" s="10" t="inlineStr">
        <is>
          <t>Q: 40代女性の転職は「厳しい」と言われますが、未経験・資格なしでも正社員を目指せますか？
A: 確かに転職の難易度は若い世代に比べると高いですが、挑戦できないわけではありません。40代女性向けの求人は少なめですが、介護や福祉、ITエンジニアやクリエイティブ職など、人手不足で経験や人生経験が評価されやすい分野であれば、未経験でも正社員として活躍する道があります。問題解決能力やコミュニケーション力など、これまで培ってきたスキルをうまくアピールすることがポイントです。
Q: 40代女性が転職を成功させるために、最も重要な2つのポイントは何ですか？
A: まず、転職の目的と将来のキャリアプランをはっきりさせることが大切です。「なぜ転職したいのか」「どんな働き方をしたいのか」を具体的に整理しておくことで、面接で説得力のある話ができます。次に、これまでの経験やスキルを整理して、自信を持って伝えることです。家庭との両立を希望する場合は、柔軟な働き方に対応している企業を選ぶと安心です。
Q: 40代女性の転職で、企業側が懸念する主な理由は何ですか？
A: 企業は、長年の経験によって柔軟性が低いのではないか、新しい環境に慣れるまで時間がかかるのではないかと考えることがあります。また、家庭の事情で残業や出張が難しいのではという先入観を持たれることもあります。面接では、こうした懸念を払拭できるよう、自分の高い適応力や積極性を示す具体的なエピソードを伝えることが大切です。
株式会社DYMでは、求職者様に対して様々な就職支援サービスを提供しております。
お問い合わせはこちら↓
https://dym.asia/media/recruiting-contact/</t>
        </is>
      </c>
      <c r="J57" s="47" t="n"/>
      <c r="K57" s="47" t="inlineStr">
        <is>
          <t>未確認</t>
        </is>
      </c>
      <c r="L57" s="47" t="inlineStr">
        <is>
          <t>未確認</t>
        </is>
      </c>
      <c r="M57" s="47" t="n"/>
      <c r="N57" s="47" t="n"/>
      <c r="O57" s="47" t="n"/>
      <c r="P57" s="47" t="n"/>
      <c r="Q57" s="47" t="n"/>
      <c r="R57" s="47" t="n"/>
      <c r="S57" s="47" t="n"/>
      <c r="T57" s="47" t="n"/>
      <c r="U57" s="47" t="n"/>
      <c r="V57" s="47" t="n"/>
      <c r="W57" s="47" t="n"/>
      <c r="X57" s="47" t="n"/>
      <c r="Y57" s="47" t="n"/>
      <c r="Z57" s="47" t="n"/>
    </row>
    <row r="58" ht="15.75" customHeight="1" s="185">
      <c r="A58" s="52">
        <f>row()-3</f>
        <v/>
      </c>
      <c r="B58" s="46" t="inlineStr">
        <is>
          <t>第二新卒の転職理由・退職理由｜具体的な例文を紹介</t>
        </is>
      </c>
      <c r="C58" s="6" t="inlineStr">
        <is>
          <t>https://dym.asia/media/recruiting/former-recruitment-reason/</t>
        </is>
      </c>
      <c r="D58" s="47" t="inlineStr">
        <is>
          <t>第二新卒 転職理由</t>
        </is>
      </c>
      <c r="E58" s="35" t="n">
        <v>24</v>
      </c>
      <c r="F58" s="36" t="n">
        <v>4.164301717699776</v>
      </c>
      <c r="G58" s="47" t="inlineStr">
        <is>
          <t>なし</t>
        </is>
      </c>
      <c r="H58" s="47" t="inlineStr">
        <is>
          <t>可</t>
        </is>
      </c>
      <c r="I58" s="10" t="inlineStr">
        <is>
          <t>Q: 第二新卒が転職理由を企業に伝える際、最も重視すべきポイントは何ですか？　　　　　　　　　　　　　　　　　　　　　　A: 転職理由を話すときは、ポジティブな側面を強調し、前向きな姿勢や将来のビジョンを伝えることが大切です。たとえ前職に対する不満がきっかけであっても、「新しいスキルを身につけたい」「自分の強みを活かせる環境で成長したい」といった自己成長の意欲につなげて説明することで、採用担当者に好印象を与えられます。
Q: 第二新卒が抱えがちな転職理由には、どのようなものが多いですか？　　　　　　　　　　　　　　　　　　　　　A: 多くの場合、仕事内容が自分に合わなかったこと、人間関係の問題、労働環境への不満や長時間労働、待遇への不満などが理由として挙げられます。こうした内容を話すときには、具体的な経験を交えながら、その経験を次の職場でどう活かせるかを示すと一貫性が出て、納得感のある説明になります。
Q: 採用面接で、転職理由に嘘はないかを企業はどのように見極めようとしますか？　　　　　　　　　　　　　　　　　A: 企業はビジネスマナーや身だしなみ、仕事への熱意などを総合的に見ています。特に、転職理由と志望動機に矛盾がないか、他人のせいにしていないか、将来のビジョンが明確かどうかといった点を質問を通じて確認し、応募者が自社で長く活躍できる人材かどうかを判断しています。
株式会社DYMでは、求職者様に対して様々な就職支援サービスを提供しております。
お問い合わせはこちら↓
https://dym.asia/media/recruiting-contact/</t>
        </is>
      </c>
      <c r="J58" s="47" t="n"/>
      <c r="K58" s="47" t="inlineStr">
        <is>
          <t>未確認</t>
        </is>
      </c>
      <c r="L58" s="47" t="inlineStr">
        <is>
          <t>未確認</t>
        </is>
      </c>
      <c r="M58" s="47" t="n"/>
      <c r="N58" s="47" t="n"/>
      <c r="O58" s="47" t="n"/>
      <c r="P58" s="47" t="n"/>
      <c r="Q58" s="47" t="n"/>
      <c r="R58" s="47" t="n"/>
      <c r="S58" s="47" t="n"/>
      <c r="T58" s="47" t="n"/>
      <c r="U58" s="47" t="n"/>
      <c r="V58" s="47" t="n"/>
      <c r="W58" s="47" t="n"/>
      <c r="X58" s="47" t="n"/>
      <c r="Y58" s="47" t="n"/>
      <c r="Z58" s="47" t="n"/>
    </row>
    <row r="59" ht="15.75" customHeight="1" s="185">
      <c r="A59" s="52">
        <f>row()-3</f>
        <v/>
      </c>
      <c r="B59" s="46" t="inlineStr">
        <is>
          <t>大学生のインターンシップとは？アルバイトとの違いや探し方を解説</t>
        </is>
      </c>
      <c r="C59" s="6" t="inlineStr">
        <is>
          <t>https://dym.asia/media/recruiting/internship-student/</t>
        </is>
      </c>
      <c r="D59" s="47" t="inlineStr">
        <is>
          <t>インターンとは</t>
        </is>
      </c>
      <c r="E59" s="35" t="n">
        <v>23</v>
      </c>
      <c r="F59" s="36" t="n">
        <v>2.152907836372597</v>
      </c>
      <c r="G59" s="47" t="inlineStr">
        <is>
          <t>なし</t>
        </is>
      </c>
      <c r="H59" s="47" t="inlineStr">
        <is>
          <t>可</t>
        </is>
      </c>
      <c r="I59" s="10" t="inlineStr">
        <is>
          <t>Q: 大学生がインターンシップに参加する目的は何ですか？アルバイトとはどう違うのですか？
A: インターンシップの主な目的は、実際の仕事を体験しながら自分の適性や興味を確かめ、将来のキャリアを考えるきっかけを作ることです。アルバイトが主に収入を得ることを目的とし、決められた業務をこなすのに対して、インターンシップは業界研究や実践的なスキル習得を目的とした学びの場として位置づけられます。
Q: インターンシップは就職活動に有利になりますか？特に長期インターンシップのメリットは何ですか？
A: インターンシップでの経験は、就職活動で具体的なエピソードとして自己PRや志望動機に活かせるため、とても有利です。特に長期インターンシップでは、実際の業務で成果を出すことで企業からの評価が高まり、選考で優遇されたり内定につながったりする場合もあります。
Q: 1 dayや短期のインターンシップでも、積極的に参加した方が良いですか？
A: はい、短時間でも参加する価値は十分にあります。1 dayインターンシップは、企業や業界の雰囲気を手早く知るのに適しており、短期インターンシップ（1週間〜1ヶ月程度）では業務内容により深く関わることができます。複数の企業を比較したり、自分に合った職種を見つけたりする上で、就職活動の早い段階から参加することは非常に有効です。
株式会社DYMでは、求職者様に対して様々な就職支援サービスを提供しております。
お問い合わせはこちら↓
https://dym.asia/media/recruiting-contact/</t>
        </is>
      </c>
      <c r="J59" s="47" t="n"/>
      <c r="K59" s="47" t="inlineStr">
        <is>
          <t>未確認</t>
        </is>
      </c>
      <c r="L59" s="47" t="inlineStr">
        <is>
          <t>未確認</t>
        </is>
      </c>
      <c r="M59" s="47" t="n"/>
      <c r="N59" s="47" t="n"/>
      <c r="O59" s="47" t="n"/>
      <c r="P59" s="47" t="n"/>
      <c r="Q59" s="47" t="n"/>
      <c r="R59" s="47" t="n"/>
      <c r="S59" s="47" t="n"/>
      <c r="T59" s="47" t="n"/>
      <c r="U59" s="47" t="n"/>
      <c r="V59" s="47" t="n"/>
      <c r="W59" s="47" t="n"/>
      <c r="X59" s="47" t="n"/>
      <c r="Y59" s="47" t="n"/>
      <c r="Z59" s="47" t="n"/>
    </row>
    <row r="60" ht="15.75" customHeight="1" s="185">
      <c r="A60" s="52">
        <f>row()-3</f>
        <v/>
      </c>
      <c r="B60" s="46" t="inlineStr">
        <is>
          <t>新卒とはいつまで？卒業後3年以内ならOK？第二新卒や既卒との違い解説</t>
        </is>
      </c>
      <c r="C60" s="10" t="inlineStr">
        <is>
          <t>https://dym.asia/media/recruiting/new-graduate-treated-when/</t>
        </is>
      </c>
      <c r="D60" s="47" t="inlineStr">
        <is>
          <t>卒業後3年以内 新卒扱い</t>
        </is>
      </c>
      <c r="E60" s="35" t="n">
        <v>23</v>
      </c>
      <c r="F60" s="36" t="n">
        <v>2.101321585903084</v>
      </c>
      <c r="G60" s="47" t="inlineStr">
        <is>
          <t>なし</t>
        </is>
      </c>
      <c r="H60" s="47" t="inlineStr">
        <is>
          <t>可</t>
        </is>
      </c>
      <c r="I60" s="10" t="inlineStr">
        <is>
          <t>Q: 「新卒」として扱われる期間は、卒業後いつまでが一般的ですか？　　　　　　　　　　　　　　　　　　　
A: 法律上の厳密な定義はありませんが、厚生労働省の指針では、学校を卒業してから3年以内の既卒者も新卒として応募できるよう企業に求めています。そのため、多くの企業では卒業後3年以内であれば新卒枠として応募できるのが一般的です。
Q: 「新卒」と「第二新卒」「既卒」は、それぞれどのように違いますか？　　　　　　　　　　　　　　　　　　　　　　　　　　　　　　　　　　　　　　A: 新卒は、当該年度に学校を卒業する予定の学生を指します。第二新卒は、卒業後1〜3年の間に一度就職経験があり、再度転職活動をしている人を指します。一方、既卒は学校を卒業したものの正社員としての就業経験がない人を指します。それぞれの立場によって、就職活動の状況や企業からの期待も異なります。
Q: 既卒者が就職活動を行う際の主なメリットとデメリットは何ですか？　　　　　　　　　　　　　　　　　　　　　　　　　　A: 既卒者のメリットは、選考が比較的短期間で進むことが多く、卒業後に資格取得や特定の活動に取り組んだ経験をアピールできる点です。デメリットは、希望する求人が新卒の時期に比べて少ない場合があることや、就業空白期間が長いと、新卒者と比べて不利になる可能性があることです。
株式会社DYMでは、求職者様に対して様々な就職支援サービスを提供しております。
お問い合わせはこちら↓
https://dym.asia/media/recruiting-contact/</t>
        </is>
      </c>
      <c r="J60" s="47" t="n"/>
      <c r="K60" s="47" t="inlineStr">
        <is>
          <t>未確認</t>
        </is>
      </c>
      <c r="L60" s="47" t="inlineStr">
        <is>
          <t>未確認</t>
        </is>
      </c>
      <c r="M60" s="47" t="n"/>
      <c r="N60" s="47" t="n"/>
      <c r="O60" s="47" t="n"/>
      <c r="P60" s="47" t="n"/>
      <c r="Q60" s="47" t="n"/>
      <c r="R60" s="47" t="n"/>
      <c r="S60" s="47" t="n"/>
      <c r="T60" s="47" t="n"/>
      <c r="U60" s="47" t="n"/>
      <c r="V60" s="47" t="n"/>
      <c r="W60" s="47" t="n"/>
      <c r="X60" s="47" t="n"/>
      <c r="Y60" s="47" t="n"/>
      <c r="Z60" s="47" t="n"/>
    </row>
    <row r="61" ht="15.75" customHeight="1" s="185">
      <c r="A61" s="52">
        <f>row()-3</f>
        <v/>
      </c>
      <c r="B61" s="46" t="inlineStr">
        <is>
          <t>40代からの転職はやめた方がいい？厳しい理由と成功への道</t>
        </is>
      </c>
      <c r="C61" s="6" t="inlineStr">
        <is>
          <t>https://dym.asia/media/recruiting/40s-job-change/</t>
        </is>
      </c>
      <c r="D61" s="47" t="inlineStr">
        <is>
          <t>40代転職 現実</t>
        </is>
      </c>
      <c r="E61" s="35" t="n">
        <v>22</v>
      </c>
      <c r="F61" s="36" t="n">
        <v>2.100515463917526</v>
      </c>
      <c r="G61" s="47" t="inlineStr">
        <is>
          <t>なし</t>
        </is>
      </c>
      <c r="H61" s="47" t="inlineStr">
        <is>
          <t>可</t>
        </is>
      </c>
      <c r="I61" s="10" t="inlineStr">
        <is>
          <t>Q: 40代の転職は「厳しい」と言われますが、主な理由は何ですか？　　　　　　　　　　　　　　　　　　　　　　　　　　　　　　A: 企業は40代に対して即戦力としての専門性やマネジメント経験を求めることが多く、そのため採用のハードルが高くなります。また、40代向けの求人は20代や30代に比べて少なく、給与面でのコスト増や、新しい環境への適応力に懸念を持たれることも、転職を難しくしている理由です。
Q: 40代が転職を成功させるために、最も重視すべきポイントは何ですか？　　　　　　　　　　　　　　　　　　　　　　　　　A: 自分の経験や強みを客観的に整理し、企業にどのように貢献できるかを明確に伝えることが重要です。過去の経験を棚卸し、前向きな転職理由を示すとともに、転職エージェントを活用して非公開求人や企業の本当のニーズを把握することが、成功の鍵になります。
Q: 40代が未経験の職種へ転職する場合、成功の秘訣は何ですか？　　　　　　　　　　　　　　　　　　　　　　　　　　　　　　A: 40代を積極的に採用している業界や職種、例えば介護職や専門性の高い技術職などを選び、若手にはない経験や対人スキル、判断力をしっかりとアピールすることが大切です。さらに、最新の技術やトレンドを学んでいる姿勢を示すことで、企業が抱く柔軟性への懸念を払拭することも可能です。
株式会社DYMでは、求職者様に対して様々な就職支援サービスを提供しております。
お問い合わせはこちら↓
https://dym.asia/media/recruiting-contact/</t>
        </is>
      </c>
      <c r="J61" s="47" t="n"/>
      <c r="K61" s="47" t="inlineStr">
        <is>
          <t>未確認</t>
        </is>
      </c>
      <c r="L61" s="47" t="inlineStr">
        <is>
          <t>未確認</t>
        </is>
      </c>
      <c r="M61" s="47" t="n"/>
      <c r="N61" s="47" t="n"/>
      <c r="O61" s="47" t="n"/>
      <c r="P61" s="47" t="n"/>
      <c r="Q61" s="47" t="n"/>
      <c r="R61" s="47" t="n"/>
      <c r="S61" s="47" t="n"/>
      <c r="T61" s="47" t="n"/>
      <c r="U61" s="47" t="n"/>
      <c r="V61" s="47" t="n"/>
      <c r="W61" s="47" t="n"/>
      <c r="X61" s="47" t="n"/>
      <c r="Y61" s="47" t="n"/>
      <c r="Z61" s="47" t="n"/>
    </row>
    <row r="62" ht="15.75" customHeight="1" s="185">
      <c r="A62" s="52">
        <f>row()-3</f>
        <v/>
      </c>
      <c r="B62" s="46" t="inlineStr">
        <is>
          <t>アスリート採用｜企業のメリットと注意点を解説</t>
        </is>
      </c>
      <c r="C62" s="6" t="inlineStr">
        <is>
          <t>https://dym.asia/media/recruiting/athlete-recruitment/</t>
        </is>
      </c>
      <c r="D62" s="47" t="inlineStr">
        <is>
          <t>アスリート採用</t>
        </is>
      </c>
      <c r="E62" s="35" t="n">
        <v>22</v>
      </c>
      <c r="F62" s="36" t="n">
        <v>6.937321937321937</v>
      </c>
      <c r="G62" s="47" t="inlineStr">
        <is>
          <t>なし</t>
        </is>
      </c>
      <c r="H62" s="47" t="inlineStr">
        <is>
          <t>可</t>
        </is>
      </c>
      <c r="I62" s="10" t="inlineStr">
        <is>
          <t>Q: 企業が「アスリート採用」を行う最大のメリットは何ですか？
A: アスリート採用の大きな魅力は、企業の認知度向上やブランドイメージの強化につながる点にあります。アスリートが大会や競技で活躍すれば、メディアを通じて企業名が広く知られるきっかけになります。また、目標に向かって努力を続ける姿勢や高い自己管理能力は、社内にも良い刺激を与え、職場のモチベーションやチームワークを高める効果も期待できます。
Q: アスリート採用を行う際、企業が考慮すべきコスト面での注意点は何ですか？
A:アスリート採用では、通常の人材採用とは異なる費用が発生する可能性があります。給与に加えて、遠征費やトレーニング機材の購入費、専門コーチへの報酬など、競技活動に関連したコストが想定以上にかかるケースもあります。そのため、契約時にどこまでを企業が負担するのかを明確にし、必要に応じてスポンサーなど外部資金の活用も視野に入れておくことが大切です。
Q: アスリートは引退後のキャリアパスやビジネススキルに不安がありますが、企業はどう支援すべきですか？
A: 引退後を見据えたキャリア支援を、現役のうちから計画的に行うことが重要です。例えば、ビジネスマナーやパソコンスキルなどの研修を段階的に実施したり、定期的にキャリア面談を行ったりすることで、将来への不安を軽減できます。競技生活と並行して社会人としての基礎力を身につけられる環境を整えることが、引退後のセカンドキャリアを円滑に進める支えになります。
株式会社DYMでは、求職者様に対して様々な就職支援サービスを提供しております。
お問い合わせはこちら↓
https://dym.asia/media/recruiting-contact/</t>
        </is>
      </c>
      <c r="J62" s="47" t="n"/>
      <c r="K62" s="47" t="inlineStr">
        <is>
          <t>未確認</t>
        </is>
      </c>
      <c r="L62" s="47" t="inlineStr">
        <is>
          <t>未確認</t>
        </is>
      </c>
      <c r="M62" s="47" t="n"/>
      <c r="N62" s="47" t="n"/>
      <c r="O62" s="47" t="n"/>
      <c r="P62" s="47" t="n"/>
      <c r="Q62" s="47" t="n"/>
      <c r="R62" s="47" t="n"/>
      <c r="S62" s="47" t="n"/>
      <c r="T62" s="47" t="n"/>
      <c r="U62" s="47" t="n"/>
      <c r="V62" s="47" t="n"/>
      <c r="W62" s="47" t="n"/>
      <c r="X62" s="47" t="n"/>
      <c r="Y62" s="47" t="n"/>
      <c r="Z62" s="47" t="n"/>
    </row>
    <row r="63" ht="15.75" customHeight="1" s="185">
      <c r="A63" s="52">
        <f>row()-3</f>
        <v/>
      </c>
      <c r="B63" s="46" t="inlineStr">
        <is>
          <t>インターンシップの交通費は？ 全額支給される？</t>
        </is>
      </c>
      <c r="C63" s="6" t="inlineStr">
        <is>
          <t>https://dym.asia/media/recruiting/internship-transportation-expenses/</t>
        </is>
      </c>
      <c r="D63" s="47" t="inlineStr">
        <is>
          <t>インターン 交通費</t>
        </is>
      </c>
      <c r="E63" s="35" t="n">
        <v>22</v>
      </c>
      <c r="F63" s="36" t="n">
        <v>3.983685220729367</v>
      </c>
      <c r="G63" s="47" t="inlineStr">
        <is>
          <t>なし</t>
        </is>
      </c>
      <c r="H63" s="47" t="inlineStr">
        <is>
          <t>可</t>
        </is>
      </c>
      <c r="I63" s="10" t="inlineStr">
        <is>
          <t>Q: インターンシップに参加する際の交通費は、企業に支給義務がありますか？
A: インターンシップの交通費について、企業に法的な支給義務はありません。支給の有無や金額は企業ごとに異なり、全額を負担してくれる場合もあれば、上限付きで一部のみ支給されるケース、あるいは支給自体がないこともあります。特に1dayなどの短期インターンシップでは、交通費が出ないことが多いのが実情です。
Q: 長期インターンシップと短期インターンシップで、交通費の支給に違いはありますか？
A: インターンシップの期間によって、交通費の考え方が異なるケースは少なくありません。1日から数日程度の短期インターンシップは参加人数が多くなりやすく、企業側の負担も大きいため、交通費が支給されないことが一般的です。一方で、1か月以上続く長期インターンシップの場合は、学生が実務に関わり企業に貢献する側面もあるため、交通費を支給する企業が比較的多く見られます。
Q: 交通費の支給を受けるための手続きで、学生側が注意すべきことは何ですか？
A: 新幹線や飛行機を利用するなど、交通費が高額になる場合は、領収書の提出を求められることが多いため、必ず保管しておくことが大切です。また、支給額に上限が設けられていたり、定期券で利用している区間は対象外となったりすることもあります。後から困らないよう、事前に支給条件を確認し、不明点があれば担当者に問い合わせておくと安心です。
株式会社DYMでは、求職者様に対して様々な就職支援サービスを提供しております。
お問い合わせはこちら↓
https://dym.asia/media/recruiting-contact/</t>
        </is>
      </c>
      <c r="J63" s="47" t="n"/>
      <c r="K63" s="47" t="inlineStr">
        <is>
          <t>未確認</t>
        </is>
      </c>
      <c r="L63" s="47" t="inlineStr">
        <is>
          <t>未確認</t>
        </is>
      </c>
      <c r="M63" s="47" t="n"/>
      <c r="N63" s="47" t="n"/>
      <c r="O63" s="47" t="n"/>
      <c r="P63" s="47" t="n"/>
      <c r="Q63" s="47" t="n"/>
      <c r="R63" s="47" t="n"/>
      <c r="S63" s="47" t="n"/>
      <c r="T63" s="47" t="n"/>
      <c r="U63" s="47" t="n"/>
      <c r="V63" s="47" t="n"/>
      <c r="W63" s="47" t="n"/>
      <c r="X63" s="47" t="n"/>
      <c r="Y63" s="47" t="n"/>
      <c r="Z63" s="47" t="n"/>
    </row>
    <row r="64" ht="15.75" customHeight="1" s="185">
      <c r="A64" s="52">
        <f>row()-3</f>
        <v/>
      </c>
      <c r="B64" s="46" t="inlineStr">
        <is>
          <t>長期インターンとは？メリット・デメリットと探し方を紹介</t>
        </is>
      </c>
      <c r="C64" s="6" t="inlineStr">
        <is>
          <t>https://dym.asia/media/recruiting/long-term-internship/</t>
        </is>
      </c>
      <c r="D64" s="47" t="inlineStr">
        <is>
          <t>長期インターンとは</t>
        </is>
      </c>
      <c r="E64" s="35" t="n">
        <v>22</v>
      </c>
      <c r="F64" s="36" t="n">
        <v>3.468013468013468</v>
      </c>
      <c r="G64" s="47" t="inlineStr">
        <is>
          <t>なし</t>
        </is>
      </c>
      <c r="H64" s="47" t="inlineStr">
        <is>
          <t>可</t>
        </is>
      </c>
      <c r="I64" s="10" t="inlineStr">
        <is>
          <t>Q: 「長期インターンシップ」とは何ですか？アルバイトや短期インターンとどう違いますか？
A: 長期インターンシップとは、3か月以上の期間にわたって企業で働き、社員に近い立場で実務を経験するプログラムのことです。アルバイトが主に収入を得ることを目的としているのに対し、長期インターンシップは実践的なビジネススキルを身につけたり、業界や仕事への理解を深めたりすることを重視しています。短期インターンシップよりも任される業務の幅や責任が大きく、その分、将来のキャリアを考える上で得られる学びも多い点が特徴です。
Q: 長期インターンシップに参加することで、学生が得られる最大のメリットは何ですか？
A: 実務を通して得た経験を、就職活動で具体的にアピールできる点が大きなメリットです。実際の仕事で身につけたスキルや成果は、志望動機や自己PRに説得力を持たせる材料になります。また、インターン先の企業から高く評価されれば、本選考で有利になったり、そのまま内定につながったりするケースも少なくありません。
Q: 長期インターンシップのデメリットや、両立の課題を乗り越えるポイントは何ですか？
A: 長期間にわたって働くため、授業やサークル活動との両立が難しくなることはデメリットの一つです。そのため、参加前に勤務時間やシフトの調整が可能かどうかを企業とよく話し合い、学業を優先できる環境を整えておくことが重要です。また、給与は時給制である場合が多いため、収入面と使える時間のバランスを考えながら、無理のない形で取り組むことが求められます。
株式会社DYMでは、求職者様に対して様々な就職支援サービスを提供しております。
お問い合わせはこちら↓
https://dym.asia/media/recruiting-contact/</t>
        </is>
      </c>
      <c r="J64" s="47" t="n"/>
      <c r="K64" s="47" t="inlineStr">
        <is>
          <t>未確認</t>
        </is>
      </c>
      <c r="L64" s="47" t="inlineStr">
        <is>
          <t>未確認</t>
        </is>
      </c>
      <c r="M64" s="47" t="n"/>
      <c r="N64" s="47" t="n"/>
      <c r="O64" s="47" t="n"/>
      <c r="P64" s="47" t="n"/>
      <c r="Q64" s="47" t="n"/>
      <c r="R64" s="47" t="n"/>
      <c r="S64" s="47" t="n"/>
      <c r="T64" s="47" t="n"/>
      <c r="U64" s="47" t="n"/>
      <c r="V64" s="47" t="n"/>
      <c r="W64" s="47" t="n"/>
      <c r="X64" s="47" t="n"/>
      <c r="Y64" s="47" t="n"/>
      <c r="Z64" s="47" t="n"/>
    </row>
    <row r="65" ht="15.75" customHeight="1" s="185">
      <c r="A65" s="52">
        <f>row()-3</f>
        <v/>
      </c>
      <c r="B65" s="46" t="inlineStr">
        <is>
          <t>【完全版】自己分析のやり方10選！就活で役立つ分析方法</t>
        </is>
      </c>
      <c r="C65" s="6" t="inlineStr">
        <is>
          <t>https://dym.asia/media/recruiting/jikobunseki-10-tips/</t>
        </is>
      </c>
      <c r="D65" s="47" t="inlineStr">
        <is>
          <t>自己分析 やり方</t>
        </is>
      </c>
      <c r="E65" s="35" t="n">
        <v>20</v>
      </c>
      <c r="F65" s="36" t="n">
        <v>17.38536221060493</v>
      </c>
      <c r="G65" s="47" t="inlineStr">
        <is>
          <t>なし</t>
        </is>
      </c>
      <c r="H65" s="47" t="inlineStr">
        <is>
          <t>可</t>
        </is>
      </c>
      <c r="I65" s="10" t="inlineStr">
        <is>
          <t>Q: 就職活動において、「自己分析」を行う最大のメリットは何ですか？　　　　　　　　　　　　　　　　　　　　　　　　　　　　　　　　　　　　　　　　　　　　　　A: 自己分析を行う最大のメリットは、自分の強みを明確にしながら、自分に合った企業や仕事の判断基準を持てるようになる点です。価値観や行動の軸を整理することで、「なぜその企業を志望するのか」「自分はどのように貢献できるのか」を具体的に言葉にできるようになります。その結果、面接での自己PRや志望動機にも一貫性が生まれ、説得力のある受け答えができるようになります。　　　　　　　　　　　　　　　　　　　　　　　　　　　　　　
Q: 自分の強みや特徴を見つけるための、具体的な分析手法にはどのようなものがありますか？
A: 過去の経験を振り返りながら、自分史やライフラインチャートを使って時系列で整理する方法があります。また、マインドマップを使って考えを広げたり、ジョハリの窓や周囲からのフィードバックを通じて他者の視点を取り入れたりする方法も有効です。こうした複数の手法を組み合わせることで、自分でも気づいていなかった強みや特徴が見えてきます。
Q: 自己分析を行う上で、就活生が最も留意すべきポイントは何ですか？
A: 自分の思い込みだけで強みを決めつけないことと、企業に合わせようとして無理に自分をよく見せようとしないことが大切です。自己分析は一度で終わらせるものではなく、就職活動が本格化する前に何度か繰り返すことで理解が深まります。また、友人やキャリアアドバイザーなど第三者に内容を確認してもらうことで、より客観的な視点を持つことができます。
株式会社DYMでは、求職者様に対して様々な就職支援サービスを提供しております。
お問い合わせはこちら↓
https://dym.asia/media/recruiting-contact/</t>
        </is>
      </c>
      <c r="J65" s="47" t="n"/>
      <c r="K65" s="47" t="inlineStr">
        <is>
          <t>未確認</t>
        </is>
      </c>
      <c r="L65" s="47" t="inlineStr">
        <is>
          <t>未確認</t>
        </is>
      </c>
      <c r="M65" s="47" t="n"/>
      <c r="N65" s="47" t="n"/>
      <c r="O65" s="47" t="n"/>
      <c r="P65" s="47" t="n"/>
      <c r="Q65" s="47" t="n"/>
      <c r="R65" s="47" t="n"/>
      <c r="S65" s="47" t="n"/>
      <c r="T65" s="47" t="n"/>
      <c r="U65" s="47" t="n"/>
      <c r="V65" s="47" t="n"/>
      <c r="W65" s="47" t="n"/>
      <c r="X65" s="47" t="n"/>
      <c r="Y65" s="47" t="n"/>
      <c r="Z65" s="47" t="n"/>
    </row>
    <row r="66" ht="15.75" customHeight="1" s="185">
      <c r="A66" s="52">
        <f>row()-3</f>
        <v/>
      </c>
      <c r="B66" s="46" t="inlineStr">
        <is>
          <t>非常勤顧問とは？顧問との違いや報酬、社会保険について解説</t>
        </is>
      </c>
      <c r="C66" s="10" t="inlineStr">
        <is>
          <t>https://dym.asia/media/recruiting/part-time-advisor/</t>
        </is>
      </c>
      <c r="D66" s="47" t="inlineStr">
        <is>
          <t>非常勤顧問とは</t>
        </is>
      </c>
      <c r="E66" s="35" t="n">
        <v>20</v>
      </c>
      <c r="F66" s="36" t="n">
        <v>1.298507462686567</v>
      </c>
      <c r="G66" s="47" t="inlineStr">
        <is>
          <t>なし</t>
        </is>
      </c>
      <c r="H66" s="47" t="inlineStr">
        <is>
          <t>可</t>
        </is>
      </c>
      <c r="I66" s="47" t="inlineStr">
        <is>
          <t>Q. アルバイトアドバイザーは未経験でも応募可能ですか？                                                                                                                                                          A. はい、未経験の方もご応募いただけます。入社後は研修制度やOJTを通して、仕事に必要な知識や進め方を一から学べる環境が整っています。そのため、これまでの経験よりも「新しいことに挑戦したい」「人の役に立つ仕事がしたい」といった前向きな気持ちを大切にしています。
Q. シフトや勤務時間について、柔軟な対応は可能ですか？                                                                                                                                                                    A. 勤務は原則として固定シフトですが、週3日以上、1日4時間以上から相談が可能です。学業や家庭の事情など、それぞれのライフスタイルを考慮しながら調整を行っていますので、面接の際に希望をお伝えください。無理なく長く働いていただけるよう、できる限りサポートしています。
Q. アルバイトアドバイザーの仕事で、特に求められるスキルや資質は何ですか？                                                                                                                                                                                                                 A. 応募時点で特別な専門知識が求められるわけではありません。それよりも、求職者一人ひとりの話を丁寧に聞き、相手の立場に立って考えられるコミュニケーション力が重要です。また、目標に向かって粘り強く取り組める姿勢や、人と関わることが好きという気持ちが、この仕事では大きな強みになります。
株式会社DYMでは、求職者様に対して様々な就職支援サービスを提供しております。
お問い合わせはこちら↓
https://dym.asia/media/recruiting-contact/</t>
        </is>
      </c>
      <c r="J66" s="47" t="n"/>
      <c r="K66" s="47" t="inlineStr">
        <is>
          <t>未確認</t>
        </is>
      </c>
      <c r="L66" s="47" t="inlineStr">
        <is>
          <t>未確認</t>
        </is>
      </c>
      <c r="M66" s="47" t="n"/>
      <c r="N66" s="47" t="n"/>
      <c r="O66" s="47" t="n"/>
      <c r="P66" s="47" t="n"/>
      <c r="Q66" s="47" t="n"/>
      <c r="R66" s="47" t="n"/>
      <c r="S66" s="47" t="n"/>
      <c r="T66" s="47" t="n"/>
      <c r="U66" s="47" t="n"/>
      <c r="V66" s="47" t="n"/>
      <c r="W66" s="47" t="n"/>
      <c r="X66" s="47" t="n"/>
      <c r="Y66" s="47" t="n"/>
      <c r="Z66" s="47" t="n"/>
    </row>
    <row r="67" ht="15.75" customHeight="1" s="185">
      <c r="A67" s="52">
        <f>row()-3</f>
        <v/>
      </c>
      <c r="B67" s="46" t="inlineStr">
        <is>
          <t>第二新卒の履歴書の書き方！自己PRや志望動機作成時のポイント</t>
        </is>
      </c>
      <c r="C67" s="6" t="inlineStr">
        <is>
          <t>https://dym.asia/media/recruiting/former-resume3/</t>
        </is>
      </c>
      <c r="D67" s="47" t="inlineStr">
        <is>
          <t>第二新卒 志望動機</t>
        </is>
      </c>
      <c r="E67" s="35" t="n">
        <v>19</v>
      </c>
      <c r="F67" s="36" t="n">
        <v>4.145150501672241</v>
      </c>
      <c r="G67" s="47" t="inlineStr">
        <is>
          <t>なし</t>
        </is>
      </c>
      <c r="H67" s="47" t="inlineStr">
        <is>
          <t>可</t>
        </is>
      </c>
      <c r="I67" s="10" t="inlineStr">
        <is>
          <t>Q. 職歴がない場合、履歴書や職務経歴書にどのように記入すれば良いですか？
 A. 職務経歴書については「職歴なし」と記載して提出し、無理に内容を作る必要はありません。その代わり、学生時代の学びやアルバイト、ボランティア活動などを通して身につけた経験や強みを、自己PRや志望動機の欄で具体的に伝えることが大切です。人と関わる中で工夫したことや、課題に向き合った経験など、仕事にも活かせる力をエピソードとともに表現すると、より伝わりやすくなります。
Q. 職歴がないことが原因で、面接で不利になることはありませんか？
A. 職歴がないという理由だけで、すぐに評価が下がるわけではありません。企業が見ているのは、これまでの経歴よりも「なぜ今働きたいのか」「入社後にどんな形で貢献してくれそうか」といった姿勢や将来性です。面接では、これまでの期間をどのように過ごし、その経験を今後どう活かしたいのかを前向きに伝えることがポイントになります。
Q. 職歴なしからでも、年収や待遇の良い企業に転職することは可能ですか？
 A. 職歴や経験がなくても、意欲やポテンシャルを評価して採用している企業は少なくありません。最初から高い年収を目指すのは簡単ではありませんが、研修制度が整っている会社や、成果を正当に評価してくれる環境を選ぶことで、入社後の努力次第で昇給やキャリアアップを目指すことは十分に可能です。長い目でキャリアを考えることが、結果的に良い待遇につながります。
株式会社DYMでは、求職者様に対して様々な就職支援サービスを提供しております。
お問い合わせはこちら↓
https://dym.asia/media/recruiting-contact/</t>
        </is>
      </c>
      <c r="J67" s="47" t="n"/>
      <c r="K67" s="47" t="inlineStr">
        <is>
          <t>未確認</t>
        </is>
      </c>
      <c r="L67" s="47" t="inlineStr">
        <is>
          <t>未確認</t>
        </is>
      </c>
      <c r="M67" s="47" t="n"/>
      <c r="N67" s="47" t="n"/>
      <c r="O67" s="47" t="n"/>
      <c r="P67" s="47" t="n"/>
      <c r="Q67" s="47" t="n"/>
      <c r="R67" s="47" t="n"/>
      <c r="S67" s="47" t="n"/>
      <c r="T67" s="47" t="n"/>
      <c r="U67" s="47" t="n"/>
      <c r="V67" s="47" t="n"/>
      <c r="W67" s="47" t="n"/>
      <c r="X67" s="47" t="n"/>
      <c r="Y67" s="47" t="n"/>
      <c r="Z67" s="47" t="n"/>
    </row>
    <row r="68" ht="15.75" customHeight="1" s="185">
      <c r="A68" s="52">
        <f>row()-3</f>
        <v/>
      </c>
      <c r="B68" s="46" t="inlineStr">
        <is>
          <t>高卒の就職先おすすめ人気業界・職種一覧！探し方も解説</t>
        </is>
      </c>
      <c r="C68" s="6" t="inlineStr">
        <is>
          <t>https://dym.asia/media/recruiting/highscool-employment/</t>
        </is>
      </c>
      <c r="D68" s="47" t="inlineStr">
        <is>
          <t>高卒 就職 おすすめ</t>
        </is>
      </c>
      <c r="E68" s="35" t="n">
        <v>19</v>
      </c>
      <c r="F68" s="36" t="n">
        <v>9.361491269466729</v>
      </c>
      <c r="G68" s="47" t="inlineStr">
        <is>
          <t>なし</t>
        </is>
      </c>
      <c r="H68" s="47" t="inlineStr">
        <is>
          <t>可</t>
        </is>
      </c>
      <c r="I68" s="10" t="inlineStr">
        <is>
          <t>Q. 高校卒の採用試験では、どのような点が重視されますか？
A. 高校卒の採用では、専門知識よりも基本的なマナーや真面目さ、働く意欲が重視されます。あいさつや言葉づかい、遅刻や欠席の少なさといった日頃の姿勢に加え、教わったことを素直に吸収しようとする態度が評価されやすいポイントです。
Q. 高校卒の就職活動は、大学卒と比べて選考スケジュールや進め方に違いがありますか？
 A. はい、大きな違いがあります。高校卒の就職活動は、学校を通じて応募する「学校斡旋」が一般的で、選考の時期や進め方にも決まりがあります。まずは進路指導の先生に相談し、全体の流れを把握することが大切です。
Q. 高校卒で就職するメリットとデメリットは何ですか？                                                                                                                                                                          A. 早くから社会人経験を積める点が大きなメリットです。一方で、初任給が低めだったり、職種の選択肢が限られる場合もあります。ただし、入社後の努力次第で昇進や昇給を目指せる企業も多くあります。
株式会社DYMでは、求職者様に対して様々な就職支援サービスを提供しております。
お問い合わせはこちら↓
https://dym.asia/media/recruiting-contact/</t>
        </is>
      </c>
      <c r="J68" s="47" t="n"/>
      <c r="K68" s="47" t="inlineStr">
        <is>
          <t>未確認</t>
        </is>
      </c>
      <c r="L68" s="47" t="inlineStr">
        <is>
          <t>未確認</t>
        </is>
      </c>
      <c r="M68" s="47" t="n"/>
      <c r="N68" s="47" t="n"/>
      <c r="O68" s="47" t="n"/>
      <c r="P68" s="47" t="n"/>
      <c r="Q68" s="47" t="n"/>
      <c r="R68" s="47" t="n"/>
      <c r="S68" s="47" t="n"/>
      <c r="T68" s="47" t="n"/>
      <c r="U68" s="47" t="n"/>
      <c r="V68" s="47" t="n"/>
      <c r="W68" s="47" t="n"/>
      <c r="X68" s="47" t="n"/>
      <c r="Y68" s="47" t="n"/>
      <c r="Z68" s="47" t="n"/>
    </row>
    <row r="69" ht="15.75" customHeight="1" s="185">
      <c r="A69" s="52">
        <f>row()-3</f>
        <v/>
      </c>
      <c r="B69" s="46" t="inlineStr">
        <is>
          <t>HSPとは？人一倍敏感で繊細な人が生きるヒント</t>
        </is>
      </c>
      <c r="C69" s="6" t="inlineStr">
        <is>
          <t>https://dym.asia/media/recruiting/hsp/</t>
        </is>
      </c>
      <c r="D69" s="47" t="inlineStr">
        <is>
          <t>繊細な人</t>
        </is>
      </c>
      <c r="E69" s="35" t="n">
        <v>19</v>
      </c>
      <c r="F69" s="36" t="n">
        <v>8.886494489225202</v>
      </c>
      <c r="G69" s="47" t="inlineStr">
        <is>
          <t>あり</t>
        </is>
      </c>
      <c r="H69" s="47" t="inlineStr">
        <is>
          <t>既存</t>
        </is>
      </c>
      <c r="I69" s="47" t="n"/>
      <c r="J69" s="47" t="n"/>
      <c r="K69" s="47" t="inlineStr">
        <is>
          <t>未確認</t>
        </is>
      </c>
      <c r="L69" s="47" t="inlineStr">
        <is>
          <t>未確認</t>
        </is>
      </c>
      <c r="M69" s="47" t="n"/>
      <c r="N69" s="47" t="n"/>
      <c r="O69" s="47" t="n"/>
      <c r="P69" s="47" t="n"/>
      <c r="Q69" s="47" t="n"/>
      <c r="R69" s="47" t="n"/>
      <c r="S69" s="47" t="n"/>
      <c r="T69" s="47" t="n"/>
      <c r="U69" s="47" t="n"/>
      <c r="V69" s="47" t="n"/>
      <c r="W69" s="47" t="n"/>
      <c r="X69" s="47" t="n"/>
      <c r="Y69" s="47" t="n"/>
      <c r="Z69" s="47" t="n"/>
    </row>
    <row r="70" ht="15.75" customHeight="1" s="185">
      <c r="A70" s="52">
        <f>row()-3</f>
        <v/>
      </c>
      <c r="B70" s="46" t="inlineStr">
        <is>
          <t>30代の未経験からの転職は厳しい？理由やおすすめの職種</t>
        </is>
      </c>
      <c r="C70" s="6" t="inlineStr">
        <is>
          <t>https://dym.asia/media/recruiting/inexperienced/</t>
        </is>
      </c>
      <c r="D70" s="47" t="inlineStr">
        <is>
          <t>30代 未経験 転職</t>
        </is>
      </c>
      <c r="E70" s="35" t="n">
        <v>19</v>
      </c>
      <c r="F70" s="36" t="n">
        <v>5.656359803232607</v>
      </c>
      <c r="G70" s="47" t="inlineStr">
        <is>
          <t>なし</t>
        </is>
      </c>
      <c r="H70" s="47" t="inlineStr">
        <is>
          <t>可</t>
        </is>
      </c>
      <c r="I70" s="10" t="inlineStr">
        <is>
          <t>Q. 未経験で転職する際、最も重視されるのはどのような点ですか？
A. 未経験の場合、これまでの実績よりも「これからどう成長していけるか」が見られることが多いです。新しいことを前向きに学ぼうとする姿勢や、うまくいかない場面でも粘り強く取り組めるかどうか、そしてその仕事や会社に本当に興味を持っているかが重要になります。面接では、意欲が伝わる具体的なエピソードを交えて話せると好印象につながります。
Q. 未経験でも応募しやすい、おすすめの職種や業界はありますか？
A. 未経験から挑戦しやすい職種としては、営業職や接客・販売などのサービス業、研修体制が整っているITエンジニア職、介護や医療福祉分野などが挙げられます。いずれも経験より人柄ややる気を重視する傾向があり、基礎から学べる環境が用意されているケースが多いのが特徴です。
Q. 応募する企業を選ぶ際、未経験者が特にチェックすべきポイントは何ですか？
A. まず確認したいのは、未経験者向けの教育や研修がどれだけ整っているかです。現場で教わるだけでなく、段階的に学べる研修があるかどうかは大きなポイントになります。また、入社後のキャリアの道筋が見えやすいか、困ったときに周囲がフォローしてくれる体制があるかも、安心して働き続けるために欠かせません。
株式会社DYMでは、求職者様に対して様々な就職支援サービスを提供しております。
お問い合わせはこちら↓
https://dym.asia/media/recruiting-contact/</t>
        </is>
      </c>
      <c r="J70" s="47" t="n"/>
      <c r="K70" s="47" t="inlineStr">
        <is>
          <t>未確認</t>
        </is>
      </c>
      <c r="L70" s="47" t="inlineStr">
        <is>
          <t>未確認</t>
        </is>
      </c>
      <c r="M70" s="47" t="n"/>
      <c r="N70" s="47" t="n"/>
      <c r="O70" s="47" t="n"/>
      <c r="P70" s="47" t="n"/>
      <c r="Q70" s="47" t="n"/>
      <c r="R70" s="47" t="n"/>
      <c r="S70" s="47" t="n"/>
      <c r="T70" s="47" t="n"/>
      <c r="U70" s="47" t="n"/>
      <c r="V70" s="47" t="n"/>
      <c r="W70" s="47" t="n"/>
      <c r="X70" s="47" t="n"/>
      <c r="Y70" s="47" t="n"/>
      <c r="Z70" s="47" t="n"/>
    </row>
    <row r="71" ht="15.75" customHeight="1" s="185">
      <c r="A71" s="52">
        <f>row()-3</f>
        <v/>
      </c>
      <c r="B71" s="46" t="inlineStr">
        <is>
          <t>インターン面接で聞かれること！質問と回答例文</t>
        </is>
      </c>
      <c r="C71" s="6" t="inlineStr">
        <is>
          <t>https://dym.asia/media/recruiting/internship-interview/</t>
        </is>
      </c>
      <c r="D71" s="47" t="inlineStr">
        <is>
          <t>インターン 面接 聞かれること</t>
        </is>
      </c>
      <c r="E71" s="35" t="n">
        <v>19</v>
      </c>
      <c r="F71" s="36" t="n">
        <v>6.690705128205129</v>
      </c>
      <c r="G71" s="47" t="inlineStr">
        <is>
          <t>なし</t>
        </is>
      </c>
      <c r="H71" s="47" t="inlineStr">
        <is>
          <t>可</t>
        </is>
      </c>
      <c r="I71" s="10" t="inlineStr">
        <is>
          <t>Q. インターンシップの面接で、特に採用担当者が確認したいポイントは何ですか？
A. 面接では、インターンに参加する目的がはっきりしているか、そして企業との相性が合っているかが重視されます。なぜそのインターンに参加したいのか、そこで得た経験を将来どう活かしたいのかを、自分の言葉で説明できることが大切です。また、企業の考え方や仕事内容を理解したうえで、前向きに取り組めそうかどうかも見られています。
Q. 面接で「ガクチカ（学生時代に力を入れたこと）」を伝える際、注意すべき点はありますか？
A. 成果そのものよりも、取り組んだ理由や過程が伝わることが重要です。どんな課題があり、どう考えて行動したのかを具体的に話すことで、あなたの人柄や考え方が伝わります。その経験がインターンの業務にどう活かせそうかまで触れられると、より印象が良くなります。
Q. インターンシップの面接で逆質問をする際、効果的な質問の例を教えてください。
A. 逆質問では、企業への関心の高さが伝わる内容を意識しましょう。実際の業務内容や、現場で求められる力、社員の働き方など、調べただけでは分からないことを聞くのがおすすめです。学ぶ姿勢が伝わる質問は、前向きな評価につながりやすくなります。
株式会社DYMでは、求職者様に対して様々な就職支援サービスを提供しております。
お問い合わせはこちら↓
https://dym.asia/media/recruiting-contact/</t>
        </is>
      </c>
      <c r="J71" s="47" t="n"/>
      <c r="K71" s="47" t="inlineStr">
        <is>
          <t>未確認</t>
        </is>
      </c>
      <c r="L71" s="47" t="inlineStr">
        <is>
          <t>未確認</t>
        </is>
      </c>
      <c r="M71" s="47" t="n"/>
      <c r="N71" s="47" t="n"/>
      <c r="O71" s="47" t="n"/>
      <c r="P71" s="47" t="n"/>
      <c r="Q71" s="47" t="n"/>
      <c r="R71" s="47" t="n"/>
      <c r="S71" s="47" t="n"/>
      <c r="T71" s="47" t="n"/>
      <c r="U71" s="47" t="n"/>
      <c r="V71" s="47" t="n"/>
      <c r="W71" s="47" t="n"/>
      <c r="X71" s="47" t="n"/>
      <c r="Y71" s="47" t="n"/>
      <c r="Z71" s="47" t="n"/>
    </row>
    <row r="72" ht="15.75" customHeight="1" s="185">
      <c r="A72" s="52">
        <f>row()-3</f>
        <v/>
      </c>
      <c r="B72" s="46" t="inlineStr">
        <is>
          <t>会社説明会、受付時間の何分前に来るべき？マナーとして正しい時間は？</t>
        </is>
      </c>
      <c r="C72" s="10" t="inlineStr">
        <is>
          <t>https://dym.asia/media/recruiting/session-when-arrive/</t>
        </is>
      </c>
      <c r="D72" s="47" t="inlineStr">
        <is>
          <t>会社説明会 何分前</t>
        </is>
      </c>
      <c r="E72" s="35" t="n">
        <v>19</v>
      </c>
      <c r="F72" s="36" t="n">
        <v>2.093603744149766</v>
      </c>
      <c r="G72" s="47" t="inlineStr">
        <is>
          <t>なし</t>
        </is>
      </c>
      <c r="H72" s="47" t="inlineStr">
        <is>
          <t>可</t>
        </is>
      </c>
      <c r="I72" s="10" t="inlineStr">
        <is>
          <t>Q. 企業の説明会に到着する最適な時間は何分前ですか？　　　　　　　　　　　　　　　　　　
A. 一般的には、開始時間の10分前に到着して受付を済ませるのがちょうどよいとされています。あまりに早すぎると企業側の準備を妨げてしまうことがあり、逆に遅れるのは印象を下げてしまいます。受付開始時間が決まっている場合は、その時刻に合わせて行動するようにしましょう。
Q. 説明会に遅刻してしまいそうな場合、企業へ連絡するタイミングと伝え方は？　　　　　　　　　　　　　　　　　　　　　　　　　　　　　　　　　　　　　　　　　　　　A. 遅刻しそうだと分かった時点で、できるだけ早く電話で連絡を入れることが大切です。その際は、謝罪を伝えたうえで、到着予定時刻と途中参加が可能かどうかを確認しましょう。メールではなく、直接声で伝える方が誠意が伝わります。
Q. 説明会の受付開始時刻より早く着いてしまった場合、どのように過ごすべきですか？　　　　　　　　　　　　　　　　　　　　　　　　　　　　　　　　　　　　　　　　　A. 早く着きすぎた場合は、建物の外や近くのカフェなどで時間を調整するのがマナーです。身だしなみを整えたり、持ち物を確認したりしながら待ち、開始10分前を目安に会場へ向かうと安心です。
株式会社DYMでは、求職者様に対して様々な就職支援サービスを提供しております。
お問い合わせはこちら↓
https://dym.asia/media/recruiting-contact/</t>
        </is>
      </c>
      <c r="J72" s="47" t="n"/>
      <c r="K72" s="47" t="inlineStr">
        <is>
          <t>未確認</t>
        </is>
      </c>
      <c r="L72" s="47" t="inlineStr">
        <is>
          <t>未確認</t>
        </is>
      </c>
      <c r="M72" s="47" t="n"/>
      <c r="N72" s="47" t="n"/>
      <c r="O72" s="47" t="n"/>
      <c r="P72" s="47" t="n"/>
      <c r="Q72" s="47" t="n"/>
      <c r="R72" s="47" t="n"/>
      <c r="S72" s="47" t="n"/>
      <c r="T72" s="47" t="n"/>
      <c r="U72" s="47" t="n"/>
      <c r="V72" s="47" t="n"/>
      <c r="W72" s="47" t="n"/>
      <c r="X72" s="47" t="n"/>
      <c r="Y72" s="47" t="n"/>
      <c r="Z72" s="47" t="n"/>
    </row>
    <row r="73" ht="15.75" customHeight="1" s="185">
      <c r="A73" s="52">
        <f>row()-3</f>
        <v/>
      </c>
      <c r="B73" s="46" t="inlineStr">
        <is>
          <t>35歳からの転職は遅い？未経験転職の現状と転職を成功させるポイントを解説</t>
        </is>
      </c>
      <c r="C73" s="6" t="inlineStr">
        <is>
          <t>https://dym.asia/media/recruiting/35-job-change/</t>
        </is>
      </c>
      <c r="D73" s="47" t="inlineStr">
        <is>
          <t>35歳 未経験 転職 おすすめ</t>
        </is>
      </c>
      <c r="E73" s="35" t="n">
        <v>18</v>
      </c>
      <c r="F73" s="36" t="n">
        <v>2.20627802690583</v>
      </c>
      <c r="G73" s="47" t="inlineStr">
        <is>
          <t>あり</t>
        </is>
      </c>
      <c r="H73" s="47" t="inlineStr">
        <is>
          <t>既存</t>
        </is>
      </c>
      <c r="I73" s="47" t="n"/>
      <c r="J73" s="47" t="n"/>
      <c r="K73" s="47" t="inlineStr">
        <is>
          <t>未確認</t>
        </is>
      </c>
      <c r="L73" s="47" t="inlineStr">
        <is>
          <t>未確認</t>
        </is>
      </c>
      <c r="M73" s="47" t="n"/>
      <c r="N73" s="47" t="n"/>
      <c r="O73" s="47" t="n"/>
      <c r="P73" s="47" t="n"/>
      <c r="Q73" s="47" t="n"/>
      <c r="R73" s="47" t="n"/>
      <c r="S73" s="47" t="n"/>
      <c r="T73" s="47" t="n"/>
      <c r="U73" s="47" t="n"/>
      <c r="V73" s="47" t="n"/>
      <c r="W73" s="47" t="n"/>
      <c r="X73" s="47" t="n"/>
      <c r="Y73" s="47" t="n"/>
      <c r="Z73" s="47" t="n"/>
    </row>
    <row r="74" ht="15.75" customHeight="1" s="185">
      <c r="A74" s="52">
        <f>row()-3</f>
        <v/>
      </c>
      <c r="B74" s="46" t="inlineStr">
        <is>
          <t>面接練習の効果的なやり方｜就活・転職に役立つ対策や一人でできる練習方法</t>
        </is>
      </c>
      <c r="C74" s="6" t="inlineStr">
        <is>
          <t>https://dym.asia/media/recruiting/interview-practice/</t>
        </is>
      </c>
      <c r="D74" s="47" t="inlineStr">
        <is>
          <t>面接対策 やり方</t>
        </is>
      </c>
      <c r="E74" s="35" t="n">
        <v>18</v>
      </c>
      <c r="F74" s="36" t="n">
        <v>7.286810551558753</v>
      </c>
      <c r="G74" s="47" t="inlineStr">
        <is>
          <t>なし</t>
        </is>
      </c>
      <c r="H74" s="47" t="inlineStr">
        <is>
          <t>可</t>
        </is>
      </c>
      <c r="I74" s="10" t="inlineStr">
        <is>
          <t>Q. 面接練習を始める前に、準備しておくべき最も重要なことは何ですか？　　　　　　　　　　　　　　　　　　　　　　　　　　　　　　　　　　　　　　　A. いちばん大切なのは、自己分析と企業研究をしっかり行っておくことです。面接では話し方の上手さよりも、これまでの経験と「なぜその企業を志望しているのか」が自然につながっているかが見られます。この土台ができていれば、想定外の質問にも落ち着いて対応しやすくなります。
Q. 模擬面接を効果的に行うためのポイントや練習方法はありますか？
A. 自分の話し方や表情を客観的に知るために、録音や録画を活用するのがおすすめです。また、友人や家族に協力してもらう場合は、答えに対して「なぜ？」「具体的には？」と深掘りしてもらうと、本番に近い練習になります。
Q. 面接本番で緊張して頭が真っ白になってしまった場合、どう対処すべきですか？　　　　　　　　　　　　　　　　　　　　　　　　　　　　　　　　　　　　　　A. 緊張するのは当然なので、無理に隠す必要はありません。「少し緊張しています」と一言伝えてから深呼吸をするだけでも気持ちは落ち着きます。質問の意図を聞き返しても失礼にはならないので、焦らず立て直すことが大切です。
株式会社DYMでは、求職者様に対して様々な就職支援サービスを提供しております。
お問い合わせはこちら↓
https://dym.asia/media/recruiting-contact/</t>
        </is>
      </c>
      <c r="J74" s="47" t="n"/>
      <c r="K74" s="47" t="inlineStr">
        <is>
          <t>未確認</t>
        </is>
      </c>
      <c r="L74" s="47" t="inlineStr">
        <is>
          <t>未確認</t>
        </is>
      </c>
      <c r="M74" s="47" t="n"/>
      <c r="N74" s="47" t="n"/>
      <c r="O74" s="47" t="n"/>
      <c r="P74" s="47" t="n"/>
      <c r="Q74" s="47" t="n"/>
      <c r="R74" s="47" t="n"/>
      <c r="S74" s="47" t="n"/>
      <c r="T74" s="47" t="n"/>
      <c r="U74" s="47" t="n"/>
      <c r="V74" s="47" t="n"/>
      <c r="W74" s="47" t="n"/>
      <c r="X74" s="47" t="n"/>
      <c r="Y74" s="47" t="n"/>
      <c r="Z74" s="47" t="n"/>
    </row>
    <row r="75" ht="15.75" customHeight="1" s="185">
      <c r="A75" s="52">
        <f>row()-3</f>
        <v/>
      </c>
      <c r="B75" s="46" t="inlineStr">
        <is>
          <t>マネジメント経験とは？その定義、必要性、そしてキャリアアップへの影響</t>
        </is>
      </c>
      <c r="C75" s="6" t="inlineStr">
        <is>
          <t>https://dym.asia/media/recruiting/management-experience/</t>
        </is>
      </c>
      <c r="D75" s="47" t="inlineStr">
        <is>
          <t>マネジメント経験とは</t>
        </is>
      </c>
      <c r="E75" s="35" t="n">
        <v>17</v>
      </c>
      <c r="F75" s="36" t="n">
        <v>4.469046839174583</v>
      </c>
      <c r="G75" s="47" t="inlineStr">
        <is>
          <t>なし</t>
        </is>
      </c>
      <c r="H75" s="47" t="inlineStr">
        <is>
          <t>可</t>
        </is>
      </c>
      <c r="I75" s="47" t="inlineStr">
        <is>
          <t>Q. マネジメント経験がない場合でも、リーダーシップをアピールする方法はありますか？　　　　　　　　　　　　　　　　　　　　　　　　　　　　　　　　　　
A. 可能です。役職に就いていなくても、チームやプロジェクトの中で自分から動いた経験や、周囲を巻き込みながら物事を進めた経験があれば十分に伝えられます。その際は、行動そのものよりも「なぜそう考えたのか」「その結果、周囲にどんな変化があったのか」を意識して話すことが大切です。
Q. マネジメントの失敗談を面接で聞かれた場合、どのように答えるべきですか？　　　　　　　　　　　　　　　　　　　　　　　　　　　　　　　　　　　　　　A. 失敗の内容を正直に伝えつつ、そこから何を学び、次にどう活かしたのかまで話しましょう。面接官が見ているのは失敗そのものではなく、振り返りや改善ができるかどうかです。課題に向き合い、立て直した経験は前向きな評価につながります。
Q. 役職が小さいチームリーダーの場合、マネジメント経験として強くアピールできますか？　　　　　　　　　　　　　　　　　　　　　　　　　　　　　　　　　　　A. はい、問題ありません。チームの規模よりも、どんな関わり方をしたかが重要です。後輩の育成にどう向き合ったのか、目標達成のためにどんな工夫をしたのかなど、具体的な行動と成果を伝えられれば、十分なアピールになります。
株式会社DYMでは、求職者様に対して様々な就職支援サービスを提供しております。
お問い合わせはこちら↓
https://dym.asia/media/recruiting-contact/</t>
        </is>
      </c>
      <c r="J75" s="47" t="n"/>
      <c r="K75" s="47" t="inlineStr">
        <is>
          <t>未確認</t>
        </is>
      </c>
      <c r="L75" s="47" t="inlineStr">
        <is>
          <t>未確認</t>
        </is>
      </c>
      <c r="M75" s="47" t="n"/>
      <c r="N75" s="47" t="n"/>
      <c r="O75" s="47" t="n"/>
      <c r="P75" s="47" t="n"/>
      <c r="Q75" s="47" t="n"/>
      <c r="R75" s="47" t="n"/>
      <c r="S75" s="47" t="n"/>
      <c r="T75" s="47" t="n"/>
      <c r="U75" s="47" t="n"/>
      <c r="V75" s="47" t="n"/>
      <c r="W75" s="47" t="n"/>
      <c r="X75" s="47" t="n"/>
      <c r="Y75" s="47" t="n"/>
      <c r="Z75" s="47" t="n"/>
    </row>
    <row r="76" ht="15.75" customHeight="1" s="185">
      <c r="A76" s="52">
        <f>row()-3</f>
        <v/>
      </c>
      <c r="B76" s="46" t="inlineStr">
        <is>
          <t>未経験でWebマーケターになるには？マーケティング資格や派遣の活用法を紹介</t>
        </is>
      </c>
      <c r="C76" s="6" t="inlineStr">
        <is>
          <t>https://dym.asia/media/recruiting/marketing-temporary-inexperienced/</t>
        </is>
      </c>
      <c r="D76" s="47" t="inlineStr">
        <is>
          <t>webマーケティング 資格 転職</t>
        </is>
      </c>
      <c r="E76" s="35" t="n">
        <v>17</v>
      </c>
      <c r="F76" s="36" t="n">
        <v>12.84864864864865</v>
      </c>
      <c r="G76" s="47" t="inlineStr">
        <is>
          <t>なし</t>
        </is>
      </c>
      <c r="H76" s="47" t="inlineStr">
        <is>
          <t>可</t>
        </is>
      </c>
      <c r="I76" s="10" t="inlineStr">
        <is>
          <t>Q. 未経験者が派遣でマーケティング職に就く際、事前に学んでおくと有利なスキルは何ですか？　　　　　　　　　　　　　　　　　　　　　　　　　　　　　　　　　　　A. 基本的なExcel操作やデータのまとめ方に加えて、GoogleアナリティクスなどのWeb解析ツールの基礎知識があると評価されやすくなります。SNS運用やWeb広告について軽く理解しておくだけでもプラスになりますし、未経験であっても自主的に学んでいる姿勢はしっかり見てもらえます。
Q. 派遣社員としてマーケティング職で働く場合、正社員登用の可能性はありますか？　　　　　　　　　　　　　　　　　　　　　　　　　　　　　　　　　　　　　　　　　　　A. 派遣先や契約内容にもよりますが、正社員登用を前提とした求人は少なくありません。派遣として働く中で成果や姿勢を評価され、直接雇用に切り替わるケースもあります。事前に派遣会社へ登用実績を確認しておくと安心です。
Q. 未経験で派遣のマーケティング求人に応募する際、職務経歴書で何をアピールすべきですか？　　　　　　　　　　　　　　　　　　　　　　　　　　　　　　　　　　　　　　　A. 実務経験がなくても、情報を集めて考える力や、課題に向き合って工夫した経験は十分に評価されます。これまでの仕事や学生時代の経験の中で、数字や結果を意識して取り組んだエピソードを具体的に伝えると、マーケティング職との相性が伝わりやすくなります。
株式会社DYMでは、求職者様に対して様々な就職支援サービスを提供しております。
お問い合わせはこちら↓
https://dym.asia/media/recruiting-contact/</t>
        </is>
      </c>
      <c r="J76" s="47" t="n"/>
      <c r="K76" s="47" t="inlineStr">
        <is>
          <t>未確認</t>
        </is>
      </c>
      <c r="L76" s="47" t="inlineStr">
        <is>
          <t>未確認</t>
        </is>
      </c>
      <c r="M76" s="47" t="n"/>
      <c r="N76" s="47" t="n"/>
      <c r="O76" s="47" t="n"/>
      <c r="P76" s="47" t="n"/>
      <c r="Q76" s="47" t="n"/>
      <c r="R76" s="47" t="n"/>
      <c r="S76" s="47" t="n"/>
      <c r="T76" s="47" t="n"/>
      <c r="U76" s="47" t="n"/>
      <c r="V76" s="47" t="n"/>
      <c r="W76" s="47" t="n"/>
      <c r="X76" s="47" t="n"/>
      <c r="Y76" s="47" t="n"/>
      <c r="Z76" s="47" t="n"/>
    </row>
    <row r="77" ht="15.75" customHeight="1" s="185">
      <c r="A77" s="52">
        <f>row()-3</f>
        <v/>
      </c>
      <c r="B77" s="46" t="inlineStr">
        <is>
          <t>新卒採用イベント開催！自社の魅力を伝える方法</t>
        </is>
      </c>
      <c r="C77" s="6" t="inlineStr">
        <is>
          <t>https://dym.asia/media/recruiting/new-graduate-event/</t>
        </is>
      </c>
      <c r="D77" s="47" t="inlineStr">
        <is>
          <t>dym イベント</t>
        </is>
      </c>
      <c r="E77" s="35" t="n">
        <v>16</v>
      </c>
      <c r="F77" s="36" t="n">
        <v>1.375</v>
      </c>
      <c r="G77" s="47" t="inlineStr">
        <is>
          <t>あり</t>
        </is>
      </c>
      <c r="H77" s="47" t="inlineStr">
        <is>
          <t>既存</t>
        </is>
      </c>
      <c r="I77" s="47" t="n"/>
      <c r="J77" s="47" t="n"/>
      <c r="K77" s="47" t="inlineStr">
        <is>
          <t>未確認</t>
        </is>
      </c>
      <c r="L77" s="47" t="inlineStr">
        <is>
          <t>未確認</t>
        </is>
      </c>
      <c r="M77" s="47" t="n"/>
      <c r="N77" s="47" t="n"/>
      <c r="O77" s="47" t="n"/>
      <c r="P77" s="47" t="n"/>
      <c r="Q77" s="47" t="n"/>
      <c r="R77" s="47" t="n"/>
      <c r="S77" s="47" t="n"/>
      <c r="T77" s="47" t="n"/>
      <c r="U77" s="47" t="n"/>
      <c r="V77" s="47" t="n"/>
      <c r="W77" s="47" t="n"/>
      <c r="X77" s="47" t="n"/>
      <c r="Y77" s="47" t="n"/>
      <c r="Z77" s="47" t="n"/>
    </row>
    <row r="78" ht="15.75" customHeight="1" s="185">
      <c r="A78" s="52">
        <f>row()-3</f>
        <v/>
      </c>
      <c r="B78" s="46" t="inlineStr">
        <is>
          <t>サマーインターンとは？時期や内容、参加するメリットを紹介</t>
        </is>
      </c>
      <c r="C78" s="6" t="inlineStr">
        <is>
          <t>https://dym.asia/media/recruiting/summer-internship/</t>
        </is>
      </c>
      <c r="D78" s="47" t="inlineStr">
        <is>
          <t>dym サマーインターン</t>
        </is>
      </c>
      <c r="E78" s="35" t="n">
        <v>16</v>
      </c>
      <c r="F78" s="36" t="n">
        <v>3.538461538461538</v>
      </c>
      <c r="G78" s="47" t="inlineStr">
        <is>
          <t>なし</t>
        </is>
      </c>
      <c r="H78" s="47" t="inlineStr">
        <is>
          <t>可</t>
        </is>
      </c>
      <c r="I78" s="47" t="inlineStr">
        <is>
          <t>Q. サマーインターンシップに参加する時期は、大学・学年によっていつ頃が最適ですか？　　　　　　　　　　　　　　　　　　　　　　　　　　　　　　　　　　　　　　A. 一般的には大学3年生の夏に、本選考につながるインターンを実施する企業が多いですが、最近は1・2年生向けの短期プログラムも増えています。学年に関係なく、気になる業界や職種があれば早めに参加してみることで、自分の適性や興味を知る良いきっかけになります。
Q. サマーインターンシップは、本選考（内定）にどの程度影響しますか？　　　　　　　　　　　　　　　　　　　　　　　　　　　　　　　　　　　　　　　　　　　　　A. 企業によって差はありますが、インターン参加者が本選考で有利になるケースは少なくありません。特に長期インターンでは、選考の一部が免除されたり、早期選考に進めることもあります。企業理解を深められる点でも、参加する価値は高いと言えます。
Q. サマーインターンシップのエントリーシート（ES）や面接では、どのような点が評価されますか？　　　　　　　　　　　　　　　　　　　　　　　　　　　　　　　　　　　　　　A. 重視されるのは、どれだけ本気で参加したいか、そして目的がはっきりしているかです。なぜその企業を選んだのか、インターンを通して何を学びたいのかを、自分の言葉で具体的に伝えることが大切です。
株式会社DYMでは、求職者様に対して様々な就職支援サービスを提供しております。
お問い合わせはこちら↓
https://dym.asia/media/recruiting-contact/</t>
        </is>
      </c>
      <c r="J78" s="47" t="n"/>
      <c r="K78" s="47" t="inlineStr">
        <is>
          <t>未確認</t>
        </is>
      </c>
      <c r="L78" s="47" t="inlineStr">
        <is>
          <t>未確認</t>
        </is>
      </c>
      <c r="M78" s="47" t="n"/>
      <c r="N78" s="47" t="n"/>
      <c r="O78" s="47" t="n"/>
      <c r="P78" s="47" t="n"/>
      <c r="Q78" s="47" t="n"/>
      <c r="R78" s="47" t="n"/>
      <c r="S78" s="47" t="n"/>
      <c r="T78" s="47" t="n"/>
      <c r="U78" s="47" t="n"/>
      <c r="V78" s="47" t="n"/>
      <c r="W78" s="47" t="n"/>
      <c r="X78" s="47" t="n"/>
      <c r="Y78" s="47" t="n"/>
      <c r="Z78" s="47" t="n"/>
    </row>
    <row r="79" ht="15.75" customHeight="1" s="185">
      <c r="A79" s="52">
        <f>row()-3</f>
        <v/>
      </c>
      <c r="B79" s="46" t="inlineStr">
        <is>
          <t>就活の会社説明会とは？開催の種類や参加方法を解説</t>
        </is>
      </c>
      <c r="C79" s="6" t="inlineStr">
        <is>
          <t>https://dym.asia/media/recruiting/about-company-session/</t>
        </is>
      </c>
      <c r="D79" s="47" t="inlineStr">
        <is>
          <t>dym 説明会</t>
        </is>
      </c>
      <c r="E79" s="35" t="n">
        <v>15</v>
      </c>
      <c r="F79" s="36" t="n">
        <v>1.111111111111111</v>
      </c>
      <c r="G79" s="47" t="inlineStr">
        <is>
          <t>あり</t>
        </is>
      </c>
      <c r="H79" s="47" t="inlineStr">
        <is>
          <t>既存</t>
        </is>
      </c>
      <c r="I79" s="47" t="n"/>
      <c r="J79" s="47" t="n"/>
      <c r="K79" s="47" t="inlineStr">
        <is>
          <t>未確認</t>
        </is>
      </c>
      <c r="L79" s="47" t="inlineStr">
        <is>
          <t>未確認</t>
        </is>
      </c>
      <c r="M79" s="47" t="n"/>
      <c r="N79" s="47" t="n"/>
      <c r="O79" s="47" t="n"/>
      <c r="P79" s="47" t="n"/>
      <c r="Q79" s="47" t="n"/>
      <c r="R79" s="47" t="n"/>
      <c r="S79" s="47" t="n"/>
      <c r="T79" s="47" t="n"/>
      <c r="U79" s="47" t="n"/>
      <c r="V79" s="47" t="n"/>
      <c r="W79" s="47" t="n"/>
      <c r="X79" s="47" t="n"/>
      <c r="Y79" s="47" t="n"/>
      <c r="Z79" s="47" t="n"/>
    </row>
    <row r="80" ht="15.75" customHeight="1" s="185">
      <c r="A80" s="52">
        <f>row()-3</f>
        <v/>
      </c>
      <c r="B80" s="46" t="inlineStr">
        <is>
          <t>求職者支援制度とは？給付金や職業訓練の内容、対象者・条件、手続きを解説</t>
        </is>
      </c>
      <c r="C80" s="6" t="inlineStr">
        <is>
          <t>https://dym.asia/media/recruiting/job-seeker-support/</t>
        </is>
      </c>
      <c r="D80" s="47" t="inlineStr">
        <is>
          <t>求職者支援制度</t>
        </is>
      </c>
      <c r="E80" s="35" t="n">
        <v>14</v>
      </c>
      <c r="F80" s="36" t="n">
        <v>9.701929625425652</v>
      </c>
      <c r="G80" s="47" t="inlineStr">
        <is>
          <t>なし</t>
        </is>
      </c>
      <c r="H80" s="47" t="inlineStr">
        <is>
          <t>可</t>
        </is>
      </c>
      <c r="I80" s="47" t="inlineStr">
        <is>
          <t>Q. 求職者支援サービスを利用すると、どのようなメリットがありますか？　　　　　　　　　　　　　　　　　　　　　　　　　　　　　　　　　　　　　　　　　　　　　A. 一人で探すよりも、幅広く質の高い求人情報に触れられる点が大きなメリットです。非公開求人を紹介してもらえることもあり、履歴書や職務経歴書の添削、面接対策などを通じて、選考に向けた準備を効率よく進められます。
Q. 転職エージェントや求職者支援サービスは、無料で利用できるのはなぜですか？　　　　　　　　　　　　　　　　　　　　　　　　　　　　　　　　　　　　　　　A. こうしたサービスは、採用が決まった際に企業側から報酬を受け取る仕組みになっています。そのため、求職者は費用を気にせず、相談から選考対策まで安心して利用できます。
Q. 求職者支援サービスを利用する際、自分のペースで活動を進められますか？　　　　　　　　　　　　　　　　　　　　　　　　　　　　　　　　　　　　　　　　A. できます。アドバイザーはあくまでサポート役なので、応募のタイミングや進め方は自分で決められます。紹介される求人や連絡の頻度が合わないと感じた場合も、率直に伝えれば調整してもらえます。
株式会社DYMでは、求職者様に対して様々な就職支援サービスを提供しております。
お問い合わせはこちら↓
https://dym.asia/media/recruiting-contact/</t>
        </is>
      </c>
      <c r="J80" s="47" t="n"/>
      <c r="K80" s="47" t="inlineStr">
        <is>
          <t>未確認</t>
        </is>
      </c>
      <c r="L80" s="47" t="inlineStr">
        <is>
          <t>未確認</t>
        </is>
      </c>
      <c r="M80" s="47" t="n"/>
      <c r="N80" s="47" t="n"/>
      <c r="O80" s="47" t="n"/>
      <c r="P80" s="47" t="n"/>
      <c r="Q80" s="47" t="n"/>
      <c r="R80" s="47" t="n"/>
      <c r="S80" s="47" t="n"/>
      <c r="T80" s="47" t="n"/>
      <c r="U80" s="47" t="n"/>
      <c r="V80" s="47" t="n"/>
      <c r="W80" s="47" t="n"/>
      <c r="X80" s="47" t="n"/>
      <c r="Y80" s="47" t="n"/>
      <c r="Z80" s="47" t="n"/>
    </row>
    <row r="81" ht="15.75" customHeight="1" s="185">
      <c r="A81" s="52">
        <f>row()-3</f>
        <v/>
      </c>
      <c r="B81" s="46" t="inlineStr">
        <is>
          <t>会社説明会に参加した後、お礼メールのポイント</t>
        </is>
      </c>
      <c r="C81" s="10" t="inlineStr">
        <is>
          <t>https://dym.asia/media/recruiting/session-mail/</t>
        </is>
      </c>
      <c r="D81" s="47" t="inlineStr">
        <is>
          <t>会社説明会 お礼 メール</t>
        </is>
      </c>
      <c r="E81" s="35" t="n">
        <v>14</v>
      </c>
      <c r="F81" s="36" t="n">
        <v>9.203883495145631</v>
      </c>
      <c r="G81" s="47" t="inlineStr">
        <is>
          <t>あり</t>
        </is>
      </c>
      <c r="H81" s="47" t="inlineStr">
        <is>
          <t>既存</t>
        </is>
      </c>
      <c r="I81" s="47" t="n"/>
      <c r="J81" s="47" t="n"/>
      <c r="K81" s="47" t="inlineStr">
        <is>
          <t>未確認</t>
        </is>
      </c>
      <c r="L81" s="47" t="inlineStr">
        <is>
          <t>未確認</t>
        </is>
      </c>
      <c r="M81" s="47" t="n"/>
      <c r="N81" s="47" t="n"/>
      <c r="O81" s="47" t="n"/>
      <c r="P81" s="47" t="n"/>
      <c r="Q81" s="47" t="n"/>
      <c r="R81" s="47" t="n"/>
      <c r="S81" s="47" t="n"/>
      <c r="T81" s="47" t="n"/>
      <c r="U81" s="47" t="n"/>
      <c r="V81" s="47" t="n"/>
      <c r="W81" s="47" t="n"/>
      <c r="X81" s="47" t="n"/>
      <c r="Y81" s="47" t="n"/>
      <c r="Z81" s="47" t="n"/>
    </row>
    <row r="82" ht="15.75" customHeight="1" s="185">
      <c r="A82" s="52">
        <f>row()-3</f>
        <v/>
      </c>
      <c r="B82" s="46" t="inlineStr">
        <is>
          <t>内定承諾書とは？添え状、封筒の書き方、メール送った後も辞退は可能？</t>
        </is>
      </c>
      <c r="C82" s="6" t="inlineStr">
        <is>
          <t>https://dym.asia/media/recruiting/informal-acceptance-letter/</t>
        </is>
      </c>
      <c r="D82" s="47" t="inlineStr">
        <is>
          <t>内定承諾書 封筒 書き方</t>
        </is>
      </c>
      <c r="E82" s="35" t="n">
        <v>13</v>
      </c>
      <c r="F82" s="36" t="n">
        <v>7.209744503862151</v>
      </c>
      <c r="G82" s="47" t="inlineStr">
        <is>
          <t>なし</t>
        </is>
      </c>
      <c r="H82" s="47" t="inlineStr">
        <is>
          <t>可</t>
        </is>
      </c>
      <c r="I82" s="10" t="inlineStr">
        <is>
          <t>Q. 内定通知書（内定承諾書）を受け取った後、いつまでに返事をすれば良いですか？　　　　　　　　　　　　　　　　　　　　　　　　　　　　　　　　　　　　　　　　　　　　　　A. 多くの場合、内定通知書には返答期限が記載されています。まずはその日付を確認し、期限内に必ず連絡しましょう。もし他社の結果待ちなどで判断が難しい場合は、早めに企業へ連絡し、事情を説明したうえで期限の延長を相談するのが無難です。何も連絡せずに期限を過ぎてしまうのは避けましょう。
Q. 内定通知書に記載されている労働条件が、面接で聞いた内容と違っていた場合はどうすべきですか？　　　　　　　　　　　　　　　　　　　　　　　　　　　　　A. 条件面の食い違いは、入社後のトラブルにつながりやすいため、気づいた時点ですぐ確認することが大切です。承諾する前に人事や採用担当者へ連絡し、どこが違うのかを具体的に伝えて確認しましょう。納得できないまま承諾書を提出するのはおすすめできません。
Q. 内定を承諾した後でも、辞退することは法的に問題ありませんか？　　　　　　　　　　　　　　　　　　　　　　　　　　
A. 法律上は、内定承諾後であっても辞退することは可能とされています。ただし、企業側への影響は大きいため、辞退を決めた場合はできるだけ早く、まずは電話で誠意をもって連絡することが大切です。
株式会社DYMでは、求職者様に対して様々な就職支援サービスを提供しております。
お問い合わせはこちら↓
https://dym.asia/media/recruiting-contact/</t>
        </is>
      </c>
      <c r="J82" s="47" t="n"/>
      <c r="K82" s="47" t="inlineStr">
        <is>
          <t>未確認</t>
        </is>
      </c>
      <c r="L82" s="47" t="inlineStr">
        <is>
          <t>未確認</t>
        </is>
      </c>
      <c r="M82" s="47" t="n"/>
      <c r="N82" s="47" t="n"/>
      <c r="O82" s="47" t="n"/>
      <c r="P82" s="47" t="n"/>
      <c r="Q82" s="47" t="n"/>
      <c r="R82" s="47" t="n"/>
      <c r="S82" s="47" t="n"/>
      <c r="T82" s="47" t="n"/>
      <c r="U82" s="47" t="n"/>
      <c r="V82" s="47" t="n"/>
      <c r="W82" s="47" t="n"/>
      <c r="X82" s="47" t="n"/>
      <c r="Y82" s="47" t="n"/>
      <c r="Z82" s="47" t="n"/>
    </row>
    <row r="83" ht="15.75" customHeight="1" s="185">
      <c r="A83" s="52">
        <f>row()-3</f>
        <v/>
      </c>
      <c r="B83" s="46" t="inlineStr">
        <is>
          <t>自己分析のやり方6選！自分に合う方法で強みを見つけよう</t>
        </is>
      </c>
      <c r="C83" s="6" t="inlineStr">
        <is>
          <t>https://dym.asia/media/recruiting/self-analysis/</t>
        </is>
      </c>
      <c r="D83" s="47" t="inlineStr">
        <is>
          <t>自己分析 やり方</t>
        </is>
      </c>
      <c r="E83" s="35" t="n">
        <v>13</v>
      </c>
      <c r="F83" s="36" t="n">
        <v>1.931797569381462</v>
      </c>
      <c r="G83" s="47" t="inlineStr">
        <is>
          <t>なし</t>
        </is>
      </c>
      <c r="H83" s="47" t="inlineStr">
        <is>
          <t>可</t>
        </is>
      </c>
      <c r="I83" s="47" t="inlineStr">
        <is>
          <t>Q. 自己分析は、就職活動のどの段階で完了させておくべきですか？　　　　　　　　　　　　　　　　　　　　　　　　　　　　　　　　　　　　　　　　　　　　　　　　　　　　　　　　　　A. 自己分析は、企業研究やエントリーシートを書き始める前に、ある程度整理できているのが理想です。ただし、一度やって終わりではなく、選考が進む中で面接のやり取りや企業との接点を通して、少しずつ見直していくものだと考えておくとよいでしょう。
Q. 自己分析を行うことで、具体的にどのようなメリットがありますか？
A. 自分の考え方や強みがはっきりすることで、就職活動の軸が定まりやすくなります。その結果、企業選びで迷いにくくなり、面接でも「なぜこの会社を志望したのか」を自分の言葉で自然に説明できるようになります。
Q. 「自己分析ツール」や「適性検査」の結果は、どこまで信用して良いですか？
A. これらは自分を客観的に知るためのヒントとして使うのがちょうどよい距離感です。結果をそのまま信じるのではなく、「確かにそうかもしれない」「これは少し違うかも」と考えながら、過去の経験と照らし合わせることで、より納得感のある自己理解につながります。
株式会社DYMでは、求職者様に対して様々な就職支援サービスを提供しております。
お問い合わせはこちら↓
https://dym.asia/media/recruiting-contact/</t>
        </is>
      </c>
      <c r="J83" s="47" t="n"/>
      <c r="K83" s="47" t="inlineStr">
        <is>
          <t>未確認</t>
        </is>
      </c>
      <c r="L83" s="47" t="inlineStr">
        <is>
          <t>未確認</t>
        </is>
      </c>
      <c r="M83" s="47" t="n"/>
      <c r="N83" s="47" t="n"/>
      <c r="O83" s="47" t="n"/>
      <c r="P83" s="47" t="n"/>
      <c r="Q83" s="47" t="n"/>
      <c r="R83" s="47" t="n"/>
      <c r="S83" s="47" t="n"/>
      <c r="T83" s="47" t="n"/>
      <c r="U83" s="47" t="n"/>
      <c r="V83" s="47" t="n"/>
      <c r="W83" s="47" t="n"/>
      <c r="X83" s="47" t="n"/>
      <c r="Y83" s="47" t="n"/>
      <c r="Z83" s="47" t="n"/>
    </row>
    <row r="84" ht="15.75" customHeight="1" s="185">
      <c r="A84" s="52">
        <f>row()-3</f>
        <v/>
      </c>
      <c r="B84" s="46" t="inlineStr">
        <is>
          <t>就活・面接で好印象な髪型は？男女別・髪色・髪の長さも合わせて解説</t>
        </is>
      </c>
      <c r="C84" s="10" t="inlineStr">
        <is>
          <t>https://dym.asia/media/recruiting/session-hairstyle/</t>
        </is>
      </c>
      <c r="D84" s="47" t="inlineStr">
        <is>
          <t>就活 髪の長さ</t>
        </is>
      </c>
      <c r="E84" s="35" t="n">
        <v>13</v>
      </c>
      <c r="F84" s="36" t="n">
        <v>4.176744186046512</v>
      </c>
      <c r="G84" s="47" t="inlineStr">
        <is>
          <t>なし</t>
        </is>
      </c>
      <c r="H84" s="47" t="inlineStr">
        <is>
          <t>可</t>
        </is>
      </c>
      <c r="I84" s="10" t="inlineStr">
        <is>
          <t>Q. 説明会や面接に最適な、男女別の髪型（ヘアスタイル）の基本原則は何ですか？
A. 基本は清潔感があり、表情がきちんと見えることです。男性は前髪が目にかからないよう整え、襟足もすっきりさせると落ち着いた印象になります。女性は、長い髪はまとめ、短い場合でも顔まわりが隠れないように整えるのがポイントです。どちらも派手な髪色や強いパーマは控えたほうが無難です。
Q. 髪の色（カラーリング）は、どの程度のトーンまで許容されますか？
A. 企業や業界によって差はありますが、地毛に近い自然な色が安心です。暗めのブラウンや黒であれば、多くの場面で違和感はありません。特に金融や公的機関を志望する場合は、明るすぎるカラーは避けたほうがよいでしょう。迷ったときは、ビジネスの場で浮かないかどうかを基準に考えてみてください。
Q. 面接で前髪が長い場合、どのように処理するのがベストですか？
A. 目元がはっきり見えるようにするのが大切です。横に流したり、ピンや整髪料で軽くまとめたりして、目にかからない状態にしましょう。前髪で目が隠れていると、暗い印象に見えてしまうことがあるため、できるだけすっきりさせるのがおすすめです。
株式会社DYMでは、求職者様に対して様々な就職支援サービスを提供しております。
お問い合わせはこちら↓
https://dym.asia/media/recruiting-contact/</t>
        </is>
      </c>
      <c r="J84" s="47" t="n"/>
      <c r="K84" s="47" t="inlineStr">
        <is>
          <t>未確認</t>
        </is>
      </c>
      <c r="L84" s="47" t="inlineStr">
        <is>
          <t>未確認</t>
        </is>
      </c>
      <c r="M84" s="47" t="n"/>
      <c r="N84" s="47" t="n"/>
      <c r="O84" s="47" t="n"/>
      <c r="P84" s="47" t="n"/>
      <c r="Q84" s="47" t="n"/>
      <c r="R84" s="47" t="n"/>
      <c r="S84" s="47" t="n"/>
      <c r="T84" s="47" t="n"/>
      <c r="U84" s="47" t="n"/>
      <c r="V84" s="47" t="n"/>
      <c r="W84" s="47" t="n"/>
      <c r="X84" s="47" t="n"/>
      <c r="Y84" s="47" t="n"/>
      <c r="Z84" s="47" t="n"/>
    </row>
    <row r="85" ht="15.75" customHeight="1" s="185">
      <c r="A85" s="52">
        <f>row()-3</f>
        <v/>
      </c>
      <c r="B85" s="46" t="inlineStr">
        <is>
          <t>インターンの早期選考とは？企業から呼ばれるための就活方法</t>
        </is>
      </c>
      <c r="C85" s="6" t="inlineStr">
        <is>
          <t>https://dym.asia/media/recruiting/internship-early-selection/</t>
        </is>
      </c>
      <c r="D85" s="47" t="inlineStr">
        <is>
          <t>早期選考 インターン</t>
        </is>
      </c>
      <c r="E85" s="35" t="n">
        <v>12</v>
      </c>
      <c r="F85" s="36" t="n">
        <v>7.618226600985222</v>
      </c>
      <c r="G85" s="47" t="inlineStr">
        <is>
          <t>なし</t>
        </is>
      </c>
      <c r="H85" s="47" t="inlineStr">
        <is>
          <t>可</t>
        </is>
      </c>
      <c r="I85" s="10" t="inlineStr">
        <is>
          <t>Q. 早期選考に参加すると、通常の選考ルートよりも有利になりますか？
A. 多くの企業では、早期選考は通常ルートよりも有利に進むケースが多いです。選考回数が少なかったり、比較的早い段階で内定が出たりすることもあり、競争率が下がることもあります。インターンシップが、そのきっかけになることは少なくありません。
Q. インターンシップに参加すれば、必ず早期選考に招待されるのでしょうか？
A. 必ず招待されるわけではありません。インターン中の姿勢やチームでの関わり方、課題への取り組み方などを見て、企業との相性が良いと判断された人が次の選考に進むケースが多いです。参加しただけでなく、どう行動したかが大切になります。
Q. 早期選考で内定をもらった後、他社の選考を続けることは可能ですか？
A. 法律上は可能ですが、慎重な判断が必要です。もし辞退することになった場合は、できるだけ早く、誠意をもって企業に連絡するのがマナーです。自分の将来に関わる選択だからこそ、納得できる形で決断しましょう。
株式会社DYMでは、求職者様に対して様々な就職支援サービスを提供しております。
お問い合わせはこちら↓
https://dym.asia/media/recruiting-contact/</t>
        </is>
      </c>
      <c r="J85" s="47" t="n"/>
      <c r="K85" s="47" t="inlineStr">
        <is>
          <t>未確認</t>
        </is>
      </c>
      <c r="L85" s="47" t="inlineStr">
        <is>
          <t>未確認</t>
        </is>
      </c>
      <c r="M85" s="47" t="n"/>
      <c r="N85" s="47" t="n"/>
      <c r="O85" s="47" t="n"/>
      <c r="P85" s="47" t="n"/>
      <c r="Q85" s="47" t="n"/>
      <c r="R85" s="47" t="n"/>
      <c r="S85" s="47" t="n"/>
      <c r="T85" s="47" t="n"/>
      <c r="U85" s="47" t="n"/>
      <c r="V85" s="47" t="n"/>
      <c r="W85" s="47" t="n"/>
      <c r="X85" s="47" t="n"/>
      <c r="Y85" s="47" t="n"/>
      <c r="Z85" s="47" t="n"/>
    </row>
    <row r="86" ht="15.75" customHeight="1" s="185">
      <c r="A86" s="52">
        <f>row()-3</f>
        <v/>
      </c>
      <c r="B86" s="46" t="inlineStr">
        <is>
          <t>新卒のためのスタートアップ選びのポイント | ベンチャー企業での就活成功法</t>
        </is>
      </c>
      <c r="C86" s="6" t="inlineStr">
        <is>
          <t>https://dym.asia/media/recruiting/new-graduate-startup/</t>
        </is>
      </c>
      <c r="D86" s="47" t="inlineStr">
        <is>
          <t>スタートアップ 新卒</t>
        </is>
      </c>
      <c r="E86" s="35" t="n">
        <v>12</v>
      </c>
      <c r="F86" s="36" t="n">
        <v>1.928</v>
      </c>
      <c r="G86" s="47" t="inlineStr">
        <is>
          <t>なし</t>
        </is>
      </c>
      <c r="H86" s="47" t="inlineStr">
        <is>
          <t>可</t>
        </is>
      </c>
      <c r="I86" s="10" t="inlineStr">
        <is>
          <t>Q. 新卒でスタートアップに入社する場合、大手企業に比べてキャリアの成長速度は速いですか？　　　　　　　　　　　　　　　　　　　　　　　　　　　　　　　　　　　　　　　　　　　　　　A. 速いと感じる人は多いです。スタートアップは少人数で動いているため、入社して早い段階から幅広い業務や重要な仕事を任されることが少なくありません。事業の立ち上げや成長に直接関われる分、短期間で実践的な経験を積みやすい環境です。
Q. スタートアップの給与や福利厚生は、大手企業と比べてやはり劣りますか？
A. 創業初期の企業では、大手に比べて待遇面が控えめな場合もあります。ただ、成長中のスタートアップでは成果が評価されやすく、昇給が早かったり、ストックオプションが用意されていたりすることもあります。目先の条件だけでなく、将来どんな経験が積めるかを見ることが大切です。
Q. スタートアップに就職するためには、インターンシップへの参加は必須ですか？
A. 必須ではありませんが、参加しておくと安心です。実際の働き方や雰囲気を知ることができ、入社後のギャップを減らせます。企業側も人物像を見やすくなるため、選考につながりやすいケースもあります。
株式会社DYMでは、求職者様に対して様々な就職支援サービスを提供しております。
お問い合わせはこちら↓
https://dym.asia/media/recruiting-contact/</t>
        </is>
      </c>
      <c r="J86" s="47" t="n"/>
      <c r="K86" s="47" t="inlineStr">
        <is>
          <t>未確認</t>
        </is>
      </c>
      <c r="L86" s="47" t="inlineStr">
        <is>
          <t>未確認</t>
        </is>
      </c>
      <c r="M86" s="47" t="n"/>
      <c r="N86" s="47" t="n"/>
      <c r="O86" s="47" t="n"/>
      <c r="P86" s="47" t="n"/>
      <c r="Q86" s="47" t="n"/>
      <c r="R86" s="47" t="n"/>
      <c r="S86" s="47" t="n"/>
      <c r="T86" s="47" t="n"/>
      <c r="U86" s="47" t="n"/>
      <c r="V86" s="47" t="n"/>
      <c r="W86" s="47" t="n"/>
      <c r="X86" s="47" t="n"/>
      <c r="Y86" s="47" t="n"/>
      <c r="Z86" s="47" t="n"/>
    </row>
    <row r="87" ht="15.75" customHeight="1" s="185">
      <c r="A87" s="52">
        <f>row()-3</f>
        <v/>
      </c>
      <c r="B87" s="46" t="inlineStr">
        <is>
          <t>自己肯定感とは？高い人と低い人の特徴や高める方法を解説！</t>
        </is>
      </c>
      <c r="C87" s="6" t="inlineStr">
        <is>
          <t>https://dym.asia/media/recruiting/self-affirmation/</t>
        </is>
      </c>
      <c r="D87" s="47" t="inlineStr">
        <is>
          <t>自己肯定感が高い人</t>
        </is>
      </c>
      <c r="E87" s="35" t="n">
        <v>12</v>
      </c>
      <c r="F87" s="36" t="n">
        <v>2.28544061302682</v>
      </c>
      <c r="G87" s="47" t="inlineStr">
        <is>
          <t>なし</t>
        </is>
      </c>
      <c r="H87" s="47" t="inlineStr">
        <is>
          <t>可</t>
        </is>
      </c>
      <c r="I87" s="10" t="inlineStr">
        <is>
          <t>Q. 自己肯定感が低い状態だと、就職活動にどのような悪影響が出ますか？
A. 自分に自信が持てないと、本当は挑戦できるはずの企業や職種を最初から諦めてしまったり、面接で強みをうまく伝えられなかったりしがちです。また、不採用が続いたときに気持ちを切り替えにくく、就職活動そのものがつらく感じてしまうこともあります。
Q. 就職活動中に自己肯定感を高めるために、具体的な対策はありますか？
A. いきなり大きな成果を求めるのではなく、日々の小さな目標を一つずつ達成していくことが大切です。企業研究を進めたり、面接対策を少しずつ重ねたりする中で、「今日はこれができた」と自分を認めてあげましょう。過去に頑張った経験を書き出してみるのも効果的です。
　　　　　　　　　　　　　　　　　　　　　　　　　　　　　　　　　　　　　　　　　　　　　　　　　　　　　　　　　　　　　　　　　　　　　　　　　　　　　　　　　　　　　　　　　　Q. 面接で自信を持って話すために、自己肯定感をどのように表現すれば良いですか？
A. 無理に自信があるように見せる必要はありません。実際の経験をもとに、「このときにこう工夫した」「その結果、こう成長できた」と事実を落ち着いて伝えることで、自然と前向きな印象になります。過程を含めて自分を肯定的に語ることがポイントです。
株式会社DYMでは、求職者様に対して様々な就職支援サービスを提供しております。
お問い合わせはこちら↓
https://dym.asia/media/recruiting-contact/</t>
        </is>
      </c>
      <c r="J87" s="47" t="n"/>
      <c r="K87" s="47" t="inlineStr">
        <is>
          <t>未確認</t>
        </is>
      </c>
      <c r="L87" s="47" t="inlineStr">
        <is>
          <t>未確認</t>
        </is>
      </c>
      <c r="M87" s="47" t="n"/>
      <c r="N87" s="47" t="n"/>
      <c r="O87" s="47" t="n"/>
      <c r="P87" s="47" t="n"/>
      <c r="Q87" s="47" t="n"/>
      <c r="R87" s="47" t="n"/>
      <c r="S87" s="47" t="n"/>
      <c r="T87" s="47" t="n"/>
      <c r="U87" s="47" t="n"/>
      <c r="V87" s="47" t="n"/>
      <c r="W87" s="47" t="n"/>
      <c r="X87" s="47" t="n"/>
      <c r="Y87" s="47" t="n"/>
      <c r="Z87" s="47" t="n"/>
    </row>
    <row r="88" ht="15.75" customHeight="1" s="185">
      <c r="A88" s="52">
        <f>row()-3</f>
        <v/>
      </c>
      <c r="B88" s="46" t="inlineStr">
        <is>
          <t>会社説明会の必須持ち物はこれ！就活に必要なアイテムリスト</t>
        </is>
      </c>
      <c r="C88" s="6" t="inlineStr">
        <is>
          <t>https://dym.asia/media/recruiting/session-bringing/</t>
        </is>
      </c>
      <c r="D88" s="47" t="inlineStr">
        <is>
          <t>会社説明会 持ち物</t>
        </is>
      </c>
      <c r="E88" s="35" t="n">
        <v>12</v>
      </c>
      <c r="F88" s="36" t="n">
        <v>3.198887343532684</v>
      </c>
      <c r="G88" s="47" t="inlineStr">
        <is>
          <t>なし</t>
        </is>
      </c>
      <c r="H88" s="47" t="inlineStr">
        <is>
          <t>可</t>
        </is>
      </c>
      <c r="I88" s="47" t="inlineStr">
        <is>
          <t>Q. 企業の説明会に持参すべき、最低限必要な持ち物は何ですか？
A. 基本的には、筆記用具とメモ帳、A4サイズの資料が入るカバン、スマートフォンがあれば十分です。企業によっては履歴書やエントリーシートの提出を求められることもあるため、事前案内を確認し、必要な書類があればクリアファイルに入れて持参すると安心です。
Q. 説明会中にメモを取る際、スマートフォンやタブレットを使用しても良いですか？
A. 企業ごとに考え方は異なりますが、無難なのは紙のノートに手書きでメモを取る方法です。最近はデジタルでのメモを認めている企業もありますが、迷った場合は紙を使うほうが印象面で安心です。
Q. 説明会会場で配られた資料を持ち運ぶ際、どのようなカバンやファイルが適切ですか？
A. 配布される資料はA4サイズが多いため、書類を折らずに入れられるカバンが適しています。クリアファイルを用意しておくと、資料をきれいに整理でき、説明会後の見直しもしやすくなります。
株式会社DYMでは、求職者様に対して様々な就職支援サービスを提供しております。
お問い合わせはこちら↓
https://dym.asia/media/recruiting-contact/</t>
        </is>
      </c>
      <c r="J88" s="47" t="n"/>
      <c r="K88" s="47" t="inlineStr">
        <is>
          <t>未確認</t>
        </is>
      </c>
      <c r="L88" s="47" t="inlineStr">
        <is>
          <t>未確認</t>
        </is>
      </c>
      <c r="M88" s="47" t="n"/>
      <c r="N88" s="47" t="n"/>
      <c r="O88" s="47" t="n"/>
      <c r="P88" s="47" t="n"/>
      <c r="Q88" s="47" t="n"/>
      <c r="R88" s="47" t="n"/>
      <c r="S88" s="47" t="n"/>
      <c r="T88" s="47" t="n"/>
      <c r="U88" s="47" t="n"/>
      <c r="V88" s="47" t="n"/>
      <c r="W88" s="47" t="n"/>
      <c r="X88" s="47" t="n"/>
      <c r="Y88" s="47" t="n"/>
      <c r="Z88" s="47" t="n"/>
    </row>
    <row r="89" ht="15.75" customHeight="1" s="185">
      <c r="A89" s="52">
        <f>row()-3</f>
        <v/>
      </c>
      <c r="B89" s="46" t="inlineStr">
        <is>
          <t>キャリアとは？仕事や人生における意味を解説</t>
        </is>
      </c>
      <c r="C89" s="6" t="inlineStr">
        <is>
          <t>https://dym.asia/media/recruiting/career/</t>
        </is>
      </c>
      <c r="D89" s="47" t="inlineStr">
        <is>
          <t>キャリアとは 人生</t>
        </is>
      </c>
      <c r="E89" s="35" t="n">
        <v>11</v>
      </c>
      <c r="F89" s="36" t="n">
        <v>2.157622739018088</v>
      </c>
      <c r="G89" s="47" t="inlineStr">
        <is>
          <t>なし</t>
        </is>
      </c>
      <c r="H89" s="47" t="inlineStr">
        <is>
          <t>可</t>
        </is>
      </c>
      <c r="I89" s="10" t="inlineStr">
        <is>
          <t>Q. 自分のやりたい仕事が見つからない場合、どのようにキャリアを考え始めるべきですか？
A. いきなり「やりたい仕事」を探そうとせず、まずは「これは向いていない」「できれば避けたい」と感じることを整理してみるのがおすすめです。あわせて、これまでに時間を忘れて取り組めたことや、誰かに喜んでもらえた経験を振り返ると、自分でも気づいていなかった強みや価値観が見えてきます。最初から完璧な答えを出そうとせず、少しでも興味を持てる分野に挑戦してみる姿勢も大切です。
Q. キャリアチェンジを検討する際、年齢はどの程度考慮すべきですか？
A. 今は年齢そのものよりも、これまでの経験をどう活かせるかや、新しいことに取り組む意欲が重視される時代です。特に30代前半までは未経験分野への挑戦もしやすく、過去の仕事で身につけた考え方や人との関わり方をどう活かせるかを説明できれば、十分にチャンスはあります。
Q. 安定した企業を選ぶべきか、成長性のあるベンチャー企業を選ぶべきか迷っています。　　　　　　　　　　　　　　　　　　　　　　　　
A. どちらが正解というよりも、自分が何を大切にしたいかで判断することが重要です。安定や働きやすさを重視するなら大手企業が向いていますし、成長スピードや挑戦の機会を求めるならベンチャー企業が合うかもしれません。自分がどんな環境で力を発揮できそうかを基準に考えてみてください。
株式会社DYMでは、求職者様に対して様々な就職支援サービスを提供しております。
お問い合わせはこちら↓
https://dym.asia/media/recruiting-contact/</t>
        </is>
      </c>
      <c r="J89" s="47" t="n"/>
      <c r="K89" s="47" t="inlineStr">
        <is>
          <t>未確認</t>
        </is>
      </c>
      <c r="L89" s="47" t="inlineStr">
        <is>
          <t>未確認</t>
        </is>
      </c>
      <c r="M89" s="47" t="n"/>
      <c r="N89" s="47" t="n"/>
      <c r="O89" s="47" t="n"/>
      <c r="P89" s="47" t="n"/>
      <c r="Q89" s="47" t="n"/>
      <c r="R89" s="47" t="n"/>
      <c r="S89" s="47" t="n"/>
      <c r="T89" s="47" t="n"/>
      <c r="U89" s="47" t="n"/>
      <c r="V89" s="47" t="n"/>
      <c r="W89" s="47" t="n"/>
      <c r="X89" s="47" t="n"/>
      <c r="Y89" s="47" t="n"/>
      <c r="Z89" s="47" t="n"/>
    </row>
    <row r="90" ht="15.75" customHeight="1" s="185">
      <c r="A90" s="52">
        <f>row()-3</f>
        <v/>
      </c>
      <c r="B90" s="46" t="inlineStr">
        <is>
          <t>最終面接に落ちる理由と対策！転職活動でよくある不合格の理由や確率</t>
        </is>
      </c>
      <c r="C90" s="6" t="inlineStr">
        <is>
          <t>https://dym.asia/media/recruiting/final-interview-rejection/</t>
        </is>
      </c>
      <c r="D90" s="47" t="inlineStr">
        <is>
          <t>転職 最終面接 落ちた</t>
        </is>
      </c>
      <c r="E90" s="35" t="n">
        <v>11</v>
      </c>
      <c r="F90" s="36" t="n">
        <v>4.971496437054632</v>
      </c>
      <c r="G90" s="47" t="inlineStr">
        <is>
          <t>なし</t>
        </is>
      </c>
      <c r="H90" s="47" t="inlineStr">
        <is>
          <t>可</t>
        </is>
      </c>
      <c r="I90" s="47" t="inlineStr">
        <is>
          <t>Q. 最終面接で不採用になるのは、能力が足りないからでしょうか？
A. 最終面接は、スキルや経験を細かく見極める場というより、「この人と一緒に働きたいか」「会社の考え方と合うか」を確認する場です。不採用になる理由も、能力より価値観や社風との相性、長く活躍できそうかといった点が合わなかったケースがほとんどです。必要以上に自分を否定せず、次に合う企業を見つけるための経験だと捉えてください。
Q. 最終面接で落ちた場合、企業に不採用理由を尋ねても良いですか？
A. 企業に理由を伝える義務はありませんが、今後に活かしたいという姿勢を丁寧に伝えれば、参考になるコメントをもらえることもあります。その際は感情をぶつけるのではなく、「改善点があれば教えていただきたい」といった前向きな聞き方を心がけましょう。
Q. 最終面接で聞かれる「入社後の目標」を伝える際、特に注意すべき点は何ですか？
A. 自分のやりたいことだけを話すのではなく、その目標が会社の方向性や事業とどうつながっているかを意識することが大切です。企業が目指していることを踏まえたうえで、「自分ならどう貢献できるか」を具体的に話せると、納得感のある受け答えになります。</t>
        </is>
      </c>
      <c r="J90" s="47" t="n"/>
      <c r="K90" s="47" t="inlineStr">
        <is>
          <t>未確認</t>
        </is>
      </c>
      <c r="L90" s="47" t="inlineStr">
        <is>
          <t>未確認</t>
        </is>
      </c>
      <c r="M90" s="47" t="n"/>
      <c r="N90" s="47" t="n"/>
      <c r="O90" s="47" t="n"/>
      <c r="P90" s="47" t="n"/>
      <c r="Q90" s="47" t="n"/>
      <c r="R90" s="47" t="n"/>
      <c r="S90" s="47" t="n"/>
      <c r="T90" s="47" t="n"/>
      <c r="U90" s="47" t="n"/>
      <c r="V90" s="47" t="n"/>
      <c r="W90" s="47" t="n"/>
      <c r="X90" s="47" t="n"/>
      <c r="Y90" s="47" t="n"/>
      <c r="Z90" s="47" t="n"/>
    </row>
    <row r="91" ht="15.75" customHeight="1" s="185">
      <c r="A91" s="52">
        <f>row()-3</f>
        <v/>
      </c>
      <c r="B91" s="46" t="inlineStr">
        <is>
          <t>30代からの転職は厳しい？失敗と成功のカギ</t>
        </is>
      </c>
      <c r="C91" s="6" t="inlineStr">
        <is>
          <t>https://dym.asia/media/recruiting/30s-job-change/</t>
        </is>
      </c>
      <c r="D91" s="47" t="inlineStr">
        <is>
          <t>30代 転職</t>
        </is>
      </c>
      <c r="E91" s="35" t="n">
        <v>10</v>
      </c>
      <c r="F91" s="36" t="n">
        <v>15.30684840425532</v>
      </c>
      <c r="G91" s="47" t="inlineStr">
        <is>
          <t>なし</t>
        </is>
      </c>
      <c r="H91" s="47" t="inlineStr">
        <is>
          <t>可</t>
        </is>
      </c>
      <c r="I91" s="10" t="inlineStr">
        <is>
          <t>Q. 30代の転職で、企業が最も重視するポイントは何ですか？
A. 30代の転職では、即戦力としてどんな価値を出せるかが重視されます。これまでに身につけた専門スキルはもちろん、チームをまとめた経験や周囲を巻き込んで成果を出した実績があるかも重要な判断材料です。経験年数を語るだけでなく、「何を成し遂げてきたのか」「入社後にどう活かせるのか」を具体的に伝えることが求められます。
Q. 30代後半で未経験の職種にキャリアチェンジすることは可能ですか？
A. 簡単ではありませんが、決して無理ではありません。これまでの仕事で培ってきた課題解決力や調整力などを、新しい分野でどう活かせるかを筋道立てて説明できれば、チャンスはあります。人手不足の業界や育成体制が整った企業を選ぶことも、成功のポイントです。
Q. 30代の転職活動において、平均的な期間はどれくらいを目安にすべきですか？
A. 目安としては、3〜6か月ほどかかるケースが一般的です。現職の引き継ぎも考えると、早めに情報収集や準備を始めておくと安心です。条件にこだわりすぎると長引くこともあるため、エージェントなどを活用しながら、効率よく進めることが大切です。
株式会社DYMでは、求職者様に対して様々な就職支援サービスを提供しております。
お問い合わせはこちら↓
https://dym.asia/media/recruiting-contact/</t>
        </is>
      </c>
      <c r="J91" s="47" t="n"/>
      <c r="K91" s="47" t="inlineStr">
        <is>
          <t>未確認</t>
        </is>
      </c>
      <c r="L91" s="47" t="inlineStr">
        <is>
          <t>未確認</t>
        </is>
      </c>
      <c r="M91" s="47" t="n"/>
      <c r="N91" s="47" t="n"/>
      <c r="O91" s="47" t="n"/>
      <c r="P91" s="47" t="n"/>
      <c r="Q91" s="47" t="n"/>
      <c r="R91" s="47" t="n"/>
      <c r="S91" s="47" t="n"/>
      <c r="T91" s="47" t="n"/>
      <c r="U91" s="47" t="n"/>
      <c r="V91" s="47" t="n"/>
      <c r="W91" s="47" t="n"/>
      <c r="X91" s="47" t="n"/>
      <c r="Y91" s="47" t="n"/>
      <c r="Z91" s="47" t="n"/>
    </row>
    <row r="92" ht="15.75" customHeight="1" s="185">
      <c r="A92" s="52">
        <f>row()-3</f>
        <v/>
      </c>
      <c r="B92" s="46" t="inlineStr">
        <is>
          <t>カジュアル面談とは？面接との違いや準備のポイント・流れを解説</t>
        </is>
      </c>
      <c r="C92" s="6" t="inlineStr">
        <is>
          <t>https://dym.asia/media/recruiting/casual-interview/</t>
        </is>
      </c>
      <c r="D92" s="47" t="inlineStr">
        <is>
          <t>インターン カジュアル面談</t>
        </is>
      </c>
      <c r="E92" s="35" t="n">
        <v>10</v>
      </c>
      <c r="F92" s="36" t="n">
        <v>3.970149253731343</v>
      </c>
      <c r="G92" s="47" t="inlineStr">
        <is>
          <t>なし</t>
        </is>
      </c>
      <c r="H92" s="47" t="inlineStr">
        <is>
          <t>可</t>
        </is>
      </c>
      <c r="I92" s="10" t="inlineStr">
        <is>
          <t>Q. カジュアル面談と通常の採用面接では、具体的に何が違いますか？
A. カジュアル面談は、企業と求職者がお互いを知るための場で、合否を判断することが目的ではないケースがほとんどです。仕事内容や社風について気軽に話せる場であり、疑問点を直接聞けるのが特徴です。一方、採用面接は選考の一環として行われ、経験や適性をもとに採用するかどうかが判断されます。
Q. カジュアル面談に参加する際の服装は、どのようなものが適切ですか？
A. カジュアルといっても、ラフすぎる服装は避け、オフィスカジュアルを意識するのが安心です。ジャケットや襟付きのトップスなど、きちんと感があり清潔に見える服装を選ぶと、相手にも好印象を与えやすくなります。
Q. カジュアル面談で、こちらから給与や待遇に関する質問をしても良いですか？
A. 質問しても問題はありませんが、タイミングと言い方は大切です。いきなり条件面だけを聞くのではなく、仕事内容や今後のキャリアについて話した流れの中で、「評価制度や待遇の考え方について教えていただけますか」といった聞き方をすると、印象も悪くなりにくいでしょう。
株式会社DYMでは、求職者様に対して様々な就職支援サービスを提供しております。
お問い合わせはこちら↓
https://dym.asia/media/recruiting-contact/</t>
        </is>
      </c>
      <c r="J92" s="47" t="n"/>
      <c r="K92" s="47" t="inlineStr">
        <is>
          <t>未確認</t>
        </is>
      </c>
      <c r="L92" s="47" t="inlineStr">
        <is>
          <t>未確認</t>
        </is>
      </c>
      <c r="M92" s="47" t="n"/>
      <c r="N92" s="47" t="n"/>
      <c r="O92" s="47" t="n"/>
      <c r="P92" s="47" t="n"/>
      <c r="Q92" s="47" t="n"/>
      <c r="R92" s="47" t="n"/>
      <c r="S92" s="47" t="n"/>
      <c r="T92" s="47" t="n"/>
      <c r="U92" s="47" t="n"/>
      <c r="V92" s="47" t="n"/>
      <c r="W92" s="47" t="n"/>
      <c r="X92" s="47" t="n"/>
      <c r="Y92" s="47" t="n"/>
      <c r="Z92" s="47" t="n"/>
    </row>
    <row r="93" ht="15.75" customHeight="1" s="185">
      <c r="A93" s="52">
        <f>row()-3</f>
        <v/>
      </c>
      <c r="B93" s="46" t="inlineStr">
        <is>
          <t>第二新卒と中途採用の違いって？どっちが転職に有利なのか解説</t>
        </is>
      </c>
      <c r="C93" s="6" t="inlineStr">
        <is>
          <t>https://dym.asia/media/recruiting/differance-former2/</t>
        </is>
      </c>
      <c r="D93" s="47" t="inlineStr">
        <is>
          <t>第二新卒 中途 どっちがいい</t>
        </is>
      </c>
      <c r="E93" s="35" t="n">
        <v>10</v>
      </c>
      <c r="F93" s="36" t="n">
        <v>1.714285714285714</v>
      </c>
      <c r="G93" s="47" t="inlineStr">
        <is>
          <t>なし</t>
        </is>
      </c>
      <c r="H93" s="47" t="inlineStr">
        <is>
          <t>可</t>
        </is>
      </c>
      <c r="I93" s="10" t="inlineStr">
        <is>
          <t>Q. 職務経歴書と履歴書は、企業から見てどのような役割の違いがありますか？
A. 履歴書は、氏名や学歴、職歴の期間、資格など、応募者の基本的な情報を把握するための書類です。一方で職務経歴書は、これまでにどんな仕事を経験し、どのようなスキルや実績を積んできたのか、そして入社後にどう活躍できそうかを具体的に見るためのものです。
Q. 転職回数が多い場合、職務経歴書はどのように作成するのがベストですか？
A. すべての経歴を時系列で並べるよりも、応募職種に関係のある経験やスキルを軸にまとめる書き方がおすすめです。仕事の流れや考え方に一貫性があることを伝えられれば、転職回数そのものが大きなマイナスになることはありません。
Q. 職務経歴書に、アルバイトや派遣社員としての経験も記載しても良いですか？
A. 応募する仕事に活かせる内容であれば、ぜひ記載しましょう。その際は業務内容だけでなく、どんな工夫をしたか、どんな成果につながったかまで書くと、より伝わりやすくなります。
株式会社DYMでは、求職者様に対して様々な就職支援サービスを提供しております。
お問い合わせはこちら↓
https://dym.asia/media/recruiting-contact/</t>
        </is>
      </c>
      <c r="J93" s="47" t="n"/>
      <c r="K93" s="47" t="inlineStr">
        <is>
          <t>未確認</t>
        </is>
      </c>
      <c r="L93" s="47" t="inlineStr">
        <is>
          <t>未確認</t>
        </is>
      </c>
      <c r="M93" s="47" t="n"/>
      <c r="N93" s="47" t="n"/>
      <c r="O93" s="47" t="n"/>
      <c r="P93" s="47" t="n"/>
      <c r="Q93" s="47" t="n"/>
      <c r="R93" s="47" t="n"/>
      <c r="S93" s="47" t="n"/>
      <c r="T93" s="47" t="n"/>
      <c r="U93" s="47" t="n"/>
      <c r="V93" s="47" t="n"/>
      <c r="W93" s="47" t="n"/>
      <c r="X93" s="47" t="n"/>
      <c r="Y93" s="47" t="n"/>
      <c r="Z93" s="47" t="n"/>
    </row>
    <row r="94" ht="15.75" customHeight="1" s="185">
      <c r="A94" s="52">
        <f>row()-3</f>
        <v/>
      </c>
      <c r="B94" s="46" t="inlineStr">
        <is>
          <t>適性検査「性格診断」で落ちる原因と対策方法</t>
        </is>
      </c>
      <c r="C94" s="6" t="inlineStr">
        <is>
          <t>https://dym.asia/media/recruiting/tekisei-test-countermeasures/</t>
        </is>
      </c>
      <c r="D94" s="47" t="inlineStr">
        <is>
          <t>性格検査 時間切れ 落ちる</t>
        </is>
      </c>
      <c r="E94" s="35" t="n">
        <v>10</v>
      </c>
      <c r="F94" s="36" t="n">
        <v>4.688311688311688</v>
      </c>
      <c r="G94" s="47" t="inlineStr">
        <is>
          <t>なし</t>
        </is>
      </c>
      <c r="H94" s="47" t="inlineStr">
        <is>
          <t>可</t>
        </is>
      </c>
      <c r="I94" s="10" t="inlineStr">
        <is>
          <t>Q. SPIなどの適性検査は、どの程度選考結果に影響しますか？
A. 適性検査は、書類選考の後や一次面接前など、早い段階で重視されることが多いです。特にSPIのような能力検査は、基礎的な学力や考える力を見る目的があり、一定の基準に届かない場合は、面接の評価が良くても次に進めないことがあります。性格検査は、企業との相性を確認するために使われます。
Q. 適性検査の能力検査は、短期間でスコアを上げることが可能ですか？
A. 短期間でも十分に対策は可能です。能力検査は知識量よりも問題形式への慣れが重要なため、参考書やアプリでよく出る問題を繰り返し解き、時間内に解き切る練習をすることで、点数は伸びやすくなります。
Q. 性格検査で正直に答えるべきか、企業が求める人物像に合わせて回答すべきか迷っています。
A. 基本的には正直に答えるのが一番です。企業は理想像を探しているというより、入社後に無理なく働けるかどうかを見ています。無理に企業に合わせようとすると回答にブレが出てしまい、かえって評価を下げてしまうこともあります。
株式会社DYMでは、求職者様に対して様々な就職支援サービスを提供しております。
お問い合わせはこちら↓
https://dym.asia/media/recruiting-contact/</t>
        </is>
      </c>
      <c r="J94" s="47" t="n"/>
      <c r="K94" s="47" t="inlineStr">
        <is>
          <t>未確認</t>
        </is>
      </c>
      <c r="L94" s="47" t="inlineStr">
        <is>
          <t>未確認</t>
        </is>
      </c>
      <c r="M94" s="47" t="n"/>
      <c r="N94" s="47" t="n"/>
      <c r="O94" s="47" t="n"/>
      <c r="P94" s="47" t="n"/>
      <c r="Q94" s="47" t="n"/>
      <c r="R94" s="47" t="n"/>
      <c r="S94" s="47" t="n"/>
      <c r="T94" s="47" t="n"/>
      <c r="U94" s="47" t="n"/>
      <c r="V94" s="47" t="n"/>
      <c r="W94" s="47" t="n"/>
      <c r="X94" s="47" t="n"/>
      <c r="Y94" s="47" t="n"/>
      <c r="Z94" s="47" t="n"/>
    </row>
    <row r="95" ht="15.75" customHeight="1" s="185">
      <c r="A95" s="52">
        <f>row()-3</f>
        <v/>
      </c>
      <c r="B95" s="46" t="inlineStr">
        <is>
          <t>メラビアンの法則とは？第一印象が「見た目」の9割？</t>
        </is>
      </c>
      <c r="C95" s="6" t="inlineStr">
        <is>
          <t>https://dym.asia/media/recruiting/the-rule-of-mehrabian/</t>
        </is>
      </c>
      <c r="D95" s="47" t="inlineStr">
        <is>
          <t>第一印象 見た目</t>
        </is>
      </c>
      <c r="E95" s="35" t="n">
        <v>10</v>
      </c>
      <c r="F95" s="36" t="n">
        <v>5.675409836065573</v>
      </c>
      <c r="G95" s="47" t="inlineStr">
        <is>
          <t>なし</t>
        </is>
      </c>
      <c r="H95" s="47" t="inlineStr">
        <is>
          <t>可</t>
        </is>
      </c>
      <c r="I95" s="10" t="inlineStr">
        <is>
          <t>Q. メラビアンの法則とは何ですか？面接でどのように役立ちますか？
A. メラビアンの法則は、人が相手に抱く印象は、話の内容そのものよりも、見た目や話し方といった要素に大きく左右されるという考え方です。面接でも、受け答えの中身だけでなく、表情や声のトーン、身だしなみが第一印象を大きく左右します。どれだけ良い話をしていても、暗い表情やぼそぼそした話し方では魅力が伝わりにくくなってしまいます。
Q. 面接において、特に意識すべき「視覚情報（見た目）」の対策は何ですか？
A. 何より大切なのは清潔感です。シワのないスーツや整った髪型、きれいな靴は基本ですが、姿勢を正し、相手の目を見て話すことも印象を良くします。無理に作った笑顔ではなく、落ち着いて相手の話を聞く姿勢を意識するだけでも、前向きな印象につながります。ぜひご相談ください。問い合わせ先は下記
https://dym.asia/contact/?sid=681795991
Q. メラビアンの法則を意識する場合、話す内容（言語情報）は力を入れなくても良いのですか？
A. そういうわけではありません。話の内容は、考え方や仕事への姿勢を伝えるために欠かせない要素です。見た目や話し方で安心感を持ってもらい、その上で経験や志望動機を言葉でしっかり伝えることで、面接全体の評価が高まりやすくなります。
株式会社DYMでは、求職者様に対して様々な就職支援サービスを提供しております。
お問い合わせはこちら↓
https://dym.asia/media/recruiting-contact/</t>
        </is>
      </c>
      <c r="J95" s="47" t="n"/>
      <c r="K95" s="47" t="inlineStr">
        <is>
          <t>未確認</t>
        </is>
      </c>
      <c r="L95" s="47" t="inlineStr">
        <is>
          <t>未確認</t>
        </is>
      </c>
      <c r="M95" s="47" t="n"/>
      <c r="N95" s="47" t="n"/>
      <c r="O95" s="47" t="n"/>
      <c r="P95" s="47" t="n"/>
      <c r="Q95" s="47" t="n"/>
      <c r="R95" s="47" t="n"/>
      <c r="S95" s="47" t="n"/>
      <c r="T95" s="47" t="n"/>
      <c r="U95" s="47" t="n"/>
      <c r="V95" s="47" t="n"/>
      <c r="W95" s="47" t="n"/>
      <c r="X95" s="47" t="n"/>
      <c r="Y95" s="47" t="n"/>
      <c r="Z95" s="47" t="n"/>
    </row>
    <row r="96" ht="15.75" customHeight="1" s="185">
      <c r="A96" s="52">
        <f>row()-3</f>
        <v/>
      </c>
      <c r="B96" s="46" t="inlineStr">
        <is>
          <t>体育会学生の就活は有利？強みをアピールするポイント</t>
        </is>
      </c>
      <c r="C96" s="6" t="inlineStr">
        <is>
          <t>https://dym.asia/media/recruiting/athlete-job-hunting/</t>
        </is>
      </c>
      <c r="D96" s="47" t="inlineStr">
        <is>
          <t>体育会系 就活</t>
        </is>
      </c>
      <c r="E96" s="35" t="n">
        <v>9</v>
      </c>
      <c r="F96" s="36" t="n">
        <v>5.901234567901234</v>
      </c>
      <c r="G96" s="47" t="inlineStr">
        <is>
          <t>なし</t>
        </is>
      </c>
      <c r="H96" s="47" t="inlineStr">
        <is>
          <t>可</t>
        </is>
      </c>
      <c r="I96" s="10" t="inlineStr">
        <is>
          <t>Q. アスリート経験は、就職活動において具体的にどのようなスキルとしてアピールできますか？
A. アスリート経験は、目標に向かって努力を続ける力や、壁にぶつかっても簡単に諦めない粘り強さ、チームの中で役割を果たす協調性など、仕事にも直結する強みとして評価されます。面接では「頑張った」という言葉で終わらせず、目標に向けて何を考え、どんな行動を積み重ねてきたのかを具体的に伝えることが大切です。ぜひご相談ください。問い合わせ先は下記
https://dym.asia/contact/?sid=681795991
Q. 競技実績が突出していない場合でも、アスリート経験を有利に進めることは可能ですか？
A.十分に活かせます。企業が見ているのは結果の大きさよりも、競技に向き合う姿勢や考え方です。苦しい状況をどう乗り越えたのか、チームの中でどんな役割を担っていたのか、競技と学業や生活をどう両立していたのかといった点は、社会人としての素養を伝える材料になります。
Q. セカンドキャリアとして、アスリート経験者が特に活躍しやすい職種や業界はありますか？
A. 数字や成果を追い続ける営業職や、周囲をまとめるマネジメント職は、アスリート経験との相性が良い分野です。スポーツ関連業界に限らず、教育や研修、コンサルティングなど、人を育てる仕事でも高く評価されるケースが多くあります。
株式会社DYMでは、求職者様に対して様々な就職支援サービスを提供しております。
お問い合わせはこちら↓
https://dym.asia/media/recruiting-contact/</t>
        </is>
      </c>
      <c r="J96" s="47" t="n"/>
      <c r="K96" s="47" t="inlineStr">
        <is>
          <t>未確認</t>
        </is>
      </c>
      <c r="L96" s="47" t="inlineStr">
        <is>
          <t>未確認</t>
        </is>
      </c>
      <c r="M96" s="47" t="n"/>
      <c r="N96" s="47" t="n"/>
      <c r="O96" s="47" t="n"/>
      <c r="P96" s="47" t="n"/>
      <c r="Q96" s="47" t="n"/>
      <c r="R96" s="47" t="n"/>
      <c r="S96" s="47" t="n"/>
      <c r="T96" s="47" t="n"/>
      <c r="U96" s="47" t="n"/>
      <c r="V96" s="47" t="n"/>
      <c r="W96" s="47" t="n"/>
      <c r="X96" s="47" t="n"/>
      <c r="Y96" s="47" t="n"/>
      <c r="Z96" s="47" t="n"/>
    </row>
    <row r="97" ht="15.75" customHeight="1" s="185">
      <c r="A97" s="52">
        <f>row()-3</f>
        <v/>
      </c>
      <c r="B97" s="46" t="inlineStr">
        <is>
          <t>会社説明会攻略！就活時の質問の仕方やマナー、浮かばない時の対処法を解説</t>
        </is>
      </c>
      <c r="C97" s="6" t="inlineStr">
        <is>
          <t>https://dym.asia/media/recruiting/career-fair-question/</t>
        </is>
      </c>
      <c r="D97" s="47" t="inlineStr">
        <is>
          <t>説明会 質問 前置き</t>
        </is>
      </c>
      <c r="E97" s="35" t="n">
        <v>9</v>
      </c>
      <c r="F97" s="36" t="n">
        <v>3.983516483516484</v>
      </c>
      <c r="G97" s="47" t="inlineStr">
        <is>
          <t>なし</t>
        </is>
      </c>
      <c r="H97" s="47" t="inlineStr">
        <is>
          <t>可</t>
        </is>
      </c>
      <c r="I97" s="10" t="inlineStr">
        <is>
          <t>Q. 合同企業説明会で社員に質問をする際、失礼にあたらないためのマナーはありますか？
A. 質問の前に、簡単な挨拶と名前、学校名などを名乗るのが基本です。内容は、ホームページを見れば分かることではなく、実際の働き方や現場の雰囲気など、説明会ならではの視点を意識すると好印象です。質問は長くなりすぎず、要点をまとめて伝えましょう。
Q. 説明会で社員に質問した内容は、後の選考に影響しますか？
A. 多くの場合、正式に評価されるわけではありませんが、質問の仕方や内容が社員の印象に残ることはあります。企業理解や意欲が伝わる質問はプラスに働くことが多い一方で、配慮に欠ける発言やネガティブすぎる質問は注意が必要です。
Q. 質問する社員の方が忙しそうに見える場合、声をかけるのは避けるべきですか？
A. ブースに立っている以上、基本的には質問は歓迎されています。ただし混み合っているときは、タイミングを見て声をかけるのが望ましいです。「お忙しいところ恐れ入ります」と一言添えるだけでも、丁寧で落ち着いた印象になります。
株式会社DYMでは、求職者様に対して様々な就職支援サービスを提供しております。
お問い合わせはこちら↓
https://dym.asia/media/recruiting-contact/</t>
        </is>
      </c>
      <c r="J97" s="47" t="n"/>
      <c r="K97" s="47" t="inlineStr">
        <is>
          <t>未確認</t>
        </is>
      </c>
      <c r="L97" s="47" t="inlineStr">
        <is>
          <t>未確認</t>
        </is>
      </c>
      <c r="M97" s="47" t="n"/>
      <c r="N97" s="47" t="n"/>
      <c r="O97" s="47" t="n"/>
      <c r="P97" s="47" t="n"/>
      <c r="Q97" s="47" t="n"/>
      <c r="R97" s="47" t="n"/>
      <c r="S97" s="47" t="n"/>
      <c r="T97" s="47" t="n"/>
      <c r="U97" s="47" t="n"/>
      <c r="V97" s="47" t="n"/>
      <c r="W97" s="47" t="n"/>
      <c r="X97" s="47" t="n"/>
      <c r="Y97" s="47" t="n"/>
      <c r="Z97" s="47" t="n"/>
    </row>
    <row r="98" ht="15.75" customHeight="1" s="185">
      <c r="A98" s="52">
        <f>row()-3</f>
        <v/>
      </c>
      <c r="B98" s="46" t="inlineStr">
        <is>
          <t>ESFJ（領事官）の性格診断、相性、仕事を紹介</t>
        </is>
      </c>
      <c r="C98" s="10" t="inlineStr">
        <is>
          <t>https://dym.asia/media/recruiting/esfj/#index-ESFJESFJtoc</t>
        </is>
      </c>
      <c r="D98" s="47" t="inlineStr">
        <is>
          <t>esfj 性格</t>
        </is>
      </c>
      <c r="E98" s="35" t="n">
        <v>9</v>
      </c>
      <c r="F98" s="36" t="n">
        <v>5.468253085733348</v>
      </c>
      <c r="G98" s="47" t="inlineStr">
        <is>
          <t>なし</t>
        </is>
      </c>
      <c r="H98" s="47" t="inlineStr">
        <is>
          <t>可</t>
        </is>
      </c>
      <c r="I98" s="10" t="inlineStr">
        <is>
          <t>Q. ESFJ型が就職活動で特に有利になるのは、どのような強みですか？
A. ESFJ型の強みは、人との関係づくりが得意で、周囲をよく見て行動できる点にあります。チームで協力しながら進める仕事や、相手の立場を考える力が求められる場面では、その気配りや調整力が大きな武器になります。面接では、誰かを支えながら成果を出した経験を交えて伝えると説得力が増します。
Q. ESFJ型が面接で「優柔不断」や「他者依存」と見られないようにするにはどうすれば良いですか？
A. 周囲を大切にする姿勢は長所ですが、それだけだと判断力が弱い印象を与えることもあります。自分なりに考え、行動を決めた経験を具体的に話し、その判断に至った理由を説明することで、主体性と冷静さの両方を伝えることができます。
Q. ESFJ型に適した仕事を選ぶ際、特に重視すべき企業文化や環境は何ですか？
A. 協力し合う文化があり、日々の貢献をきちんと見てくれる職場は、ESFJ型の良さが活きやすい環境です。一人で黙々と進める仕事よりも、人と関わりながら進める業務や、感謝を直接受け取れる仕事のほうが、やりがいを感じやすいでしょう。
株式会社DYMでは、求職者様に対して様々な就職支援サービスを提供しております。
お問い合わせはこちら↓
https://dym.asia/media/recruiting-contact/</t>
        </is>
      </c>
      <c r="J98" s="47" t="n"/>
      <c r="K98" s="47" t="inlineStr">
        <is>
          <t>未確認</t>
        </is>
      </c>
      <c r="L98" s="47" t="inlineStr">
        <is>
          <t>未確認</t>
        </is>
      </c>
      <c r="M98" s="47" t="n"/>
      <c r="N98" s="47" t="n"/>
      <c r="O98" s="47" t="n"/>
      <c r="P98" s="47" t="n"/>
      <c r="Q98" s="47" t="n"/>
      <c r="R98" s="47" t="n"/>
      <c r="S98" s="47" t="n"/>
      <c r="T98" s="47" t="n"/>
      <c r="U98" s="47" t="n"/>
      <c r="V98" s="47" t="n"/>
      <c r="W98" s="47" t="n"/>
      <c r="X98" s="47" t="n"/>
      <c r="Y98" s="47" t="n"/>
      <c r="Z98" s="47" t="n"/>
    </row>
    <row r="99" ht="15.75" customHeight="1" s="185">
      <c r="A99" s="52">
        <f>row()-3</f>
        <v/>
      </c>
      <c r="B99" s="46" t="inlineStr">
        <is>
          <t>面接対策｜面接で聞かれることや質問への回答例・マナーを解説</t>
        </is>
      </c>
      <c r="C99" s="6" t="inlineStr">
        <is>
          <t>https://dym.asia/media/recruiting/job-interview/</t>
        </is>
      </c>
      <c r="D99" s="47" t="inlineStr">
        <is>
          <t>dym 面接</t>
        </is>
      </c>
      <c r="E99" s="35" t="n">
        <v>9</v>
      </c>
      <c r="F99" s="36" t="n">
        <v>6.610344827586207</v>
      </c>
      <c r="G99" s="47" t="inlineStr">
        <is>
          <t>なし</t>
        </is>
      </c>
      <c r="H99" s="47" t="inlineStr">
        <is>
          <t>可</t>
        </is>
      </c>
      <c r="I99" s="10" t="inlineStr">
        <is>
          <t>Q. 中途採用の面接で、新卒採用と比べて最も重視されるポイントは何ですか？
A. 中途採用で重視されるのは、入社後すぐに活躍できるかどうかです。これまでの経験年数よりも、どんな課題に向き合い、どんな工夫をして成果につなげたのか、その再現性が見られています。面接では、実際のエピソードや数字を交えながら、入社後の貢献イメージを伝えることが大切です。
Q. 転職理由を伝える際、前職への不満を正直に話しても良いですか？
A. 不満をそのまま伝えると、どうしてもマイナスな印象になりがちです。前職で感じた課題をきっかけに、「次はどんなことに挑戦したいのか」「どんな成長を目指しているのか」といった前向きな理由に言い換えて伝えると、主体性のある転職として受け取ってもらいやすくなります。
Q. 中途採用面接の際、退職日の調整中などで入社可能日が未定の場合はどう伝えるべきですか？
A. 未定であっても問題はありませんが、いつ頃までに決められそうかの目安は伝えておきましょう。引き継ぎをきちんと行いたいという姿勢と、〇月頃の入社を想定しているといった具体的な見通しを添えることで、誠実で責任感のある印象を持ってもらえます。
株式会社DYMでは、求職者様に対して様々な就職支援サービスを提供しております。
お問い合わせはこちら↓
https://dym.asia/media/recruiting-contact/</t>
        </is>
      </c>
      <c r="J99" s="47" t="n"/>
      <c r="K99" s="47" t="inlineStr">
        <is>
          <t>未確認</t>
        </is>
      </c>
      <c r="L99" s="47" t="inlineStr">
        <is>
          <t>未確認</t>
        </is>
      </c>
      <c r="M99" s="47" t="n"/>
      <c r="N99" s="47" t="n"/>
      <c r="O99" s="47" t="n"/>
      <c r="P99" s="47" t="n"/>
      <c r="Q99" s="47" t="n"/>
      <c r="R99" s="47" t="n"/>
      <c r="S99" s="47" t="n"/>
      <c r="T99" s="47" t="n"/>
      <c r="U99" s="47" t="n"/>
      <c r="V99" s="47" t="n"/>
      <c r="W99" s="47" t="n"/>
      <c r="X99" s="47" t="n"/>
      <c r="Y99" s="47" t="n"/>
      <c r="Z99" s="47" t="n"/>
    </row>
    <row r="100" ht="15.75" customHeight="1" s="185">
      <c r="A100" s="52">
        <f>row()-3</f>
        <v/>
      </c>
      <c r="B100" s="46" t="inlineStr">
        <is>
          <t>就活エージェントとは？仕組みやメリット・デメリット・活用方法を解説</t>
        </is>
      </c>
      <c r="C100" s="6" t="inlineStr">
        <is>
          <t>https://dym.asia/media/recruiting/career-agent/</t>
        </is>
      </c>
      <c r="D100" s="47" t="inlineStr">
        <is>
          <t>dym エージェント</t>
        </is>
      </c>
      <c r="E100" s="35" t="n">
        <v>8</v>
      </c>
      <c r="F100" s="36" t="n">
        <v>6.028735632183908</v>
      </c>
      <c r="G100" s="47" t="inlineStr">
        <is>
          <t>あり</t>
        </is>
      </c>
      <c r="H100" s="47" t="inlineStr">
        <is>
          <t>既存</t>
        </is>
      </c>
      <c r="I100" s="47" t="n"/>
      <c r="J100" s="47" t="n"/>
      <c r="K100" s="47" t="inlineStr">
        <is>
          <t>未確認</t>
        </is>
      </c>
      <c r="L100" s="47" t="inlineStr">
        <is>
          <t>未確認</t>
        </is>
      </c>
      <c r="M100" s="47" t="n"/>
      <c r="N100" s="47" t="n"/>
      <c r="O100" s="47" t="n"/>
      <c r="P100" s="47" t="n"/>
      <c r="Q100" s="47" t="n"/>
      <c r="R100" s="47" t="n"/>
      <c r="S100" s="47" t="n"/>
      <c r="T100" s="47" t="n"/>
      <c r="U100" s="47" t="n"/>
      <c r="V100" s="47" t="n"/>
      <c r="W100" s="47" t="n"/>
      <c r="X100" s="47" t="n"/>
      <c r="Y100" s="47" t="n"/>
      <c r="Z100" s="47" t="n"/>
    </row>
    <row r="101" ht="15.75" customHeight="1" s="185">
      <c r="A101" s="52">
        <f>row()-3</f>
        <v/>
      </c>
      <c r="B101" s="46" t="inlineStr">
        <is>
          <t>転職したいけどスキルがない……、そんなときの判断基準</t>
        </is>
      </c>
      <c r="C101" s="6" t="inlineStr">
        <is>
          <t>https://dym.asia/media/recruiting/career-change-no-skills/</t>
        </is>
      </c>
      <c r="D101" s="47" t="inlineStr">
        <is>
          <t>スキルなし 転職</t>
        </is>
      </c>
      <c r="E101" s="35" t="n">
        <v>8</v>
      </c>
      <c r="F101" s="36" t="n">
        <v>7.348367029548989</v>
      </c>
      <c r="G101" s="47" t="inlineStr">
        <is>
          <t>なし</t>
        </is>
      </c>
      <c r="H101" s="47" t="inlineStr">
        <is>
          <t>可</t>
        </is>
      </c>
      <c r="I101" s="10" t="inlineStr">
        <is>
          <t>Q. 現在スキルや経験がない場合、キャリアチェンジを目指すのは無謀ですか？
A. 決して無謀ではありません。未経験者に対して企業が見ているのは、今のスキル量よりも「これから伸びるかどうか」です。これまでの仕事で身につけた考え方や行動力、そして新しいことを学ぼうとする姿勢を、次の仕事でどう活かせるかを言葉にできれば、十分に可能性はあります。
Q. スキル不足を補うために、転職活動中に資格を取得するべきですか？
A. 志望職種に関係する資格であれば、前向きな姿勢を伝える材料になります。ただ、資格を取ること自体が目的になってしまうと評価にはつながりにくいです。それよりも、実際に学んだ内容を使って何かに取り組んでいることや、入社後を見据えて自主的に勉強している姿勢の方が、より伝わりやすくなります。
Q. キャリアチェンジを成功させるため、未経験者が選ぶべき企業のタイプは何ですか？
A. 研修や教育体制が整っていて、未経験者を育てた実績がある企業がおすすめです。また、人材を積極的に求めている業界では、経験よりも意欲を重視する傾向があります。求人情報に「未経験歓迎」や「研修あり」といった記載があるかを、しっかり確認してみてください。
株式会社DYMでは、求職者様に対して様々な就職支援サービスを提供しております。
お問い合わせはこちら↓
https://dym.asia/media/recruiting-contact/</t>
        </is>
      </c>
      <c r="J101" s="47" t="n"/>
      <c r="K101" s="47" t="inlineStr">
        <is>
          <t>未確認</t>
        </is>
      </c>
      <c r="L101" s="47" t="inlineStr">
        <is>
          <t>未確認</t>
        </is>
      </c>
      <c r="M101" s="47" t="n"/>
      <c r="N101" s="47" t="n"/>
      <c r="O101" s="47" t="n"/>
      <c r="P101" s="47" t="n"/>
      <c r="Q101" s="47" t="n"/>
      <c r="R101" s="47" t="n"/>
      <c r="S101" s="47" t="n"/>
      <c r="T101" s="47" t="n"/>
      <c r="U101" s="47" t="n"/>
      <c r="V101" s="47" t="n"/>
      <c r="W101" s="47" t="n"/>
      <c r="X101" s="47" t="n"/>
      <c r="Y101" s="47" t="n"/>
      <c r="Z101" s="47" t="n"/>
    </row>
    <row r="102" ht="15.75" customHeight="1" s="185">
      <c r="A102" s="52">
        <f>row()-3</f>
        <v/>
      </c>
      <c r="B102" s="46" t="inlineStr">
        <is>
          <t>完全週休二日制とは？週休2日との違いや導入企業の割合・確認方法を解説</t>
        </is>
      </c>
      <c r="C102" s="6" t="inlineStr">
        <is>
          <t>https://dym.asia/media/recruiting/complete-five-day-weekend-system/</t>
        </is>
      </c>
      <c r="D102" s="47" t="inlineStr">
        <is>
          <t>完全週休二日制 年間休日</t>
        </is>
      </c>
      <c r="E102" s="35" t="n">
        <v>8</v>
      </c>
      <c r="F102" s="36" t="n">
        <v>4.625384400335477</v>
      </c>
      <c r="G102" s="47" t="inlineStr">
        <is>
          <t>なし</t>
        </is>
      </c>
      <c r="H102" s="47" t="inlineStr">
        <is>
          <t>可</t>
        </is>
      </c>
      <c r="I102" s="10" t="inlineStr">
        <is>
          <t>Q. 「完全週休二日制」と「週休二日制」は、具体的に何が違うのですか？
A. 完全週休二日制は、毎週必ず2日休みがあり、土日休み、もしくは決まった2日が休日になります。一方、週休二日制は「月に1回以上、週2日休みがある週がある」という意味で、毎週必ず2日休めるわけではありません。求人を見るときは、「完全」という言葉があるかどうかが、大きなポイントになります。
Q. 完全週休二日制の企業で、休日出勤が必要になることはありますか？
A. 仕事の内容や時期によっては、休日に出勤が必要になるケースもあります。ただし、その場合は代休を取れたり、振替休日が設定されたりするのが基本です。実際の運用は会社ごとに違うため、面接の場で休日出勤の頻度や休みの取りやすさを聞いておくと安心です。
Q. 完全週休二日制でも、年間休日数が少ない企業があるのはなぜですか？
A. 完全週休二日制は「毎週2日休み」という意味で、祝日や長期休暇が必ず含まれるわけではありません。夏季休暇や年末年始休暇などが少ないと、年間休日数も自然と少なくなります。休日数を重視する場合は、「年間休日120日以上」をひとつの目安にすると判断しやすくなります。
株式会社DYMでは、求職者様に対して様々な就職支援サービスを提供しております。
お問い合わせはこちら↓
https://dym.asia/media/recruiting-contact/</t>
        </is>
      </c>
      <c r="J102" s="47" t="n"/>
      <c r="K102" s="47" t="inlineStr">
        <is>
          <t>未確認</t>
        </is>
      </c>
      <c r="L102" s="47" t="inlineStr">
        <is>
          <t>未確認</t>
        </is>
      </c>
      <c r="M102" s="47" t="n"/>
      <c r="N102" s="47" t="n"/>
      <c r="O102" s="47" t="n"/>
      <c r="P102" s="47" t="n"/>
      <c r="Q102" s="47" t="n"/>
      <c r="R102" s="47" t="n"/>
      <c r="S102" s="47" t="n"/>
      <c r="T102" s="47" t="n"/>
      <c r="U102" s="47" t="n"/>
      <c r="V102" s="47" t="n"/>
      <c r="W102" s="47" t="n"/>
      <c r="X102" s="47" t="n"/>
      <c r="Y102" s="47" t="n"/>
      <c r="Z102" s="47" t="n"/>
    </row>
    <row r="103" ht="15.75" customHeight="1" s="185">
      <c r="A103" s="52">
        <f>row()-3</f>
        <v/>
      </c>
      <c r="B103" s="46" t="inlineStr">
        <is>
          <t>管理職の転職は難しい？転職できないとされる理由と成功の秘訣</t>
        </is>
      </c>
      <c r="C103" s="6" t="inlineStr">
        <is>
          <t>https://dym.asia/media/recruiting/manager-job-change/</t>
        </is>
      </c>
      <c r="D103" s="47" t="inlineStr">
        <is>
          <t>管理職 転職できない</t>
        </is>
      </c>
      <c r="E103" s="35" t="n">
        <v>8</v>
      </c>
      <c r="F103" s="36" t="n">
        <v>1.559322033898305</v>
      </c>
      <c r="G103" s="47" t="inlineStr">
        <is>
          <t>なし</t>
        </is>
      </c>
      <c r="H103" s="47" t="inlineStr">
        <is>
          <t>可</t>
        </is>
      </c>
      <c r="I103" s="10" t="inlineStr">
        <is>
          <t>Q. 管理職の転職では、企業は前職のどのような実績を最も重視しますか？
A. 管理職の場合、肩書きよりも「チームとしてどんな成果を出したか」が見られます。目標に向けてどのような方針を立て、メンバーをどう動かし、結果として数字や組織の改善につなげたのか。人材育成やチーム力の向上など、組織全体に与えた影響を具体例とともに伝えることが大切です。
Q. 管理職経験者が転職する際、役職や年収が下がる「役職・年収ダウン」のケースはありますか？　　　　　　　　　　　　　　　　　　　　　　　　　　　　　　A. 企業規模や事業フェーズが変わると、一時的に役職や年収が下がるケースはあります。ただ、それは必ずしもマイナスではありません。新しい環境で実績を積めば、早い段階で評価やポジションが上がることも多く、柔軟に挑戦する姿勢が評価につながります。ぜひお問い合わせください。問い合わせ先は下記
https://dym.asia/contact/?sid=681795991
Q. 管理職の転職活動において、成功するために最も重要なのは何ですか？
A. これまでの経験が「転職先でも再現できるか」を伝えることが重要です。過去の成功談を語るだけでなく、そのやり方が新しい会社でどう活きるのか、どんな貢献ができるのかを具体的に示すことで、企業側も入社後の姿をイメージしやすくなります。
株式会社DYMでは、求職者様に対して様々な就職支援サービスを提供しております。
お問い合わせはこちら↓
https://dym.asia/media/recruiting-contact/</t>
        </is>
      </c>
      <c r="J103" s="47" t="n"/>
      <c r="K103" s="47" t="inlineStr">
        <is>
          <t>未確認</t>
        </is>
      </c>
      <c r="L103" s="47" t="inlineStr">
        <is>
          <t>未確認</t>
        </is>
      </c>
      <c r="M103" s="47" t="n"/>
      <c r="N103" s="47" t="n"/>
      <c r="O103" s="47" t="n"/>
      <c r="P103" s="47" t="n"/>
      <c r="Q103" s="47" t="n"/>
      <c r="R103" s="47" t="n"/>
      <c r="S103" s="47" t="n"/>
      <c r="T103" s="47" t="n"/>
      <c r="U103" s="47" t="n"/>
      <c r="V103" s="47" t="n"/>
      <c r="W103" s="47" t="n"/>
      <c r="X103" s="47" t="n"/>
      <c r="Y103" s="47" t="n"/>
      <c r="Z103" s="47" t="n"/>
    </row>
    <row r="104" ht="15.75" customHeight="1" s="185">
      <c r="A104" s="52">
        <f>row()-3</f>
        <v/>
      </c>
      <c r="B104" s="46" t="inlineStr">
        <is>
          <t>事務員とは？仕事内容、向いている人やスキル、転職のメリットを解説</t>
        </is>
      </c>
      <c r="C104" s="6" t="inlineStr">
        <is>
          <t>https://dym.asia/media/recruiting/office-workers/</t>
        </is>
      </c>
      <c r="D104" s="47" t="inlineStr">
        <is>
          <t>事務員</t>
        </is>
      </c>
      <c r="E104" s="35" t="n">
        <v>8</v>
      </c>
      <c r="F104" s="36" t="n">
        <v>4.576964946657958</v>
      </c>
      <c r="G104" s="47" t="inlineStr">
        <is>
          <t>なし</t>
        </is>
      </c>
      <c r="H104" s="47" t="inlineStr">
        <is>
          <t>可</t>
        </is>
      </c>
      <c r="I104" s="10" t="inlineStr">
        <is>
          <t>Q. 事務職への転職で、未経験者が特にアピールすべきスキルは何ですか？
A. 未経験の場合は、特別なスキルよりも「基本をきちんとこなせる力」が重視されます。ExcelやWordの基礎操作に加え、ミスなく仕事を進める正確さや、周囲と円滑にやり取りできるコミュニケーション力は大きな強みです。これまでの経験の中で、正確さを求められた場面や、人を支える立場で工夫したことがあれば、具体的に伝えましょう。ぜひご相談ください。問い合わせ先は下記
https://dym.asia/contact/?sid=681795991
Q. 事務職の採用選考において、適性検査やPCスキルテストはどの程度重要ですか？
A. はい、事務職では重要視されることが多いです。特にPCスキルテストでは、入力の正確さや基本的な表計算ができるかどうかを見られます。特別に高度な操作が求められるわけではないので、事前に基本操作を復習しておくだけでも安心して臨めます。
Q. 事務職は定型業務が多いイメージですが、キャリアアップやスキルアップは可能ですか？
A. もちろん可能です。一般事務から経理や人事、総務といった専門分野に広がる道もありますし、業務改善や効率化を任されるケースも少なくありません。日々の仕事をただこなすだけでなく、「もっと良くできないか」を考えて動く姿勢が、次のステップにつながります。
株式会社DYMでは、求職者様に対して様々な就職支援サービスを提供しております。
お問い合わせはこちら↓
https://dym.asia/media/recruiting-contact/</t>
        </is>
      </c>
      <c r="J104" s="47" t="n"/>
      <c r="K104" s="47" t="inlineStr">
        <is>
          <t>未確認</t>
        </is>
      </c>
      <c r="L104" s="47" t="inlineStr">
        <is>
          <t>未確認</t>
        </is>
      </c>
      <c r="M104" s="47" t="n"/>
      <c r="N104" s="47" t="n"/>
      <c r="O104" s="47" t="n"/>
      <c r="P104" s="47" t="n"/>
      <c r="Q104" s="47" t="n"/>
      <c r="R104" s="47" t="n"/>
      <c r="S104" s="47" t="n"/>
      <c r="T104" s="47" t="n"/>
      <c r="U104" s="47" t="n"/>
      <c r="V104" s="47" t="n"/>
      <c r="W104" s="47" t="n"/>
      <c r="X104" s="47" t="n"/>
      <c r="Y104" s="47" t="n"/>
      <c r="Z104" s="47" t="n"/>
    </row>
    <row r="105" ht="15.75" customHeight="1" s="185">
      <c r="A105" s="52">
        <f>row()-3</f>
        <v/>
      </c>
      <c r="B105" s="46" t="inlineStr">
        <is>
          <t>転職で必須！履歴書の書き方完全ガイド</t>
        </is>
      </c>
      <c r="C105" s="6" t="inlineStr">
        <is>
          <t>https://dym.asia/media/recruiting/resume-guide/</t>
        </is>
      </c>
      <c r="D105" s="47" t="inlineStr">
        <is>
          <t>履歴書書き方</t>
        </is>
      </c>
      <c r="E105" s="35" t="n">
        <v>8</v>
      </c>
      <c r="F105" s="36" t="n">
        <v>19.60105680317041</v>
      </c>
      <c r="G105" s="47" t="inlineStr">
        <is>
          <t>なし</t>
        </is>
      </c>
      <c r="H105" s="47" t="inlineStr">
        <is>
          <t>可</t>
        </is>
      </c>
      <c r="I105" s="10" t="inlineStr">
        <is>
          <t>Q. 履歴書は手書きとPC作成のどちらが有利ですか？
A. 最近はPCで作成した履歴書が主流で、多くの企業が問題なく受け入れています。手書きは丁寧さが伝わる一方、PC作成の方が読みやすく、修正や管理もしやすいというメリットがあります。企業から特に指定がない場合は、PC作成で提出して差し支えありません。
Q. 履歴書の「志望動機」欄に、どのような内容を盛り込むと採用担当者の目に留まりますか？
A.大切なのは、「なぜこの会社なのか」と「自分がどう役に立てるのか」が伝わることです。企業の特徴や考え方に触れつつ、これまでの経験や強みがどのように活かせるのかを結び付けて書くと、内容に説得力が出ます。
Q. 履歴書の写真欄は、どのような点に注意して準備すべきですか？
A. 写真では清潔感が何より重要です。スーツを着用し、髪型や身だしなみを整えたうえで、少し口角を上げた自然な表情を意識しましょう。スナップ写真や過度な加工は避け、できれば写真館や証明写真機で、できるだけ新しい写真を用意すると安心です。
株式会社DYMでは、求職者様に対して様々な就職支援サービスを提供しております。
お問い合わせはこちら↓
https://dym.asia/media/recruiting-contact/</t>
        </is>
      </c>
      <c r="J105" s="47" t="n"/>
      <c r="K105" s="47" t="inlineStr">
        <is>
          <t>未確認</t>
        </is>
      </c>
      <c r="L105" s="47" t="inlineStr">
        <is>
          <t>未確認</t>
        </is>
      </c>
      <c r="M105" s="47" t="n"/>
      <c r="N105" s="47" t="n"/>
      <c r="O105" s="47" t="n"/>
      <c r="P105" s="47" t="n"/>
      <c r="Q105" s="47" t="n"/>
      <c r="R105" s="47" t="n"/>
      <c r="S105" s="47" t="n"/>
      <c r="T105" s="47" t="n"/>
      <c r="U105" s="47" t="n"/>
      <c r="V105" s="47" t="n"/>
      <c r="W105" s="47" t="n"/>
      <c r="X105" s="47" t="n"/>
      <c r="Y105" s="47" t="n"/>
      <c r="Z105" s="47" t="n"/>
    </row>
    <row r="106" ht="15.75" customHeight="1" s="185">
      <c r="A106" s="52">
        <f>row()-3</f>
        <v/>
      </c>
      <c r="B106" s="46" t="inlineStr">
        <is>
          <t>理系の職業一覧｜おすすめの仕事・選び方や理系就活の特徴まで徹底解説</t>
        </is>
      </c>
      <c r="C106" s="6" t="inlineStr">
        <is>
          <t>https://dym.asia/media/recruiting/science-field-employment/</t>
        </is>
      </c>
      <c r="D106" s="47" t="inlineStr">
        <is>
          <t>理系 職業</t>
        </is>
      </c>
      <c r="E106" s="35" t="n">
        <v>8</v>
      </c>
      <c r="F106" s="36" t="n">
        <v>4.807636887608069</v>
      </c>
      <c r="G106" s="47" t="inlineStr">
        <is>
          <t>なし</t>
        </is>
      </c>
      <c r="H106" s="47" t="inlineStr">
        <is>
          <t>可</t>
        </is>
      </c>
      <c r="I106" s="10" t="inlineStr">
        <is>
          <t>Q. 理系職種への応募で、文系出身者でも評価される可能性はありますか？
A. 分野によっては十分に可能です。IT業界や技術営業職では、論理的思考力や課題解決力が重視されるため、文系出身でも評価されるケースがあります。技術への関心や自主的な学習、プロジェクトを推進した経験などを具体的に伝えることが大切です。
Q. 理系の学生・院生が就職活動で最もアピールすべき点は何ですか？
A. 研究活動を通して身につけた考え方や姿勢です。研究内容そのものよりも、テーマ設定の理由や課題への向き合い方、そこから得た学びを、仕事にどう活かせるかまで結びつけて伝えると評価されやすくなります。
ぜひご相談ください。
問い合わせ先は下記↓
https://dym.asia/contact/?sid=681795991
Q. 理系分野から一般企業に就職する場合、研究職や技術職に限定して探すべきですか？
A. 必ずしも絞る必要はありません。分析力や論理的思考力は、営業や企画、コンサルティングなど幅広い職種で活かせます。専門分野にとらわれず、自分の強みが発揮できる仕事を探すことで、選択肢は広がります。
株式会社DYMでは、求職者様に対して様々な就職支援サービスを提供しております。
お問い合わせはこちら↓
https://dym.asia/media/recruiting-contact/</t>
        </is>
      </c>
      <c r="J106" s="47" t="n"/>
      <c r="K106" s="47" t="inlineStr">
        <is>
          <t>未確認</t>
        </is>
      </c>
      <c r="L106" s="47" t="inlineStr">
        <is>
          <t>未確認</t>
        </is>
      </c>
      <c r="M106" s="47" t="n"/>
      <c r="N106" s="47" t="n"/>
      <c r="O106" s="47" t="n"/>
      <c r="P106" s="47" t="n"/>
      <c r="Q106" s="47" t="n"/>
      <c r="R106" s="47" t="n"/>
      <c r="S106" s="47" t="n"/>
      <c r="T106" s="47" t="n"/>
      <c r="U106" s="47" t="n"/>
      <c r="V106" s="47" t="n"/>
      <c r="W106" s="47" t="n"/>
      <c r="X106" s="47" t="n"/>
      <c r="Y106" s="47" t="n"/>
      <c r="Z106" s="47" t="n"/>
    </row>
    <row r="107" ht="15.75" customHeight="1" s="185">
      <c r="A107" s="52">
        <f>row()-3</f>
        <v/>
      </c>
      <c r="B107" s="46" t="inlineStr">
        <is>
          <t>システムエンジニア（SE）の平均年収は？企業規模や年齢による違いも解説</t>
        </is>
      </c>
      <c r="C107" s="6" t="inlineStr">
        <is>
          <t>https://dym.asia/media/recruiting/system-engineer/</t>
        </is>
      </c>
      <c r="D107" s="47" t="inlineStr">
        <is>
          <t>システムエンジニア 年収</t>
        </is>
      </c>
      <c r="E107" s="35" t="n">
        <v>8</v>
      </c>
      <c r="F107" s="36" t="n">
        <v>3.791194767905567</v>
      </c>
      <c r="G107" s="47" t="inlineStr">
        <is>
          <t>なし</t>
        </is>
      </c>
      <c r="H107" s="47" t="inlineStr">
        <is>
          <t>可</t>
        </is>
      </c>
      <c r="I107" s="10" t="inlineStr">
        <is>
          <t>Q. 未経験からシステムエンジニア（SE）を目指す場合、必須となる資格やスキルはありますか？
A. 必須の資格はありませんが、ITパスポートや基本情報技術者試験などを自分から学んで取得していれば、基礎知識や意欲のアピールにつながります。特に重視されるのは、物事を筋道立てて考える力と、プログラミングを少しでも学んでいる姿勢です。加えて、チームで仕事を進めるためのコミュニケーション力も欠かせません。
Q. システムエンジニア（SE）とプログラマーの違いは何ですか？
A. SEは、顧客の要望を聞き取り、システム全体の設計や進め方を考える役割を担います。一方、プログラマーは、その設計をもとに実際のコードを書き、システムを形にしていくのが主な仕事です。担当する工程や役割に違いがあります。
Q. SEへの転職後、キャリアアップしていく上で、どのようなスキルが求められますか？
A. 経験を重ねることで、プロジェクト全体を管理する立場や、特定分野の専門家を目指す道があります。その際には、技術力だけでなく、メンバーをまとめる力や、顧客とのやり取りを円滑に進める力が重要になってきます。
株式会社DYMでは、求職者様に対して様々な就職支援サービスを提供しております。
お問い合わせはこちら↓
https://dym.asia/media/recruiting-contact/</t>
        </is>
      </c>
      <c r="J107" s="47" t="n"/>
      <c r="K107" s="47" t="inlineStr">
        <is>
          <t>未確認</t>
        </is>
      </c>
      <c r="L107" s="47" t="inlineStr">
        <is>
          <t>未確認</t>
        </is>
      </c>
      <c r="M107" s="47" t="n"/>
      <c r="N107" s="47" t="n"/>
      <c r="O107" s="47" t="n"/>
      <c r="P107" s="47" t="n"/>
      <c r="Q107" s="47" t="n"/>
      <c r="R107" s="47" t="n"/>
      <c r="S107" s="47" t="n"/>
      <c r="T107" s="47" t="n"/>
      <c r="U107" s="47" t="n"/>
      <c r="V107" s="47" t="n"/>
      <c r="W107" s="47" t="n"/>
      <c r="X107" s="47" t="n"/>
      <c r="Y107" s="47" t="n"/>
      <c r="Z107" s="47" t="n"/>
    </row>
    <row r="108" ht="15.75" customHeight="1" s="185">
      <c r="A108" s="52">
        <f>row()-3</f>
        <v/>
      </c>
      <c r="B108" s="46" t="inlineStr">
        <is>
          <t>ベンチャー企業とは？スタートアップとの違いや、ベンチャーで働くメリット・デメリットを解説</t>
        </is>
      </c>
      <c r="C108" s="6" t="inlineStr">
        <is>
          <t>https://dym.asia/media/recruiting/venture-company/</t>
        </is>
      </c>
      <c r="D108" s="47" t="inlineStr">
        <is>
          <t>ベンチャー企業とは</t>
        </is>
      </c>
      <c r="E108" s="35" t="n">
        <v>8</v>
      </c>
      <c r="F108" s="36" t="n">
        <v>3.793479664299548</v>
      </c>
      <c r="G108" s="47" t="inlineStr">
        <is>
          <t>なし</t>
        </is>
      </c>
      <c r="H108" s="47" t="inlineStr">
        <is>
          <t>可</t>
        </is>
      </c>
      <c r="I108" s="10" t="inlineStr">
        <is>
          <t>Q. ベンチャー企業への転職で、特にアピールすべき経験やスキルは何ですか？
A. ベンチャー企業では、指示を待つのではなく自分で考えて動ける力や、環境の変化を前向きに受け止める姿勢が重視されます。これまでの仕事の中で、前例のない課題に向き合った経験や、新しい取り組みを主体的に進めた経験があれば、具体的な結果とあわせて伝えると評価されやすくなります。
ぜひご相談ください。問い合わせ先は下記
https://dym.asia/contact/?sid=681795991
Q. ベンチャー企業への転職は、年収や福利厚生の面でリスクが大きいですか？
A. 立ち上げ段階のベンチャーでは、大手企業ほど制度が整っていない場合や、給与が控えめなケースもあります。ただし、会社の成長に伴って短期間で待遇が大きく変わったり、ストックオプションなどの形で成果が還元されたりする可能性もあります。安定よりも成長や裁量を重視したい人に向いた選択肢と言えるでしょう。
Q. ベンチャー企業を選ぶ際、成長性を見極めるためのチェックポイントはありますか？　　　　　　　　　　　　　　　　　　　　　　　　　　　　　　　　　　　　　　　　　　　　　　　　　　　　　　　　　　　A. 事業に独自性があり、きちんと市場のニーズを捉えているかどうかは重要な判断材料です。また、経営陣がどんな将来像を描いているのか、その話に納得感や共感を持てるかも大切です。面接やカジュアル面談の場で、率直に質問しながら見極めていくことをおすすめします。
株式会社DYMでは、求職者様に対して様々な就職支援サービスを提供しております。
お問い合わせはこちら↓
https://dym.asia/media/recruiting-contact/</t>
        </is>
      </c>
      <c r="J108" s="47" t="n"/>
      <c r="K108" s="47" t="inlineStr">
        <is>
          <t>未確認</t>
        </is>
      </c>
      <c r="L108" s="47" t="inlineStr">
        <is>
          <t>未確認</t>
        </is>
      </c>
      <c r="M108" s="47" t="n"/>
      <c r="N108" s="47" t="n"/>
      <c r="O108" s="47" t="n"/>
      <c r="P108" s="47" t="n"/>
      <c r="Q108" s="47" t="n"/>
      <c r="R108" s="47" t="n"/>
      <c r="S108" s="47" t="n"/>
      <c r="T108" s="47" t="n"/>
      <c r="U108" s="47" t="n"/>
      <c r="V108" s="47" t="n"/>
      <c r="W108" s="47" t="n"/>
      <c r="X108" s="47" t="n"/>
      <c r="Y108" s="47" t="n"/>
      <c r="Z108" s="47" t="n"/>
    </row>
    <row r="109" ht="15.75" customHeight="1" s="185">
      <c r="A109" s="52">
        <f>row()-3</f>
        <v/>
      </c>
      <c r="B109" s="46" t="inlineStr">
        <is>
          <t>コラム一覧（求職者向け）</t>
        </is>
      </c>
      <c r="C109" s="6" t="inlineStr">
        <is>
          <t>https://dym.asia/media/recruiting/</t>
        </is>
      </c>
      <c r="D109" s="47" t="inlineStr">
        <is>
          <t>dym</t>
        </is>
      </c>
      <c r="E109" s="35" t="n">
        <v>7</v>
      </c>
      <c r="F109" s="36" t="n">
        <v>1.155833669761809</v>
      </c>
      <c r="G109" s="47" t="inlineStr">
        <is>
          <t>なし</t>
        </is>
      </c>
      <c r="H109" s="47" t="inlineStr">
        <is>
          <t>不可</t>
        </is>
      </c>
      <c r="I109" s="47" t="n"/>
      <c r="J109" s="47" t="n"/>
      <c r="K109" s="47" t="inlineStr">
        <is>
          <t>未確認</t>
        </is>
      </c>
      <c r="L109" s="47" t="inlineStr">
        <is>
          <t>未確認</t>
        </is>
      </c>
      <c r="M109" s="47" t="n"/>
      <c r="N109" s="47" t="n"/>
      <c r="O109" s="47" t="n"/>
      <c r="P109" s="47" t="n"/>
      <c r="Q109" s="47" t="n"/>
      <c r="R109" s="47" t="n"/>
      <c r="S109" s="47" t="n"/>
      <c r="T109" s="47" t="n"/>
      <c r="U109" s="47" t="n"/>
      <c r="V109" s="47" t="n"/>
      <c r="W109" s="47" t="n"/>
      <c r="X109" s="47" t="n"/>
      <c r="Y109" s="47" t="n"/>
      <c r="Z109" s="47" t="n"/>
    </row>
    <row r="110" ht="15.75" customHeight="1" s="185">
      <c r="A110" s="52">
        <f>row()-3</f>
        <v/>
      </c>
      <c r="B110" s="46" t="inlineStr">
        <is>
          <t>最終面接対策で内定を勝ち取る！よく聞かれる質問と回答15選も</t>
        </is>
      </c>
      <c r="C110" s="6" t="inlineStr">
        <is>
          <t>https://dym.asia/media/recruiting/final-interview/</t>
        </is>
      </c>
      <c r="D110" s="47" t="inlineStr">
        <is>
          <t>最終面接 自己pr</t>
        </is>
      </c>
      <c r="E110" s="35" t="n">
        <v>7</v>
      </c>
      <c r="F110" s="36" t="n">
        <v>4.961165048543689</v>
      </c>
      <c r="G110" s="47" t="inlineStr">
        <is>
          <t>なし</t>
        </is>
      </c>
      <c r="H110" s="47" t="inlineStr">
        <is>
          <t>可</t>
        </is>
      </c>
      <c r="I110" s="10" t="inlineStr">
        <is>
          <t>Q. 最終面接と一次・二次面接では、質問の内容や評価基準にどのような違いがありますか？
A. 一次・二次面接では、これまでの経験やスキル、人柄が仕事に合っているかが中心に見られます。一方、最終面接では「本当に入社する意思があるか」「会社の考え方や雰囲気に合っているか」「長く活躍してくれそうか」といった点が重視されます。経営層が関わることも多く、個人の価値観と会社の方向性が合うかどうかを確認する場だと考えるとよいでしょう。
Q. 最終面接では、どのような逆質問が最も効果的ですか？
A. 最終面接では、目先の業務だけでなく、会社の将来を意識した質問が好印象につながります。たとえば、今後力を入れていく事業や、経営者自身が仕事にやりがいを感じる瞬間などを聞くことで、会社への関心の高さや本気度が伝わります。
Q. 最終面接の通過率はどのくらいですか？内定を確信しても良いのでしょうか？
A. 企業にもよりますが、最終面接でも半数ほどが不合格になるケースは珍しくありません。形式的な確認の場と思われがちですが、実際は重要な判断の場です。最後まで気を抜かず、入社したい理由や意欲を自分の言葉でしっかり伝えることが大切です。
株式会社DYMでは、求職者様に対して様々な就職支援サービスを提供しております。
お問い合わせはこちら↓
https://dym.asia/media/recruiting-contact/</t>
        </is>
      </c>
      <c r="J110" s="47" t="n"/>
      <c r="K110" s="47" t="inlineStr">
        <is>
          <t>未確認</t>
        </is>
      </c>
      <c r="L110" s="47" t="inlineStr">
        <is>
          <t>未確認</t>
        </is>
      </c>
      <c r="M110" s="47" t="n"/>
      <c r="N110" s="47" t="n"/>
      <c r="O110" s="47" t="n"/>
      <c r="P110" s="47" t="n"/>
      <c r="Q110" s="47" t="n"/>
      <c r="R110" s="47" t="n"/>
      <c r="S110" s="47" t="n"/>
      <c r="T110" s="47" t="n"/>
      <c r="U110" s="47" t="n"/>
      <c r="V110" s="47" t="n"/>
      <c r="W110" s="47" t="n"/>
      <c r="X110" s="47" t="n"/>
      <c r="Y110" s="47" t="n"/>
      <c r="Z110" s="47" t="n"/>
    </row>
    <row r="111" ht="15.75" customHeight="1" s="185">
      <c r="A111" s="52">
        <f>row()-3</f>
        <v/>
      </c>
      <c r="B111" s="46" t="inlineStr">
        <is>
          <t>ITコンサルタントに転職SEが激務！向いている人のポイントと未経験者の注意点</t>
        </is>
      </c>
      <c r="C111" s="6" t="inlineStr">
        <is>
          <t>https://dym.asia/media/recruiting/it-consulting-job-change/</t>
        </is>
      </c>
      <c r="D111" s="47" t="inlineStr">
        <is>
          <t>itコンサルタント 向いている人</t>
        </is>
      </c>
      <c r="E111" s="35" t="n">
        <v>7</v>
      </c>
      <c r="F111" s="36" t="n">
        <v>7.074157303370787</v>
      </c>
      <c r="G111" s="47" t="inlineStr">
        <is>
          <t>なし</t>
        </is>
      </c>
      <c r="H111" s="47" t="inlineStr">
        <is>
          <t>可</t>
        </is>
      </c>
      <c r="I111" s="10" t="inlineStr">
        <is>
          <t>Q. 未経験からITコンサルタントに転職する場合、最も重視されるスキルは何ですか？
A. 一次・二次面接では、これまでの経験やスキル、仕事への適性が主に確認されますが、最終面接では「本当に入社する意思があるか」「会社の考え方や雰囲気に合うか」「長く活躍してくれそうか」といった点が重視されます。経営層の立場から、価値観や将来の方向性が会社と合っているかを見られる場だと考えるとよいでしょう。
ぜひご相談ください。問い合わせ先は下記
https://dym.asia/contact/?sid=681795991
Q. ITコンサルタントの仕事は激務だと聞きますが、ワークライフバランスは取れますか？
A. 最終面接では、目先の業務よりも会社の将来に目を向けた質問が効果的です。今後力を入れていく事業の方向性や、経営者自身が仕事にやりがいを感じる瞬間などを聞くことで、会社への関心の高さや入社意欲が自然に伝わります。
Q. ITコンサルタントへの転職を成功させるために、事前に取得すべき資格はありますか？
A. 企業にもよりますが、最終面接の通過率は決して高くなく、半数ほどが不合格になることもあります。形式的な確認ではなく、重要な判断の場として見られているため、最後まで気を抜かず、入社したい気持ちを自分の言葉で伝えることが大切です。
株式会社DYMでは、求職者様に対して様々な就職支援サービスを提供しております。
お問い合わせはこちら↓
https://dym.asia/media/recruiting-contact/</t>
        </is>
      </c>
      <c r="J111" s="47" t="n"/>
      <c r="K111" s="47" t="inlineStr">
        <is>
          <t>未確認</t>
        </is>
      </c>
      <c r="L111" s="47" t="inlineStr">
        <is>
          <t>未確認</t>
        </is>
      </c>
      <c r="M111" s="47" t="n"/>
      <c r="N111" s="47" t="n"/>
      <c r="O111" s="47" t="n"/>
      <c r="P111" s="47" t="n"/>
      <c r="Q111" s="47" t="n"/>
      <c r="R111" s="47" t="n"/>
      <c r="S111" s="47" t="n"/>
      <c r="T111" s="47" t="n"/>
      <c r="U111" s="47" t="n"/>
      <c r="V111" s="47" t="n"/>
      <c r="W111" s="47" t="n"/>
      <c r="X111" s="47" t="n"/>
      <c r="Y111" s="47" t="n"/>
      <c r="Z111" s="47" t="n"/>
    </row>
    <row r="112" ht="15.75" customHeight="1" s="185">
      <c r="A112" s="52">
        <f>row()-3</f>
        <v/>
      </c>
      <c r="B112" s="46" t="inlineStr">
        <is>
          <t>会社説明会の質問例｜質問の仕方とマナー、好印象を与える方法も解説</t>
        </is>
      </c>
      <c r="C112" s="6" t="inlineStr">
        <is>
          <t>https://dym.asia/media/recruiting/session-question/</t>
        </is>
      </c>
      <c r="D112" s="47" t="inlineStr">
        <is>
          <t>会社説明会 質問 好印象</t>
        </is>
      </c>
      <c r="E112" s="35" t="n">
        <v>7</v>
      </c>
      <c r="F112" s="36" t="n">
        <v>8.442013129102845</v>
      </c>
      <c r="G112" s="47" t="inlineStr">
        <is>
          <t>なし</t>
        </is>
      </c>
      <c r="H112" s="47" t="inlineStr">
        <is>
          <t>可</t>
        </is>
      </c>
      <c r="I112" s="10" t="inlineStr">
        <is>
          <t>Q. 説明会で質問をする際、採用担当者に好印象を与えるためのポイントは何ですか？　　　　　　　　　　　
A. 事前に企業のホームページや説明資料に目を通したうえで、「それを踏まえて出てきた疑問」を質問することが大切です。誰にでも当てはまる内容よりも、事業の方向性や仕事の進め方、入社後の働き方など、具体的なイメージにつながる質問のほうが、関心の高さが伝わりやすくなります。
Q. 説明会で社員の方に質問する際、事前に用意すべき質問の数はどれくらいですか？
A. 実際に質問できる時間は限られていることが多いため、特に聞きたい内容を2〜3個ほど用意しておくと安心です。説明を聞く中で疑問が解消された場合は、その旨を伝えれば失礼にはなりませんし、きちんと話を聞いている印象にもなります。
Q. 説明会での質問は、その後の選考に影響しますか？
A. 質問そのものが合否を左右することは少ないですが、質問の内容や姿勢は意外と印象に残るものです。前向きで意欲が感じられる質問は、後の選考でプラスに働くこともあります。一方で、否定的な聞き方やマナーに欠ける態度は避けたいところです。
株式会社DYMでは、求職者様に対して様々な就職支援サービスを提供しております。
お問い合わせはこちら↓
https://dym.asia/media/recruiting-contact/</t>
        </is>
      </c>
      <c r="J112" s="47" t="n"/>
      <c r="K112" s="47" t="inlineStr">
        <is>
          <t>未確認</t>
        </is>
      </c>
      <c r="L112" s="47" t="inlineStr">
        <is>
          <t>未確認</t>
        </is>
      </c>
      <c r="M112" s="47" t="n"/>
      <c r="N112" s="47" t="n"/>
      <c r="O112" s="47" t="n"/>
      <c r="P112" s="47" t="n"/>
      <c r="Q112" s="47" t="n"/>
      <c r="R112" s="47" t="n"/>
      <c r="S112" s="47" t="n"/>
      <c r="T112" s="47" t="n"/>
      <c r="U112" s="47" t="n"/>
      <c r="V112" s="47" t="n"/>
      <c r="W112" s="47" t="n"/>
      <c r="X112" s="47" t="n"/>
      <c r="Y112" s="47" t="n"/>
      <c r="Z112" s="47" t="n"/>
    </row>
    <row r="113" ht="15.75" customHeight="1" s="185">
      <c r="A113" s="52">
        <f>row()-3</f>
        <v/>
      </c>
      <c r="B113" s="46" t="inlineStr">
        <is>
          <t>26卒就活はやばい？今から始めるべきこと</t>
        </is>
      </c>
      <c r="C113" s="6" t="inlineStr">
        <is>
          <t>https://dym.asia/media/recruiting/shukatsu-2026-prepare-now/</t>
        </is>
      </c>
      <c r="D113" s="47" t="inlineStr">
        <is>
          <t>26卒 就活 やばい</t>
        </is>
      </c>
      <c r="E113" s="35" t="n">
        <v>7</v>
      </c>
      <c r="F113" s="36" t="n">
        <v>8.734050179211469</v>
      </c>
      <c r="G113" s="47" t="inlineStr">
        <is>
          <t>なし</t>
        </is>
      </c>
      <c r="H113" s="47" t="inlineStr">
        <is>
          <t>可</t>
        </is>
      </c>
      <c r="I113" s="10" t="inlineStr">
        <is>
          <t>Q. 2026年卒の就職活動で、企業が特に重視する傾向にあるポイントは何ですか？　　　　　　　　　　　　　　　　　　　　　　　　　　　　　　　　A. 2026年卒の就活では、インターンシップへの参加など、早い段階から自分で動いてきたかどうかがこれまで以上に見られる傾向があります。また、デジタルツールへの抵抗感がないことや、多様な価値観を受け入れられる柔軟さも評価されやすくなっています。企業が求めているのは、指示を待つのではなく、自分で考えて行動できる人材です。
Q. 就職活動の本格化に備えて、大学3年生（または修士1年生）の夏までに何をすべきですか？
A. この時期までに、自己分析と業界研究を一通り終わらせ、サマーインターンには積極的に参加しておきたいところです。実際に企業で働く経験は理解を深めるだけでなく、早期選考につながることもあります。あわせて、エントリーシートや面接で使えるエピソードを整理しておくと、その後の就活がスムーズになります。
ぜひご相談ください。問い合わせ先は下記
https://dym.asia/contact/?sid=681795991
Q. 2026年卒の就活スケジュールは、過去の年度と比べて大きな変更はありますか？
A. 基本的には「3月に情報解禁、6月に選考開始」という従来の流れは続いています。ただし、外資系企業やベンチャー企業を中心に、インターン経由の早期選考は年々増えています。スケジュールにとらわれすぎず、早めに情報を集めて動き出すことが大切です。
株式会社DYMでは、求職者様に対して様々な就職支援サービスを提供しております。
お問い合わせはこちら↓
https://dym.asia/media/recruiting-contact/</t>
        </is>
      </c>
      <c r="J113" s="47" t="n"/>
      <c r="K113" s="47" t="inlineStr">
        <is>
          <t>未確認</t>
        </is>
      </c>
      <c r="L113" s="47" t="inlineStr">
        <is>
          <t>未確認</t>
        </is>
      </c>
      <c r="M113" s="47" t="n"/>
      <c r="N113" s="47" t="n"/>
      <c r="O113" s="47" t="n"/>
      <c r="P113" s="47" t="n"/>
      <c r="Q113" s="47" t="n"/>
      <c r="R113" s="47" t="n"/>
      <c r="S113" s="47" t="n"/>
      <c r="T113" s="47" t="n"/>
      <c r="U113" s="47" t="n"/>
      <c r="V113" s="47" t="n"/>
      <c r="W113" s="47" t="n"/>
      <c r="X113" s="47" t="n"/>
      <c r="Y113" s="47" t="n"/>
      <c r="Z113" s="47" t="n"/>
    </row>
    <row r="114" ht="15.75" customHeight="1" s="185">
      <c r="A114" s="52">
        <f>row()-3</f>
        <v/>
      </c>
      <c r="B114" s="46" t="inlineStr">
        <is>
          <t>コンフォートゾーンとは？抜け出す方法やメリットを詳しく解説</t>
        </is>
      </c>
      <c r="C114" s="6" t="inlineStr">
        <is>
          <t>https://dym.asia/media/recruiting/confort-zone/</t>
        </is>
      </c>
      <c r="D114" s="47" t="inlineStr">
        <is>
          <t>コンフォートゾーン 抜け出す</t>
        </is>
      </c>
      <c r="E114" s="35" t="n">
        <v>6</v>
      </c>
      <c r="F114" s="36" t="n">
        <v>2.395424836601307</v>
      </c>
      <c r="G114" s="47" t="inlineStr">
        <is>
          <t>なし</t>
        </is>
      </c>
      <c r="H114" s="47" t="inlineStr">
        <is>
          <t>可</t>
        </is>
      </c>
      <c r="I114" s="10" t="inlineStr">
        <is>
          <t>Q. コンフォートゾーンを抜け出すための、最初の一歩として何から始めるべきですか？　　　　　　　　　　　　　　　　　　　　　　　　　　　　　　A. まずは「このままでいいかも」と思っている自分に気づくことが大切です。いきなり大きな挑戦をする必要はありません。通勤ルートを少し変えてみる、普段あまり話さない人に声をかけてみる、新しい分野の記事を読んでみるなど、日常の中に小さな変化を入れるだけで十分です。その小さな行動が、自信や次の一歩につながっていきます。
　　　　　　　　　　　　　　　　　　　　　　　　　　　　　　　　　　　　　　　　　　　　　　　　　　　　　　　　　　　　　　　　　　　　　　　　　　　　　　　　　Q. コンフォートゾーンを抜け出そうとすると、不安や恐れを感じるのはなぜですか？　　　　　　　　　　　　　　　　　　　　　　　　　　　A. 不安を感じるのは、とても自然なことです。人は本能的に、慣れた環境を守ろうとするため、未知のことに対してブレーキがかかります。ただ、その不安は「成長できる場面に立っているサイン」でもあります。無理に消そうとせず、少しずつ慣れていく意識を持つことが大切です。
　　　　　　　　　　　　　　　　　　　　　　　　　　　　　　　　　　　　　　　　　　　　　　　　　　　　　　　　　　　　　　　　　　　　　　　　　　　Q. 職場を変えることなく、仕事の中でコンフォートゾーンを広げる方法はありますか？　　　　　　　　　　　　　　　　　　　　　　　　　A. 可能です。たとえば、これまで避けていた仕事を一度引き受けてみたり、業務に関係する勉強や資格に挑戦してみたりするだけでも変化は生まれます。ほかの部署の人と話す機会を増やすのも、自分の視野を広げるきっかけになります。今の環境の中で、少し背伸びする選択を重ねていくことがポイントです。
お問い合わせはこちら↓
https://talk.dshu.jp/6838/?_gl=1*155r6jh*_ga*MTI1MjE5NTY3My4xNzU2NDMyNTY0*_ga_ZXCZZJJ72V*czE3NjU1MDEzNTQkbzkkZzAkdDE3NjU1MDEzNTQkajYwJGwwJGgw</t>
        </is>
      </c>
      <c r="J114" s="47" t="n"/>
      <c r="K114" s="47" t="inlineStr">
        <is>
          <t>未確認</t>
        </is>
      </c>
      <c r="L114" s="47" t="inlineStr">
        <is>
          <t>未確認</t>
        </is>
      </c>
      <c r="M114" s="47" t="n"/>
      <c r="N114" s="47" t="n"/>
      <c r="O114" s="47" t="n"/>
      <c r="P114" s="47" t="n"/>
      <c r="Q114" s="47" t="n"/>
      <c r="R114" s="47" t="n"/>
      <c r="S114" s="47" t="n"/>
      <c r="T114" s="47" t="n"/>
      <c r="U114" s="47" t="n"/>
      <c r="V114" s="47" t="n"/>
      <c r="W114" s="47" t="n"/>
      <c r="X114" s="47" t="n"/>
      <c r="Y114" s="47" t="n"/>
      <c r="Z114" s="47" t="n"/>
    </row>
    <row r="115" ht="15.75" customHeight="1" s="185">
      <c r="A115" s="52">
        <f>row()-3</f>
        <v/>
      </c>
      <c r="B115" s="46" t="inlineStr">
        <is>
          <t>ITエンジニアの平均年収は？給料アップを目指す方法も徹底解説</t>
        </is>
      </c>
      <c r="C115" s="6" t="inlineStr">
        <is>
          <t>https://dym.asia/media/recruiting/it-engineer/</t>
        </is>
      </c>
      <c r="D115" s="47" t="inlineStr">
        <is>
          <t>itエンジニア 年収</t>
        </is>
      </c>
      <c r="E115" s="35" t="n">
        <v>6</v>
      </c>
      <c r="F115" s="36" t="n">
        <v>4.527621195039458</v>
      </c>
      <c r="G115" s="47" t="inlineStr">
        <is>
          <t>なし</t>
        </is>
      </c>
      <c r="H115" s="47" t="inlineStr">
        <is>
          <t>可</t>
        </is>
      </c>
      <c r="I115" s="47" t="inlineStr">
        <is>
          <t>Q. 未経験からITエンジニアに転職する場合、最初に学ぶべきプログラミング言語は何ですか？　　　　　　　　　　　　　　　　　A. 目指す分野によって異なりますが、Web系であればPythonやJavaScriptを選ぶ人が多いです。中でもPythonは文法が比較的シンプルで、Web開発だけでなくAIやデータ分析にも使えるため、未経験の方が最初に触れる言語として向いています。あれこれ手を出すより、まずは一つに絞って基礎をしっかり身につけることが大切です。
Q. ITエンジニアの仕事は、残業が多く、ワークライフバランスが取りにくいイメージがありますが、実際はどうですか？　　　　　　　　　　　　　　　　　　　　　　　　　　　　　　　　　　　　　　　　　　　　　　　　　　　　　　　　　　　　　　A. 確かにプロジェクトの山場では忙しくなることもありますが、最近は働き方を見直す企業が増えています。リモートワークやフレックスタイムを取り入れ、残業を減らそうとする動きも一般的になってきました。転職を考える際は、平均残業時間や勤務制度を事前に確認しておくと安心です。
　　　　　　　　　　　　　　　　　　　　　　　　　　　　　　　　　　　　　　　　　　　　　　　　　　　　　　　　　　　　　　　　Q. エンジニアとしてキャリアアップしていく上で、技術力以外に求められるスキルは何ですか？ 　　　　　　　　　　　　　　　　　　　　　　　　　　　　　　　　　　　　　　A. 技術だけでなく、人と関わる力も重要になります。相手の要望を正確にくみ取るコミュニケーション力や、物事を整理して考える力は、経験を積むほど求められます。将来的にリーダーやマネージャーを目指す場合は、プロジェクト全体を見渡す視点も大きな強みになります。
株式会社DYMでは、求職者様に対して様々な就職支援サービスを提供しております。
お問い合わせはこちら↓
https://dym.asia/media/recruiting-contact/</t>
        </is>
      </c>
      <c r="J115" s="47" t="n"/>
      <c r="K115" s="47" t="inlineStr">
        <is>
          <t>未確認</t>
        </is>
      </c>
      <c r="L115" s="47" t="inlineStr">
        <is>
          <t>未確認</t>
        </is>
      </c>
      <c r="M115" s="47" t="n"/>
      <c r="N115" s="47" t="n"/>
      <c r="O115" s="47" t="n"/>
      <c r="P115" s="47" t="n"/>
      <c r="Q115" s="47" t="n"/>
      <c r="R115" s="47" t="n"/>
      <c r="S115" s="47" t="n"/>
      <c r="T115" s="47" t="n"/>
      <c r="U115" s="47" t="n"/>
      <c r="V115" s="47" t="n"/>
      <c r="W115" s="47" t="n"/>
      <c r="X115" s="47" t="n"/>
      <c r="Y115" s="47" t="n"/>
      <c r="Z115" s="47" t="n"/>
    </row>
    <row r="116" ht="15.75" customHeight="1" s="185">
      <c r="A116" s="52">
        <f>row()-3</f>
        <v/>
      </c>
      <c r="B116" s="46" t="inlineStr">
        <is>
          <t>ストレングスファインダー®とは？就職活動における活用方法も解説</t>
        </is>
      </c>
      <c r="C116" s="10" t="inlineStr">
        <is>
          <t>https://dym.asia/media/recruiting/strength-finder/</t>
        </is>
      </c>
      <c r="D116" s="47" t="inlineStr">
        <is>
          <t>ストレングスファインダー 就活</t>
        </is>
      </c>
      <c r="E116" s="35" t="n">
        <v>6</v>
      </c>
      <c r="F116" s="36" t="n">
        <v>2.511627906976744</v>
      </c>
      <c r="G116" s="47" t="inlineStr">
        <is>
          <t>なし</t>
        </is>
      </c>
      <c r="H116" s="47" t="inlineStr">
        <is>
          <t>可</t>
        </is>
      </c>
      <c r="I116" s="10" t="inlineStr">
        <is>
          <t>Q. ストレングスファインダーの結果を、面接でどのように活用・アピールするのが効果的ですか？　　　　　　　　　　　　　　　　　　　　　　　　　　　　　　　　　　　　　　　　　　　　　　　　　　　　　A. 自分の強みを単に並べるのではなく、過去の経験でその資質がどのように発揮され、どんな成果につながったかを具体的なエピソードで伝えると効果的です。そのうえで、その強みが志望企業でどのように活かせるか、将来の貢献につながるかも合わせて話すと印象が良くなります。
Q. ストレングスファインダーの診断結果は、自分の弱み（ウィークネス）をどう補うのに役立ちますか？　　　　　　　　　　　　　　　　　　　　　　　　　　　　　A. 弱みを無理に克服するよりも、強みを最大限活かして成果を出すことに重点を置くのがポイントです。弱点は、強みを持つ同僚と協力したり、ツールや仕組みを活用してカバーするなど、自分なりの工夫を考える参考になります。
Q. 自分の強みを知ることで、本当に自分に合った職種や企業を見つけられますか？　　　　　　　　　　　　　　　　　　　　　　　　　　　　　　　　　　　　　　　　　　A. はい、核となる強みを理解すると、自分が自然に力を発揮できる職場や役割が見えてきます。職種だけでなく、企業文化やチーム構成が自分の強みを活かせるかどうかも選ぶ際の大事なポイントです。
株式会社DYMでは、求職者様に対して様々な就職支援サービスを提供しております。
お問い合わせはこちら↓
https://dym.asia/media/recruiting-contact/</t>
        </is>
      </c>
      <c r="J116" s="47" t="n"/>
      <c r="K116" s="47" t="inlineStr">
        <is>
          <t>未確認</t>
        </is>
      </c>
      <c r="L116" s="47" t="inlineStr">
        <is>
          <t>未確認</t>
        </is>
      </c>
      <c r="M116" s="47" t="n"/>
      <c r="N116" s="47" t="n"/>
      <c r="O116" s="47" t="n"/>
      <c r="P116" s="47" t="n"/>
      <c r="Q116" s="47" t="n"/>
      <c r="R116" s="47" t="n"/>
      <c r="S116" s="47" t="n"/>
      <c r="T116" s="47" t="n"/>
      <c r="U116" s="47" t="n"/>
      <c r="V116" s="47" t="n"/>
      <c r="W116" s="47" t="n"/>
      <c r="X116" s="47" t="n"/>
      <c r="Y116" s="47" t="n"/>
      <c r="Z116" s="47" t="n"/>
    </row>
    <row r="117" ht="15.75" customHeight="1" s="185">
      <c r="A117" s="52">
        <f>row()-3</f>
        <v/>
      </c>
      <c r="B117" s="46" t="inlineStr">
        <is>
          <t>30代女性の転職は厳しいの？未経験でも成功する方法</t>
        </is>
      </c>
      <c r="C117" s="6" t="inlineStr">
        <is>
          <t>https://dym.asia/media/recruiting/30s-job-change-woman/</t>
        </is>
      </c>
      <c r="D117" s="47" t="inlineStr">
        <is>
          <t>30代 手に職 女性</t>
        </is>
      </c>
      <c r="E117" s="35" t="n">
        <v>5</v>
      </c>
      <c r="F117" s="36" t="n">
        <v>4.111111111111111</v>
      </c>
      <c r="G117" s="47" t="inlineStr">
        <is>
          <t>なし</t>
        </is>
      </c>
      <c r="H117" s="47" t="inlineStr">
        <is>
          <t>可</t>
        </is>
      </c>
      <c r="I117" s="10" t="inlineStr">
        <is>
          <t>Q. 30代女性の転職で、企業が最も重視するスキルや実績は何ですか？
A.30代の転職では、即戦力としての専門スキルに加え、業務の再現性やプロジェクト管理能力が重要視されます。特に女性の場合は、ライフイベント後も成果を出せる専門性や、チーム内での調整力・マネジメント力を具体的な経験と合わせて伝えることがポイントです。
ぜひご相談ください。問い合わせ先は下記
https://dym.asia/contact/?sid=681795991　　　　　　　　　　　　　　　　　　　　　　　　　　
Q. ライフイベント（結婚・出産）を控えている場合、転職活動で企業に伝えるべきですか？
A.伝える義務はありませんが、面接で質問された場合は正直に答えつつ、仕事への意欲と貢献の意思をしっかり示すことが大切です。制度が整った企業を選び、入社後にどう業務を継続して貢献するかを具体的に伝えると信頼につながります。
Q. 30代から未経験の職種にキャリアチェンジする場合、どのような職種が狙い目ですか？
A. これまでの経験で培ったスキルを活かせる職種が狙い目です。例えば、営業事務から人事・広報、販売・サービス業からインサイドセールスやITサポートなど、対人力やホスピタリティを活かせる分野があります。資格取得や学習意欲を示すことも、転職を有利に進めるポイントです。
株式会社DYMでは、求職者様に対して様々な就職支援サービスを提供しております。
お問い合わせはこちら↓
https://dym.asia/media/recruiting-contact/</t>
        </is>
      </c>
      <c r="J117" s="47" t="n"/>
      <c r="K117" s="47" t="inlineStr">
        <is>
          <t>未確認</t>
        </is>
      </c>
      <c r="L117" s="47" t="inlineStr">
        <is>
          <t>未確認</t>
        </is>
      </c>
      <c r="M117" s="47" t="n"/>
      <c r="N117" s="47" t="n"/>
      <c r="O117" s="47" t="n"/>
      <c r="P117" s="47" t="n"/>
      <c r="Q117" s="47" t="n"/>
      <c r="R117" s="47" t="n"/>
      <c r="S117" s="47" t="n"/>
      <c r="T117" s="47" t="n"/>
      <c r="U117" s="47" t="n"/>
      <c r="V117" s="47" t="n"/>
      <c r="W117" s="47" t="n"/>
      <c r="X117" s="47" t="n"/>
      <c r="Y117" s="47" t="n"/>
      <c r="Z117" s="47" t="n"/>
    </row>
    <row r="118" ht="15.75" customHeight="1" s="185">
      <c r="A118" s="52">
        <f>row()-3</f>
        <v/>
      </c>
      <c r="B118" s="46" t="inlineStr">
        <is>
          <t>35歳から未経験で転職は厳しい？男性・女性別の成功するポイント</t>
        </is>
      </c>
      <c r="C118" s="6" t="inlineStr">
        <is>
          <t>https://dym.asia/media/recruiting/35-job-change-inexperienced/</t>
        </is>
      </c>
      <c r="D118" s="47" t="inlineStr">
        <is>
          <t>35歳 転職 未経験 男性</t>
        </is>
      </c>
      <c r="E118" s="35" t="n">
        <v>5</v>
      </c>
      <c r="F118" s="36" t="n">
        <v>5.502183406113537</v>
      </c>
      <c r="G118" s="47" t="inlineStr">
        <is>
          <t>なし</t>
        </is>
      </c>
      <c r="H118" s="47" t="inlineStr">
        <is>
          <t>可</t>
        </is>
      </c>
      <c r="I118" s="10" t="inlineStr">
        <is>
          <t>Q. 35歳以上で未経験職種に転職する際、企業が最も懸念する点は何ですか？
A. 企業が懸念するのは、年齢に応じた給与や役職を求める一方で、新しい環境で一から学ぶ柔軟性があるかという点です。実務経験がないことに対するギャップを受け入れ、学ぶ意欲があるかどうかが見られます。前向きな姿勢と謙虚さをしっかり伝えることが大切です。
Q. 35歳からの未経験転職で、最も成功しやすい業界や職種は何ですか？
A. 成功しやすいのは、人手不足が深刻な業界や、これまでの経験で培ったスキルを活かせる職種です。ITインフラエンジニア、介護・医療、インサイドセールスやBtoB営業など、意欲や対人能力が重視される分野で、過去の課題解決力をどのように活かせるかを論理的に伝えると良いでしょう。
ぜひご相談ください。問い合わせ先は下記
https://dym.asia/contact/?sid=681795991
Q. 未経験転職の面接で、「なぜこの年齢でキャリアチェンジするのか」と聞かれたら、どう答えるべきですか？
A. 「前職での経験を活かしつつ、新しい分野でより貢献したい」という前向きな理由を伝えます。たとえば、「これまで培った〇〇という強みを御社の△△という成長分野で活かし、さらにキャリアを広げたい」といったように、自己成長と企業への貢献を結びつけて話すと、意欲の高さが伝わります。
株式会社DYMでは、求職者様に対して様々な就職支援サービスを提供しております。
お問い合わせはこちら↓
https://dym.asia/media/recruiting-contact/</t>
        </is>
      </c>
      <c r="J118" s="47" t="n"/>
      <c r="K118" s="47" t="inlineStr">
        <is>
          <t>未確認</t>
        </is>
      </c>
      <c r="L118" s="47" t="inlineStr">
        <is>
          <t>未確認</t>
        </is>
      </c>
      <c r="M118" s="47" t="n"/>
      <c r="N118" s="47" t="n"/>
      <c r="O118" s="47" t="n"/>
      <c r="P118" s="47" t="n"/>
      <c r="Q118" s="47" t="n"/>
      <c r="R118" s="47" t="n"/>
      <c r="S118" s="47" t="n"/>
      <c r="T118" s="47" t="n"/>
      <c r="U118" s="47" t="n"/>
      <c r="V118" s="47" t="n"/>
      <c r="W118" s="47" t="n"/>
      <c r="X118" s="47" t="n"/>
      <c r="Y118" s="47" t="n"/>
      <c r="Z118" s="47" t="n"/>
    </row>
    <row r="119" ht="15.75" customHeight="1" s="185">
      <c r="A119" s="52">
        <f>row()-3</f>
        <v/>
      </c>
      <c r="B119" s="46" t="inlineStr">
        <is>
          <t>40代未経験の仕事で正社員に採用される方法</t>
        </is>
      </c>
      <c r="C119" s="6" t="inlineStr">
        <is>
          <t>https://dym.asia/media/recruiting/40s-job-change-inexperienced/</t>
        </is>
      </c>
      <c r="D119" s="47" t="inlineStr">
        <is>
          <t>40代 未経験 転職</t>
        </is>
      </c>
      <c r="E119" s="35" t="n">
        <v>5</v>
      </c>
      <c r="F119" s="36" t="n">
        <v>4.710424710424711</v>
      </c>
      <c r="G119" s="47" t="inlineStr">
        <is>
          <t>なし</t>
        </is>
      </c>
      <c r="H119" s="47" t="inlineStr">
        <is>
          <t>可</t>
        </is>
      </c>
      <c r="I119" s="10" t="inlineStr">
        <is>
          <t>Q. 40代の未経験転職で、企業が最も重視し、アピールすべき経験は何ですか？
A. 40代の未経験転職では、専門スキル以上に前職で培ったマネジメント経験や課題解決能力、折衝力、責任感や粘り強さといったポータブルスキルやヒューマンスキルが評価されます。これらを具体的なエピソードで示し、新しい仕事でどう活かせるかを伝えることが重要です。
Q. 40代で未経験の職種に転職する場合、年収ダウンは覚悟すべきですか？
A. はい、未経験の分野ではスタート時に経験者より年収が下がるケースが多いです。しかし重要なのは、その企業で将来的にどれだけ成長できるか、年収アップの可能性があるかです。給与よりも、新しいスキルを学べる環境や会社の将来性を重視して判断しましょう。
Q. 40代の未経験転職を成功させるために、最も効果的な活動方法は何ですか？
A. 転職エージェントの活用が効果的です。40代の未経験求人は非公開のものも多く、エージェントはあなたの強みを理解し、企業に適切に推薦してくれます。また、**「なぜ今、未経験分野に挑戦したいのか」**を論理的かつ前向きに説明できる準備をしておくことが成功のポイントです。
株式会社DYMでは、求職者様に対して様々な就職支援サービスを提供しております。
お問い合わせはこちら↓
https://dym.asia/media/recruiting-contact/</t>
        </is>
      </c>
      <c r="J119" s="47" t="n"/>
      <c r="K119" s="47" t="inlineStr">
        <is>
          <t>未確認</t>
        </is>
      </c>
      <c r="L119" s="47" t="inlineStr">
        <is>
          <t>未確認</t>
        </is>
      </c>
      <c r="M119" s="47" t="n"/>
      <c r="N119" s="47" t="n"/>
      <c r="O119" s="47" t="n"/>
      <c r="P119" s="47" t="n"/>
      <c r="Q119" s="47" t="n"/>
      <c r="R119" s="47" t="n"/>
      <c r="S119" s="47" t="n"/>
      <c r="T119" s="47" t="n"/>
      <c r="U119" s="47" t="n"/>
      <c r="V119" s="47" t="n"/>
      <c r="W119" s="47" t="n"/>
      <c r="X119" s="47" t="n"/>
      <c r="Y119" s="47" t="n"/>
      <c r="Z119" s="47" t="n"/>
    </row>
    <row r="120" ht="15.75" customHeight="1" s="185">
      <c r="A120" s="52">
        <f>row()-3</f>
        <v/>
      </c>
      <c r="B120" s="46" t="inlineStr">
        <is>
          <t>Web広告運用のフリーランス、案件の取り方と年収相場</t>
        </is>
      </c>
      <c r="C120" s="6" t="inlineStr">
        <is>
          <t>https://dym.asia/media/recruiting/ad-ope-freelance/</t>
        </is>
      </c>
      <c r="D120" s="47" t="inlineStr">
        <is>
          <t>広告運用 フリーランス</t>
        </is>
      </c>
      <c r="E120" s="35" t="n">
        <v>5</v>
      </c>
      <c r="F120" s="36" t="n">
        <v>10.53932584269663</v>
      </c>
      <c r="G120" s="47" t="inlineStr">
        <is>
          <t>なし</t>
        </is>
      </c>
      <c r="H120" s="47" t="inlineStr">
        <is>
          <t>可</t>
        </is>
      </c>
      <c r="I120" s="10" t="inlineStr">
        <is>
          <t>Q. 広告運用フリーランスになるために、必須の資格やスキルは何ですか？
 A. 必須の資格はありませんが、Google広告認定資格やSNS広告の認定資格は知識の証明になります。最も重要なのは、広告運用の経験と具体的な成果です。特に、データ分析をもとに改善策を考え、ROIを向上させた実績をポートフォリオで示せると信頼性が高まります。
Q. 広告運用フリーランスの平均的な案件単価や収入の目安はどれくらいですか？
A. 単価は案件の規模や難易度、経験によって変わりますが、目安として月額5万円から30万円程度の案件が多いです。大規模な予算を任される場合や経験豊富な場合は、さらに高額になることもあります。収入は、どれだけ安定して案件を獲得できるかにかかっています。
Q. 会社員から広告運用フリーランスへ転身する際、最初に準備すべきことは何ですか？
A. まず、これまでの運用実績をまとめたポートフォリオを作ること、個人事業主としての開業届や税金の知識を身につけることが大切です。加えて、クラウドソーシングやエージェントサービスに登録して、初期の案件獲得ルートを確保しておくと安心です。
株式会社DYMでは、求職者様に対して様々な就職支援サービスを提供しております。
お問い合わせはこちら↓
https://dym.asia/media/recruiting-contact/</t>
        </is>
      </c>
      <c r="J120" s="47" t="n"/>
      <c r="K120" s="47" t="inlineStr">
        <is>
          <t>未確認</t>
        </is>
      </c>
      <c r="L120" s="47" t="inlineStr">
        <is>
          <t>未確認</t>
        </is>
      </c>
      <c r="M120" s="47" t="n"/>
      <c r="N120" s="47" t="n"/>
      <c r="O120" s="47" t="n"/>
      <c r="P120" s="47" t="n"/>
      <c r="Q120" s="47" t="n"/>
      <c r="R120" s="47" t="n"/>
      <c r="S120" s="47" t="n"/>
      <c r="T120" s="47" t="n"/>
      <c r="U120" s="47" t="n"/>
      <c r="V120" s="47" t="n"/>
      <c r="W120" s="47" t="n"/>
      <c r="X120" s="47" t="n"/>
      <c r="Y120" s="47" t="n"/>
      <c r="Z120" s="47" t="n"/>
    </row>
    <row r="121" ht="15.75" customHeight="1" s="185">
      <c r="A121" s="52">
        <f>row()-3</f>
        <v/>
      </c>
      <c r="B121" s="46" t="inlineStr">
        <is>
          <t>転職の相談は誰に？悩みを解決する窓口を紹介</t>
        </is>
      </c>
      <c r="C121" s="6" t="inlineStr">
        <is>
          <t>https://dym.asia/media/recruiting/career-advice-contact/</t>
        </is>
      </c>
      <c r="D121" s="47" t="inlineStr">
        <is>
          <t>転職 悩み 相談</t>
        </is>
      </c>
      <c r="E121" s="35" t="n">
        <v>5</v>
      </c>
      <c r="F121" s="36" t="n">
        <v>6.467362924281984</v>
      </c>
      <c r="G121" s="47" t="inlineStr">
        <is>
          <t>なし</t>
        </is>
      </c>
      <c r="H121" s="47" t="inlineStr">
        <is>
          <t>可</t>
        </is>
      </c>
      <c r="I121" s="10" t="inlineStr">
        <is>
          <t>Q. キャリアアドバイザーに連絡する際の適切な頻度はどれくらいですか？　
A. 連絡の頻度は、転職活動の進み具合に合わせて調整するのが良いでしょう。活動の初期や選考が集中している時期は、週に一度程度、進捗報告や相談をするとスムーズです。特に伝えることがない場合でも、2週間に一度程度は近況を伝えることで、アドバイザーとの連携を保ち、良い求人の紹介を逃さないようにできます。
Q. 忙しいアドバイザーに遠慮してしまい、なかなか連絡ができません。どうすべきですか？
A. 遠慮は必要ありません。アドバイザーはあなたの転職をサポートするのが仕事です。要点をまとめて簡潔にメールやチャットで連絡すれば負担も少なくなります。求人紹介や面接対策など、必要なサポートは遠慮せず具体的に相談することが、転職成功への近道です。
お気軽にご相談ください。問い合わせ先は下記
https://dym.asia/contact/?sid=681795991
Q. キャリアアドバイザーに「選考で落ちた理由」を尋ねる際、どのような点に注意すべきですか？　　　　　　　　　　　　　　　　　　　　　　　　　　　　　　　　　　　　　　A. 尋ねるときは感情的にならず、「今後の選考に活かしたい」という前向きな姿勢を示すことが大切です。企業から具体的なフィードバックが得られない場合もあるので、**「可能であれば、改善点を教えていただけますか」**と丁寧に依頼しましょう。もらった意見は素直に受け止め、次に活かすことが重要です。
株式会社DYMでは、求職者様に対して様々な就職支援サービスを提供しております。
お問い合わせはこちら↓
https://dym.asia/media/recruiting-contact/</t>
        </is>
      </c>
      <c r="J121" s="47" t="n"/>
      <c r="K121" s="47" t="inlineStr">
        <is>
          <t>未確認</t>
        </is>
      </c>
      <c r="L121" s="47" t="inlineStr">
        <is>
          <t>未確認</t>
        </is>
      </c>
      <c r="M121" s="47" t="n"/>
      <c r="N121" s="47" t="n"/>
      <c r="O121" s="47" t="n"/>
      <c r="P121" s="47" t="n"/>
      <c r="Q121" s="47" t="n"/>
      <c r="R121" s="47" t="n"/>
      <c r="S121" s="47" t="n"/>
      <c r="T121" s="47" t="n"/>
      <c r="U121" s="47" t="n"/>
      <c r="V121" s="47" t="n"/>
      <c r="W121" s="47" t="n"/>
      <c r="X121" s="47" t="n"/>
      <c r="Y121" s="47" t="n"/>
      <c r="Z121" s="47" t="n"/>
    </row>
    <row r="122" ht="15.75" customHeight="1" s="185">
      <c r="A122" s="52">
        <f>row()-3</f>
        <v/>
      </c>
      <c r="B122" s="46" t="inlineStr">
        <is>
          <t>合同企業説明会の持ち物準備とポイントを解説</t>
        </is>
      </c>
      <c r="C122" s="6" t="inlineStr">
        <is>
          <t>https://dym.asia/media/recruiting/career-fair-bringing/</t>
        </is>
      </c>
      <c r="D122" s="47" t="inlineStr">
        <is>
          <t>合同説明会 履歴書</t>
        </is>
      </c>
      <c r="E122" s="35" t="n">
        <v>5</v>
      </c>
      <c r="F122" s="36" t="n">
        <v>4.096774193548387</v>
      </c>
      <c r="G122" s="47" t="inlineStr">
        <is>
          <t>あり</t>
        </is>
      </c>
      <c r="H122" s="47" t="inlineStr">
        <is>
          <t>不可</t>
        </is>
      </c>
      <c r="I122" s="47" t="n"/>
      <c r="J122" s="47" t="n"/>
      <c r="K122" s="47" t="inlineStr">
        <is>
          <t>未確認</t>
        </is>
      </c>
      <c r="L122" s="47" t="inlineStr">
        <is>
          <t>未確認</t>
        </is>
      </c>
      <c r="M122" s="47" t="n"/>
      <c r="N122" s="47" t="n"/>
      <c r="O122" s="47" t="n"/>
      <c r="P122" s="47" t="n"/>
      <c r="Q122" s="47" t="n"/>
      <c r="R122" s="47" t="n"/>
      <c r="S122" s="47" t="n"/>
      <c r="T122" s="47" t="n"/>
      <c r="U122" s="47" t="n"/>
      <c r="V122" s="47" t="n"/>
      <c r="W122" s="47" t="n"/>
      <c r="X122" s="47" t="n"/>
      <c r="Y122" s="47" t="n"/>
      <c r="Z122" s="47" t="n"/>
    </row>
    <row r="123" ht="15.75" customHeight="1" s="185">
      <c r="A123" s="52">
        <f>row()-3</f>
        <v/>
      </c>
      <c r="B123" s="46" t="inlineStr">
        <is>
          <t>第二新卒と既卒の違いとは？どちらが有利？意味や就職成功のポイントを解説</t>
        </is>
      </c>
      <c r="C123" s="6" t="inlineStr">
        <is>
          <t>https://dym.asia/media/recruiting/differance-former/</t>
        </is>
      </c>
      <c r="D123" s="47" t="inlineStr">
        <is>
          <t>既卒 第二新卒 どちらが有利</t>
        </is>
      </c>
      <c r="E123" s="35" t="n">
        <v>5</v>
      </c>
      <c r="F123" s="36" t="n">
        <v>2.216216216216216</v>
      </c>
      <c r="G123" s="47" t="inlineStr">
        <is>
          <t>なし</t>
        </is>
      </c>
      <c r="H123" s="47" t="inlineStr">
        <is>
          <t>可</t>
        </is>
      </c>
      <c r="I123" s="10" t="inlineStr">
        <is>
          <t>Q. 履歴書と職務経歴書は、転職活動においてどのように使い分けるのが一般的ですか？
A. 履歴書は氏名や学歴、職歴、志望動機など、基本情報を簡潔に伝えるための文書です。一方、職務経歴書はこれまでの仕事内容や具体的な実績、身につけたスキルを詳しく示すもので、即戦力としての魅力を伝える役割があります。通常は、この二つをセットで提出します。
Q. 職務経歴書は、どのような形式（編年体式・キャリア式）で作成するのが最も効果的ですか？
A. 一般的には、時系列で職歴を整理する編年体式が分かりやすく使われます。ただし、転職回数が多い場合やキャリアチェンジを目指す場合は、特定のスキルや経験を強調できるキャリア式の方が有効です。応募する職種に合わせて選びましょう。
Q. 職務経歴書の枚数は、多いほうが熱意が伝わりますか？適切な目安を教えてください。　　　　　　　　　　　　　　　　　　　　　　　　　　　　　　　　　　　　　　　A. A4用紙2枚程度にまとめるのが適切です。多すぎると読む側の負担が増え、重要な情報が埋もれてしまうことがあります。大切なのは熱意よりも、応募職種に活かせる経験と実績を、簡潔かつ分かりやすく伝えることです。
株式会社DYMでは、求職者様に対して様々な就職支援サービスを提供しております。
お問い合わせはこちら↓
https://dym.asia/media/recruiting-contact/</t>
        </is>
      </c>
      <c r="J123" s="47" t="n"/>
      <c r="K123" s="47" t="inlineStr">
        <is>
          <t>未確認</t>
        </is>
      </c>
      <c r="L123" s="47" t="inlineStr">
        <is>
          <t>未確認</t>
        </is>
      </c>
      <c r="M123" s="47" t="n"/>
      <c r="N123" s="47" t="n"/>
      <c r="O123" s="47" t="n"/>
      <c r="P123" s="47" t="n"/>
      <c r="Q123" s="47" t="n"/>
      <c r="R123" s="47" t="n"/>
      <c r="S123" s="47" t="n"/>
      <c r="T123" s="47" t="n"/>
      <c r="U123" s="47" t="n"/>
      <c r="V123" s="47" t="n"/>
      <c r="W123" s="47" t="n"/>
      <c r="X123" s="47" t="n"/>
      <c r="Y123" s="47" t="n"/>
      <c r="Z123" s="47" t="n"/>
    </row>
    <row r="124" ht="15.75" customHeight="1" s="185">
      <c r="A124" s="52">
        <f>row()-3</f>
        <v/>
      </c>
      <c r="B124" s="46" t="inlineStr">
        <is>
          <t>既卒とは？新卒・中途との違いや就活のポイントを解説</t>
        </is>
      </c>
      <c r="C124" s="6" t="inlineStr">
        <is>
          <t>https://dym.asia/media/recruiting/former-graduate/</t>
        </is>
      </c>
      <c r="D124" s="47" t="inlineStr">
        <is>
          <t>既卒 新卒 違い</t>
        </is>
      </c>
      <c r="E124" s="35" t="n">
        <v>5</v>
      </c>
      <c r="F124" s="36" t="n">
        <v>3.08</v>
      </c>
      <c r="G124" s="47" t="inlineStr">
        <is>
          <t>なし</t>
        </is>
      </c>
      <c r="H124" s="47" t="inlineStr">
        <is>
          <t>可</t>
        </is>
      </c>
      <c r="I124" s="10" t="inlineStr">
        <is>
          <t>Q. 既卒での就職活動は、新卒や中途と比べて不利になりますか？
A. 最近は既卒に対する理解も進んでいますが、卒業後の空白期間については必ず質問されます。不利にならないようにするには、その期間に何をしていたか（資格取得や学習、ボランティアなど）を具体的に説明し、今働く意欲があることをしっかり伝えることが大切です。
Q. 既卒として応募する際、履歴書やエントリーシートで「学歴」と「職歴」はどのように記載すべきですか？
A. 学歴欄には最終学歴までを記載します。職歴がなければ「なし」と書くのが基本です。ただ、アルバイトや正社員に準じる経験があれば、自己PR欄などでどのように活かせるかを示すと好印象です。
Q. 既卒の就職活動を成功させるために、最も効果的な活動方法は何ですか？
A. 既卒や第二新卒向けの求人に特化した転職エージェントや就職支援サービスを活用するのが有効です。既卒を積極採用する企業の情報を得やすく、空白期間の説明や書類添削、面接対策などもサポートしてもらえるため、効率よく活動できます。
株式会社DYMでは、求職者様に対して様々な就職支援サービスを提供しております。
お問い合わせはこちら↓
https://dym.asia/media/recruiting-contact/</t>
        </is>
      </c>
      <c r="J124" s="47" t="n"/>
      <c r="K124" s="47" t="inlineStr">
        <is>
          <t>未確認</t>
        </is>
      </c>
      <c r="L124" s="47" t="inlineStr">
        <is>
          <t>未確認</t>
        </is>
      </c>
      <c r="M124" s="47" t="n"/>
      <c r="N124" s="47" t="n"/>
      <c r="O124" s="47" t="n"/>
      <c r="P124" s="47" t="n"/>
      <c r="Q124" s="47" t="n"/>
      <c r="R124" s="47" t="n"/>
      <c r="S124" s="47" t="n"/>
      <c r="T124" s="47" t="n"/>
      <c r="U124" s="47" t="n"/>
      <c r="V124" s="47" t="n"/>
      <c r="W124" s="47" t="n"/>
      <c r="X124" s="47" t="n"/>
      <c r="Y124" s="47" t="n"/>
      <c r="Z124" s="47" t="n"/>
    </row>
    <row r="125" ht="15.75" customHeight="1" s="185">
      <c r="A125" s="52">
        <f>row()-3</f>
        <v/>
      </c>
      <c r="B125" s="46" t="inlineStr">
        <is>
          <t>第二新卒の職務経歴書の書き方、実績と職務要約の見本</t>
        </is>
      </c>
      <c r="C125" s="6" t="inlineStr">
        <is>
          <t>https://dym.asia/media/recruiting/former-resume2/</t>
        </is>
      </c>
      <c r="D125" s="47" t="inlineStr">
        <is>
          <t>職務経歴書 第二新卒</t>
        </is>
      </c>
      <c r="E125" s="35" t="n">
        <v>5</v>
      </c>
      <c r="F125" s="36" t="n">
        <v>16.15254237288136</v>
      </c>
      <c r="G125" s="47" t="inlineStr">
        <is>
          <t>なし</t>
        </is>
      </c>
      <c r="H125" s="47" t="inlineStr">
        <is>
          <t>可</t>
        </is>
      </c>
      <c r="I125" s="10" t="inlineStr">
        <is>
          <t>Q. 職務経歴書に記載する「実績」は、具体的にどのように書くのが効果的ですか？
A. 実績は、状況や課題、行動、結果を順に整理する「STARの法則」を使い、具体的な数字や事例を入れると効果的です。「売上を15％向上させた」「コストを20万円削減した」など、自分の行動とそれが企業にもたらした価値をはっきり伝えましょう。
Q. 転職回数が多い場合、職務経歴書はすべて正直に書くべきですか？また、どのようにまとめれば良いですか？
A. すべての職歴は正直に書くべきです。隠すと経歴詐称のリスクがあります。転職が多い場合は、時系列で並べる「編年体式」より、応募職種に活かせる経験をまとめて強調できる「キャリア式」の方が、一貫したキャリアプランがあることを伝えやすくなります。
Q. 職務経歴書に、退職理由や志望動機を詳しく記載する必要はありますか？
A. 志望動機は、特にアピールしたい場合に詳しく書くと効果的です。退職理由は簡潔に、前向きな表現にまとめるのが基本です。「キャリアアップのため」「新しいスキルを習得したいため」など、未来志向で書き、ネガティブな内容は面接で補足しましょう。
株式会社DYMでは、求職者様に対して様々な就職支援サービスを提供しております。
お問い合わせはこちら↓
https://dym.asia/media/recruiting-contact/</t>
        </is>
      </c>
      <c r="J125" s="47" t="n"/>
      <c r="K125" s="47" t="inlineStr">
        <is>
          <t>未確認</t>
        </is>
      </c>
      <c r="L125" s="47" t="inlineStr">
        <is>
          <t>未確認</t>
        </is>
      </c>
      <c r="M125" s="47" t="n"/>
      <c r="N125" s="47" t="n"/>
      <c r="O125" s="47" t="n"/>
      <c r="P125" s="47" t="n"/>
      <c r="Q125" s="47" t="n"/>
      <c r="R125" s="47" t="n"/>
      <c r="S125" s="47" t="n"/>
      <c r="T125" s="47" t="n"/>
      <c r="U125" s="47" t="n"/>
      <c r="V125" s="47" t="n"/>
      <c r="W125" s="47" t="n"/>
      <c r="X125" s="47" t="n"/>
      <c r="Y125" s="47" t="n"/>
      <c r="Z125" s="47" t="n"/>
    </row>
    <row r="126" ht="15.75" customHeight="1" s="185">
      <c r="A126" s="52">
        <f>row()-3</f>
        <v/>
      </c>
      <c r="B126" s="46" t="inlineStr">
        <is>
          <t>インターン採用完全ガイド｜採用直結型の意味や、メリット・デメリットを解説</t>
        </is>
      </c>
      <c r="C126" s="6" t="inlineStr">
        <is>
          <t>https://dym.asia/media/recruiting/internship-recruitment/</t>
        </is>
      </c>
      <c r="D126" s="47" t="inlineStr">
        <is>
          <t>インターン採用とは</t>
        </is>
      </c>
      <c r="E126" s="35" t="n">
        <v>5</v>
      </c>
      <c r="F126" s="36" t="n">
        <v>2.016393442622951</v>
      </c>
      <c r="G126" s="47" t="inlineStr">
        <is>
          <t>なし</t>
        </is>
      </c>
      <c r="H126" s="47" t="inlineStr">
        <is>
          <t>可</t>
        </is>
      </c>
      <c r="I126" s="10" t="inlineStr">
        <is>
          <t>Q. インターンシップに参加することは、その後の本選考で必ず有利になりますか？
A. 参加したからといって内定が保証されるわけではありませんが、本選考を有利に進めるための大きなチャンスになります。企業理解が深いと評価されたり、早期選考に案内されたりすることが多く、効率よく選考を進めるために非常に有効です。DYMでも実施していますので、ぜひご検討ください。
Q. 1dayの短期インターンシップと、数週間〜数ヶ月の長期インターンシップの違いは何ですか？
A. 短期インターンは、企業や業界の理解を深める説明会やワークショップのような形式が多いです。長期インターンは、実際の業務に携わりながら企業とのマッチングを深く確認できるため、選考への影響度は一般的に高くなります。
Q. インターンシップの選考で、企業はどのような点を重視して評価しますか？
A. 企業は主体性、コミュニケーション能力、論理的思考力、そして企業や事業への関心度を重視します。特にグループワークでは、チームでの役割や貢献の仕方、課題解決への取り組み方が見られます。受け身にならず、積極的に行動することが大切です。
株式会社DYMでは、求職者様に対して様々な就職支援サービスを提供しております。
お問い合わせはこちら↓
https://dym.asia/media/recruiting-contact/</t>
        </is>
      </c>
      <c r="J126" s="47" t="n"/>
      <c r="K126" s="47" t="inlineStr">
        <is>
          <t>未確認</t>
        </is>
      </c>
      <c r="L126" s="47" t="inlineStr">
        <is>
          <t>未確認</t>
        </is>
      </c>
      <c r="M126" s="47" t="n"/>
      <c r="N126" s="47" t="n"/>
      <c r="O126" s="47" t="n"/>
      <c r="P126" s="47" t="n"/>
      <c r="Q126" s="47" t="n"/>
      <c r="R126" s="47" t="n"/>
      <c r="S126" s="47" t="n"/>
      <c r="T126" s="47" t="n"/>
      <c r="U126" s="47" t="n"/>
      <c r="V126" s="47" t="n"/>
      <c r="W126" s="47" t="n"/>
      <c r="X126" s="47" t="n"/>
      <c r="Y126" s="47" t="n"/>
      <c r="Z126" s="47" t="n"/>
    </row>
    <row r="127" ht="15.75" customHeight="1" s="185">
      <c r="A127" s="52">
        <f>row()-3</f>
        <v/>
      </c>
      <c r="B127" s="46" t="inlineStr">
        <is>
          <t>インターンとは？種類、選び方、メリット・デメリットについて徹底解説</t>
        </is>
      </c>
      <c r="C127" s="6" t="inlineStr">
        <is>
          <t>https://dym.asia/media/recruiting/internship/</t>
        </is>
      </c>
      <c r="D127" s="47" t="inlineStr">
        <is>
          <t>dym インターン</t>
        </is>
      </c>
      <c r="E127" s="35" t="n">
        <v>5</v>
      </c>
      <c r="F127" s="36" t="n">
        <v>13.57246376811594</v>
      </c>
      <c r="G127" s="47" t="inlineStr">
        <is>
          <t>なし</t>
        </is>
      </c>
      <c r="H127" s="47" t="inlineStr">
        <is>
          <t>可</t>
        </is>
      </c>
      <c r="I127" s="10" t="inlineStr">
        <is>
          <t>Q. インターンシップに参加する一番のメリットは何ですか？
A. 一番のメリットは、業界や企業の実態を深く知れることと、自己分析を進められることです。実際に働くことで、パンフレットやWebサイトでは分からない社内の雰囲気や社員の働き方、仕事のやりがいを肌で感じられ、本当に自分に合う企業を見極めるための大切な判断材料になります。DYMでも実施していますので、ぜひご応募ください。
Q.インターンシップに参加する時期は、大学何年生のいつ頃が最適ですか？
A. 一般的には大学3年生の夏（サマーインターン）が最も多く、最適とされています。ただ、就活の早期化により、1・2年生から業界研究を兼ねて短期インターンに参加する学生も増えています。迷った場合は、まず短期インターンで情報収集から始めるのがおすすめです。
Q. インターンシップに参加する際、選考優遇や内定に直結することを期待しても良いですか？
A. 長期や選抜型のインターンでは、参加者限定の早期選考や本選考の一部免除など、優遇措置が受けられる場合があります。ただし、あくまで選考の一環として考え、常に意欲的に取り組むことが大切です。
株式会社DYMでは、求職者様に対して様々な就職支援サービスを提供しております。
お問い合わせはこちら↓
https://dym.asia/media/recruiting-contact/</t>
        </is>
      </c>
      <c r="J127" s="47" t="n"/>
      <c r="K127" s="47" t="inlineStr">
        <is>
          <t>未確認</t>
        </is>
      </c>
      <c r="L127" s="47" t="inlineStr">
        <is>
          <t>未確認</t>
        </is>
      </c>
      <c r="M127" s="47" t="n"/>
      <c r="N127" s="47" t="n"/>
      <c r="O127" s="47" t="n"/>
      <c r="P127" s="47" t="n"/>
      <c r="Q127" s="47" t="n"/>
      <c r="R127" s="47" t="n"/>
      <c r="S127" s="47" t="n"/>
      <c r="T127" s="47" t="n"/>
      <c r="U127" s="47" t="n"/>
      <c r="V127" s="47" t="n"/>
      <c r="W127" s="47" t="n"/>
      <c r="X127" s="47" t="n"/>
      <c r="Y127" s="47" t="n"/>
      <c r="Z127" s="47" t="n"/>
    </row>
    <row r="128" ht="15.75" customHeight="1" s="185">
      <c r="A128" s="52">
        <f>row()-3</f>
        <v/>
      </c>
      <c r="B128" s="46" t="inlineStr">
        <is>
          <t>自己PRの書き方例文集｜履歴書・面接で効果的にアピール</t>
        </is>
      </c>
      <c r="C128" s="6" t="inlineStr">
        <is>
          <t>https://dym.asia/media/recruiting/self-pr/</t>
        </is>
      </c>
      <c r="D128" s="47" t="inlineStr">
        <is>
          <t>オープンキャンパススタッフ 自己pr</t>
        </is>
      </c>
      <c r="E128" s="35" t="n">
        <v>5</v>
      </c>
      <c r="F128" s="36" t="n">
        <v>4.990476190476191</v>
      </c>
      <c r="G128" s="47" t="inlineStr">
        <is>
          <t>なし</t>
        </is>
      </c>
      <c r="H128" s="47" t="inlineStr">
        <is>
          <t>可</t>
        </is>
      </c>
      <c r="I128" s="10" t="inlineStr">
        <is>
          <t>Q. 自己PRを作成する際、最も効果的な構成（流れ）は何ですか？
A. 効果的なのは、結論から始める「PREP法」や「STAR法」です。まず自分の強みを伝え、次に具体的なエピソードで裏付けます。そして最後に、その強みを活かして入社後にどう貢献できるかを簡潔に示すと、印象に残る自己PRになります。
Q. 応募職種と関係のないアルバイトや趣味の経験を自己PRに使っても良いですか？
A. はい、応募職種に活かせるスキルが身についた経験であれば問題ありません。たとえばアルバイトでのクレーム対応を通じて培った「粘り強さ」や「対人折衝力」を、具体的に仕事でどう活かせるか結びつけて話すと効果的です。
Q. 面接で自己PRを話す際、話す長さの適切な目安はどれくらいですか？
A. 1分から1分半程度が目安です。長すぎると飽きられ、短すぎると内容が薄く見えます。結論を先に伝え、伝えたいポイントを絞ることで、簡潔で印象的に強みを伝えられます。
株式会社DYMでは、求職者様に対して様々な就職支援サービスを提供しております。
お問い合わせはこちら↓
https://dym.asia/media/recruiting-contact/</t>
        </is>
      </c>
      <c r="J128" s="47" t="n"/>
      <c r="K128" s="47" t="inlineStr">
        <is>
          <t>未確認</t>
        </is>
      </c>
      <c r="L128" s="47" t="inlineStr">
        <is>
          <t>未確認</t>
        </is>
      </c>
      <c r="M128" s="47" t="n"/>
      <c r="N128" s="47" t="n"/>
      <c r="O128" s="47" t="n"/>
      <c r="P128" s="47" t="n"/>
      <c r="Q128" s="47" t="n"/>
      <c r="R128" s="47" t="n"/>
      <c r="S128" s="47" t="n"/>
      <c r="T128" s="47" t="n"/>
      <c r="U128" s="47" t="n"/>
      <c r="V128" s="47" t="n"/>
      <c r="W128" s="47" t="n"/>
      <c r="X128" s="47" t="n"/>
      <c r="Y128" s="47" t="n"/>
      <c r="Z128" s="47" t="n"/>
    </row>
    <row r="129" ht="15.75" customHeight="1" s="185">
      <c r="A129" s="52">
        <f>row()-3</f>
        <v/>
      </c>
      <c r="B129" s="46" t="inlineStr">
        <is>
          <t>派遣社員の年収はどれくらい？年収が高い職種や年収の上げ方を解説</t>
        </is>
      </c>
      <c r="C129" s="6" t="inlineStr">
        <is>
          <t>https://dym.asia/media/recruiting/dispatch-salary/</t>
        </is>
      </c>
      <c r="D129" s="47" t="inlineStr">
        <is>
          <t>派遣 事務 年収</t>
        </is>
      </c>
      <c r="E129" s="35" t="n">
        <v>4</v>
      </c>
      <c r="F129" s="36" t="n">
        <v>5.036231884057971</v>
      </c>
      <c r="G129" s="47" t="inlineStr">
        <is>
          <t>なし</t>
        </is>
      </c>
      <c r="H129" s="47" t="inlineStr">
        <is>
          <t>可</t>
        </is>
      </c>
      <c r="I129" s="47" t="inlineStr">
        <is>
          <t xml:space="preserve">Q. 派遣社員の給料はなぜ時給制が多いのですか？月給制の派遣はありますか？
A. 派遣社員の給料が時給制なのは、働いた時間に応じて正確に支払う仕組みだからです。ただし、常用型派遣や専門職派遣では安定した雇用が前提となるため、月給制が採用されることもあります。求人票でどちらかを確認しておくと安心です。
Q. 派遣社員の時給を上げるにはどうすれば良いですか？
A. 最も効果的なのは、市場価値の高いスキルや資格を身につけることです。例えば、高度なPCスキルや語学力、業界知識などです。また、契約更新の際には、業務実績やスキルアップの内容を具体的に伝え、時給交渉を行うことも重要です。
Q. 派遣社員でも賞与や退職金はもらえますか？
A. 以前は一般派遣では支給されませんでしたが、2020年4月の労働者派遣法改正により、一定の条件を満たす派遣社員は、賞与や退職金に相当する手当を受けられる場合があります。詳細は雇用形態や派遣会社の制度により異なるため、契約時に確認しましょう。
株式会社DYMでは、求職者の方にさまざまな就職支援サービスを提供しています。
詳しくはこちら↓
[https://dym.asia/media/recruiting-contact/](https://dym.asia/media/recruiting-contact/)
</t>
        </is>
      </c>
      <c r="J129" s="47" t="n"/>
      <c r="K129" s="47" t="inlineStr">
        <is>
          <t>未確認</t>
        </is>
      </c>
      <c r="L129" s="47" t="inlineStr">
        <is>
          <t>未確認</t>
        </is>
      </c>
      <c r="M129" s="47" t="n"/>
      <c r="N129" s="47" t="n"/>
      <c r="O129" s="47" t="n"/>
      <c r="P129" s="47" t="n"/>
      <c r="Q129" s="47" t="n"/>
      <c r="R129" s="47" t="n"/>
      <c r="S129" s="47" t="n"/>
      <c r="T129" s="47" t="n"/>
      <c r="U129" s="47" t="n"/>
      <c r="V129" s="47" t="n"/>
      <c r="W129" s="47" t="n"/>
      <c r="X129" s="47" t="n"/>
      <c r="Y129" s="47" t="n"/>
      <c r="Z129" s="47" t="n"/>
    </row>
    <row r="130" ht="15.75" customHeight="1" s="185">
      <c r="A130" s="52">
        <f>row()-3</f>
        <v/>
      </c>
      <c r="B130" s="46" t="inlineStr">
        <is>
          <t>長期インターンシップの探し方！成功するためのポイントは？</t>
        </is>
      </c>
      <c r="C130" s="10" t="inlineStr">
        <is>
          <t>https://dym.asia/media/recruiting/how-to-search-long-term-internship/</t>
        </is>
      </c>
      <c r="D130" s="47" t="inlineStr">
        <is>
          <t>長期インターン 探し方</t>
        </is>
      </c>
      <c r="E130" s="35" t="n">
        <v>4</v>
      </c>
      <c r="F130" s="36" t="n">
        <v>8.794846382556987</v>
      </c>
      <c r="G130" s="47" t="inlineStr">
        <is>
          <t>なし</t>
        </is>
      </c>
      <c r="H130" s="47" t="inlineStr">
        <is>
          <t>可</t>
        </is>
      </c>
      <c r="I130" s="47" t="inlineStr">
        <is>
          <t>Q. 長期インターンシップを探す際、給与の有無は重要ですか？
A. 給与の有無は、インターンの内容を判断する目安の一つです。給与が出る場合、企業が学生を戦力として評価していることが多く、より責任ある業務に携われる傾向があります。ただし、給与がなくても、得られる経験やスキルが将来に役立つなら十分価値があります。
Q. 長期インターンシップの応募で、特別なスキルや経験がない場合、何をアピールすべきですか？
A. スキルがなくても、「学ぶ意欲」「熱意」「成長可能性」を示すことが大切です。応募企業でどのように貢献したいかや、入社までに自主的に取り組んでいる学習内容などを伝えると、ポテンシャルを評価してもらいやすくなります。
Q. 長期インターンシップとアルバイトの最も大きな違いは何ですか？
A. アルバイトは決まった作業に対して報酬を得るのが目的ですが、長期インターンは仕事を通じて成長し、企業とのマッチングや採用選考にもつながる点が大きく異なります。実務経験を積みながら、より高度な業務に挑戦できるのが特徴です。
株式会社DYMでは、求職者様に対して様々な就職支援サービスを提供しております。
お問い合わせはこちら↓
https://dym.asia/media/recruiting-contact/</t>
        </is>
      </c>
      <c r="J130" s="47" t="n"/>
      <c r="K130" s="47" t="inlineStr">
        <is>
          <t>未確認</t>
        </is>
      </c>
      <c r="L130" s="47" t="inlineStr">
        <is>
          <t>未確認</t>
        </is>
      </c>
      <c r="M130" s="47" t="n"/>
      <c r="N130" s="47" t="n"/>
      <c r="O130" s="47" t="n"/>
      <c r="P130" s="47" t="n"/>
      <c r="Q130" s="47" t="n"/>
      <c r="R130" s="47" t="n"/>
      <c r="S130" s="47" t="n"/>
      <c r="T130" s="47" t="n"/>
      <c r="U130" s="47" t="n"/>
      <c r="V130" s="47" t="n"/>
      <c r="W130" s="47" t="n"/>
      <c r="X130" s="47" t="n"/>
      <c r="Y130" s="47" t="n"/>
      <c r="Z130" s="47" t="n"/>
    </row>
    <row r="131" ht="15.75" customHeight="1" s="185">
      <c r="A131" s="52">
        <f>row()-3</f>
        <v/>
      </c>
      <c r="B131" s="46" t="inlineStr">
        <is>
          <t>INTP（論理学者）の性格・特徴は？相性や向いている仕事も解説！</t>
        </is>
      </c>
      <c r="C131" s="6" t="inlineStr">
        <is>
          <t>https://dym.asia/media/recruiting/intp/#index-16PersonalitiesINTP16PersonalitiesINTPtoc</t>
        </is>
      </c>
      <c r="D131" s="47" t="inlineStr">
        <is>
          <t>intp 性格</t>
        </is>
      </c>
      <c r="E131" s="35" t="n">
        <v>4</v>
      </c>
      <c r="F131" s="36" t="n">
        <v>6.131705157529698</v>
      </c>
      <c r="G131" s="47" t="inlineStr">
        <is>
          <t>なし</t>
        </is>
      </c>
      <c r="H131" s="47" t="inlineStr">
        <is>
          <t>可</t>
        </is>
      </c>
      <c r="I131" s="10" t="inlineStr">
        <is>
          <t>Q. INTP型が就職活動の面接で、特にアピールすべき強みは何ですか？　　　　　　　　　　　　　　　　　　　　　　　　　　　　　　A. INTP型の強みは「論理的思考力」「分析力」「複雑な問題解決力」です。面接では、単に考えが深いことを示すだけでなく、「自分の分析や理論が実際に課題解決や成果につながった具体例」を交えて話すと効果的です。
Q. INTP型は「コミュニケーションが苦手」と見られがちですが、面接でどう克服すべきですか？　　　　　　　　　　　　　　　A.簡潔かつ論理的に話すことを意識し、「思考を整理して伝えている」と印象づけることが大切です。話す際はアイコンタクトを心がけ、熱意は表情ではなく、質問に対する深い洞察力で示しましょう。
Q. INTP型に適した仕事を選ぶ際、特に重視すべき企業文化や環境は何ですか？　　　　　　　　　　　　　　　　　　　　　　　A. 論理的な探求や創造的な活動に集中できる環境が向いています。少人数で専門性の高い仕事、自由な発想が奨励される職場、ルーティンに縛られない環境が理想です。研究職やITエンジニア、アナリスト、戦略コンサルタントなどが候補です。
株式会社DYMでは、求職者様に対して様々な就職支援サービスを提供しております。
お問い合わせはこちら↓
https://dym.asia/media/recruiting-contact/</t>
        </is>
      </c>
      <c r="J131" s="47" t="n"/>
      <c r="K131" s="47" t="inlineStr">
        <is>
          <t>未確認</t>
        </is>
      </c>
      <c r="L131" s="47" t="inlineStr">
        <is>
          <t>未確認</t>
        </is>
      </c>
      <c r="M131" s="47" t="n"/>
      <c r="N131" s="47" t="n"/>
      <c r="O131" s="47" t="n"/>
      <c r="P131" s="47" t="n"/>
      <c r="Q131" s="47" t="n"/>
      <c r="R131" s="47" t="n"/>
      <c r="S131" s="47" t="n"/>
      <c r="T131" s="47" t="n"/>
      <c r="U131" s="47" t="n"/>
      <c r="V131" s="47" t="n"/>
      <c r="W131" s="47" t="n"/>
      <c r="X131" s="47" t="n"/>
      <c r="Y131" s="47" t="n"/>
      <c r="Z131" s="47" t="n"/>
    </row>
    <row r="132" ht="15.75" customHeight="1" s="185">
      <c r="A132" s="52">
        <f>row()-3</f>
        <v/>
      </c>
      <c r="B132" s="46" t="inlineStr">
        <is>
          <t>新卒の面接の流れを知ろう！受付・入室・退室時のマナー</t>
        </is>
      </c>
      <c r="C132" s="6" t="inlineStr">
        <is>
          <t>https://dym.asia/media/recruiting/new-graduate-interview-flow/</t>
        </is>
      </c>
      <c r="D132" s="47" t="inlineStr">
        <is>
          <t>新卒 面接 流れ</t>
        </is>
      </c>
      <c r="E132" s="35" t="n">
        <v>4</v>
      </c>
      <c r="F132" s="36" t="n">
        <v>6.443037974683544</v>
      </c>
      <c r="G132" s="47" t="inlineStr">
        <is>
          <t>なし</t>
        </is>
      </c>
      <c r="H132" s="47" t="inlineStr">
        <is>
          <t>可</t>
        </is>
      </c>
      <c r="I132" s="10" t="inlineStr">
        <is>
          <t>Q. 面接で緊張して頭が真っ白になってしまった場合、どうすれば良いですか？
A. 緊張は誰にでもあることです。正直に「少し緊張しており、すぐに言葉が出ません。少々お時間をいただけますか」と伝えて構いません。深呼吸して落ち着き、質問の意図を整理してから、ゆっくり話し始めましょう。沈黙を恐れず、誠実さを示すことが大切です。
Q. 企業から「何か質問はありますか？」と逆質問をされた際、特に質問がない場合はどう答えるべきですか？
A. 「特にありません」と答えるのは避けましょう。例えば「選考を通して疑問は解消されました。ありがとうございます。入社までに準備すべきことや社風を理解するための参考資料があれば教えてください」といった、入社意欲を示す前向きな質問に切り替えると良いです。
Q. Web面接（オンライン面接）の場合、入室・退室時のノックやお辞儀は必要ですか？
A. ノックは不要ですが、接続後に面接官の顔が映ったら「本日はよろしくお願いします」と軽くお辞儀しましょう。終了後も「ありがとうございました」と一礼し、面接官が退出するのを確認してから静かに退室します。対面と同じく、丁寧な姿勢を意識することが大切です。
株式会社DYMでは、求職者様に対して様々な就職支援サービスを提供しております。
お問い合わせはこちら↓
https://dym.asia/media/recruiting-contact/</t>
        </is>
      </c>
      <c r="J132" s="47" t="n"/>
      <c r="K132" s="47" t="inlineStr">
        <is>
          <t>未確認</t>
        </is>
      </c>
      <c r="L132" s="47" t="inlineStr">
        <is>
          <t>未確認</t>
        </is>
      </c>
      <c r="M132" s="47" t="n"/>
      <c r="N132" s="47" t="n"/>
      <c r="O132" s="47" t="n"/>
      <c r="P132" s="47" t="n"/>
      <c r="Q132" s="47" t="n"/>
      <c r="R132" s="47" t="n"/>
      <c r="S132" s="47" t="n"/>
      <c r="T132" s="47" t="n"/>
      <c r="U132" s="47" t="n"/>
      <c r="V132" s="47" t="n"/>
      <c r="W132" s="47" t="n"/>
      <c r="X132" s="47" t="n"/>
      <c r="Y132" s="47" t="n"/>
      <c r="Z132" s="47" t="n"/>
    </row>
    <row r="133" ht="15.75" customHeight="1" s="185">
      <c r="A133" s="52">
        <f>row()-3</f>
        <v/>
      </c>
      <c r="B133" s="46" t="inlineStr">
        <is>
          <t>スカウトサービスとは？おすすめのスカウト型転職サイトや仕組み・特徴を詳しく解説</t>
        </is>
      </c>
      <c r="C133" s="6" t="inlineStr">
        <is>
          <t>https://dym.asia/media/recruiting/scouting_service/</t>
        </is>
      </c>
      <c r="D133" s="47" t="inlineStr">
        <is>
          <t>dymスカウト</t>
        </is>
      </c>
      <c r="E133" s="35" t="n">
        <v>4</v>
      </c>
      <c r="F133" s="36" t="n">
        <v>6.312796208530806</v>
      </c>
      <c r="G133" s="47" t="inlineStr">
        <is>
          <t>なし</t>
        </is>
      </c>
      <c r="H133" s="47" t="inlineStr">
        <is>
          <t>可</t>
        </is>
      </c>
      <c r="I133" s="10" t="inlineStr">
        <is>
          <t>Q. スカウトサービスと転職エージェントは併用すべきですか？
A. はい、併用がおすすめです。スカウトサービスは、自分では気づかない企業からのオファーを受けられ、市場価値を把握するのに役立ちます。一方で、転職エージェントは非公開求人の紹介や選考対策、条件交渉などをサポートしてくれます。両方を活用することで、情報の幅が広がり、転職成功の可能性を高められます。
Q. スカウトサービスに登録する際、現在の会社に転職活動がバレる可能性はありますか？     
A. 多くのサービスには企業ブロック機能があり、現在の勤務先など特定の企業に自分の情報を非公開にできます。登録時にはブロック設定を忘れずに行い、プロフィールに個人が特定できる情報を載せすぎないなどの自己防衛も大切です。
Q. スカウトの質や量を上げるために、プロフィールで工夫すべき点は何ですか？
A. 職務経歴は、業務内容・期間・成果を具体的に書くことが重要です。「売上〇％増」「コスト〇円削減」など、数字で成果を示すとわかりやすくなります。また、次に挑戦したいことや希望のキャリアを明記することで、企業があなたの人物像を判断しやすくなり、スカウトの質と量を高められます。
株式会社DYMでは、求職者様に対して様々な就職支援サービスを提供しております。
お問い合わせはこちら↓
https://dym.asia/media/recruiting-contact/</t>
        </is>
      </c>
      <c r="J133" s="47" t="n"/>
      <c r="K133" s="47" t="inlineStr">
        <is>
          <t>未確認</t>
        </is>
      </c>
      <c r="L133" s="47" t="inlineStr">
        <is>
          <t>未確認</t>
        </is>
      </c>
      <c r="M133" s="47" t="n"/>
      <c r="N133" s="47" t="n"/>
      <c r="O133" s="47" t="n"/>
      <c r="P133" s="47" t="n"/>
      <c r="Q133" s="47" t="n"/>
      <c r="R133" s="47" t="n"/>
      <c r="S133" s="47" t="n"/>
      <c r="T133" s="47" t="n"/>
      <c r="U133" s="47" t="n"/>
      <c r="V133" s="47" t="n"/>
      <c r="W133" s="47" t="n"/>
      <c r="X133" s="47" t="n"/>
      <c r="Y133" s="47" t="n"/>
      <c r="Z133" s="47" t="n"/>
    </row>
    <row r="134" ht="15.75" customHeight="1" s="185">
      <c r="A134" s="52">
        <f>row()-3</f>
        <v/>
      </c>
      <c r="B134" s="46" t="inlineStr">
        <is>
          <t>SPI対策｜能力検査・性格検査の対策方法を解説</t>
        </is>
      </c>
      <c r="C134" s="6" t="inlineStr">
        <is>
          <t>https://dym.asia/media/recruiting/spi-2/</t>
        </is>
      </c>
      <c r="D134" s="47" t="inlineStr">
        <is>
          <t>spi 性格検査 対策</t>
        </is>
      </c>
      <c r="E134" s="35" t="n">
        <v>4</v>
      </c>
      <c r="F134" s="36" t="n">
        <v>9.763565891472869</v>
      </c>
      <c r="G134" s="47" t="inlineStr">
        <is>
          <t>なし</t>
        </is>
      </c>
      <c r="H134" s="47" t="inlineStr">
        <is>
          <t>可</t>
        </is>
      </c>
      <c r="I134" s="47" t="inlineStr">
        <is>
          <t>Q. SPIの合格ライン（ボーダー）は企業によって異なりますか？また、目安となる正答率は何割くらいですか？
A. SPIの合格基準は企業や職種によって異なり、一律のボーダーはありません。一般的には能力検査で6～7割程度の正答率が目安ですが、人気の大手企業では8割以上を求められることもあります。志望企業の過去の傾向を確認して対策することが大切です。　
Q. 性格検査では、企業が求める人物像に合わせて回答を「盛る」べきですか？
A. 企業に合わせて回答を盛ると矛盾が生じ、虚偽回答を見抜く指標で判断される可能性があります。正直で一貫性のある回答を心がけ、自分の価値観と適性が反映される形で答えるのが最も重要です。
Q. 受検方法が複数ある中で、テストセンターとWebテスティングでは、どちらの対策を優先すべきですか？
A.現在、テストセンター形式が最も多く使われています。まずは制限時間内に解答できるようテストセンターの対策を優先し、基礎が固まった後にWebテスティング特有の問題形式への対応を並行すると効率的です。
Q. SPI対策に必要な勉強時間の目安はどのくらいですか？
A. 多くの内定者は30〜50時間程度を確保しています。特に非言語問題は慣れが必要なため、最低でも2週間〜1ヶ月かけ、問題集を2周することをおすすめします。早めに始めるほど基礎固めと苦手克服に余裕が持てます。
Q. 構造的把握力検査は、すべての企業で出題されますか？また、対策は必要ですか？
A. すべての企業で出るわけではなく、論理的思考や問題解決力を重視する一部の企業で採用されています。出題される可能性がある場合は対策を行い、頻出度が低い場合は言語・非言語の基本対策を優先しましょう。
株式会社DYMでは、求職者様に対して様々な就職支援サービスを提供しております。
お問い合わせはこちら↓
https://dym.asia/media/recruiting-contact/</t>
        </is>
      </c>
      <c r="J134" s="47" t="n"/>
      <c r="K134" s="47" t="inlineStr">
        <is>
          <t>未確認</t>
        </is>
      </c>
      <c r="L134" s="47" t="inlineStr">
        <is>
          <t>未確認</t>
        </is>
      </c>
      <c r="M134" s="47" t="n"/>
      <c r="N134" s="47" t="n"/>
      <c r="O134" s="47" t="n"/>
      <c r="P134" s="47" t="n"/>
      <c r="Q134" s="47" t="n"/>
      <c r="R134" s="47" t="n"/>
      <c r="S134" s="47" t="n"/>
      <c r="T134" s="47" t="n"/>
      <c r="U134" s="47" t="n"/>
      <c r="V134" s="47" t="n"/>
      <c r="W134" s="47" t="n"/>
      <c r="X134" s="47" t="n"/>
      <c r="Y134" s="47" t="n"/>
      <c r="Z134" s="47" t="n"/>
    </row>
    <row r="135" ht="15.75" customHeight="1" s="185">
      <c r="A135" s="52">
        <f>row()-3</f>
        <v/>
      </c>
      <c r="B135" s="46" t="inlineStr">
        <is>
          <t>30代で未経験での転職は厳しい？おすすめの業界・職種と成功に近付くポイント</t>
        </is>
      </c>
      <c r="C135" s="6" t="inlineStr">
        <is>
          <t>https://dym.asia/media/recruiting/30s-job-change-inexperienced/</t>
        </is>
      </c>
      <c r="D135" s="47" t="inlineStr">
        <is>
          <t>30代から目指せる職業</t>
        </is>
      </c>
      <c r="E135" s="35" t="n">
        <v>3</v>
      </c>
      <c r="F135" s="36" t="n">
        <v>8.311023622047244</v>
      </c>
      <c r="G135" s="47" t="inlineStr">
        <is>
          <t>なし</t>
        </is>
      </c>
      <c r="H135" s="47" t="inlineStr">
        <is>
          <t>可</t>
        </is>
      </c>
      <c r="I135" s="10" t="inlineStr">
        <is>
          <t>Q. 30代で未経験転職をする場合、年収はどの程度下がることを覚悟すべきですか？
A. 未経験分野への転職では、入社当初に前職より年収が下がることが多いです。特に異業種の場合は給与テーブルがリセットされ、若手社員と同じ水準になることもあります。しかし、30代で培った汎用スキルが評価されれば、半年〜1年で昇給のチャンスもあります。目先の年収より将来の成長やキャリアアップを重視して判断すると良いでしょう。
Q. 30代未経験転職で最も重要視される「ポータブルスキル」とは具体的に何ですか？
A. ポータブルスキルとは、業界や職種に関係なく活かせる汎用スキルのことです。特に重要なのは、問題解決力、対人関係力、目標達成力の3点です。面接では前職での具体的な経験や成果と結びつけて説明すると説得力が増します。
Q. 30代未経験で転職を成功させた人は、どのような業界・職種を選んでいますか？
A. 成長業界でポテンシャル採用に積極的な分野が狙い目です。ITエンジニア（インフラや保守）、介護・福祉、ルート営業、施工管理、カスタマーサポートなどが多く、研修制度が整っていて社会人経験を活かせる環境が揃っています。
Q. 30代の未経験転職で、最も評価されやすい職務経歴書の書き方を教えてください。
A. 「転職先で活かせる汎用スキル」を前面に出すことが大切です。前職の仕事内容をただ並べるのではなく、目標達成のために行った工夫や成果を具体的に示すことで、新しい職場でも貢献できる力を伝えられます。
Q. 30代未経験転職で「資格」はどの程度有利になりますか？おすすめの資格はありますか？
A. 資格は必須ではありませんが、学習意欲や入社意欲を示す手段として有効です。実務に直結するITパスポート、日商簿記2級、宅地建物取引士などが特に役立ちます。重要なのは資格を取得した過程で何を学び、それをどう活かすかを伝えることです。
株式会社DYMでは、求職者様に対して様々な就職支援サービスを提供しております。
お問い合わせはこちら↓
https://dym.asia/media/recruiting-contact/</t>
        </is>
      </c>
      <c r="J135" s="47" t="n"/>
      <c r="K135" s="47" t="inlineStr">
        <is>
          <t>未確認</t>
        </is>
      </c>
      <c r="L135" s="47" t="inlineStr">
        <is>
          <t>未確認</t>
        </is>
      </c>
      <c r="M135" s="47" t="n"/>
      <c r="N135" s="47" t="n"/>
      <c r="O135" s="47" t="n"/>
      <c r="P135" s="47" t="n"/>
      <c r="Q135" s="47" t="n"/>
      <c r="R135" s="47" t="n"/>
      <c r="S135" s="47" t="n"/>
      <c r="T135" s="47" t="n"/>
      <c r="U135" s="47" t="n"/>
      <c r="V135" s="47" t="n"/>
      <c r="W135" s="47" t="n"/>
      <c r="X135" s="47" t="n"/>
      <c r="Y135" s="47" t="n"/>
      <c r="Z135" s="47" t="n"/>
    </row>
    <row r="136" ht="15.75" customHeight="1" s="185">
      <c r="A136" s="52">
        <f>row()-3</f>
        <v/>
      </c>
      <c r="B136" s="46" t="inlineStr">
        <is>
          <t>適性検査「SPI」とは？就職活動で役立つ内容を解説</t>
        </is>
      </c>
      <c r="C136" s="6" t="inlineStr">
        <is>
          <t>https://dym.asia/media/recruiting/about-aptitude-test/</t>
        </is>
      </c>
      <c r="D136" s="47" t="inlineStr">
        <is>
          <t>dym 適性検査</t>
        </is>
      </c>
      <c r="E136" s="35" t="n">
        <v>3</v>
      </c>
      <c r="F136" s="36" t="n">
        <v>3.444444444444445</v>
      </c>
      <c r="G136" s="47" t="inlineStr">
        <is>
          <t>なし</t>
        </is>
      </c>
      <c r="H136" s="47" t="inlineStr">
        <is>
          <t>可</t>
        </is>
      </c>
      <c r="I136" s="10" t="inlineStr">
        <is>
          <t>Q. 適性検査には、能力検査と性格検査以外にどのような種類があり、企業は主に何を知りたいのですか？
A. 適性検査は、知的能力を測る「能力検査」と人柄や意欲を測る「性格検査」に分かれます。企業は能力検査で業務を遂行するための基礎力や処理能力を、性格検査で職場や職務との適性を確認したいと考えています。SPIや玉手箱、GABなど、検査によって測られる能力や出題形式に特徴があります。
Q. 性格検査で不合格になることはありますか？また、選考で落とされないためのポイントは何ですか？
A. 性格検査だけで不合格になることは少ないですが、企業が求める人物像とかけ離れすぎていたり、回答に矛盾が多い場合は評価が下がる可能性があります。大切なのは、企業が重視する特性を理解したうえで、正直かつ一貫性のある回答を心がけることです。極端な回答は避け、自己分析をしっかり行いましょう。
Q. 適性検査の対策はいつから始めるのが最適ですか？また、対策期間の目安はどのくらいですか？
A. 本格的な選考の1ヶ月半〜2ヶ月前から始めるのが目安です。能力検査は問題パターンに慣れることが重要で、30〜50時間ほど問題集を解くのが理想です。特に苦手分野がある場合は早めに取り組むことで、直前に焦ることなく対策できます。
Q. Webテスティングでの替え玉受験（カンニング）はバレる可能性はありますか？
A. 発覚するリスクが非常に高く、絶対に行ってはいけません。後の面接で本人確認の質問があったり、企業独自の再検査が行われたりすることがあります。不正が発覚すれば内定取り消しや今後の選考に大きく影響するため、実力で臨むことが大切です。
Q. SPI、玉手箱、GABなど、主要な適性検査の違いと、それぞれの対策のポイントを教えてください。
A. SPIは多くの企業で使われ、非言語分野の推論問題が特徴です。玉手箱は計算や図表の問題を大量に解く形式で、正確性とスピードが求められます。GABは長文読解や論理的思考力を重視した難易度の高い検査です。志望企業がどの検査を採用しているか確認し、形式に合った問題集で慣れておくことが重要です。
株式会社DYMでは、求職者様に対して様々な就職支援サービスを提供しております。
お問い合わせはこちら↓
https://dym.asia/media/recruiting-contact/</t>
        </is>
      </c>
      <c r="J136" s="47" t="n"/>
      <c r="K136" s="47" t="inlineStr">
        <is>
          <t>未確認</t>
        </is>
      </c>
      <c r="L136" s="47" t="inlineStr">
        <is>
          <t>未確認</t>
        </is>
      </c>
      <c r="M136" s="47" t="n"/>
      <c r="N136" s="47" t="n"/>
      <c r="O136" s="47" t="n"/>
      <c r="P136" s="47" t="n"/>
      <c r="Q136" s="47" t="n"/>
      <c r="R136" s="47" t="n"/>
      <c r="S136" s="47" t="n"/>
      <c r="T136" s="47" t="n"/>
      <c r="U136" s="47" t="n"/>
      <c r="V136" s="47" t="n"/>
      <c r="W136" s="47" t="n"/>
      <c r="X136" s="47" t="n"/>
      <c r="Y136" s="47" t="n"/>
      <c r="Z136" s="47" t="n"/>
    </row>
    <row r="137" ht="15.75" customHeight="1" s="185">
      <c r="A137" s="52">
        <f>row()-3</f>
        <v/>
      </c>
      <c r="B137" s="46" t="inlineStr">
        <is>
          <t>BtoCとは？ビジネスモデルの特徴やBtoBとの違いをわかりやすく解説</t>
        </is>
      </c>
      <c r="C137" s="6" t="inlineStr">
        <is>
          <t>https://dym.asia/media/recruiting/b-to-c/</t>
        </is>
      </c>
      <c r="D137" s="47" t="inlineStr">
        <is>
          <t>b to c 具体 例</t>
        </is>
      </c>
      <c r="E137" s="35" t="n">
        <v>3</v>
      </c>
      <c r="F137" s="36" t="n">
        <v>1</v>
      </c>
      <c r="G137" s="47" t="inlineStr">
        <is>
          <t>なし</t>
        </is>
      </c>
      <c r="H137" s="47" t="inlineStr">
        <is>
          <t>可</t>
        </is>
      </c>
      <c r="I137" s="10" t="inlineStr">
        <is>
          <t>Q. BtoCとBtoBのビジネスモデルの最も大きな違いは何ですか？
A. BtoCは一般消費者を対象とし、生活を豊かにする商品やサービスを提供するビジネスです。一方、BtoBは企業や組織を対象に、経営課題の解決や業務効率化を目的としています。市場規模はBtoCの方が大きいですが、1件あたりの取引額はBtoBの方が大きい傾向があります。
Q. BtoC企業で働くメリットとデメリットを教えてください。
A. メリットは、提供する商品やサービスが直接消費者に使われるため、成果を実感しやすいことや、大きな市場で仕事ができることです。デメリットは、消費者ニーズの変化が激しく、競争も激しいため、スピーディーな対応やブランド戦略が常に求められる点です。
Q. BtoCビジネスにおける「購買行動」の特徴と、マーケティングで重要となる点を教えてください。
A. BtoCでは、感情やブランドイメージが意思決定に大きく影響し、比較的短期間で購買されることが多いです。そのため、SNSや口コミを活用して消費者と直接コミュニケーションを取ったり、ブランド認知を高める戦略が特に重要になります。
Q. BtoC企業に向いている人の特徴は何ですか？
A. 消費者と関わる機会が多いため、コミュニケーション能力や共感力が高く、トレンドに敏感な人に向いています。顧客の感情を理解し、それに合わせた戦略を考えられる人も適しています。
Q. BtoCとBtoB、自分に合った企業を選ぶ際のポイントは何ですか？
A. 自分の関心が「個人の生活を豊かにすること（BtoC）」か「企業の課題を解決すること（BtoB）」のどちらにあるかを明確にしましょう。加えて、将来のキャリアプランや業界のトレンド・成長性も確認して選ぶことが、ミスマッチを避けるために重要です。
株式会社DYMでは、求職者様に対して様々な就職支援サービスを提供しております。
お問い合わせはこちら↓
https://dym.asia/media/recruiting-contact/</t>
        </is>
      </c>
      <c r="J137" s="47" t="n"/>
      <c r="K137" s="47" t="inlineStr">
        <is>
          <t>未確認</t>
        </is>
      </c>
      <c r="L137" s="47" t="inlineStr">
        <is>
          <t>未確認</t>
        </is>
      </c>
      <c r="M137" s="47" t="n"/>
      <c r="N137" s="47" t="n"/>
      <c r="O137" s="47" t="n"/>
      <c r="P137" s="47" t="n"/>
      <c r="Q137" s="47" t="n"/>
      <c r="R137" s="47" t="n"/>
      <c r="S137" s="47" t="n"/>
      <c r="T137" s="47" t="n"/>
      <c r="U137" s="47" t="n"/>
      <c r="V137" s="47" t="n"/>
      <c r="W137" s="47" t="n"/>
      <c r="X137" s="47" t="n"/>
      <c r="Y137" s="47" t="n"/>
      <c r="Z137" s="47" t="n"/>
    </row>
    <row r="138" ht="15.75" customHeight="1" s="185">
      <c r="A138" s="52">
        <f>row()-3</f>
        <v/>
      </c>
      <c r="B138" s="46" t="inlineStr">
        <is>
          <t>合同説明会の服装は何がいい？服装自由、私服指定の注意点</t>
        </is>
      </c>
      <c r="C138" s="6" t="inlineStr">
        <is>
          <t>https://dym.asia/media/recruiting/career-fair-wearing/</t>
        </is>
      </c>
      <c r="D138" s="47" t="inlineStr">
        <is>
          <t>会社説明会 普段着でお越しください</t>
        </is>
      </c>
      <c r="E138" s="35" t="n">
        <v>3</v>
      </c>
      <c r="F138" s="36" t="n">
        <v>3.1</v>
      </c>
      <c r="G138" s="47" t="inlineStr">
        <is>
          <t>なし</t>
        </is>
      </c>
      <c r="H138" s="47" t="inlineStr">
        <is>
          <t>可</t>
        </is>
      </c>
      <c r="I138" s="10" t="inlineStr">
        <is>
          <t>Q. 合同説明会で「服装自由」と指示された場合、何を着ていくのが正解ですか？
A. 「服装自由」は好きな服を着ていいという意味ではありません。基本は清潔感のあるビジネスカジュアルです。男性は襟付きシャツにジャケットやスラックス、女性はブラウスにジャケットやカーディガン、ひざ丈程度のスカートやパンツが無難です。迷ったときはスーツを選ぶと安心です。
Q. 「私服でお越しください」と「服装自由」は、服装の選び方で違いがありますか？
A. 「私服でお越しください」はスーツ以外の服装を推奨するニュアンスが強いですが、オフィスカジュアルを基本に考えるのが安全です。「服装自由」はスーツでも私服でも問題ないという意味で、参加者の多くがスーツを選ぶ傾向があります。どちらもジーンズやTシャツなどカジュアルすぎる服装は避けましょう。
Q. 合同説明会にふさわしいカバン（バッグ）の選び方を教えてください。
A. A4サイズの資料が折れずに入る、黒や紺のシンプルなビジネスバッグがおすすめです。資料が多くなることが想定されるため、自立する底鋲付きのバッグが便利です。リュックやロゴの目立つカジュアルなバッグは避け、清潔感と機能性を重視しましょう。
Q. 冬場の合同説明会で、コートや上着を着用する場合の注意点はありますか？
A. 会場に入る前にコートは脱ぎ、腕にかけて持ち運びます。会場内では椅子の背もたれにかけず、たたんでカバンの上や足元に置くなど丁寧に扱いましょう。色は黒や紺など落ち着いたものが無難です。
Q. 合同説明会で特に気をつけたい「身だしなみ」のチェックポイントを教えてください。
A.服装以外では清潔感が大切です。男性はヒゲを剃り、髪を整え、靴を磨きましょう。女性は華美なメイクやネイル、派手なアクセサリーは避け、ナチュラルな印象を心がけます。シャツやブラウスのシワや汚れ、爪の長さなど細部までチェックすることが重要です。
株式会社DYMでは、求職者様に対して様々な就職支援サービスを提供しております。
お問い合わせはこちら↓
https://dym.asia/media/recruiting-contact/</t>
        </is>
      </c>
      <c r="J138" s="47" t="n"/>
      <c r="K138" s="47" t="inlineStr">
        <is>
          <t>未確認</t>
        </is>
      </c>
      <c r="L138" s="47" t="inlineStr">
        <is>
          <t>未確認</t>
        </is>
      </c>
      <c r="M138" s="47" t="n"/>
      <c r="N138" s="47" t="n"/>
      <c r="O138" s="47" t="n"/>
      <c r="P138" s="47" t="n"/>
      <c r="Q138" s="47" t="n"/>
      <c r="R138" s="47" t="n"/>
      <c r="S138" s="47" t="n"/>
      <c r="T138" s="47" t="n"/>
      <c r="U138" s="47" t="n"/>
      <c r="V138" s="47" t="n"/>
      <c r="W138" s="47" t="n"/>
      <c r="X138" s="47" t="n"/>
      <c r="Y138" s="47" t="n"/>
      <c r="Z138" s="47" t="n"/>
    </row>
    <row r="139" ht="15.75" customHeight="1" s="185">
      <c r="A139" s="52">
        <f>row()-3</f>
        <v/>
      </c>
      <c r="B139" s="46" t="inlineStr">
        <is>
          <t>交通費は非課税？通勤手当の非課税限度額も解説</t>
        </is>
      </c>
      <c r="C139" s="6" t="inlineStr">
        <is>
          <t>https://dym.asia/media/recruiting/commuting-allowance/</t>
        </is>
      </c>
      <c r="D139" s="47" t="inlineStr">
        <is>
          <t>通勤手当 課税 いつから</t>
        </is>
      </c>
      <c r="E139" s="35" t="n">
        <v>3</v>
      </c>
      <c r="F139" s="36" t="n">
        <v>10.94387755102041</v>
      </c>
      <c r="G139" s="47" t="inlineStr">
        <is>
          <t>なし</t>
        </is>
      </c>
      <c r="H139" s="47" t="inlineStr">
        <is>
          <t>可</t>
        </is>
      </c>
      <c r="I139" s="10" t="inlineStr">
        <is>
          <t>Q. 通勤手当は法律で支給が義務付けられていますか？
A. 通勤手当は法律で必ず支給しなければならない手当ではありません。ただ、多くの企業では福利厚生や人材確保の観点から就業規則や労働契約で定め、任意で支給しています。そのため、支給の有無や金額、計算方法は会社によって異なります。
Q. 公共交通機関（電車・バス）で通勤する場合、非課税限度額はいくらですか？
A. 電車やバスなどを利用する場合、通常必要な運賃は非課税ですが、1カ月あたりの上限は15万円です。これを超える部分は給与所得として課税対象となります。
Q. マイカーや自転車で通勤する場合の非課税限度額は、どのように計算されますか？
A. 通勤距離に応じて段階的に定められています。例えば片道10km以上15km未満で月額7,100円、片道45km以上55km未満で月額28,000円といった形です。企業は国税庁の基準に沿って非課税額を設定します。
Q. リモートワーク（在宅勤務）が中心になった場合、通勤手当の扱いはどうなりますか？
A. 出勤日が減る場合、従来の定額支給を見直す企業が増えています。多くは出勤した日だけ実費精算する日額方式に変更されますが、扱いは会社の規則によって異なります。
Q. 通勤手当、通勤交通費、旅費交通費は、それぞれ何が違いますか？
A. 通勤手当は日常的な往復費用を補助するため定期的に支給される手当で、一定額まで非課税です。通勤交通費は実際に立て替えた費用で、後日精算される場合があります。旅費交通費は出張や顧客訪問などで発生する費用（日当や宿泊費も含む）で、原則として全額非課税となります。
株式会社DYMでは、求職者様に対して様々な就職支援サービスを提供しております。
お問い合わせはこちら↓
https://dym.asia/media/recruiting-contact/</t>
        </is>
      </c>
      <c r="J139" s="47" t="n"/>
      <c r="K139" s="47" t="inlineStr">
        <is>
          <t>未確認</t>
        </is>
      </c>
      <c r="L139" s="47" t="inlineStr">
        <is>
          <t>未確認</t>
        </is>
      </c>
      <c r="M139" s="47" t="n"/>
      <c r="N139" s="47" t="n"/>
      <c r="O139" s="47" t="n"/>
      <c r="P139" s="47" t="n"/>
      <c r="Q139" s="47" t="n"/>
      <c r="R139" s="47" t="n"/>
      <c r="S139" s="47" t="n"/>
      <c r="T139" s="47" t="n"/>
      <c r="U139" s="47" t="n"/>
      <c r="V139" s="47" t="n"/>
      <c r="W139" s="47" t="n"/>
      <c r="X139" s="47" t="n"/>
      <c r="Y139" s="47" t="n"/>
      <c r="Z139" s="47" t="n"/>
    </row>
    <row r="140" ht="15.75" customHeight="1" s="185">
      <c r="A140" s="52">
        <f>row()-3</f>
        <v/>
      </c>
      <c r="B140" s="46" t="inlineStr">
        <is>
          <t>会社説明会とは？内容や流れ、質問のポイントを解説</t>
        </is>
      </c>
      <c r="C140" s="6" t="inlineStr">
        <is>
          <t>https://dym.asia/media/recruiting/company-briefing-flow-questions/</t>
        </is>
      </c>
      <c r="D140" s="47" t="inlineStr">
        <is>
          <t>会社説明会 内容 流れ</t>
        </is>
      </c>
      <c r="E140" s="35" t="n">
        <v>3</v>
      </c>
      <c r="F140" s="36" t="n">
        <v>10.52380952380952</v>
      </c>
      <c r="G140" s="47" t="inlineStr">
        <is>
          <t>なし</t>
        </is>
      </c>
      <c r="H140" s="47" t="inlineStr">
        <is>
          <t>可</t>
        </is>
      </c>
      <c r="I140" s="10" t="inlineStr">
        <is>
          <t>Q. 会社説明会に参加しないと選考で不利になりますか？
A. 企業によって異なります。説明会への参加を選考条件としている場合もありますが、多くの企業では必須ではありません。ただ、参加することで企業の雰囲気や事業内容を直接知ることができ、志望動機や面接での質問にも活かせます。そのため、参加した方が理解度の高さを示せる分、有利になる可能性は高いです。
Q. 合同会社説明会で興味を持った企業には、その後どうアプローチすべきですか？
A. 合同説明会では情報に限りがあります。興味のある企業については、採用サイトから個別説明会に申し込むのがおすすめです。事業内容や社員の働き方を深く知ることができ、参加することで志望度の高さも伝えられます。
Q. 会社説明会での質問は何を質問すれば良いか浮かびません。質問がないのはマイナス評価になりますか？
A. 質問がないこと自体は直接マイナス評価にはなりませんが、質問は関心の高さを示す機会です。浮かばない場合は、「資料に書かれていない具体的な仕事内容」や「入社後のキャリアパス」「社内の雰囲気や交流」など、入社後をイメージする質問をいくつか用意しておくと安心です。
株式会社DYMでは、求職者様に対して様々な就職支援サービスを提供しております。
お問い合わせはこちら↓
https://dym.asia/media/recruiting-contact/</t>
        </is>
      </c>
      <c r="J140" s="47" t="n"/>
      <c r="K140" s="47" t="inlineStr">
        <is>
          <t>未確認</t>
        </is>
      </c>
      <c r="L140" s="47" t="inlineStr">
        <is>
          <t>未確認</t>
        </is>
      </c>
      <c r="M140" s="47" t="n"/>
      <c r="N140" s="47" t="n"/>
      <c r="O140" s="47" t="n"/>
      <c r="P140" s="47" t="n"/>
      <c r="Q140" s="47" t="n"/>
      <c r="R140" s="47" t="n"/>
      <c r="S140" s="47" t="n"/>
      <c r="T140" s="47" t="n"/>
      <c r="U140" s="47" t="n"/>
      <c r="V140" s="47" t="n"/>
      <c r="W140" s="47" t="n"/>
      <c r="X140" s="47" t="n"/>
      <c r="Y140" s="47" t="n"/>
      <c r="Z140" s="47" t="n"/>
    </row>
    <row r="141" ht="15.75" customHeight="1" s="185">
      <c r="A141" s="52">
        <f>row()-3</f>
        <v/>
      </c>
      <c r="B141" s="46" t="inlineStr">
        <is>
          <t>新卒・第二新卒・既卒の違いとは？メリットや就活成功のポイントを解説</t>
        </is>
      </c>
      <c r="C141" s="6" t="inlineStr">
        <is>
          <t>https://dym.asia/media/recruiting/differance-former-newgraduate/</t>
        </is>
      </c>
      <c r="D141" s="47" t="inlineStr">
        <is>
          <t>新卒とは</t>
        </is>
      </c>
      <c r="E141" s="35" t="n">
        <v>3</v>
      </c>
      <c r="F141" s="36" t="n">
        <v>8.775431472081218</v>
      </c>
      <c r="G141" s="47" t="inlineStr">
        <is>
          <t>なし</t>
        </is>
      </c>
      <c r="H141" s="47" t="inlineStr">
        <is>
          <t>可</t>
        </is>
      </c>
      <c r="I141" s="10" t="inlineStr">
        <is>
          <t>Q. 第二新卒の「3年以内」という期間に明確な決まりはありますか？
A. 「第二新卒」に厳密な定義はありませんが、一般的には学校卒業後、就職した企業を3年以内に退職し再就職を目指す人を指します。企業によっては3年以上経過していても第二新卒として採用することがありますが、年齢が上がるほどポテンシャルよりも経験やスキルを重視される傾向が強くなります。
Q. 既卒で就職活動をする場合、新卒枠と中途採用枠のどちらに応募すべきですか？
A. 卒業後3年以内の既卒者については、厚生労働省の指針に基づき、新卒枠として応募を認める企業が増えています。まずは企業の採用情報で「新卒」の応募条件を確認しましょう。新卒枠が難しい場合は、社会人経験の有無にかかわらずポテンシャルをアピールしやすい「第二新卒・既卒」を対象とした求人を探すのが効果的です。
Q. 第二新卒が転職理由を伝える際、「早期離職」をネガティブに受け取られないためのポイントは何ですか？
A. 早期離職の理由は、前職への不満だけで終わらせず、新しい環境で実現したい目標や前職で培ったスキルをどう活かしたいか、といった前向きな内容に焦点を当てることが大切です。具体的に示すことで、評価につながりやすくなります。
株式会社DYMでは、求職者様に対して様々な就職支援サービスを提供しております。
お問い合わせはこちら↓
https://dym.asia/media/recruiting-contact/</t>
        </is>
      </c>
      <c r="J141" s="47" t="n"/>
      <c r="K141" s="47" t="inlineStr">
        <is>
          <t>未確認</t>
        </is>
      </c>
      <c r="L141" s="47" t="inlineStr">
        <is>
          <t>未確認</t>
        </is>
      </c>
      <c r="M141" s="47" t="n"/>
      <c r="N141" s="47" t="n"/>
      <c r="O141" s="47" t="n"/>
      <c r="P141" s="47" t="n"/>
      <c r="Q141" s="47" t="n"/>
      <c r="R141" s="47" t="n"/>
      <c r="S141" s="47" t="n"/>
      <c r="T141" s="47" t="n"/>
      <c r="U141" s="47" t="n"/>
      <c r="V141" s="47" t="n"/>
      <c r="W141" s="47" t="n"/>
      <c r="X141" s="47" t="n"/>
      <c r="Y141" s="47" t="n"/>
      <c r="Z141" s="47" t="n"/>
    </row>
    <row r="142" ht="15.75" customHeight="1" s="185">
      <c r="A142" s="52">
        <f>row()-3</f>
        <v/>
      </c>
      <c r="B142" s="46" t="inlineStr">
        <is>
          <t>派遣SEの仕事内容を解説！SESとの違いやメリットも</t>
        </is>
      </c>
      <c r="C142" s="6" t="inlineStr">
        <is>
          <t>https://dym.asia/media/recruiting/dispatch-se/</t>
        </is>
      </c>
      <c r="D142" s="47" t="inlineStr">
        <is>
          <t>se 派遣</t>
        </is>
      </c>
      <c r="E142" s="35" t="n">
        <v>3</v>
      </c>
      <c r="F142" s="36" t="n">
        <v>5.910591471801926</v>
      </c>
      <c r="G142" s="47" t="inlineStr">
        <is>
          <t>なし</t>
        </is>
      </c>
      <c r="H142" s="47" t="inlineStr">
        <is>
          <t>可</t>
        </is>
      </c>
      <c r="I142" s="47" t="inlineStr">
        <is>
          <t xml:space="preserve">Q. 派遣SEとして働く場合、未経験でも応募できますか？
A. 基本的には、IT業界での経験や基礎的なスキルが求められますが、研修やサポートが充実している派遣会社もあり、未経験からスタートできる案件もあります。応募前に派遣会社に相談して、研修制度やサポート内容を確認すると安心です。
Q. 派遣SEとSESの違いは何ですか？
A. 派遣SEは派遣会社と雇用契約を結び、派遣先企業で働く形態です。一方、SESは自社の社員として契約先企業に技術者を提供する形で、給与体系やキャリアの積み方が異なります。給与や働き方の自由度、研修制度の有無などで違いが出ることがあります。
Q. 派遣SEの給与は正社員より低いですか？
A. 一概には言えません。案件やスキルによっては正社員より高時給で働ける場合もありますが、ボーナスや手当がないことも多いため、年収で比較すると総合的には異なるケースがあります。給与以外の働き方や経験の幅も含めて判断することが重要です。
株式会社DYMでは、求職者様に対して様々な就職支援サービスを提供しております。
お問い合わせはこちら↓
https://dym.asia/media/recruiting-contact/　</t>
        </is>
      </c>
      <c r="J142" s="47" t="n"/>
      <c r="K142" s="47" t="inlineStr">
        <is>
          <t>未確認</t>
        </is>
      </c>
      <c r="L142" s="47" t="inlineStr">
        <is>
          <t>未確認</t>
        </is>
      </c>
      <c r="M142" s="47" t="n"/>
      <c r="N142" s="47" t="n"/>
      <c r="O142" s="47" t="n"/>
      <c r="P142" s="47" t="n"/>
      <c r="Q142" s="47" t="n"/>
      <c r="R142" s="47" t="n"/>
      <c r="S142" s="47" t="n"/>
      <c r="T142" s="47" t="n"/>
      <c r="U142" s="47" t="n"/>
      <c r="V142" s="47" t="n"/>
      <c r="W142" s="47" t="n"/>
      <c r="X142" s="47" t="n"/>
      <c r="Y142" s="47" t="n"/>
      <c r="Z142" s="47" t="n"/>
    </row>
    <row r="143" ht="15.75" customHeight="1" s="185">
      <c r="A143" s="52">
        <f>row()-3</f>
        <v/>
      </c>
      <c r="B143" s="46" t="inlineStr">
        <is>
          <t>ESTJ（幹部）の性格診断｜相性、特徴、恋愛傾向を解説</t>
        </is>
      </c>
      <c r="C143" s="6" t="inlineStr">
        <is>
          <t>https://dym.asia/media/recruiting/estj/#index-16PersonalitiesESTJ16PersonalitiesESTJtoc</t>
        </is>
      </c>
      <c r="D143" s="47" t="inlineStr">
        <is>
          <t>幹部</t>
        </is>
      </c>
      <c r="E143" s="35" t="n">
        <v>3</v>
      </c>
      <c r="F143" s="36" t="n">
        <v>5.473107774578363</v>
      </c>
      <c r="G143" s="47" t="inlineStr">
        <is>
          <t>なし</t>
        </is>
      </c>
      <c r="H143" s="47" t="inlineStr">
        <is>
          <t>可</t>
        </is>
      </c>
      <c r="I143" s="10" t="inlineStr">
        <is>
          <t>Q. ESTJの強みである責任感を活かせる具体的な職種は何ですか？
A. 責任感が強く規律を重んじるESTJは、管理職やプロジェクトマネージャー、経理・財務、製造管理など、組織をまとめたりルールに基づいて判断する仕事で特に力を発揮できます。警察や軍隊のように明確な規律がある職場でも適性があります。
Q. ESTJが人間関係で衝突を避けるためには、どのような点に注意すべきですか？
A. 論理的でストレートな物言いは冷たく感じられることがあります。時には相手の感情に配慮したり、自分の意見を柔軟に見直す姿勢を持つことで、摩擦を減らすことができます。
Q. ESTJと相性の良い性格タイプ、または相性の悪い性格タイプを教えてください。
A.相性が良いのは誠実で感情面のサポートが得意なINFJ、ESFJ、ISFJです。一方、価値観や優先順位が大きく異なるINFP、ISTJ、ISTPとは衝突しやすい傾向があります。
株式会社DYMでは、求職者様に対して様々な就職支援サービスを提供しております。
お問い合わせはこちら↓
https://dym.asia/media/recruiting-contact/</t>
        </is>
      </c>
      <c r="J143" s="47" t="n"/>
      <c r="K143" s="47" t="inlineStr">
        <is>
          <t>未確認</t>
        </is>
      </c>
      <c r="L143" s="47" t="inlineStr">
        <is>
          <t>未確認</t>
        </is>
      </c>
      <c r="M143" s="47" t="n"/>
      <c r="N143" s="47" t="n"/>
      <c r="O143" s="47" t="n"/>
      <c r="P143" s="47" t="n"/>
      <c r="Q143" s="47" t="n"/>
      <c r="R143" s="47" t="n"/>
      <c r="S143" s="47" t="n"/>
      <c r="T143" s="47" t="n"/>
      <c r="U143" s="47" t="n"/>
      <c r="V143" s="47" t="n"/>
      <c r="W143" s="47" t="n"/>
      <c r="X143" s="47" t="n"/>
      <c r="Y143" s="47" t="n"/>
      <c r="Z143" s="47" t="n"/>
    </row>
    <row r="144" ht="15.75" customHeight="1" s="185">
      <c r="A144" s="52">
        <f>row()-3</f>
        <v/>
      </c>
      <c r="B144" s="46" t="inlineStr">
        <is>
          <t>ESTP（起業家）の性格と特徴｜16Personalities診断でわかる相性</t>
        </is>
      </c>
      <c r="C144" s="6" t="inlineStr">
        <is>
          <t>https://dym.asia/media/recruiting/estp/#index-16PersonalitiesESTP16PersonalitiesESTPtoc</t>
        </is>
      </c>
      <c r="D144" s="47" t="inlineStr">
        <is>
          <t>起業家</t>
        </is>
      </c>
      <c r="E144" s="35" t="n">
        <v>3</v>
      </c>
      <c r="F144" s="36" t="n">
        <v>6.056572596425621</v>
      </c>
      <c r="G144" s="47" t="inlineStr">
        <is>
          <t>なし</t>
        </is>
      </c>
      <c r="H144" s="47" t="inlineStr">
        <is>
          <t>可</t>
        </is>
      </c>
      <c r="I144" s="10" t="inlineStr">
        <is>
          <t>Q. ESTP（起業家）の最大の強みである行動力を活かせる仕事は何ですか？
A.ESTPは状況判断が早く柔軟に対応できるため、緊急対応が求められる消防士やパイロット、社交性を活かせる営業やコンサルタント、さらに自らリスクを取り挑戦する起業家やトレーダーに向いています。
Q. ESTPが持つ短所である「計画性の欠如」を補うための対策は何ですか？
A. 長期的な計画は苦手ですが、具体的な目標や締切を設定し、それを管理してくれるISTJやESTJのようなパートナーやツールを活用すると、衝動的な行動を抑えつつ目標達成に近づけます。
Q. ESTP-A（アサーティブ）とESTP-T（タービュレント）の主な違いは何ですか？
A. ESTP-Aは自己肯定感が高くプレッシャーに強いのに対し、ESTP-Tは自己評価に厳しく他者評価にも敏感でストレスを感じやすいですが、その分自己改善への意欲が高いのが特徴です。
株式会社DYMでは、求職者様に対して様々な就職支援サービスを提供しております。
お問い合わせはこちら↓
https://dym.asia/media/recruiting-contact/</t>
        </is>
      </c>
      <c r="J144" s="47" t="n"/>
      <c r="K144" s="47" t="inlineStr">
        <is>
          <t>未確認</t>
        </is>
      </c>
      <c r="L144" s="47" t="inlineStr">
        <is>
          <t>未確認</t>
        </is>
      </c>
      <c r="M144" s="47" t="n"/>
      <c r="N144" s="47" t="n"/>
      <c r="O144" s="47" t="n"/>
      <c r="P144" s="47" t="n"/>
      <c r="Q144" s="47" t="n"/>
      <c r="R144" s="47" t="n"/>
      <c r="S144" s="47" t="n"/>
      <c r="T144" s="47" t="n"/>
      <c r="U144" s="47" t="n"/>
      <c r="V144" s="47" t="n"/>
      <c r="W144" s="47" t="n"/>
      <c r="X144" s="47" t="n"/>
      <c r="Y144" s="47" t="n"/>
      <c r="Z144" s="47" t="n"/>
    </row>
    <row r="145" ht="15.75" customHeight="1" s="185">
      <c r="A145" s="52">
        <f>row()-3</f>
        <v/>
      </c>
      <c r="B145" s="46" t="inlineStr">
        <is>
          <t>ESTP（起業家）の性格と特徴｜16Personalities診断でわかる相性</t>
        </is>
      </c>
      <c r="C145" s="6" t="inlineStr">
        <is>
          <t>https://dym.asia/media/recruiting/estp/#index-ESTP-2ESTP-2toc</t>
        </is>
      </c>
      <c r="D145" s="47" t="inlineStr">
        <is>
          <t>起業家</t>
        </is>
      </c>
      <c r="E145" s="35" t="n">
        <v>3</v>
      </c>
      <c r="F145" s="36" t="n">
        <v>6.056572596425621</v>
      </c>
      <c r="G145" s="47" t="inlineStr">
        <is>
          <t>なし</t>
        </is>
      </c>
      <c r="H145" s="47" t="inlineStr">
        <is>
          <t>可</t>
        </is>
      </c>
      <c r="I145" s="10" t="inlineStr">
        <is>
          <t>Q. ESTP（起業家）の最大の強みである行動力を活かせる仕事は何ですか？
A. ESTPは判断が早く柔軟に動けるため、消防士やパイロットのような緊急対応が求められる仕事や、営業やコンサルタントのように社交性を活かせる仕事、さらに自らリスクを取り行動する起業家やトレーダーに向いています。
Q. ESTPが持つ短所である「計画性の欠如」を補うための対策は何ですか？
A. 長期計画が苦手でも、具体的な目標や締切を決め、それを管理してくれるISTJやESTJのような計画性のあるパートナーやツールを使えば、衝動的な行動を抑え、目標達成に近づけます。
Q. ESTP-A（アサーティブ）とESTP-T（タービュレント）の主な違いは何ですか？
A. ESTP-Aは自己肯定感が高くプレッシャーに強いのに対し、ESTP-Tは自己評価に厳しく他者の目に敏感で不安を感じやすいですが、その分自己改善への意欲が強いのが特徴です。
お問い合わせはこちら↓
https://discussion.meetscompany.jp/1281/?_gl=1*6x96d3*_ga*MTI1MjE5NTY3My4xNzU2NDMyNTY0*_ga_ZXCZZJJ72V*czE3NjU1MDEzNTQkbzkkZzAkdDE3NjU1MDEzNTQkajYwJGwwJGgw</t>
        </is>
      </c>
      <c r="J145" s="47" t="n"/>
      <c r="K145" s="47" t="inlineStr">
        <is>
          <t>未確認</t>
        </is>
      </c>
      <c r="L145" s="47" t="inlineStr">
        <is>
          <t>未確認</t>
        </is>
      </c>
      <c r="M145" s="47" t="n"/>
      <c r="N145" s="47" t="n"/>
      <c r="O145" s="47" t="n"/>
      <c r="P145" s="47" t="n"/>
      <c r="Q145" s="47" t="n"/>
      <c r="R145" s="47" t="n"/>
      <c r="S145" s="47" t="n"/>
      <c r="T145" s="47" t="n"/>
      <c r="U145" s="47" t="n"/>
      <c r="V145" s="47" t="n"/>
      <c r="W145" s="47" t="n"/>
      <c r="X145" s="47" t="n"/>
      <c r="Y145" s="47" t="n"/>
      <c r="Z145" s="47" t="n"/>
    </row>
    <row r="146" ht="15.75" customHeight="1" s="185">
      <c r="A146" s="52">
        <f>row()-3</f>
        <v/>
      </c>
      <c r="B146" s="46" t="inlineStr">
        <is>
          <t>ハイクラス転職とは？難しい？年収と条件のポイント</t>
        </is>
      </c>
      <c r="C146" s="6" t="inlineStr">
        <is>
          <t>https://dym.asia/media/recruiting/high-class-job-change/</t>
        </is>
      </c>
      <c r="D146" s="47" t="inlineStr">
        <is>
          <t>ハイクラス転職 難しい</t>
        </is>
      </c>
      <c r="E146" s="35" t="n">
        <v>3</v>
      </c>
      <c r="F146" s="36" t="n">
        <v>6.871140939597315</v>
      </c>
      <c r="G146" s="47" t="inlineStr">
        <is>
          <t>なし</t>
        </is>
      </c>
      <c r="H146" s="47" t="inlineStr">
        <is>
          <t>可</t>
        </is>
      </c>
      <c r="I146" s="10" t="inlineStr">
        <is>
          <t>Q. ハイクラス転職の一般的な年収の目安と、通常の転職との最も大きな違いは何ですか？
A. 年収の目安はおおむね800万円以上で、通常の転職と比べると、企業は即戦力となる高度な専門性やマネジメント経験を重視し、管理職や専門職など重要なポジションを想定しています。
Q. 企業がハイクラス層に特に求める、専門性以外で重要な条件を教えてください。
A. チームを率いるマネジメント経験、国際的なビジネスに対応できるグローバルな視点、そして変化に迅速に対応できる適応力が特に重視されます。
Q. ハイクラス転職を成功させるために、求職者が知っておくべき重要なポイントは何ですか？
A. 自身の市場価値を正確に把握し、中長期的なキャリアプランを考えることです。加えて、非公開求人へのアクセスや専門的支援を得るために、ハイクラス向けの転職エージェントを活用することが成功の鍵となります。
株式会社DYMでは、求職者様に対して様々な就職支援サービスを提供しております。
お問い合わせはこちら↓
https://dym.asia/media/recruiting-contact/</t>
        </is>
      </c>
      <c r="J146" s="47" t="n"/>
      <c r="K146" s="47" t="inlineStr">
        <is>
          <t>未確認</t>
        </is>
      </c>
      <c r="L146" s="47" t="inlineStr">
        <is>
          <t>未確認</t>
        </is>
      </c>
      <c r="M146" s="47" t="n"/>
      <c r="N146" s="47" t="n"/>
      <c r="O146" s="47" t="n"/>
      <c r="P146" s="47" t="n"/>
      <c r="Q146" s="47" t="n"/>
      <c r="R146" s="47" t="n"/>
      <c r="S146" s="47" t="n"/>
      <c r="T146" s="47" t="n"/>
      <c r="U146" s="47" t="n"/>
      <c r="V146" s="47" t="n"/>
      <c r="W146" s="47" t="n"/>
      <c r="X146" s="47" t="n"/>
      <c r="Y146" s="47" t="n"/>
      <c r="Z146" s="47" t="n"/>
    </row>
    <row r="147" ht="15.75" customHeight="1" s="185">
      <c r="A147" s="52">
        <f>row()-3</f>
        <v/>
      </c>
      <c r="B147" s="46" t="inlineStr">
        <is>
          <t>高卒の転職は厳しい？おすすめの仕事は？内定のコツや求人の探し方も紹介</t>
        </is>
      </c>
      <c r="C147" s="6" t="inlineStr">
        <is>
          <t>https://dym.asia/media/recruiting/highschool-job-change/</t>
        </is>
      </c>
      <c r="D147" s="47" t="inlineStr">
        <is>
          <t>高卒 就職 おすすめ</t>
        </is>
      </c>
      <c r="E147" s="35" t="n">
        <v>3</v>
      </c>
      <c r="F147" s="36" t="n">
        <v>11.19831932773109</v>
      </c>
      <c r="G147" s="47" t="inlineStr">
        <is>
          <t>なし</t>
        </is>
      </c>
      <c r="H147" s="47" t="inlineStr">
        <is>
          <t>可</t>
        </is>
      </c>
      <c r="I147" s="10" t="inlineStr">
        <is>
          <t>Q. 高卒者が転職活動でアピールすべき最大の強みは何ですか？
A. 大卒者より早く社会人経験を積んでいる「実務経験」と、学歴のハンデを乗り越えようとする「向上心・学習意欲」です。面接では、これらの強みが身についていることを、具体的なエピソードを交えて示すと効果的です。
Q. 高卒者におすすめの転職先業界、特にスキルや実力が重視される分野は何ですか？
A. IT業界、土木・建設業界、介護・福祉業界、サービス業界、そして公務員がおすすめです。特にIT業界は、学歴よりもスキルや実力が重視される傾向があり、未経験者向けの研修プログラムが整っている会社も多くあります。
Q. 高卒者が内定を勝ち取るために、面接や書類作成で気をつけるべき具体的なコツは何ですか？
A. 在職中に転職活動を始め、職務経歴書は具体的な内容で作成しましょう。面接では、面接官の意図を理解しつつ、シンプルで分かりやすい自己紹介を心がけ、過去の成果を具体的なエピソードで伝えることが内定につながります。
株式会社DYMでは、求職者様に対して様々な就職支援サービスを提供しております。
お問い合わせはこちら↓
https://dym.asia/media/recruiting-contact/</t>
        </is>
      </c>
      <c r="J147" s="47" t="n"/>
      <c r="K147" s="47" t="inlineStr">
        <is>
          <t>未確認</t>
        </is>
      </c>
      <c r="L147" s="47" t="inlineStr">
        <is>
          <t>未確認</t>
        </is>
      </c>
      <c r="M147" s="47" t="n"/>
      <c r="N147" s="47" t="n"/>
      <c r="O147" s="47" t="n"/>
      <c r="P147" s="47" t="n"/>
      <c r="Q147" s="47" t="n"/>
      <c r="R147" s="47" t="n"/>
      <c r="S147" s="47" t="n"/>
      <c r="T147" s="47" t="n"/>
      <c r="U147" s="47" t="n"/>
      <c r="V147" s="47" t="n"/>
      <c r="W147" s="47" t="n"/>
      <c r="X147" s="47" t="n"/>
      <c r="Y147" s="47" t="n"/>
      <c r="Z147" s="47" t="n"/>
    </row>
    <row r="148" ht="15.75" customHeight="1" s="185">
      <c r="A148" s="52">
        <f>row()-3</f>
        <v/>
      </c>
      <c r="B148" s="46" t="inlineStr">
        <is>
          <t>メンタルを強くする方法5選｜心を鍛える習慣も紹介</t>
        </is>
      </c>
      <c r="C148" s="6" t="inlineStr">
        <is>
          <t>https://dym.asia/media/recruiting/how-to-strengthen-mentality/#index</t>
        </is>
      </c>
      <c r="D148" s="47" t="inlineStr">
        <is>
          <t>メンタル強くする方法</t>
        </is>
      </c>
      <c r="E148" s="35" t="n">
        <v>3</v>
      </c>
      <c r="F148" s="36" t="n">
        <v>4.034209470304976</v>
      </c>
      <c r="G148" s="47" t="inlineStr">
        <is>
          <t>なし</t>
        </is>
      </c>
      <c r="H148" s="47" t="inlineStr">
        <is>
          <t>可</t>
        </is>
      </c>
      <c r="I148" s="10" t="inlineStr">
        <is>
          <t>Q. メンタルが強い人に共通する、思考面と行動面での主な特徴を教えてください。
A. 思考面では、自分に自信を持ち、困難な状況も成長のチャンスと捉えられる点が挙げられます。行動面では、ストレスにうまく対処でき、予期せぬ変化にも柔軟に対応できることが特徴です。
Q. メンタルを強くするために、日常生活ですぐに取り入れられる具体的な習慣は何ですか？
A. 毎日感謝できることや良かった出来事を書き出すなど、ポジティブな思考を意識することが大切です。加えて、適度な運動や質の良い睡眠を確保し、新しいことに挑戦して小さな成功体験を積み重ねることも効果的です。
Q. メンタルが弱い人が陥りがちなネガティブな思考パターンと、その改善策は何ですか？
A. 自分を否定的に考え、他人と比較して落ち込みやすい点が特徴です。改善するには、他人と比べるのをやめ、過去の自分と今の自分を比べて成長を意識し、小さな成功体験を積み重ねることで自己肯定感を高めることが有効です。
株式会社DYMでは、求職者様に対して様々な就職支援サービスを提供しております。
お問い合わせはこちら↓
https://dym.asia/media/recruiting-contact/</t>
        </is>
      </c>
      <c r="J148" s="47" t="n"/>
      <c r="K148" s="47" t="inlineStr">
        <is>
          <t>未確認</t>
        </is>
      </c>
      <c r="L148" s="47" t="inlineStr">
        <is>
          <t>未確認</t>
        </is>
      </c>
      <c r="M148" s="47" t="n"/>
      <c r="N148" s="47" t="n"/>
      <c r="O148" s="47" t="n"/>
      <c r="P148" s="47" t="n"/>
      <c r="Q148" s="47" t="n"/>
      <c r="R148" s="47" t="n"/>
      <c r="S148" s="47" t="n"/>
      <c r="T148" s="47" t="n"/>
      <c r="U148" s="47" t="n"/>
      <c r="V148" s="47" t="n"/>
      <c r="W148" s="47" t="n"/>
      <c r="X148" s="47" t="n"/>
      <c r="Y148" s="47" t="n"/>
      <c r="Z148" s="47" t="n"/>
    </row>
    <row r="149" ht="15.75" customHeight="1" s="185">
      <c r="A149" s="52">
        <f>row()-3</f>
        <v/>
      </c>
      <c r="B149" s="46" t="inlineStr">
        <is>
          <t>メンタルを強くする方法5選｜心を鍛える習慣も紹介</t>
        </is>
      </c>
      <c r="C149" s="6" t="inlineStr">
        <is>
          <t>https://dym.asia/media/recruiting/how-to-strengthen-mentality/#index-3-23-2toc</t>
        </is>
      </c>
      <c r="D149" s="47" t="inlineStr">
        <is>
          <t>メンタルを強くする方法</t>
        </is>
      </c>
      <c r="E149" s="35" t="n">
        <v>3</v>
      </c>
      <c r="F149" s="36" t="n">
        <v>4.335692083856888</v>
      </c>
      <c r="G149" s="47" t="inlineStr">
        <is>
          <t>なし</t>
        </is>
      </c>
      <c r="H149" s="47" t="inlineStr">
        <is>
          <t>可</t>
        </is>
      </c>
      <c r="I149" s="10" t="inlineStr">
        <is>
          <t>Q. 仕事で大きなプレッシャーやストレスに直面した際、メンタルを強く保つための具体的な行動は何ですか？
A. タスクの優先順位を整理して冷静に作業を進めることが大切です。加えて、困難な状況を「成長のチャンス」と捉え、前向きな思考を意識することで、メンタルを保ちやすくなります。
Q. 仕事で失敗をしたり、批判を受けた際に、すぐに立ち直る（レジリエンスを高める）ために有効な方法はありますか？
A. 失敗を否定的に考えず、「次はうまくいく」と前向きに切り替えることが重要です。大きな成果を急がず、小さな成功体験を積み重ねることで、自己肯定感が高まり、自信の好循環が生まれます。
Q. 変化が激しい職場でメンタルを強く維持するために必要な姿勢は何ですか？
A. 柔軟に変化に対応する姿勢が大切です。新しい業務や会社の変化に対して固定観念にとらわれず、積極的に新しい方法を取り入れ、自己成長の機会として捉えることで、メンタルを維持しやすくなります。
株式会社DYMでは、求職者様に対して様々な就職支援サービスを提供しております。
お問い合わせはこちら↓
https://dym.asia/media/recruiting-contact/</t>
        </is>
      </c>
      <c r="J149" s="47" t="n"/>
      <c r="K149" s="47" t="inlineStr">
        <is>
          <t>未確認</t>
        </is>
      </c>
      <c r="L149" s="47" t="inlineStr">
        <is>
          <t>未確認</t>
        </is>
      </c>
      <c r="M149" s="47" t="n"/>
      <c r="N149" s="47" t="n"/>
      <c r="O149" s="47" t="n"/>
      <c r="P149" s="47" t="n"/>
      <c r="Q149" s="47" t="n"/>
      <c r="R149" s="47" t="n"/>
      <c r="S149" s="47" t="n"/>
      <c r="T149" s="47" t="n"/>
      <c r="U149" s="47" t="n"/>
      <c r="V149" s="47" t="n"/>
      <c r="W149" s="47" t="n"/>
      <c r="X149" s="47" t="n"/>
      <c r="Y149" s="47" t="n"/>
      <c r="Z149" s="47" t="n"/>
    </row>
    <row r="150" ht="15.75" customHeight="1" s="185">
      <c r="A150" s="52">
        <f>row()-3</f>
        <v/>
      </c>
      <c r="B150" s="46" t="inlineStr">
        <is>
          <t>履歴書の証明写真｜服装マナーと好印象を与えるコツ</t>
        </is>
      </c>
      <c r="C150" s="6" t="inlineStr">
        <is>
          <t>https://dym.asia/media/recruiting/rirekisho-photo-manner/</t>
        </is>
      </c>
      <c r="D150" s="47" t="inlineStr">
        <is>
          <t>履歴書 写真 服装</t>
        </is>
      </c>
      <c r="E150" s="35" t="n">
        <v>3</v>
      </c>
      <c r="F150" s="36" t="n">
        <v>11.33333333333333</v>
      </c>
      <c r="G150" s="47" t="inlineStr">
        <is>
          <t>なし</t>
        </is>
      </c>
      <c r="H150" s="47" t="inlineStr">
        <is>
          <t>可</t>
        </is>
      </c>
      <c r="I150" s="10" t="inlineStr">
        <is>
          <t>Q. 履歴書写真の基本的なルールとして、サイズ、有効期限、適切な背景色を教えてください。
A. サイズは縦40mm×横30mmが一般的で、有効期限は撮影から3カ月以内が目安です。背景色は顔の印象を引き立てるブルー、グレー、白が適しています。
Q. 採用担当者に好印象を与えるための服装と表情のポイントは何ですか？
A. 服装はスーツが基本で、髪型は前髪が目にかからないよう整えると清潔感が出ます。表情は口を閉じ、口角を軽く上げた自然な微笑みが好印象です。写真の裏にはフルネームで氏名を書くとマナーとして安心です。
Q. 履歴書写真の最適な撮影方法と、避けるべき加工に関する注意点は何ですか？
A. 写真館での撮影が最も安心ですが、写真機やセルフィーも使えます。ただし、顔の輪郭を変えたり目を大きくするなど過度な加工は避けましょう。面接時の印象と差が出て、信頼を損なう可能性があります。
株式会社DYMでは、求職者様に対して様々な就職支援サービスを提供しております。
お問い合わせはこちら↓
https://dym.asia/media/recruiting-contact/</t>
        </is>
      </c>
      <c r="J150" s="47" t="n"/>
      <c r="K150" s="47" t="inlineStr">
        <is>
          <t>未確認</t>
        </is>
      </c>
      <c r="L150" s="47" t="inlineStr">
        <is>
          <t>未確認</t>
        </is>
      </c>
      <c r="M150" s="47" t="n"/>
      <c r="N150" s="47" t="n"/>
      <c r="O150" s="47" t="n"/>
      <c r="P150" s="47" t="n"/>
      <c r="Q150" s="47" t="n"/>
      <c r="R150" s="47" t="n"/>
      <c r="S150" s="47" t="n"/>
      <c r="T150" s="47" t="n"/>
      <c r="U150" s="47" t="n"/>
      <c r="V150" s="47" t="n"/>
      <c r="W150" s="47" t="n"/>
      <c r="X150" s="47" t="n"/>
      <c r="Y150" s="47" t="n"/>
      <c r="Z150" s="47" t="n"/>
    </row>
    <row r="151" ht="15.75" customHeight="1" s="185">
      <c r="A151" s="52">
        <f>row()-3</f>
        <v/>
      </c>
      <c r="B151" s="46" t="inlineStr">
        <is>
          <t>就活生必見！企業説明会でのマナー</t>
        </is>
      </c>
      <c r="C151" s="6" t="inlineStr">
        <is>
          <t>https://dym.asia/media/recruiting/session-manners/</t>
        </is>
      </c>
      <c r="D151" s="47" t="inlineStr">
        <is>
          <t>会社説明会 マナー</t>
        </is>
      </c>
      <c r="E151" s="35" t="n">
        <v>3</v>
      </c>
      <c r="F151" s="36" t="n">
        <v>7.476608187134503</v>
      </c>
      <c r="G151" s="47" t="inlineStr">
        <is>
          <t>なし</t>
        </is>
      </c>
      <c r="H151" s="47" t="inlineStr">
        <is>
          <t>可</t>
        </is>
      </c>
      <c r="I151" s="10" t="inlineStr">
        <is>
          <t>Q. 企業説明会全体を通して、好印象を与えるために最も重要な「姿勢」と「行動」は何ですか？
A. いつも「見られている」と意識することが大切です。服装は指定がなければスーツで清潔感を保ち、会場では前方の席から詰めて座ります。メモは紙とペンで取り、スマートフォンの操作は控えることで、真剣に説明会に臨んでいる姿勢を示せます。
Q. 受付時と退場時（アンケート）に、特に注意すべきマナーは何ですか？
A. 受付では建物に入る前にコートを脱ぎ、大学名と氏名をはっきり伝えます。退場時のアンケートは必ず記入し、「特になし」とせず、具体的で建設的な意見や企業への感謝の言葉を書くことで、最後まで誠実な印象を残せます。
Q. 質疑応答で好印象を与える質問の選び方と、避けるべき質問の例は何ですか？
A. 企業の現状や将来展望、入社後のキャリア、社風など、事前に調べた上で関心を示せる質問が好印象です。逆に、ウェブサイトで調べられる基本情報や給与・休日など条件面ばかりの質問は避けましょう。
株式会社DYMでは、求職者様に対して様々な就職支援サービスを提供しております。
お問い合わせはこちら↓
https://dym.asia/media/recruiting-contact/</t>
        </is>
      </c>
      <c r="J151" s="47" t="n"/>
      <c r="K151" s="47" t="inlineStr">
        <is>
          <t>未確認</t>
        </is>
      </c>
      <c r="L151" s="47" t="inlineStr">
        <is>
          <t>未確認</t>
        </is>
      </c>
      <c r="M151" s="47" t="n"/>
      <c r="N151" s="47" t="n"/>
      <c r="O151" s="47" t="n"/>
      <c r="P151" s="47" t="n"/>
      <c r="Q151" s="47" t="n"/>
      <c r="R151" s="47" t="n"/>
      <c r="S151" s="47" t="n"/>
      <c r="T151" s="47" t="n"/>
      <c r="U151" s="47" t="n"/>
      <c r="V151" s="47" t="n"/>
      <c r="W151" s="47" t="n"/>
      <c r="X151" s="47" t="n"/>
      <c r="Y151" s="47" t="n"/>
      <c r="Z151" s="47" t="n"/>
    </row>
    <row r="152" ht="15.75" customHeight="1" s="185">
      <c r="A152" s="52">
        <f>row()-3</f>
        <v/>
      </c>
      <c r="B152" s="46" t="inlineStr">
        <is>
          <t>厚生年金とは？仕組みから受給額まで徹底解説</t>
        </is>
      </c>
      <c r="C152" s="6" t="inlineStr">
        <is>
          <t>https://dym.asia/media/recruiting/welfare-pension/</t>
        </is>
      </c>
      <c r="D152" s="47" t="inlineStr">
        <is>
          <t>厚生年金</t>
        </is>
      </c>
      <c r="E152" s="35" t="n">
        <v>3</v>
      </c>
      <c r="F152" s="36" t="n">
        <v>1.48126582278481</v>
      </c>
      <c r="G152" s="47" t="inlineStr">
        <is>
          <t>なし</t>
        </is>
      </c>
      <c r="H152" s="47" t="inlineStr">
        <is>
          <t>可</t>
        </is>
      </c>
      <c r="I152" s="10" t="inlineStr">
        <is>
          <t>Q. 厚生年金と国民年金の最も大きな違いは何ですか？
A. 国民年金は日本に住むすべての人が加入する基礎的な年金制度で、厚生年金は主に会社員や公務員が国民年金に上乗せして加入する制度です。厚生年金は報酬に応じて将来の年金額が決まり、保険料は事業主と従業員で折半して負担します。
Q. 厚生年金の保険料はどのように計算され、誰がどのように納付するのですか？
A. 従業員の給与をもとにした標準報酬月額に保険料率（2024年9月現在18.3%）を掛けて算出します。保険料は事業主と従業員で折半し、事業主が従業員分もまとめて納付します。毎月の納付期限は翌月末です。
Q. 厚生年金に加入する「事業所」と「従業員」の基本的な条件を教えてください。
A. 法人や常時5人以上の従業員を雇用する個人事業主の事業所が対象です。従業員は原則70歳未満で、これらの事業所で働く方が加入対象となります。アルバイトやパートの場合も、賃金や労働時間などの条件を満たせば加入が義務付けられます。
株式会社DYMでは、求職者様に対して様々な就職支援サービスを提供しております。
お問い合わせはこちら↓
https://dym.asia/media/recruiting-contact/</t>
        </is>
      </c>
      <c r="J152" s="47" t="n"/>
      <c r="K152" s="47" t="inlineStr">
        <is>
          <t>未確認</t>
        </is>
      </c>
      <c r="L152" s="47" t="inlineStr">
        <is>
          <t>未確認</t>
        </is>
      </c>
      <c r="M152" s="47" t="n"/>
      <c r="N152" s="47" t="n"/>
      <c r="O152" s="47" t="n"/>
      <c r="P152" s="47" t="n"/>
      <c r="Q152" s="47" t="n"/>
      <c r="R152" s="47" t="n"/>
      <c r="S152" s="47" t="n"/>
      <c r="T152" s="47" t="n"/>
      <c r="U152" s="47" t="n"/>
      <c r="V152" s="47" t="n"/>
      <c r="W152" s="47" t="n"/>
      <c r="X152" s="47" t="n"/>
      <c r="Y152" s="47" t="n"/>
      <c r="Z152" s="47" t="n"/>
    </row>
    <row r="153" ht="15.75" customHeight="1" s="185">
      <c r="A153" s="52">
        <f>row()-3</f>
        <v/>
      </c>
      <c r="B153" s="46" t="inlineStr">
        <is>
          <t>冬季インターンシップの魅力とは？時期はいつから？夏インターンの違いも解説</t>
        </is>
      </c>
      <c r="C153" s="6" t="inlineStr">
        <is>
          <t>https://dym.asia/media/recruiting/winter-internship/</t>
        </is>
      </c>
      <c r="D153" s="47" t="inlineStr">
        <is>
          <t>冬インターン</t>
        </is>
      </c>
      <c r="E153" s="35" t="n">
        <v>3</v>
      </c>
      <c r="F153" s="36" t="n">
        <v>6.162118780096308</v>
      </c>
      <c r="G153" s="47" t="inlineStr">
        <is>
          <t>なし</t>
        </is>
      </c>
      <c r="H153" s="47" t="inlineStr">
        <is>
          <t>可</t>
        </is>
      </c>
      <c r="I153" s="10" t="inlineStr">
        <is>
          <t>Q. 冬季インターンシップの主な開催時期と募集開始時期、また主な対象者を教えてください。
A. 冬季インターンシップは主に12月から2月にかけて、1日から1週間程度の短期間で行われます。募集や選考はその前、だいたい9月から10月ごろに始まります。対象は基本的に就職活動を控えた大学3年生ですが、企業によっては他の学年の学生も参加可能です。
Q. 夏季インターンシップと比較して、冬季インターンシップは目的や内容にどのような違いがありますか？
A. 夏季インターンは業界理解や職業体験が中心ですが、冬季インターンは就職活動を意識した内容が多く、企業の具体的な業務に近い実践的なプログラムが行われます。学生にとっては志望企業の実態を知り、早期内定を狙う機会として活用されます。
Q. 冬季インターンシップが就職活動において果たす重要な役割は何ですか？
A. 冬季インターンは、早期内定につながるチャンスが大きい点で重要です。企業によってはインターン参加者限定の選考会を実施したり、本選考の一部プロセスを免除する特別ルートを設けることもあります。
株式会社DYMでは、求職者様に対して様々な就職支援サービスを提供しております。
お問い合わせはこちら↓
https://dym.asia/media/recruiting-contact/</t>
        </is>
      </c>
      <c r="J153" s="47" t="n"/>
      <c r="K153" s="47" t="inlineStr">
        <is>
          <t>未確認</t>
        </is>
      </c>
      <c r="L153" s="47" t="inlineStr">
        <is>
          <t>未確認</t>
        </is>
      </c>
      <c r="M153" s="47" t="n"/>
      <c r="N153" s="47" t="n"/>
      <c r="O153" s="47" t="n"/>
      <c r="P153" s="47" t="n"/>
      <c r="Q153" s="47" t="n"/>
      <c r="R153" s="47" t="n"/>
      <c r="S153" s="47" t="n"/>
      <c r="T153" s="47" t="n"/>
      <c r="U153" s="47" t="n"/>
      <c r="V153" s="47" t="n"/>
      <c r="W153" s="47" t="n"/>
      <c r="X153" s="47" t="n"/>
      <c r="Y153" s="47" t="n"/>
      <c r="Z153" s="47" t="n"/>
    </row>
    <row r="154" ht="15.75" customHeight="1" s="185">
      <c r="A154" s="52">
        <f>row()-3</f>
        <v/>
      </c>
      <c r="B154" s="46" t="inlineStr">
        <is>
          <t>合同企業説明会に参加する意味と目的、成功の秘訣</t>
        </is>
      </c>
      <c r="C154" s="6" t="inlineStr">
        <is>
          <t>https://dym.asia/media/recruiting/career-fair/</t>
        </is>
      </c>
      <c r="D154" s="47" t="inlineStr">
        <is>
          <t>合同説明会 メリット</t>
        </is>
      </c>
      <c r="E154" s="35" t="n">
        <v>2</v>
      </c>
      <c r="F154" s="36" t="n">
        <v>7.16</v>
      </c>
      <c r="G154" s="47" t="inlineStr">
        <is>
          <t>なし</t>
        </is>
      </c>
      <c r="H154" s="47" t="inlineStr">
        <is>
          <t>可</t>
        </is>
      </c>
      <c r="I154" s="10" t="inlineStr">
        <is>
          <t>Q. 合同企業説明会に「何となく」参加することは、就職活動においてどのようなリスクがありますか？
A. 目的が曖昧だと、時間を有効に使えず終わってしまう可能性があります。「名前を知っている企業だから」という消極的な理由で回ると、就職活動に役立つ情報をほとんど得られないこともあります。最大限の成果を得るには、事前に目的をはっきりさせ、回る企業をリストアップして臨むことが大切です。
Q. 合同企業説明会に参加する最大の目的とメリットは何ですか？
A. 主な目的は、未知の業界や企業を知り、自分に合ったキャリアの方向性を見つけることです。複数の企業と効率よく接触できるうえ、Webサイトには載っていない担当者からの生の情報を得られることも大きなメリットです。また、企業文化や求める人材像を比較して検討できるのも利点です。
Q. 合同企業説明会でのマナーや持ち物で、特に意識すべきことは何ですか？
A. 服装は指定がなければスーツで清潔感を意識します。持ち物はメモ用の筆記具とノート、事前に準備した質問などがあると便利です。担当者から名刺をもらった場合は丁寧に扱い、その後の情報整理や連絡に活用しましょう。
株式会社DYMでは、求職者様に対して様々な就職支援サービスを提供しております。
お問い合わせはこちら↓
https://dym.asia/media/recruiting-contact/</t>
        </is>
      </c>
      <c r="J154" s="47" t="n"/>
      <c r="K154" s="47" t="inlineStr">
        <is>
          <t>未確認</t>
        </is>
      </c>
      <c r="L154" s="47" t="inlineStr">
        <is>
          <t>未確認</t>
        </is>
      </c>
      <c r="M154" s="47" t="n"/>
      <c r="N154" s="47" t="n"/>
      <c r="O154" s="47" t="n"/>
      <c r="P154" s="47" t="n"/>
      <c r="Q154" s="47" t="n"/>
      <c r="R154" s="47" t="n"/>
      <c r="S154" s="47" t="n"/>
      <c r="T154" s="47" t="n"/>
      <c r="U154" s="47" t="n"/>
      <c r="V154" s="47" t="n"/>
      <c r="W154" s="47" t="n"/>
      <c r="X154" s="47" t="n"/>
      <c r="Y154" s="47" t="n"/>
      <c r="Z154" s="47" t="n"/>
    </row>
    <row r="155" ht="15.75" customHeight="1" s="185">
      <c r="A155" s="52">
        <f>row()-3</f>
        <v/>
      </c>
      <c r="B155" s="46" t="inlineStr">
        <is>
          <t>大学生向け就職相談サービス5選｜支援内容や就活への生かし方を徹底解説</t>
        </is>
      </c>
      <c r="C155" s="6" t="inlineStr">
        <is>
          <t>https://dym.asia/media/recruiting/employment-consultation-university-student/</t>
        </is>
      </c>
      <c r="D155" s="47" t="inlineStr">
        <is>
          <t>大学生 進路相談</t>
        </is>
      </c>
      <c r="E155" s="35" t="n">
        <v>2</v>
      </c>
      <c r="F155" s="36" t="n">
        <v>2.636363636363637</v>
      </c>
      <c r="G155" s="47" t="inlineStr">
        <is>
          <t>なし</t>
        </is>
      </c>
      <c r="H155" s="47" t="inlineStr">
        <is>
          <t>可</t>
        </is>
      </c>
      <c r="I155" s="10" t="inlineStr">
        <is>
          <t>Q. 大学のキャリアセンターを利用する最大のメリットと注意点を教えてください。
A. 最大のメリットは、身近で無料で利用できることと、大学の学生の就職状況や企業との関係をよく知っているため、学歴や専攻に合わせた具体的なアドバイスを受けられる点です。注意点は、混雑時期には予約が取りにくいことや、サービスの内容が大学ごとに異なるため、事前に確認しておく必要があることです。
Q. 就活塾や就活コンシェルジュといった有料サービスを利用するメリットは何ですか？
A. 専門のキャリアアドバイザーや元人事担当者から、自己分析から面接対策まで一貫して手厚くサポートを受けられることです。体系的なカリキュラムに沿った実践的なアドバイスや最新の企業情報を得られるため、効率的に就活を進めたい学生や苦手分野を克服したい学生には特に有効です。
Q. 就職相談を最大限に活用するために、学生が事前に準備すべき最も重要なことは何ですか？
A. 相談前に話したいことや聞きたいことを整理しておくことが大切です。目的をはっきりさせることで、限られた時間でも具体的なアドバイスを引き出せます。また、相談相手によって聞く内容を変え、受けたアドバイスは自分の言葉で整理して活かす姿勢も重要です。
株式会社DYMでは、求職者様に対して様々な就職支援サービスを提供しております。
お問い合わせはこちら↓
https://dym.asia/media/recruiting-contact/</t>
        </is>
      </c>
      <c r="J155" s="47" t="n"/>
      <c r="K155" s="47" t="inlineStr">
        <is>
          <t>未確認</t>
        </is>
      </c>
      <c r="L155" s="47" t="inlineStr">
        <is>
          <t>未確認</t>
        </is>
      </c>
      <c r="M155" s="47" t="n"/>
      <c r="N155" s="47" t="n"/>
      <c r="O155" s="47" t="n"/>
      <c r="P155" s="47" t="n"/>
      <c r="Q155" s="47" t="n"/>
      <c r="R155" s="47" t="n"/>
      <c r="S155" s="47" t="n"/>
      <c r="T155" s="47" t="n"/>
      <c r="U155" s="47" t="n"/>
      <c r="V155" s="47" t="n"/>
      <c r="W155" s="47" t="n"/>
      <c r="X155" s="47" t="n"/>
      <c r="Y155" s="47" t="n"/>
      <c r="Z155" s="47" t="n"/>
    </row>
    <row r="156" ht="15.75" customHeight="1" s="185">
      <c r="A156" s="52">
        <f>row()-3</f>
        <v/>
      </c>
      <c r="B156" s="46" t="inlineStr">
        <is>
          <t>ESFJ（領事官）の性格診断、相性、仕事を紹介</t>
        </is>
      </c>
      <c r="C156" s="6" t="inlineStr">
        <is>
          <t>https://dym.asia/media/recruiting/esfj/#index-ESFJ-5ESFJ-5toc</t>
        </is>
      </c>
      <c r="D156" s="47" t="inlineStr">
        <is>
          <t>esfj 性格</t>
        </is>
      </c>
      <c r="E156" s="35" t="n">
        <v>2</v>
      </c>
      <c r="F156" s="36" t="n">
        <v>5.503119548182974</v>
      </c>
      <c r="G156" s="47" t="inlineStr">
        <is>
          <t>なし</t>
        </is>
      </c>
      <c r="H156" s="47" t="inlineStr">
        <is>
          <t>可</t>
        </is>
      </c>
      <c r="I156" s="10" t="inlineStr">
        <is>
          <t>Q. ESFJ（領事官）の基本的な性格特性と、仕事で活かせる主な長所は何ですか？
A. ESFJは社交的で面倒見が良く、人とのつながりやコミュニティの調和を大切にする性格です。協調性や社交性が高く、周囲への配慮や支援も得意です。組織的な能力や責任感もあり、集団の中でリーダーやサポーターとして信頼されやすいのが長所です。
Q. ESFJが注意すべき短所や、人間関係における弱点にはどのようなものがありますか？
A. 協調性が高い反面、他人に依存しすぎたり、評価や批判に敏感になりやすい点があります。また、計画や伝統を重んじるため柔軟性に欠ける場合があり、他人を優先するあまり自分を後回しにしてしまうこともあります。
Q. ESFJの特性を最も活かせる、向いている職業の分野を教えてください。
A. 対人サービス系の仕事が向いており、医療や教育、福祉、サポート職、事務職などで活躍できます。責任感や組織をまとめる力もあるため、チームを率いるリーダーとしての役割も担いやすいです。
株式会社DYMでは、求職者様に対して様々な就職支援サービスを提供しております。
お問い合わせはこちら↓
https://dym.asia/media/recruiting-contact/</t>
        </is>
      </c>
      <c r="J156" s="47" t="n"/>
      <c r="K156" s="47" t="inlineStr">
        <is>
          <t>未確認</t>
        </is>
      </c>
      <c r="L156" s="47" t="inlineStr">
        <is>
          <t>未確認</t>
        </is>
      </c>
      <c r="M156" s="47" t="n"/>
      <c r="N156" s="47" t="n"/>
      <c r="O156" s="47" t="n"/>
      <c r="P156" s="47" t="n"/>
      <c r="Q156" s="47" t="n"/>
      <c r="R156" s="47" t="n"/>
      <c r="S156" s="47" t="n"/>
      <c r="T156" s="47" t="n"/>
      <c r="U156" s="47" t="n"/>
      <c r="V156" s="47" t="n"/>
      <c r="W156" s="47" t="n"/>
      <c r="X156" s="47" t="n"/>
      <c r="Y156" s="47" t="n"/>
      <c r="Z156" s="47" t="n"/>
    </row>
    <row r="157" ht="15.75" customHeight="1" s="185">
      <c r="A157" s="52">
        <f>row()-3</f>
        <v/>
      </c>
      <c r="B157" s="46" t="inlineStr">
        <is>
          <t>面接で落ちた人に共通する理由は？落とされるサインや不採用が続く際の対策</t>
        </is>
      </c>
      <c r="C157" s="6" t="inlineStr">
        <is>
          <t>https://dym.asia/media/recruiting/fail-the-interview/#index</t>
        </is>
      </c>
      <c r="D157" s="47" t="inlineStr">
        <is>
          <t>面接 落ちた</t>
        </is>
      </c>
      <c r="E157" s="35" t="n">
        <v>2</v>
      </c>
      <c r="F157" s="36" t="n">
        <v>6.739898299524304</v>
      </c>
      <c r="G157" s="47" t="inlineStr">
        <is>
          <t>なし</t>
        </is>
      </c>
      <c r="H157" s="47" t="inlineStr">
        <is>
          <t>可</t>
        </is>
      </c>
      <c r="I157" s="10" t="inlineStr">
        <is>
          <t>Q. 選考段階（1次、2次、最終）ごとに、面接で不採用になる主な理由は何ですか？
A. 不採用の理由は面接の段階によって異なります。1次面接ではビジネスマナーの不足や志望動機・転職理由の具体性や一貫性の欠如、基本的なコミュニケーション力が問われます。2次面接では実務スキルや経験、既存メンバーとの相性、仕事に対する姿勢が重視されます。最終面接では、役員や社長が入社後のビジョンや企業との価値観の一致を中心に見ています。
Q. 面接中に「不合格のサインかもしれない」と判断できる具体的な兆候を教えてください。
A. 面接官の反応が薄くメモをほとんど取らない、予定より早く終わる、質問が基本的な内容だけで深掘りされない、入社後の話や逆質問の時間がない、などが兆候として挙げられます。ただし、サインに気づいても落ち着いて堂々と話すことが大切です。
Q. 面接で不採用が続いた場合、内定獲得のために実践すべき具体的な改善対策は何ですか？
A. 面接後すぐに質問と回答を振り返り、原因を分析することが重要です。キャリアアドバイザーに指摘してもらったり、模擬面接で回答を強化したり、自己PRや志望動機の具体性と一貫性を見直したり、企業研究を深めたりすることで、次回の面接通過率を高めることができます。
株式会社DYMでは、求職者様に対して様々な就職支援サービスを提供しております。
お問い合わせはこちら↓
https://dym.asia/media/recruiting-contact/</t>
        </is>
      </c>
      <c r="J157" s="47" t="n"/>
      <c r="K157" s="47" t="inlineStr">
        <is>
          <t>未確認</t>
        </is>
      </c>
      <c r="L157" s="47" t="inlineStr">
        <is>
          <t>未確認</t>
        </is>
      </c>
      <c r="M157" s="47" t="n"/>
      <c r="N157" s="47" t="n"/>
      <c r="O157" s="47" t="n"/>
      <c r="P157" s="47" t="n"/>
      <c r="Q157" s="47" t="n"/>
      <c r="R157" s="47" t="n"/>
      <c r="S157" s="47" t="n"/>
      <c r="T157" s="47" t="n"/>
      <c r="U157" s="47" t="n"/>
      <c r="V157" s="47" t="n"/>
      <c r="W157" s="47" t="n"/>
      <c r="X157" s="47" t="n"/>
      <c r="Y157" s="47" t="n"/>
      <c r="Z157" s="47" t="n"/>
    </row>
    <row r="158" ht="15.75" customHeight="1" s="185">
      <c r="A158" s="52">
        <f>row()-3</f>
        <v/>
      </c>
      <c r="B158" s="46" t="inlineStr">
        <is>
          <t>女性におすすめの派遣の仕事とは？人気の職種や企業が活用するメリットも解説</t>
        </is>
      </c>
      <c r="C158" s="6" t="inlineStr">
        <is>
          <t>https://dym.asia/media/recruiting/female_dispatch/</t>
        </is>
      </c>
      <c r="D158" s="47" t="inlineStr">
        <is>
          <t>派遣 働き方 女性</t>
        </is>
      </c>
      <c r="E158" s="35" t="n">
        <v>2</v>
      </c>
      <c r="F158" s="36" t="n">
        <v>1.511111111111111</v>
      </c>
      <c r="G158" s="47" t="inlineStr">
        <is>
          <t>なし</t>
        </is>
      </c>
      <c r="H158" s="47" t="inlineStr">
        <is>
          <t>可</t>
        </is>
      </c>
      <c r="I158" s="10" t="inlineStr">
        <is>
          <t>Q. 女性が派遣という働き方を選ぶ最大の理由とメリットは何ですか？
A. 多くの女性が派遣を選ぶのは、自分の都合に合わせて働ける柔軟さがあるからです。結婚や出産、育児などライフイベントと両立しやすく、ワークライフバランスを整えやすいのが大きなメリットです。さらに、自分の希望に合った仕事を選べるため、働き方のミスマッチを避けやすい点も魅力です。
Q. 派遣社員として働く上でのデメリットや、長期的なキャリア形成における課題は何ですか？
A. 長期的なキャリア形成が難しい場合があります。業務範囲が限られやすく専門性を高めにくいことや、登録型派遣では契約終了とともに収入が途絶えるリスクがあります。また、職場が変わりやすい点も課題として考えておく必要があります。
Q. 女性に人気の高い派遣職種にはどのようなものがあり、どのようなスキルが求められますか？
A. 人気の職種には一般事務、金融事務、コールセンターがあります。事務系ではWordやExcelなどのPCスキルやデータ入力の正確さ、ビジネスマナーが求められます。コールセンターではコミュニケーション力や傾聴力、正確な情報処理能力が重要です。オフィスワークが中心で求人も多く、特に人気の高い職種です。
株式会社DYMでは、求職者様に対して様々な就職支援サービスを提供しております。
お問い合わせはこちら↓
https://dym.asia/media/recruiting-contact/</t>
        </is>
      </c>
      <c r="J158" s="47" t="n"/>
      <c r="K158" s="47" t="inlineStr">
        <is>
          <t>未確認</t>
        </is>
      </c>
      <c r="L158" s="47" t="inlineStr">
        <is>
          <t>未確認</t>
        </is>
      </c>
      <c r="M158" s="47" t="n"/>
      <c r="N158" s="47" t="n"/>
      <c r="O158" s="47" t="n"/>
      <c r="P158" s="47" t="n"/>
      <c r="Q158" s="47" t="n"/>
      <c r="R158" s="47" t="n"/>
      <c r="S158" s="47" t="n"/>
      <c r="T158" s="47" t="n"/>
      <c r="U158" s="47" t="n"/>
      <c r="V158" s="47" t="n"/>
      <c r="W158" s="47" t="n"/>
      <c r="X158" s="47" t="n"/>
      <c r="Y158" s="47" t="n"/>
      <c r="Z158" s="47" t="n"/>
    </row>
    <row r="159" ht="15.75" customHeight="1" s="185">
      <c r="A159" s="52">
        <f>row()-3</f>
        <v/>
      </c>
      <c r="B159" s="46" t="inlineStr">
        <is>
          <t>第二新卒女性、転職成功の秘訣とは？</t>
        </is>
      </c>
      <c r="C159" s="6" t="inlineStr">
        <is>
          <t>https://dym.asia/media/recruiting/former-graduate-woman/</t>
        </is>
      </c>
      <c r="D159" s="47" t="inlineStr">
        <is>
          <t>第二新卒 成功する人</t>
        </is>
      </c>
      <c r="E159" s="35" t="n">
        <v>2</v>
      </c>
      <c r="F159" s="36" t="n">
        <v>7.129411764705883</v>
      </c>
      <c r="G159" s="47" t="inlineStr">
        <is>
          <t>なし</t>
        </is>
      </c>
      <c r="H159" s="47" t="inlineStr">
        <is>
          <t>可</t>
        </is>
      </c>
      <c r="I159" s="40" t="inlineStr">
        <is>
          <t>Q. 企業が第二新卒の女性に特に期待する「良いイメージ」と、逆に懸念する点は何ですか？
A. 企業は、社会人としての基本マナーを身につけていることや、前職の経験を活かして会社にスムーズに馴染める能力、成長意欲やポテンシャルの高さを期待します。一方で懸念されるのは、前職を早期に辞めているため「またすぐ辞めてしまうのでは」という点や、実務経験が短いことで生じる経験不足です。たすぐに辞めてしまうのではないか」という早期退職の心配と、実務経験が短いがゆえの経験不足への懸念です。
Q. 第二新卒の女性が転職活動を成功させるために、選考時（面接など）に最も重視すべきアピールポイントは何ですか？
A. 長期勤務の意思をはっきり伝えることが最も重要です。前職の退職理由は正直かつ前向きに説明し、今回の転職がキャリア形成のためであることを示します。また、自分の柔軟性や学習意欲が企業の求める人物像にどう合うかを具体的に伝えることも大切です。
Q. 第二新卒の女性が転職先を選ぶ際、特に考慮すべき4つの重要事項を教えてください。
A. ライフイベントを考慮した職場環境や、譲れない条件をクリアできるか、成長できる制度やキャリアパスの有無、そして従業員満足度の高さなどを総合的に判断し、自分のキャリアとライフプランに合った企業を選ぶことが大切です。
株式会社DYMでは、求職者様に対して様々な就職支援サービスを提供しております。
お問い合わせはこちら↓
https://dym.asia/media/recruiting-contact/</t>
        </is>
      </c>
      <c r="J159" s="47" t="n"/>
      <c r="K159" s="47" t="inlineStr">
        <is>
          <t>未確認</t>
        </is>
      </c>
      <c r="L159" s="47" t="inlineStr">
        <is>
          <t>未確認</t>
        </is>
      </c>
      <c r="M159" s="47" t="n"/>
      <c r="N159" s="47" t="n"/>
      <c r="O159" s="47" t="n"/>
      <c r="P159" s="47" t="n"/>
      <c r="Q159" s="47" t="n"/>
      <c r="R159" s="47" t="n"/>
      <c r="S159" s="47" t="n"/>
      <c r="T159" s="47" t="n"/>
      <c r="U159" s="47" t="n"/>
      <c r="V159" s="47" t="n"/>
      <c r="W159" s="47" t="n"/>
      <c r="X159" s="47" t="n"/>
      <c r="Y159" s="47" t="n"/>
      <c r="Z159" s="47" t="n"/>
    </row>
    <row r="160" ht="15.75" customHeight="1" s="185">
      <c r="A160" s="52">
        <f>row()-3</f>
        <v/>
      </c>
      <c r="B160" s="46" t="inlineStr">
        <is>
          <t>ガクチカとは｜自己PRとの違いや書き方・例文</t>
        </is>
      </c>
      <c r="C160" s="6" t="inlineStr">
        <is>
          <t>https://dym.asia/media/recruiting/gakuchika/</t>
        </is>
      </c>
      <c r="D160" s="47" t="inlineStr">
        <is>
          <t>ガクチカと自己prの違い</t>
        </is>
      </c>
      <c r="E160" s="35" t="n">
        <v>2</v>
      </c>
      <c r="F160" s="36" t="n">
        <v>1.186746987951807</v>
      </c>
      <c r="G160" s="47" t="inlineStr">
        <is>
          <t>なし</t>
        </is>
      </c>
      <c r="H160" s="47" t="inlineStr">
        <is>
          <t>可</t>
        </is>
      </c>
      <c r="I160" s="10" t="inlineStr">
        <is>
          <t>Q. 就職活動における「ガクチカ（学生時代に力を入れたこと）」と「自己PR」の明確な違いは何ですか？
A. ガクチカは学生時代に力を入れた具体的な経験に焦点を当て、その過程で何を学びどう成長したかを伝えるものです。一方、自己PRは自分のスキルや強み、性格などをアピールするもので、経験そのものよりも自分の資質を強調することが目的です。ガクチカは経験の裏付け、自己PRは自分の特性の紹介と覚えておくと分かりやすいです。いう資質を持った人物です」とアピールします。ガクチカは経験の裏付け、自己PRは資質の強調が主な目的です。
Q. 企業がガクチカを通じて応募者の何を見極めようとしているのですか？
A. 企業はガクチカを通じて、応募者が困難な状況にどう向き合ったか、その行動の裏にある考え方や価値観、将来の成長性や職場での適応力を見極めようとしています。単に成果を並べるだけでなく、なぜその行動を取ったのか、どんな工夫をしたのかというプロセスや、そこから得た学びが企業の求める人材像と合うかがポイントです。
Q. 効果的なガクチカを作成するために、盛り込むべき構成要素を教えてください。
A. 効果的なガクチカは、まず挑戦した経験とその理由を示し、目標や直面した課題を説明します。次に、課題解決のためにどのような行動を取り工夫したかを具体的に伝え、その結果として得られた成果を示します。最後に、その経験から学んだことや自分の強みを整理し、仕事でどう活かせるかまで結び付けると、より説得力のある内容になります。
株式会社DYMでは、求職者様に対して様々な就職支援サービスを提供しております。
お問い合わせはこちら↓
https://dym.asia/media/recruiting-contact/</t>
        </is>
      </c>
      <c r="J160" s="47" t="n"/>
      <c r="K160" s="47" t="inlineStr">
        <is>
          <t>未確認</t>
        </is>
      </c>
      <c r="L160" s="47" t="inlineStr">
        <is>
          <t>未確認</t>
        </is>
      </c>
      <c r="M160" s="47" t="n"/>
      <c r="N160" s="47" t="n"/>
      <c r="O160" s="47" t="n"/>
      <c r="P160" s="47" t="n"/>
      <c r="Q160" s="47" t="n"/>
      <c r="R160" s="47" t="n"/>
      <c r="S160" s="47" t="n"/>
      <c r="T160" s="47" t="n"/>
      <c r="U160" s="47" t="n"/>
      <c r="V160" s="47" t="n"/>
      <c r="W160" s="47" t="n"/>
      <c r="X160" s="47" t="n"/>
      <c r="Y160" s="47" t="n"/>
      <c r="Z160" s="47" t="n"/>
    </row>
    <row r="161" ht="15.75" customHeight="1" s="185">
      <c r="A161" s="52">
        <f>row()-3</f>
        <v/>
      </c>
      <c r="B161" s="46" t="inlineStr">
        <is>
          <t>メンタルを強くする方法5選｜心を鍛える習慣も紹介</t>
        </is>
      </c>
      <c r="C161" s="6" t="inlineStr">
        <is>
          <t>https://dym.asia/media/recruiting/how-to-strengthen-mentality/#index-33toc</t>
        </is>
      </c>
      <c r="D161" s="47" t="inlineStr">
        <is>
          <t>メンタルを強くする方法</t>
        </is>
      </c>
      <c r="E161" s="35" t="n">
        <v>2</v>
      </c>
      <c r="F161" s="36" t="n">
        <v>4.37203125</v>
      </c>
      <c r="G161" s="47" t="inlineStr">
        <is>
          <t>なし</t>
        </is>
      </c>
      <c r="H161" s="47" t="inlineStr">
        <is>
          <t>可</t>
        </is>
      </c>
      <c r="I161" s="10" t="inlineStr">
        <is>
          <t>Q. メンタルが強い人とはどのような状態・特徴を持つ人ですか？
A. メンタルが強い人とは、困難に直面しても前向きな姿勢を保ち、適切に対処できる人のことです。単なる精神力だけでなく、回復力やストレス耐性も備えています。共通する特徴としては、自分に自信を持っていること、ストレスに上手に対処できること、変化に柔軟に対応できることが挙げられます。
Q. メンタルが弱い人が陥りがちなネガティブな思考パターンと、その克服策は何ですか？
A. メンタルが弱い人は自分を否定しがちで、他人と比べて落ち込みやすく、ストレスに弱い傾向があります。克服するには、自己否定的な考えを建設的に変え、自分の成長や進歩に目を向けることが大切です。さらに、小さな成功体験を積み重ねて自己肯定感を高めることも有効です。
Q. メンタルを鍛えるための具体的な方法や日々の習慣を5つ教えてください。
A. 日常でできる具体的な方法としては、まず感謝できることや良かった出来事を意識して書き出すなどポジティブな思考を心がけることです。小さな成功体験を積み重ね自信を育てること、適度な運動や十分な睡眠で心身を整えること、メンタルの強い人と接して考え方や行動を学ぶこと、そして新しいことに挑戦して変化への柔軟性を高めることも効果的です。
株式会社DYMでは、求職者様に対して様々な就職支援サービスを提供しております。
お問い合わせはこちら↓
https://dym.asia/media/recruiting-contact/</t>
        </is>
      </c>
      <c r="J161" s="47" t="n"/>
      <c r="K161" s="47" t="inlineStr">
        <is>
          <t>未確認</t>
        </is>
      </c>
      <c r="L161" s="47" t="inlineStr">
        <is>
          <t>未確認</t>
        </is>
      </c>
      <c r="M161" s="47" t="n"/>
      <c r="N161" s="47" t="n"/>
      <c r="O161" s="47" t="n"/>
      <c r="P161" s="47" t="n"/>
      <c r="Q161" s="47" t="n"/>
      <c r="R161" s="47" t="n"/>
      <c r="S161" s="47" t="n"/>
      <c r="T161" s="47" t="n"/>
      <c r="U161" s="47" t="n"/>
      <c r="V161" s="47" t="n"/>
      <c r="W161" s="47" t="n"/>
      <c r="X161" s="47" t="n"/>
      <c r="Y161" s="47" t="n"/>
      <c r="Z161" s="47" t="n"/>
    </row>
    <row r="162" ht="15.75" customHeight="1" s="185">
      <c r="A162" s="52">
        <f>row()-3</f>
        <v/>
      </c>
      <c r="B162" s="46" t="inlineStr">
        <is>
          <t>INFP（仲介者）の性格診断｜特徴や恋愛も解説</t>
        </is>
      </c>
      <c r="C162" s="6" t="inlineStr">
        <is>
          <t>https://dym.asia/media/recruiting/infp/#index-INFP-2INFP-2toc</t>
        </is>
      </c>
      <c r="D162" s="47" t="inlineStr">
        <is>
          <t>infp 性格</t>
        </is>
      </c>
      <c r="E162" s="35" t="n">
        <v>2</v>
      </c>
      <c r="F162" s="36" t="n">
        <v>5.200782515408402</v>
      </c>
      <c r="G162" s="47" t="inlineStr">
        <is>
          <t>なし</t>
        </is>
      </c>
      <c r="H162" s="47" t="inlineStr">
        <is>
          <t>可</t>
        </is>
      </c>
      <c r="I162" s="10" t="inlineStr">
        <is>
          <t>Q. INFP（仲介者）の基本的な性格特徴と、彼らが最も大切にする価値観は何ですか？
A. INFPは繊細で理想主義的な性格を持ち、深い共感力と豊かな創造性を備えています。自分の内なる価値観を最も大切にし、その信念に沿って誠実に行動するのが特徴です。見た目は控えめでも内面には強い情熱があり、理想と現実のギャップに悩むこともあります。
Q. INFPに適した仕事の分野と、仕事を選ぶ際の重要なポイントを教えてください。
A. INFPは共感力や創造力、集中力を活かせる仕事が向いています。カウンセラーなどの対人支援職や、芸術・文学・音楽などのクリエイティブ職がその代表です。仕事を選ぶときは、自分の価値観と業務内容が一致していること、自分の内面的な強みや感情が尊重される環境かどうかが重要です。
Q. INFPが人間関係や仕事で相性が良い、または大切にするのはどのようなタイプですか？
A. INFPは、自分の感情を尊重してくれる誠実な相手を大切にします。内向的な性質があるため、個人の価値観や一人の時間を理解してくれる人との相性が良いでしょう。他者の意見に流されず、自分の信念を尊重する関係を求めます。
株式会社DYMでは、求職者様に対して様々な就職支援サービスを提供しております。
お問い合わせはこちら↓
https://dym.asia/media/recruiting-contact/</t>
        </is>
      </c>
      <c r="J162" s="47" t="n"/>
      <c r="K162" s="47" t="inlineStr">
        <is>
          <t>未確認</t>
        </is>
      </c>
      <c r="L162" s="47" t="inlineStr">
        <is>
          <t>未確認</t>
        </is>
      </c>
      <c r="M162" s="47" t="n"/>
      <c r="N162" s="47" t="n"/>
      <c r="O162" s="47" t="n"/>
      <c r="P162" s="47" t="n"/>
      <c r="Q162" s="47" t="n"/>
      <c r="R162" s="47" t="n"/>
      <c r="S162" s="47" t="n"/>
      <c r="T162" s="47" t="n"/>
      <c r="U162" s="47" t="n"/>
      <c r="V162" s="47" t="n"/>
      <c r="W162" s="47" t="n"/>
      <c r="X162" s="47" t="n"/>
      <c r="Y162" s="47" t="n"/>
      <c r="Z162" s="47" t="n"/>
    </row>
    <row r="163" ht="15.75" customHeight="1" s="185">
      <c r="A163" s="52">
        <f>row()-3</f>
        <v/>
      </c>
      <c r="B163" s="46" t="inlineStr">
        <is>
          <t>INFP（仲介者）の性格診断｜特徴や恋愛も解説</t>
        </is>
      </c>
      <c r="C163" s="6" t="inlineStr">
        <is>
          <t>https://dym.asia/media/recruiting/infp/#index-INFP-7INFP-7toc</t>
        </is>
      </c>
      <c r="D163" s="47" t="inlineStr">
        <is>
          <t>infp 性格</t>
        </is>
      </c>
      <c r="E163" s="35" t="n">
        <v>2</v>
      </c>
      <c r="F163" s="36" t="n">
        <v>5.22346393588602</v>
      </c>
      <c r="G163" s="47" t="inlineStr">
        <is>
          <t>なし</t>
        </is>
      </c>
      <c r="H163" s="47" t="inlineStr">
        <is>
          <t>可</t>
        </is>
      </c>
      <c r="I163" s="10" t="inlineStr">
        <is>
          <t>Q. INFP（仲介者）と良好な関係を築くために、コミュニケーションで最も重視すべき点は何ですか？
A. INFPは感情豊かで繊細なため、相手の気持ちを尊重し、共感的な態度で接することが大切です。言葉だけでなく、その裏にある思いや感情に配慮することで、信頼関係を築きやすくなります。
Q. INFPと接する上で、特に注意すべき行動や配慮すべき境界線について教えてください
A. INFPは自分の価値観を大切にしているため、信念を否定したり押し付けるような態度は避けましょう。また、内向的で内省的な性格のため、一人の時間や空間を尊重し、必要なときは無理に干渉しない配慮も重要です。
Q. INFPが仕事でモチベーションを保つために大切にしていることは何ですか？
A. INFPは、自分の価値観や信念と仕事の内容が一致していることを大切にしています。自分が納得できる意味や目的を感じられる仕事であれば、高いモチベーションを維持しやすくなります。単に成果や報酬だけで動くわけではない点が特徴です。
株式会社DYMでは、求職者様に対して様々な就職支援サービスを提供しております。
お問い合わせはこちら↓
https://dym.asia/media/recruiting-contact/</t>
        </is>
      </c>
      <c r="J163" s="47" t="n"/>
      <c r="K163" s="47" t="inlineStr">
        <is>
          <t>未確認</t>
        </is>
      </c>
      <c r="L163" s="47" t="inlineStr">
        <is>
          <t>未確認</t>
        </is>
      </c>
      <c r="M163" s="47" t="n"/>
      <c r="N163" s="47" t="n"/>
      <c r="O163" s="47" t="n"/>
      <c r="P163" s="47" t="n"/>
      <c r="Q163" s="47" t="n"/>
      <c r="R163" s="47" t="n"/>
      <c r="S163" s="47" t="n"/>
      <c r="T163" s="47" t="n"/>
      <c r="U163" s="47" t="n"/>
      <c r="V163" s="47" t="n"/>
      <c r="W163" s="47" t="n"/>
      <c r="X163" s="47" t="n"/>
      <c r="Y163" s="47" t="n"/>
      <c r="Z163" s="47" t="n"/>
    </row>
    <row r="164" ht="15.75" customHeight="1" s="185">
      <c r="A164" s="52">
        <f>row()-3</f>
        <v/>
      </c>
      <c r="B164" s="46" t="inlineStr">
        <is>
          <t>INFP（仲介者）の性格診断｜特徴や恋愛も解説</t>
        </is>
      </c>
      <c r="C164" s="6" t="inlineStr">
        <is>
          <t>https://dym.asia/media/recruiting/infp/#index-INFP16PersonalitiesINFP16Personalitiestoc</t>
        </is>
      </c>
      <c r="D164" s="47" t="inlineStr">
        <is>
          <t>infp 性格</t>
        </is>
      </c>
      <c r="E164" s="35" t="n">
        <v>2</v>
      </c>
      <c r="F164" s="36" t="n">
        <v>5.223262954145994</v>
      </c>
      <c r="G164" s="47" t="inlineStr">
        <is>
          <t>なし</t>
        </is>
      </c>
      <c r="H164" s="47" t="inlineStr">
        <is>
          <t>可</t>
        </is>
      </c>
      <c r="I164" s="10" t="inlineStr">
        <is>
          <t>Q. INFPはどのような4つの特性（I/N/F/P）を持ち、外見と内面のギャップはありますか？
A. INFPは「内向的（I）」「直観的（N）」「感情的（F）」「知覚的（P）」の4つの特性を持っています。見た目は控えめで静かに見えることが多いですが、内面には情熱や創造性があり、深い思いやりと共感力を備えた理想主義的な性格です。
Q. INFP-T（乱気流型）とINFP-A（断定型）で、特に自己評価やストレス耐性においてどのような違いが見られますか？
A. INFP-Tは感情の起伏が大きく、自己評価が不安定になりやすく、外部の影響を受けやすい傾向があります。一方、INFP-Aは感情が安定していて自己評価も安定しており、他人の意見に左右されにくく、困難な状況にも冷静に対処できるのが特徴です。
Q. INFPが日本の16Personalitiesのタイプの中で最も高い割合を占めるのはなぜですか？
A. 日本ではINFPの割合が約16.5%と最も多く、特にINFP-Tが多い傾向にあります。これは、INFPの内向的で思いやり深く、自己批判的な性質が、調和を重んじる日本の文化と親和性が高いためだと考えられています。
お問い合わせはこちら↓
https://discussion.meetscompany.jp/1281/?_gl=1*6x96d3*_ga*MTI1MjE5NTY3My4xNzU2NDMyNTY0*_ga_ZXCZZJJ72V*czE3NjU1MDEzNTQkbzkkZzAkdDE3NjU1MDEzNTQkajYwJGwwJGgw</t>
        </is>
      </c>
      <c r="J164" s="47" t="n"/>
      <c r="K164" s="47" t="inlineStr">
        <is>
          <t>未確認</t>
        </is>
      </c>
      <c r="L164" s="47" t="inlineStr">
        <is>
          <t>未確認</t>
        </is>
      </c>
      <c r="M164" s="47" t="n"/>
      <c r="N164" s="47" t="n"/>
      <c r="O164" s="47" t="n"/>
      <c r="P164" s="47" t="n"/>
      <c r="Q164" s="47" t="n"/>
      <c r="R164" s="47" t="n"/>
      <c r="S164" s="47" t="n"/>
      <c r="T164" s="47" t="n"/>
      <c r="U164" s="47" t="n"/>
      <c r="V164" s="47" t="n"/>
      <c r="W164" s="47" t="n"/>
      <c r="X164" s="47" t="n"/>
      <c r="Y164" s="47" t="n"/>
      <c r="Z164" s="47" t="n"/>
    </row>
    <row r="165" ht="15.75" customHeight="1" s="185">
      <c r="A165" s="52">
        <f>row()-3</f>
        <v/>
      </c>
      <c r="B165" s="46" t="inlineStr">
        <is>
          <t>ISTJ（管理者）の性格と恋愛傾向は？仕事や相性も解説！</t>
        </is>
      </c>
      <c r="C165" s="6" t="inlineStr">
        <is>
          <t>https://dym.asia/media/recruiting/istj/#index-ISTJISTJtoc</t>
        </is>
      </c>
      <c r="D165" s="47" t="inlineStr">
        <is>
          <t>管理者</t>
        </is>
      </c>
      <c r="E165" s="35" t="n">
        <v>2</v>
      </c>
      <c r="F165" s="36" t="n">
        <v>4.939850290118262</v>
      </c>
      <c r="G165" s="47" t="inlineStr">
        <is>
          <t>なし</t>
        </is>
      </c>
      <c r="H165" s="47" t="inlineStr">
        <is>
          <t>可</t>
        </is>
      </c>
      <c r="I165" s="10" t="inlineStr">
        <is>
          <t>Q. ISTJが最も得意とする仕事の進め方や、組織内での役割の特徴は何ですか？
A. ISTJは計画性に優れ、物事を事前に準備して効率よく進めることを得意とします。基本的には一人で集中して取り組むことを好み、組織内では責任感の強さから重要な仕事を任され、周囲から信頼される存在となります。
Q. ISTJの「感覚型（S）」と「思考型（T）」の特性は、意思決定においてどのように影響しますか？
A. 感覚型の特性から、抽象的な理論よりも具体的な情報や事実に基づいて判断します。さらに思考型の特性により、個人的な感情に流されず客観的な分析と論理を優先するため、冷静で合理的な意思決定ができます。
Q. ISTJが持つ短所の中でも、「融通が利かない」点や「ストレスを溜めやすい」点は、どのように現れますか？
A. ISTJはルールや習慣を重んじるため、急な変更や新しいアイデアに対応するのが遅れ、柔軟性に欠けると見られることがあります。また、弱音をあまり吐かず頑張りすぎるため、気づかないうちにストレスをためやすい点も注意が必要です。
お問い合わせはこちら↓
https://discussion.meetscompany.jp/1281/?_gl=1*6x96d3*_ga*MTI1MjE5NTY3My4xNzU2NDMyNTY0*_ga_ZXCZZJJ72V*czE3NjU1MDEzNTQkbzkkZzAkdDE3NjU1MDEzNTQkajYwJGwwJGgw</t>
        </is>
      </c>
      <c r="J165" s="47" t="n"/>
      <c r="K165" s="47" t="inlineStr">
        <is>
          <t>未確認</t>
        </is>
      </c>
      <c r="L165" s="47" t="inlineStr">
        <is>
          <t>未確認</t>
        </is>
      </c>
      <c r="M165" s="47" t="n"/>
      <c r="N165" s="47" t="n"/>
      <c r="O165" s="47" t="n"/>
      <c r="P165" s="47" t="n"/>
      <c r="Q165" s="47" t="n"/>
      <c r="R165" s="47" t="n"/>
      <c r="S165" s="47" t="n"/>
      <c r="T165" s="47" t="n"/>
      <c r="U165" s="47" t="n"/>
      <c r="V165" s="47" t="n"/>
      <c r="W165" s="47" t="n"/>
      <c r="X165" s="47" t="n"/>
      <c r="Y165" s="47" t="n"/>
      <c r="Z165" s="47" t="n"/>
    </row>
    <row r="166" ht="15.75" customHeight="1" s="185">
      <c r="A166" s="52">
        <f>row()-3</f>
        <v/>
      </c>
      <c r="B166" s="46" t="inlineStr">
        <is>
          <t>ヘッドハンティングとは？引き抜きとの違いやメリット、対応方法を解説</t>
        </is>
      </c>
      <c r="C166" s="6" t="inlineStr">
        <is>
          <t>https://dym.asia/media/recruiting/job-change-head-hunting/</t>
        </is>
      </c>
      <c r="D166" s="47" t="inlineStr">
        <is>
          <t>ヘッドハンティング 退職理由</t>
        </is>
      </c>
      <c r="E166" s="35" t="n">
        <v>2</v>
      </c>
      <c r="F166" s="36" t="n">
        <v>10.02173913043478</v>
      </c>
      <c r="G166" s="47" t="inlineStr">
        <is>
          <t>なし</t>
        </is>
      </c>
      <c r="H166" s="47" t="inlineStr">
        <is>
          <t>可</t>
        </is>
      </c>
      <c r="I166" s="10" t="inlineStr">
        <is>
          <t>Q. ヘッドハンティングとは何ですか？また、「サーチ型」と「登録型」の主な違いを教えてください。
A. ヘッドハンティングは、企業が優秀な人材を他社から直接スカウトする採用手法で、特にマネジメント層や専門性の高い人が対象です。サーチ型は、ヘッドハンターが独自の情報ルートを使って転職潜在層を探す方法で、登録型は求職者が転職エージェントに登録し、スカウトを待つ方法です。
Q. ヘッドハンティングと「引き抜き」や「転職エージェント」との違いは何ですか？
A. ヘッドハンティングは専門の仲介者が間に入り、特定の優秀な人材にアプローチします。一方、引き抜きは企業や知人が直接声をかける場合が多く、対象者の定義は曖昧です。転職エージェントは、幅広い求職者に求人情報を紹介するサービスで、ヘッドハンティングよりも一般的な転職活動に近い形になります。
Q. ヘッドハンティングを受けるメリットと、その際の適切な対応方法を教えてください。
A.メリットは、通常の転職では得にくい高待遇やキャリアアップのチャンスを得られることです。対応する際は、まず本物のヘッドハンターか確認し、提示された条件を細かくチェックして、自分のキャリアプランに合うか慎重に考えることが大切です。
お問い合わせはこちら↓
https://talk.dshu.jp/6838/?_gl=1*155r6jh*_ga*MTI1MjE5NTY3My4xNzU2NDMyNTY0*_ga_ZXCZZJJ72V*czE3NjU1MDEzNTQkbzkkZzAkdDE3NjU1MDEzNTQkajYwJGwwJGgw</t>
        </is>
      </c>
      <c r="J166" s="47" t="n"/>
      <c r="K166" s="47" t="inlineStr">
        <is>
          <t>未確認</t>
        </is>
      </c>
      <c r="L166" s="47" t="inlineStr">
        <is>
          <t>未確認</t>
        </is>
      </c>
      <c r="M166" s="47" t="n"/>
      <c r="N166" s="47" t="n"/>
      <c r="O166" s="47" t="n"/>
      <c r="P166" s="47" t="n"/>
      <c r="Q166" s="47" t="n"/>
      <c r="R166" s="47" t="n"/>
      <c r="S166" s="47" t="n"/>
      <c r="T166" s="47" t="n"/>
      <c r="U166" s="47" t="n"/>
      <c r="V166" s="47" t="n"/>
      <c r="W166" s="47" t="n"/>
      <c r="X166" s="47" t="n"/>
      <c r="Y166" s="47" t="n"/>
      <c r="Z166" s="47" t="n"/>
    </row>
    <row r="167" ht="15.75" customHeight="1" s="185">
      <c r="A167" s="52">
        <f>row()-3</f>
        <v/>
      </c>
      <c r="B167" s="46" t="inlineStr">
        <is>
          <t>就活の軸とは？必要な理由・具体例や答え方例文集</t>
        </is>
      </c>
      <c r="C167" s="6" t="inlineStr">
        <is>
          <t>https://dym.asia/media/recruiting/job-hunting-criteria/</t>
        </is>
      </c>
      <c r="D167" s="47" t="inlineStr">
        <is>
          <t>就活の軸 何個</t>
        </is>
      </c>
      <c r="E167" s="35" t="n">
        <v>2</v>
      </c>
      <c r="F167" s="36" t="n">
        <v>8.771186440677965</v>
      </c>
      <c r="G167" s="47" t="inlineStr">
        <is>
          <t>なし</t>
        </is>
      </c>
      <c r="H167" s="47" t="inlineStr">
        <is>
          <t>可</t>
        </is>
      </c>
      <c r="I167" s="47" t="inlineStr">
        <is>
          <t>Q. 「就活の軸」とは具体的に何ですか？また、この軸を持たないことで生じるリスクは何ですか？
A. 就活の軸とは、企業や仕事を選ぶときに自分が絶対に譲れない価値観や基準のことです。例えば「社会に貢献できる仕事がしたい」といった考えが軸になります。軸を持たないと、情報や周囲の意見に流されやすくなり、目先の条件だけで判断してしまうため、入社後にミスマッチを感じたり、早期離職につながったりするリスクがあります。
Q. 就活の軸を明確にすることで得られる、選考におけるメリットを教えてください。
A. 軸がはっきりしていれば、面接やエントリーシートで一貫性のあるアピールができます。質問に対して軸を基に具体的な理由や経験を添えて話せるため、面接官に考えの整合性や志望度の高さを伝えやすく、納得感のある印象を与えられます。
Q. 自分の就活の軸を見つけるための具体的な方法を教えてください。
A. まず自己分析で自分の価値観や成功体験を振り返り、強みや大切にしたいことを整理します。さらに、友人や家族に意見を聞く他己分析で客観的な視点を加え、インターンシップなどで実際に仕事を体験することも効果的です。「やりたくないこと」を考えて逆算することで、本当に譲れない条件を明確にする方法も有効です。
お問い合わせはこちら↓
https://discussion.meetscompany.jp/1281/?_gl=1*6x96d3*_ga*MTI1MjE5NTY3My4xNzU2NDMyNTY0*_ga_ZXCZZJJ72V*czE3NjU1MDEzNTQkbzkkZzAkdDE3NjU1MDEzNTQkajYwJGwwJGgw</t>
        </is>
      </c>
      <c r="J167" s="47" t="n"/>
      <c r="K167" s="47" t="inlineStr">
        <is>
          <t>未確認</t>
        </is>
      </c>
      <c r="L167" s="47" t="inlineStr">
        <is>
          <t>未確認</t>
        </is>
      </c>
      <c r="M167" s="47" t="n"/>
      <c r="N167" s="47" t="n"/>
      <c r="O167" s="47" t="n"/>
      <c r="P167" s="47" t="n"/>
      <c r="Q167" s="47" t="n"/>
      <c r="R167" s="47" t="n"/>
      <c r="S167" s="47" t="n"/>
      <c r="T167" s="47" t="n"/>
      <c r="U167" s="47" t="n"/>
      <c r="V167" s="47" t="n"/>
      <c r="W167" s="47" t="n"/>
      <c r="X167" s="47" t="n"/>
      <c r="Y167" s="47" t="n"/>
      <c r="Z167" s="47" t="n"/>
    </row>
    <row r="168" ht="15.75" customHeight="1" s="185">
      <c r="A168" s="52">
        <f>row()-3</f>
        <v/>
      </c>
      <c r="B168" s="46" t="inlineStr">
        <is>
          <t>就活スケジュールまとめ｜いつから始めるか・流れや適切な進め方</t>
        </is>
      </c>
      <c r="C168" s="6" t="inlineStr">
        <is>
          <t>https://dym.asia/media/recruiting/job-hunting-schedule/</t>
        </is>
      </c>
      <c r="D168" s="47" t="inlineStr">
        <is>
          <t>就活 スケジュール</t>
        </is>
      </c>
      <c r="E168" s="35" t="n">
        <v>2</v>
      </c>
      <c r="F168" s="36" t="n">
        <v>11.71704180064309</v>
      </c>
      <c r="G168" s="47" t="inlineStr">
        <is>
          <t>なし</t>
        </is>
      </c>
      <c r="H168" s="47" t="inlineStr">
        <is>
          <t>可</t>
        </is>
      </c>
      <c r="I168" s="10" t="inlineStr">
        <is>
          <t>Q. 新卒の就活スケジュールにおいて、大学3年生の各時期（4月〜3月）にやるべき最も重要なことは何ですか？
A. 4月から6月は就活の準備期間で、自己分析や業界研究を始めて基礎を作る時期です。また、夏のインターンシップに向けて情報を集め、応募の準備を進めることも大切です。7月から9月は実際にインターンシップに参加し、企業や業界の理解を深めながら、自分に合った職種や働き方を見極めます。10月から12月は本格的にエントリーシートや面接対策を進め、OB・OG訪問を通じて企業研究をさらに深める時期です。筆記試験対策も並行して行いましょう。1月から3月は志望企業を最終的に絞り込み、企業説明会への参加や研究内容の確認を進め、選考に備えます。
Q. 就活を始める最適なタイミングはいつですか？また、早期準備の最大のメリットは何ですか？
A. 多くの学生は大学3年生の4月頃から準備を始めます。人によって最適なタイミングは異なりますが、早めに準備することで計画的に活動でき、余裕を持ってインターンシップや企業研究に取り組めることが最大のメリットです。
Q. 選考が本格化する大学4年生の時期（4月以降）の注意点と、内定後の重要な行動は何ですか？
A. 4月から6月の選考期は、複数の企業の選考が同時に進むため、スケジュール管理が非常に重要です。面接では、その企業で働く自分のビジョンを明確に語れるように企業研究を深めておきましょう。7月以降は内定を受けた場合、どの企業に入社するか最終決定を行い、内定式や研修など企業からの連絡に適切に対応することが求められます。また、社会人として必要なスキルを身につける準備も始めておくと安心です。
お問い合わせはこちら↓
https://discussion.meetscompany.jp/1281/?_gl=1*6x96d3*_ga*MTI1MjE5NTY3My4xNzU2NDMyNTY0*_ga_ZXCZZJJ72V*czE3NjU1MDEzNTQkbzkkZzAkdDE3NjU1MDEzNTQkajYwJGwwJGgw</t>
        </is>
      </c>
      <c r="J168" s="47" t="n"/>
      <c r="K168" s="47" t="inlineStr">
        <is>
          <t>未確認</t>
        </is>
      </c>
      <c r="L168" s="47" t="inlineStr">
        <is>
          <t>未確認</t>
        </is>
      </c>
      <c r="M168" s="47" t="n"/>
      <c r="N168" s="47" t="n"/>
      <c r="O168" s="47" t="n"/>
      <c r="P168" s="47" t="n"/>
      <c r="Q168" s="47" t="n"/>
      <c r="R168" s="47" t="n"/>
      <c r="S168" s="47" t="n"/>
      <c r="T168" s="47" t="n"/>
      <c r="U168" s="47" t="n"/>
      <c r="V168" s="47" t="n"/>
      <c r="W168" s="47" t="n"/>
      <c r="X168" s="47" t="n"/>
      <c r="Y168" s="47" t="n"/>
      <c r="Z168" s="47" t="n"/>
    </row>
    <row r="169" ht="15.75" customHeight="1" s="185">
      <c r="A169" s="52">
        <f>row()-3</f>
        <v/>
      </c>
      <c r="B169" s="46" t="inlineStr">
        <is>
          <t>転職活動にかかる期間はどれくらい？目安やスケジュールの立て方を解説</t>
        </is>
      </c>
      <c r="C169" s="6" t="inlineStr">
        <is>
          <t>https://dym.asia/media/recruiting/job-search-period/</t>
        </is>
      </c>
      <c r="D169" s="47" t="inlineStr">
        <is>
          <t>転職活動 どれくらいかかる</t>
        </is>
      </c>
      <c r="E169" s="35" t="n">
        <v>2</v>
      </c>
      <c r="F169" s="36" t="n">
        <v>11.83333333333333</v>
      </c>
      <c r="G169" s="47" t="inlineStr">
        <is>
          <t>なし</t>
        </is>
      </c>
      <c r="H169" s="47" t="inlineStr">
        <is>
          <t>可</t>
        </is>
      </c>
      <c r="I169" s="10" t="inlineStr">
        <is>
          <t>Q. 転職活動にかかる一般的な期間はどれくらいですか？また、在職中と離職後で期間にどのような違いがありますか？
A. 転職活動の期間は一般的に3〜6か月程度です。在職中に転職活動を行う場合は、仕事と並行するため期間がやや長くなる傾向があり、だいたい3か月から6か月ほどかかります。一方で、現職を辞めてから活動する場合は、時間を集中して使えるため2〜3か月ほどで次の職場が決まることもあります。
Q. 転職活動を始める最適なタイミングはいつですか？市場の繁忙期も考慮して教えてください。
A. 希望する入社日の3〜6か月前から始めるのが理想です。転職市場では、年度末の退職者補充などで求人が増える3月〜4月と、下半期に向けて体制強化や夏季賞与後の転職者が増える9月〜10月が繁忙期とされています。繁忙期に合わせる場合は、それぞれ年明けの1月や7月頃から準備を始めると効率的です。
Q. 転職活動の期間を効率的に短縮するための具体的なコツを教えてください。
A. 転職エージェントを活用して、専門家から求人紹介や選考対策のサポートを受けるのが有効です。さらに、応募書類をあらかじめテンプレート化して作成時間を短縮したり、オンライン面接を活用して移動時間を減らすことも、活動期間を効率よく短くするポイントです。
お問い合わせはこちら↓
https://discussion.meetscompany.jp/1281/?_gl=1*6x96d3*_ga*MTI1MjE5NTY3My4xNzU2NDMyNTY0*_ga_ZXCZZJJ72V*czE3NjU1MDEzNTQkbzkkZzAkdDE3NjU1MDEzNTQkajYwJGwwJGgw</t>
        </is>
      </c>
      <c r="J169" s="47" t="n"/>
      <c r="K169" s="47" t="inlineStr">
        <is>
          <t>未確認</t>
        </is>
      </c>
      <c r="L169" s="47" t="inlineStr">
        <is>
          <t>未確認</t>
        </is>
      </c>
      <c r="M169" s="47" t="n"/>
      <c r="N169" s="47" t="n"/>
      <c r="O169" s="47" t="n"/>
      <c r="P169" s="47" t="n"/>
      <c r="Q169" s="47" t="n"/>
      <c r="R169" s="47" t="n"/>
      <c r="S169" s="47" t="n"/>
      <c r="T169" s="47" t="n"/>
      <c r="U169" s="47" t="n"/>
      <c r="V169" s="47" t="n"/>
      <c r="W169" s="47" t="n"/>
      <c r="X169" s="47" t="n"/>
      <c r="Y169" s="47" t="n"/>
      <c r="Z169" s="47" t="n"/>
    </row>
    <row r="170" ht="15.75" customHeight="1" s="185">
      <c r="A170" s="52">
        <f>row()-3</f>
        <v/>
      </c>
      <c r="B170" s="46" t="inlineStr">
        <is>
          <t>ニート向け求人の探し方とは？ポイントやおすすめの就職支援サービスを紹介</t>
        </is>
      </c>
      <c r="C170" s="6" t="inlineStr">
        <is>
          <t>https://dym.asia/media/recruiting/neet_job/</t>
        </is>
      </c>
      <c r="D170" s="47" t="inlineStr">
        <is>
          <t>ニート 就職</t>
        </is>
      </c>
      <c r="E170" s="35" t="n">
        <v>2</v>
      </c>
      <c r="F170" s="36" t="n">
        <v>18.17125984251969</v>
      </c>
      <c r="G170" s="47" t="inlineStr">
        <is>
          <t>なし</t>
        </is>
      </c>
      <c r="H170" s="47" t="inlineStr">
        <is>
          <t>可</t>
        </is>
      </c>
      <c r="I170" s="10" t="inlineStr">
        <is>
          <t>Q. 採用担当者は、新卒の履歴書やESで志望動機のどこを見ていますか？
A. 採用担当者は、まず「なぜその企業に惹かれたのか」という理由の具体性を重視します。応募者の経験や価値観が、企業の理念や文化と合っているかも確認します。また、志望動機の根拠が明確であることも大切です。製品やサービスを使った経験やインターンでの学びなど、具体的なエピソードに基づき、入社後どのように貢献できるかが伝わる内容が好まれます。
Q. 説得力のある志望動機を作る基本のステップは？
A. まず企業の魅力を簡潔に伝えます。理念や事業内容、社風の中で特に惹かれたポイントを1つか2つ挙げるだけで十分です。その次に、自分の強みや価値観、具体的な経験を絡めて、なぜその企業に合うか、入社後にどう貢献できるかを示すと説得力が増します。
Q. 志望動機を書くときに避けるべき表現と、具体的にするコツは？
A. 「御社の理念に共感しました」「成長できそうです」といった抽象的な表現は避けましょう。具体化するには、企業のプロジェクトや事業に触れたうえで惹かれた理由を述べたり、自分の経験やスキルが企業の課題や目標にどう役立つかを具体的に示すことがポイントです。
お問い合わせはこちら↓ https://discussion.meetscompany.jp/1281/?_gl=1*6x96d3*_ga*MTI1MjE5NTY3My4xNzU2NDMyNTY0*_ga_ZXCZZJJ72V*czE3NjU1MDEzNTQkbzkkZzAkdDE3NjU1MDEzNTQkajYwJGwwJGgw</t>
        </is>
      </c>
      <c r="J170" s="47" t="n"/>
      <c r="K170" s="47" t="inlineStr">
        <is>
          <t>未確認</t>
        </is>
      </c>
      <c r="L170" s="47" t="inlineStr">
        <is>
          <t>未確認</t>
        </is>
      </c>
      <c r="M170" s="47" t="n"/>
      <c r="N170" s="47" t="n"/>
      <c r="O170" s="47" t="n"/>
      <c r="P170" s="47" t="n"/>
      <c r="Q170" s="47" t="n"/>
      <c r="R170" s="47" t="n"/>
      <c r="S170" s="47" t="n"/>
      <c r="T170" s="47" t="n"/>
      <c r="U170" s="47" t="n"/>
      <c r="V170" s="47" t="n"/>
      <c r="W170" s="47" t="n"/>
      <c r="X170" s="47" t="n"/>
      <c r="Y170" s="47" t="n"/>
      <c r="Z170" s="47" t="n"/>
    </row>
    <row r="171" ht="15.75" customHeight="1" s="185">
      <c r="A171" s="52">
        <f>row()-3</f>
        <v/>
      </c>
      <c r="B171" s="46" t="inlineStr">
        <is>
          <t>例文で学ぶ！新卒の履歴書志望動機書き方マスター</t>
        </is>
      </c>
      <c r="C171" s="6" t="inlineStr">
        <is>
          <t>https://dym.asia/media/recruiting/new-graduate-how-to-write-motivation/</t>
        </is>
      </c>
      <c r="D171" s="47" t="inlineStr">
        <is>
          <t>履歴書 志望動機 新卒</t>
        </is>
      </c>
      <c r="E171" s="35" t="n">
        <v>2</v>
      </c>
      <c r="F171" s="36" t="n">
        <v>25.6280834914611</v>
      </c>
      <c r="G171" s="47" t="inlineStr">
        <is>
          <t>なし</t>
        </is>
      </c>
      <c r="H171" s="47" t="inlineStr">
        <is>
          <t>可</t>
        </is>
      </c>
      <c r="I171" s="10" t="inlineStr">
        <is>
          <t>Q. 採用担当者は、新卒の履歴書やES（エントリーシート）の志望動機で、特にどのような点をチェックしていますか？
A. 採用担当者が重視するのは、まず「なぜその企業に惹かれたのか」という理由の具体性です。応募者の経験や価値観が企業の理念や文化と合っているかを確認します。また、志望動機の裏付けがしっかりしているかも見ています。例えば製品やサービスを実際に使った経験やインターンでの学びをもとに、入社後にどのように貢献したいかが具体的に伝わるかがポイントです。
Q. 説得力のある志望動機を作成するための、基本的な構成ステップを教えてください。
A. まず企業の魅力を簡潔に伝えます。理念や事業内容、社風の中で特に惹かれた部分を1つか2つ挙げるだけで十分です。その後、自分の強みや価値観、具体的な経験と結びつけて、なぜその企業に合うのか、入社後にどのように貢献できるのかを示すと、より説得力が増します。
Q. 自己PRでありがちな失敗や避けるべき表現は何ですか？
A. 抽象的すぎる表現や、数字や具体例がない話は印象に残りにくいです。「私は責任感があります」と言うだけではなく、どんな場面で責任感を発揮したかを示すことが重要です。また、謙遜しすぎて強みが伝わらなかったり、逆に自慢ばかりになったりすることも避けましょう。バランスよく、自分の強みと成果を具体的に伝えることがポイントです。
お問い合わせはこちら↓
https://discussion.meetscompany.jp/1281/?_gl=1*6x96d3*_ga*MTI1MjE5NTY3My4xNzU2NDMyNTY0*_ga_ZXCZZJJ72V*czE3NjU1MDEzNTQkbzkkZzAkdDE3NjU1MDEzNTQkajYwJGwwJGgw</t>
        </is>
      </c>
      <c r="J171" s="47" t="n"/>
      <c r="K171" s="47" t="inlineStr">
        <is>
          <t>未確認</t>
        </is>
      </c>
      <c r="L171" s="47" t="inlineStr">
        <is>
          <t>未確認</t>
        </is>
      </c>
      <c r="M171" s="47" t="n"/>
      <c r="N171" s="47" t="n"/>
      <c r="O171" s="47" t="n"/>
      <c r="P171" s="47" t="n"/>
      <c r="Q171" s="47" t="n"/>
      <c r="R171" s="47" t="n"/>
      <c r="S171" s="47" t="n"/>
      <c r="T171" s="47" t="n"/>
      <c r="U171" s="47" t="n"/>
      <c r="V171" s="47" t="n"/>
      <c r="W171" s="47" t="n"/>
      <c r="X171" s="47" t="n"/>
      <c r="Y171" s="47" t="n"/>
      <c r="Z171" s="47" t="n"/>
    </row>
    <row r="172" ht="15.75" customHeight="1" s="185">
      <c r="A172" s="52">
        <f>row()-3</f>
        <v/>
      </c>
      <c r="B172" s="46" t="inlineStr">
        <is>
          <t>新卒で留学するメリットとデメリットとは？キャリア形成に役立つ留学の活用法を徹底解説</t>
        </is>
      </c>
      <c r="C172" s="6" t="inlineStr">
        <is>
          <t>https://dym.asia/media/recruiting/new-graduation-study-abroard/</t>
        </is>
      </c>
      <c r="D172" s="47" t="inlineStr">
        <is>
          <t>新卒 留学</t>
        </is>
      </c>
      <c r="E172" s="35" t="n">
        <v>2</v>
      </c>
      <c r="F172" s="36" t="n">
        <v>5.17948717948718</v>
      </c>
      <c r="G172" s="47" t="inlineStr">
        <is>
          <t>なし</t>
        </is>
      </c>
      <c r="H172" s="47" t="inlineStr">
        <is>
          <t>可</t>
        </is>
      </c>
      <c r="I172" s="10" t="inlineStr">
        <is>
          <t>Q. 新卒で留学経験を持つことの主なメリットと、就職活動における主なリスクは何ですか？
A. 留学経験のメリットは、語学力の向上だけでなく、異文化に触れることで柔軟な考え方や創造力が身につくこと、国際的な人脈が広がること、そして自立心や問題解決能力が高まることです。一方で、就職活動のタイミングと留学期間が重なることで活動が遅れたり、学費や生活費など経済的な負担が生じるリスクもあります。
Q. 留学経験を就職活動で高く評価してもらうためには、どのようにアピールすれば良いですか？
A. 単に「留学した」「語学ができる」と伝えるだけでは不十分です。海外での経験を通じて身につけた適応力や異文化理解力、困難を乗り越えた自立心を具体的なエピソードで示し、それを入社後にどう生かすかまで伝えると、採用担当者に価値を理解してもらいやすくなります。
Q. 留学をキャリア形成に役立てるために、留学前に行うべき最も重要な準備は何ですか？
A. まず自己分析を深め、留学の目的やキャリアプランを明確にすることが大切です。また、日本の就職活動のスケジュールを考え、留学期間や帰国後の活動開始時期を計画的に調整することで、留学経験を最大限に活かせるように準備しましょう。
お問い合わせはこちら↓
https://discussion.meetscompany.jp/1281/?_gl=1*6x96d3*_ga*MTI1MjE5NTY3My4xNzU2NDMyNTY0*_ga_ZXCZZJJ72V*czE3NjU1MDEzNTQkbzkkZzAkdDE3NjU1MDEzNTQkajYwJGwwJGgw</t>
        </is>
      </c>
      <c r="J172" s="47" t="n"/>
      <c r="K172" s="47" t="inlineStr">
        <is>
          <t>未確認</t>
        </is>
      </c>
      <c r="L172" s="47" t="inlineStr">
        <is>
          <t>未確認</t>
        </is>
      </c>
      <c r="M172" s="47" t="n"/>
      <c r="N172" s="47" t="n"/>
      <c r="O172" s="47" t="n"/>
      <c r="P172" s="47" t="n"/>
      <c r="Q172" s="47" t="n"/>
      <c r="R172" s="47" t="n"/>
      <c r="S172" s="47" t="n"/>
      <c r="T172" s="47" t="n"/>
      <c r="U172" s="47" t="n"/>
      <c r="V172" s="47" t="n"/>
      <c r="W172" s="47" t="n"/>
      <c r="X172" s="47" t="n"/>
      <c r="Y172" s="47" t="n"/>
      <c r="Z172" s="47" t="n"/>
    </row>
    <row r="173" ht="15.75" customHeight="1" s="185">
      <c r="A173" s="52">
        <f>row()-3</f>
        <v/>
      </c>
      <c r="B173" s="46" t="inlineStr">
        <is>
          <t>事務職とはどのような仕事? 仕事内容や向いている人、求められるスキルを解説</t>
        </is>
      </c>
      <c r="C173" s="6" t="inlineStr">
        <is>
          <t>https://dym.asia/media/recruiting/office-work/</t>
        </is>
      </c>
      <c r="D173" s="47" t="inlineStr">
        <is>
          <t>事務職とは</t>
        </is>
      </c>
      <c r="E173" s="35" t="n">
        <v>2</v>
      </c>
      <c r="F173" s="36" t="n">
        <v>2.647288503253796</v>
      </c>
      <c r="G173" s="47" t="inlineStr">
        <is>
          <t>なし</t>
        </is>
      </c>
      <c r="H173" s="47" t="inlineStr">
        <is>
          <t>可</t>
        </is>
      </c>
      <c r="I173" s="10" t="inlineStr">
        <is>
          <t>Q. 事務職の基本的な仕事内容と、就職・転職で求められる基礎スキルは何ですか？
A. 事務職の仕事は、書類作成やデータ入力、電話や来客対応、ファイリングなど、会社の運営を支える幅広い業務です。未経験でも挑戦できますが、正確さや効率を意識して作業できることが求められます。特に、WordやExcel、PowerPointなどの基本的なパソコン操作は必須で、スムーズに扱えると有利です。
Q. 未経験から事務職に挑戦する場合、どの職種から始めるのがおすすめですか？
A. 初めて事務職に就く場合は、業務が比較的シンプルでOJTを通じて学びやすい職種から始めるのが安心です。例えば、一般事務は書類作成やデータ入力、電話対応が中心で、パソコンの基本操作ができれば取り組みやすいです。営業事務は、見積書や請求書の作成や顧客データ管理を通じて、営業活動や顧客対応の流れを学べます。総務事務は備品管理や社内イベントの運営サポートなどを経験でき、会社全体の仕組みを理解するのに役立ちます。
Q. 事務職のキャリアアップに役立つ資格やスキルには、どのようなものがありますか？
A. キャリアを広げるには、専門性を高めることが重要です。業務効率化に役立つExcelのマクロやVBAなどのITスキルは評価されやすく、経理や財務では日商簿記やFP資格、法律事務では法律関連の知識、医療事務では医療事務資格など、業界や職種に応じた専門知識を身につけるとキャリアアップにつながります。
お問い合わせはこちら↓
https://dymcareer.jp/ready_career-lp_dym-asia/?_gl=1*117nkpw*_ga*MTI1MjE5NTY3My4xNzU2NDMyNTY0*_ga_ZXCZZJJ72V*czE3NjU1MDQzMDAkbzEwJGcwJHQxNzY1NTA0MzAwJGo2MCRsMCRoMA..</t>
        </is>
      </c>
      <c r="J173" s="47" t="n"/>
      <c r="K173" s="47" t="inlineStr">
        <is>
          <t>未確認</t>
        </is>
      </c>
      <c r="L173" s="47" t="inlineStr">
        <is>
          <t>未確認</t>
        </is>
      </c>
      <c r="M173" s="47" t="n"/>
      <c r="N173" s="47" t="n"/>
      <c r="O173" s="47" t="n"/>
      <c r="P173" s="47" t="n"/>
      <c r="Q173" s="47" t="n"/>
      <c r="R173" s="47" t="n"/>
      <c r="S173" s="47" t="n"/>
      <c r="T173" s="47" t="n"/>
      <c r="U173" s="47" t="n"/>
      <c r="V173" s="47" t="n"/>
      <c r="W173" s="47" t="n"/>
      <c r="X173" s="47" t="n"/>
      <c r="Y173" s="47" t="n"/>
      <c r="Z173" s="47" t="n"/>
    </row>
    <row r="174" ht="15.75" customHeight="1" s="185">
      <c r="A174" s="52">
        <f>row()-3</f>
        <v/>
      </c>
      <c r="B174" s="46" t="inlineStr">
        <is>
          <t>リスケとは？正しい意味と使い方、リスケする際のポイント</t>
        </is>
      </c>
      <c r="C174" s="6" t="inlineStr">
        <is>
          <t>https://dym.asia/media/recruiting/re-schedule/</t>
        </is>
      </c>
      <c r="D174" s="47" t="inlineStr">
        <is>
          <t>リスケ 理由 ビジネス</t>
        </is>
      </c>
      <c r="E174" s="35" t="n">
        <v>2</v>
      </c>
      <c r="F174" s="36" t="n">
        <v>11.375</v>
      </c>
      <c r="G174" s="47" t="inlineStr">
        <is>
          <t>なし</t>
        </is>
      </c>
      <c r="H174" s="47" t="inlineStr">
        <is>
          <t>可</t>
        </is>
      </c>
      <c r="I174" s="10" t="inlineStr">
        <is>
          <t>Q. ビジネスシーンで使われる「リスケ」とは、どのような意味の言葉ですか？また、「ドタキャン」との違いを教えてください。
A. 「リスケ」とは、英語の「reschedule（リスケジュール）」の略で、予定を新しい日時や条件に調整し直すことを指します。単に予定を一方的にキャンセルする「ドタキャン」と違い、相手と相談しながら変更するというニュアンスがあります。ビジネスでは、日程の変更を丁寧に伝える「リスケ」が一般的に使われます。
Q. 面接や会議など、ビジネスの予定をリスケジュールする際に守るべき基本的なマナーや、メールで伝える際のポイントは何ですか？
A. リスケを行う際は、相手への配慮が大切です。まず、できるだけ早めに連絡し、相手への影響を最小限に抑えることが重要です。理由は簡潔かつ具体的に伝え、「急な業務で対応できない」といった背景を説明します。その上で、新しい候補日時をいくつか提示して調整しやすくし、最後に日程変更をお願いする謝意を丁寧に伝えます。こうした配慮が、信頼を損なわずスムーズに調整するポイントです。
Q. 目上の人や取引先に対して「リスケ」という略語を使用しても問題ないですか？適切な言い換え表現を教えてください。
A. 「リスケ」は略語なので、目上の人や取引先などのフォーマルな場面では使わない方が無難です。その代わりに、「日程の再調整」や「スケジュールの変更」「日時の再調整」といった丁寧で正式な表現を使うのが望ましいです。
お問い合わせはこちら↓
https://talk.dshu.jp/6838/?_gl=1*155r6jh*_ga*MTI1MjE5NTY3My4xNzU2NDMyNTY0*_ga_ZXCZZJJ72V*czE3NjU1MDEzNTQkbzkkZzAkdDE3NjU1MDEzNTQkajYwJGwwJGgw</t>
        </is>
      </c>
      <c r="J174" s="47" t="n"/>
      <c r="K174" s="47" t="inlineStr">
        <is>
          <t>未確認</t>
        </is>
      </c>
      <c r="L174" s="47" t="inlineStr">
        <is>
          <t>未確認</t>
        </is>
      </c>
      <c r="M174" s="47" t="n"/>
      <c r="N174" s="47" t="n"/>
      <c r="O174" s="47" t="n"/>
      <c r="P174" s="47" t="n"/>
      <c r="Q174" s="47" t="n"/>
      <c r="R174" s="47" t="n"/>
      <c r="S174" s="47" t="n"/>
      <c r="T174" s="47" t="n"/>
      <c r="U174" s="47" t="n"/>
      <c r="V174" s="47" t="n"/>
      <c r="W174" s="47" t="n"/>
      <c r="X174" s="47" t="n"/>
      <c r="Y174" s="47" t="n"/>
      <c r="Z174" s="47" t="n"/>
    </row>
    <row r="175" ht="15.75" customHeight="1" s="185">
      <c r="A175" s="52">
        <f>row()-3</f>
        <v/>
      </c>
      <c r="B175" s="46" t="inlineStr">
        <is>
          <t>転職成功率UP！転職エージェントを最大限に活用する秘訣</t>
        </is>
      </c>
      <c r="C175" s="6" t="inlineStr">
        <is>
          <t>https://dym.asia/media/recruiting/recruitment-consultant/</t>
        </is>
      </c>
      <c r="D175" s="47" t="inlineStr">
        <is>
          <t>dym 転職エージェント</t>
        </is>
      </c>
      <c r="E175" s="35" t="n">
        <v>2</v>
      </c>
      <c r="F175" s="36" t="n">
        <v>3.380952380952381</v>
      </c>
      <c r="G175" s="47" t="inlineStr">
        <is>
          <t>なし</t>
        </is>
      </c>
      <c r="H175" s="47" t="inlineStr">
        <is>
          <t>可</t>
        </is>
      </c>
      <c r="I175" s="10" t="inlineStr">
        <is>
          <t>Q. 転職エージェントのサービスはなぜ無料で利用できるのですか？また、どのようなビジネスモデルで成り立っていますか？
A. 転職エージェントは、求職者からではなく、採用を行う企業から報酬を得る仕組みになっています。企業がエージェント経由で人材を採用した場合、その年収の一定割合が成功報酬として支払われるため、求職者は無料でサービスを利用できます。この仕組みにより、エージェントは求職者が内定を獲得できるよう丁寧にサポートしてくれます。
Q. 転職エージェントを利用する主なメリットには、どのようなものがありますか？
A. エージェントを利用すると、一般には出回らない非公開求人の紹介を受けられるほか、応募書類の添削や面接対策などの選考サポートも受けられます。また、企業との給与や入社日の交渉を代行してもらえたり、社風や職場の雰囲気といった内部情報を教えてもらえることも大きなメリットです。
Q. 転職エージェントはどのように選ぶべきですか？「総合型」と「特化型」の違いを教えてください。
A. 転職エージェントには、幅広い業界や職種を扱う「総合型」と、特定の分野に特化した「特化型」があります。総合型は選択肢を広げたい場合や方向性が定まっていないときに向いており、特化型は特定分野の知識や専門性の高い求人情報を得たい場合に有効です。複数のエージェントを上手に使い分けることで、より自分に合った転職活動が可能になります。
お問い合わせはこちら↓
https://talk.dshu.jp/6838/?_gl=1*155r6jh*_ga*MTI1MjE5NTY3My4xNzU2NDMyNTY0*_ga_ZXCZZJJ72V*czE3NjU1MDEzNTQkbzkkZzAkdDE3NjU1MDEzNTQkajYwJGwwJGgw</t>
        </is>
      </c>
      <c r="J175" s="47" t="n"/>
      <c r="K175" s="47" t="inlineStr">
        <is>
          <t>未確認</t>
        </is>
      </c>
      <c r="L175" s="47" t="inlineStr">
        <is>
          <t>未確認</t>
        </is>
      </c>
      <c r="M175" s="47" t="n"/>
      <c r="N175" s="47" t="n"/>
      <c r="O175" s="47" t="n"/>
      <c r="P175" s="47" t="n"/>
      <c r="Q175" s="47" t="n"/>
      <c r="R175" s="47" t="n"/>
      <c r="S175" s="47" t="n"/>
      <c r="T175" s="47" t="n"/>
      <c r="U175" s="47" t="n"/>
      <c r="V175" s="47" t="n"/>
      <c r="W175" s="47" t="n"/>
      <c r="X175" s="47" t="n"/>
      <c r="Y175" s="47" t="n"/>
      <c r="Z175" s="47" t="n"/>
    </row>
    <row r="176" ht="15.75" customHeight="1" s="185">
      <c r="A176" s="52">
        <f>row()-3</f>
        <v/>
      </c>
      <c r="B176" s="46" t="inlineStr">
        <is>
          <t>26年卒の就活はいつから？スケジュールとトレンド解説</t>
        </is>
      </c>
      <c r="C176" s="6" t="inlineStr">
        <is>
          <t>https://dym.asia/media/recruiting/shinsotsu-2026-trend-guide/</t>
        </is>
      </c>
      <c r="D176" s="47" t="inlineStr">
        <is>
          <t>26卒 就活</t>
        </is>
      </c>
      <c r="E176" s="35" t="n">
        <v>2</v>
      </c>
      <c r="F176" s="36" t="n">
        <v>18.22857142857143</v>
      </c>
      <c r="G176" s="47" t="inlineStr">
        <is>
          <t>なし</t>
        </is>
      </c>
      <c r="H176" s="47" t="inlineStr">
        <is>
          <t>可</t>
        </is>
      </c>
      <c r="I176" s="10" t="inlineStr">
        <is>
          <t>Q. 26年卒の就職活動はいつから本格化しますか？また、近年の就活トレンドの特徴を教えてください。
A. 26年卒は2026年3月に卒業する学生を指します。近年の就活は早期化が進んでおり、政府の指針では4年生の3月から選考受付が始まり、6月に選考が解禁されますが、実際には大学3年生の前半から準備を始めるのが望ましいです。トレンドとしては、インターンシップを通じた早期選考が増えていること、インターン経験が本選考で評価されるケースが多くなっていること、そしてオンラインと対面を組み合わせたハイブリッド型の選考が一般的になっていることが挙げられます。
Q. 26年卒の就活スケジュールにおける「インターンシップ」の重要性と、参加にあたってのポイントは何ですか？
A. インターンシップは早期内定につながる重要な機会です。多くの企業が参加者を優先的に選考するケースが増えており、実質的な選考の場になっています。単に参加するだけでなく、業界理解やスキル向上など目的を明確にし、事前に企業研究をしっかり行うことが内定獲得につながります。
Q. 26年卒が就職活動を始めるにあたり、特に準備しておくべきことは何ですか？
A. 就活を有利に進めるためには、まず自己分析を行い自分の価値観や強みを理解してキャリアの方向性を定めることが重要です。次に企業や業界の研究を深め、自分の価値観に合うかどうかを見極めること、そして早期選考でも課されることの多い筆記試験やWebテスト対策に取り組むことが大切です。
株式会社DYMでは、求職者様に対して様々な就職支援サービスを提供しております。
お問い合わせはこちら↓
https://dym.asia/media/recruiting-contact/</t>
        </is>
      </c>
      <c r="J176" s="47" t="n"/>
      <c r="K176" s="47" t="inlineStr">
        <is>
          <t>未確認</t>
        </is>
      </c>
      <c r="L176" s="47" t="inlineStr">
        <is>
          <t>未確認</t>
        </is>
      </c>
      <c r="M176" s="47" t="n"/>
      <c r="N176" s="47" t="n"/>
      <c r="O176" s="47" t="n"/>
      <c r="P176" s="47" t="n"/>
      <c r="Q176" s="47" t="n"/>
      <c r="R176" s="47" t="n"/>
      <c r="S176" s="47" t="n"/>
      <c r="T176" s="47" t="n"/>
      <c r="U176" s="47" t="n"/>
      <c r="V176" s="47" t="n"/>
      <c r="W176" s="47" t="n"/>
      <c r="X176" s="47" t="n"/>
      <c r="Y176" s="47" t="n"/>
      <c r="Z176" s="47" t="n"/>
    </row>
    <row r="177" ht="15.75" customHeight="1" s="185">
      <c r="A177" s="52">
        <f>row()-3</f>
        <v/>
      </c>
      <c r="B177" s="46" t="inlineStr">
        <is>
          <t>就活とは？いつから始める？スケジュール・流れを解説</t>
        </is>
      </c>
      <c r="C177" s="6" t="inlineStr">
        <is>
          <t>https://dym.asia/media/recruiting/shukatsu-start-schedule/</t>
        </is>
      </c>
      <c r="D177" s="47" t="inlineStr">
        <is>
          <t>就活とは</t>
        </is>
      </c>
      <c r="E177" s="35" t="n">
        <v>2</v>
      </c>
      <c r="F177" s="36" t="n">
        <v>4.327458256029685</v>
      </c>
      <c r="G177" s="47" t="inlineStr">
        <is>
          <t>なし</t>
        </is>
      </c>
      <c r="H177" s="47" t="inlineStr">
        <is>
          <t>可</t>
        </is>
      </c>
      <c r="I177" s="10" t="inlineStr">
        <is>
          <t>Q. 就職活動（就活）とは、具体的にどのような活動を指しますか？また、その本質的な意味を教えてください。
A. 就職活動とは、大学生や大学院生が卒業前に正社員として働く職を探す活動のことです。自己分析や企業研究、履歴書やエントリーシートの作成、面接対策などを通じて内定獲得を目指します。しかし本質的には、単に企業に雇ってもらうことではなく、企業と自分の相性を見極める場であり、自分自身の強みや働き方の価値観を深く理解する「自己発見の旅」とも言えます。
Q. 一般的な就活のスケジュールと、外資系企業・ベンチャー企業における選考開始時期の違いを教えてください。
A. 日系大手企業の場合、大学3年生の夏から秋にインターンシップに参加して準備を始め、4年生の3月に広報解禁・エントリー、6月から面接が始まるのが一般的です。一方、外資系企業は半年ほど早く動き、3年生の夏から秋にインターンを実施し、早ければ年内から選考が始まり、年明けには内定が出るケースもあります。ベンチャーやメガベンチャーは企業によって差がありますが、3年生の夏から早期選考を行ったり、通年採用を行ったりと、スピード重視の傾向があります。
Q. 就職活動を成功させるために、最初に始めるべきこと（土台となる準備）は何ですか？
A. 就活の土台として最も大切なのは自己分析です。自分の強みや弱み、価値観、適性を明確にすることで、なぜその企業や業界を志望するのかという質問に一貫性を持って答えられるようになります。自己分析が不十分だと企業選びのミスマッチや選考での説得力の欠如につながるため、早めに取り組むことが成功のカギです。
株式会社DYMでは、求職者様に対して様々な就職支援サービスを提供しております。
お問い合わせはこちら↓
https://dym.asia/media/recruiting-contact/</t>
        </is>
      </c>
      <c r="J177" s="47" t="n"/>
      <c r="K177" s="47" t="inlineStr">
        <is>
          <t>未確認</t>
        </is>
      </c>
      <c r="L177" s="47" t="inlineStr">
        <is>
          <t>未確認</t>
        </is>
      </c>
      <c r="M177" s="47" t="n"/>
      <c r="N177" s="47" t="n"/>
      <c r="O177" s="47" t="n"/>
      <c r="P177" s="47" t="n"/>
      <c r="Q177" s="47" t="n"/>
      <c r="R177" s="47" t="n"/>
      <c r="S177" s="47" t="n"/>
      <c r="T177" s="47" t="n"/>
      <c r="U177" s="47" t="n"/>
      <c r="V177" s="47" t="n"/>
      <c r="W177" s="47" t="n"/>
      <c r="X177" s="47" t="n"/>
      <c r="Y177" s="47" t="n"/>
      <c r="Z177" s="47" t="n"/>
    </row>
    <row r="178" ht="15.75" customHeight="1" s="185">
      <c r="A178" s="52">
        <f>row()-3</f>
        <v/>
      </c>
      <c r="B178" s="46" t="inlineStr">
        <is>
          <t>夏インターン（サマーインターン）とは？募集時期・探し方や参加までの流れ</t>
        </is>
      </c>
      <c r="C178" s="6" t="inlineStr">
        <is>
          <t>https://dym.asia/media/recruiting/summer-internship-2/</t>
        </is>
      </c>
      <c r="D178" s="47" t="inlineStr">
        <is>
          <t>dym サマーインターン</t>
        </is>
      </c>
      <c r="E178" s="35" t="n">
        <v>2</v>
      </c>
      <c r="F178" s="36" t="n">
        <v>6.435897435897436</v>
      </c>
      <c r="G178" s="47" t="inlineStr">
        <is>
          <t>なし</t>
        </is>
      </c>
      <c r="H178" s="47" t="inlineStr">
        <is>
          <t>可</t>
        </is>
      </c>
      <c r="I178" s="10" t="inlineStr">
        <is>
          <t>Q. サマーインターンシップとは何ですか？また、参加する最大のメリットは何ですか？
A. サマーインターンシップは、主に夏休み期間に企業での業務を体験し、業界や仕事の理解を深めるためのプログラムです。参加する最大のメリットは、就活を早くスタートできることに加え、成果次第では早期選考ルートに進める場合があり、3年生のうちに内定を得られるチャンスがある点です。また、実際の業務を経験することで、自分に合う業界や職種を見極めることができます。
Q. サマーインターンシップの募集時期と、応募前にしておくべき準備は何ですか？
A. 募集情報は3月後半から4月にかけて解禁され、本格的な応募は4月から6月に行われます。参加は8月から9月に集中します。応募前には自己分析や企業研究を行い、エントリーシートやSPIなどの選考対策を準備しておくことが大切です。遅くとも4月までには基礎準備を始め、計画的に取り組むことで成功の可能性が高まります。
Q. サマーインターンを有意義にするために、参加中に意識すべきポイントは何ですか？
A. 参加する際は、まず自分の目的を明確にすることが重要です。単に参加するのではなく、何を学びたいのか、どんな経験を積みたいのかを具体的に考えて臨みましょう。また、企業の社員と接する場であるため、社会人としてのマナーや言葉遣い、姿勢にも注意が必要です。最後に、インターンで得た学びや気づきを整理し、今後の就活やキャリアにどう活かすかを振り返ることが、経験を最大限に生かすポイントです。
株式会社DYMでは、求職者様に対して様々な就職支援サービスを提供しております。
お問い合わせはこちら↓
https://dym.asia/media/recruiting-contact/</t>
        </is>
      </c>
      <c r="J178" s="47" t="n"/>
      <c r="K178" s="47" t="inlineStr">
        <is>
          <t>未確認</t>
        </is>
      </c>
      <c r="L178" s="47" t="inlineStr">
        <is>
          <t>未確認</t>
        </is>
      </c>
      <c r="M178" s="47" t="n"/>
      <c r="N178" s="47" t="n"/>
      <c r="O178" s="47" t="n"/>
      <c r="P178" s="47" t="n"/>
      <c r="Q178" s="47" t="n"/>
      <c r="R178" s="47" t="n"/>
      <c r="S178" s="47" t="n"/>
      <c r="T178" s="47" t="n"/>
      <c r="U178" s="47" t="n"/>
      <c r="V178" s="47" t="n"/>
      <c r="W178" s="47" t="n"/>
      <c r="X178" s="47" t="n"/>
      <c r="Y178" s="47" t="n"/>
      <c r="Z178" s="47" t="n"/>
    </row>
    <row r="179" ht="15.75" customHeight="1" s="185">
      <c r="A179" s="52">
        <f>row()-3</f>
        <v/>
      </c>
      <c r="B179" s="46" t="inlineStr">
        <is>
          <t>働きたくない人に向いてる仕事15選！自分に合った適職の見つけ方</t>
        </is>
      </c>
      <c r="C179" s="6" t="inlineStr">
        <is>
          <t>https://dym.asia/media/recruiting/15-jobs-for-not-working/#index</t>
        </is>
      </c>
      <c r="D179" s="47" t="inlineStr">
        <is>
          <t>向いている仕事がわからない</t>
        </is>
      </c>
      <c r="E179" s="35" t="n">
        <v>1</v>
      </c>
      <c r="F179" s="36" t="n">
        <v>9.112359550561798</v>
      </c>
      <c r="G179" s="47" t="inlineStr">
        <is>
          <t>なし</t>
        </is>
      </c>
      <c r="H179" s="47" t="inlineStr">
        <is>
          <t>可</t>
        </is>
      </c>
      <c r="I179" s="47" t="inlineStr">
        <is>
          <t>Q. 「働きたくない人」が、自分に本当に「向いている仕事」を見つけるための基本的な考え方（軸）は何ですか？
A. 自分に向いている仕事を見つけるには、「自分を知る」と「仕事を知る」という二つの軸で考えることが大切です。特に、自分の不得意なことをはっきりさせ、その要素を含む仕事を選択肢から外す消去法の考え方が有効です。また、興味や憧れの「やりたい仕事」と、能力や性格が合致する「向いている仕事」は必ずしも同じではないことを理解することも重要です。
Q. 記事で紹介されている中で、人間関係やコミュニケーションのストレスが少なく、一人で進めやすい仕事の例を3つ教えてください。
A. ストレスが少なく一人で作業しやすい仕事としては、清掃員やデータ入力、警備員などが挙げられます。清掃員は黙々と作業することが多く、データ入力はリモートワークも可能で人との関わりが少なく済みます。警備員は巡回や監視が中心で、対人スキルがそれほど求められません。さらに、Webライターや動画編集、イラストレーターのように成果物で評価されるフリーランス的な仕事も、自分のペースで進めやすい仕事のひとつです。
Q. 向いている仕事が自分では見つけられない場合、どのような方法で外部のサポートを利用できますか？
A. 客観的な視点や専門的なアドバイスを得るには、家族や友人に自分の強みや性格を評価してもらう方法があります。さらに、ハローワークを利用すれば職業訓練や求人紹介などの公的な支援を受けられますし、就職・転職エージェントに相談すれば、自分の適性や希望に合った求人を紹介してもらえます。こうした外部サポートを活用することで、自己分析だけでは見つけにくい自分に向いた仕事を見つけやすくなります。
株式会社DYMでは、求職者様に対して様々な就職支援サービスを提供しております。
お問い合わせはこちら↓
https://dym.asia/media/recruiting-contact/</t>
        </is>
      </c>
      <c r="J179" s="47" t="n"/>
      <c r="K179" s="47" t="inlineStr">
        <is>
          <t>未確認</t>
        </is>
      </c>
      <c r="L179" s="47" t="inlineStr">
        <is>
          <t>未確認</t>
        </is>
      </c>
      <c r="M179" s="47" t="n"/>
      <c r="N179" s="47" t="n"/>
      <c r="O179" s="47" t="n"/>
      <c r="P179" s="47" t="n"/>
      <c r="Q179" s="47" t="n"/>
      <c r="R179" s="47" t="n"/>
      <c r="S179" s="47" t="n"/>
      <c r="T179" s="47" t="n"/>
      <c r="U179" s="47" t="n"/>
      <c r="V179" s="47" t="n"/>
      <c r="W179" s="47" t="n"/>
      <c r="X179" s="47" t="n"/>
      <c r="Y179" s="47" t="n"/>
      <c r="Z179" s="47" t="n"/>
    </row>
    <row r="180" ht="15.75" customHeight="1" s="185">
      <c r="A180" s="52">
        <f>row()-3</f>
        <v/>
      </c>
      <c r="B180" s="46" t="inlineStr">
        <is>
          <t>働きたくない人に向いてる仕事15選！自分に合った適職の見つけ方</t>
        </is>
      </c>
      <c r="C180" s="6" t="inlineStr">
        <is>
          <t>https://dym.asia/media/recruiting/15-jobs-for-not-working/#index-2</t>
        </is>
      </c>
      <c r="D180" s="47" t="inlineStr">
        <is>
          <t>自分に合った仕事</t>
        </is>
      </c>
      <c r="E180" s="35" t="n">
        <v>1</v>
      </c>
      <c r="F180" s="36" t="n">
        <v>4.755740566671143</v>
      </c>
      <c r="G180" s="47" t="inlineStr">
        <is>
          <t>なし</t>
        </is>
      </c>
      <c r="H180" s="47" t="inlineStr">
        <is>
          <t>可</t>
        </is>
      </c>
      <c r="I180" s="10" t="inlineStr">
        <is>
          <t>Q. 「働きたくない人」が、自分に本当に「向いている仕事」を見つけるための基本的な考え方（軸）は何ですか？
A. 自分に向いている仕事を見つけるには、「自分を知る」と「仕事を知る」という二つの視点で考えることが大切です。特に、自分の不得意なことをはっきりさせ、それに当てはまる仕事を選択肢から外す消去法の考え方が有効です。また、興味や憧れの「やりたい仕事」と、性格や能力に合った「向いている仕事」は必ずしも同じではないことを理解しておくことも重要です。
Q. 記事で紹介されている中で、人間関係やコミュニケーションのストレスが少なく、一人で進めやすい仕事の例を3つ教えてください。
A. 人とのやり取りが少なく、自分のペースで作業できる仕事としては、清掃員やデータ入力、警備員などがあります。清掃員は一人で黙々と作業を行うことが多く、データ入力はリモートでもできる場合が多いため人との関わりが少なく済みます。警備員は巡回や監視が主な仕事で、高度な対人スキルはそれほど必要ありません。また、Webライターや動画編集、イラストレーターなど、成果物中心で評価される仕事も向いているケースがあります。
Q. 向いている仕事が自分では見つけられない場合、どのような方法で外部のサポートを利用できますか？
A. 客観的な視点や専門的なアドバイスを得るには、家族や友人に自分の強みや性格を評価してもらう方法があります。また、ハローワークを活用すれば職業訓練や求人紹介といった公的な支援を受けられます。さらに、就職や転職のエージェントを利用すれば、自分の適性や希望に合った求人を紹介してもらい、キャリア相談も受けられるため、自己分析だけでは見つけにくい仕事を見つけやすくなります。
株式会社DYMでは、求職者様に対して様々な就職支援サービスを提供しております。
お問い合わせはこちら↓
https://dym.asia/media/recruiting-contact/</t>
        </is>
      </c>
      <c r="J180" s="47" t="n"/>
      <c r="K180" s="47" t="inlineStr">
        <is>
          <t>未確認</t>
        </is>
      </c>
      <c r="L180" s="47" t="inlineStr">
        <is>
          <t>未確認</t>
        </is>
      </c>
      <c r="M180" s="47" t="n"/>
      <c r="N180" s="47" t="n"/>
      <c r="O180" s="47" t="n"/>
      <c r="P180" s="47" t="n"/>
      <c r="Q180" s="47" t="n"/>
      <c r="R180" s="47" t="n"/>
      <c r="S180" s="47" t="n"/>
      <c r="T180" s="47" t="n"/>
      <c r="U180" s="47" t="n"/>
      <c r="V180" s="47" t="n"/>
      <c r="W180" s="47" t="n"/>
      <c r="X180" s="47" t="n"/>
      <c r="Y180" s="47" t="n"/>
      <c r="Z180" s="47" t="n"/>
    </row>
    <row r="181" ht="15.75" customHeight="1" s="185">
      <c r="A181" s="52">
        <f>row()-3</f>
        <v/>
      </c>
      <c r="B181" s="46" t="inlineStr">
        <is>
          <t>働きたくない人に向いてる仕事15選！自分に合った適職の見つけ方</t>
        </is>
      </c>
      <c r="C181" s="6" t="inlineStr">
        <is>
          <t>https://dym.asia/media/recruiting/15-jobs-for-not-working/#index-22toc</t>
        </is>
      </c>
      <c r="D181" s="47" t="inlineStr">
        <is>
          <t>自分に合った仕事</t>
        </is>
      </c>
      <c r="E181" s="35" t="n">
        <v>1</v>
      </c>
      <c r="F181" s="36" t="n">
        <v>4.755740566671143</v>
      </c>
      <c r="G181" s="47" t="inlineStr">
        <is>
          <t>なし</t>
        </is>
      </c>
      <c r="H181" s="47" t="inlineStr">
        <is>
          <t>可</t>
        </is>
      </c>
      <c r="I181" s="10" t="inlineStr">
        <is>
          <t>Q. 「働きたくない人」が、自分に本当に「向いている仕事」を見つけるための基本的な考え方（軸）は何ですか？
A. 自分に向いている仕事を見つけるには、「自分を知る」と「仕事を知る」の二つの視点が大切です。特に、自分の不得意なことを明確にして、それに関わる仕事を選択肢から外すという消去法が効果的です。また、興味や憧れの「やりたい仕事」と、性格や能力に合った「向いている仕事」は必ずしも同じではないことを理解しておくことが重要です。
Q. 記事で紹介されている中で、人間関係やコミュニケーションのストレスが少なく、一人で進めやすい仕事の例を3つ教えてください。
A.人とのやり取りが少なく、一人で作業しやすい仕事としては、清掃やデータ入力、警備があります。清掃は一人で黙々と作業することが多く、データ入力はリモートでできる場合もあり、人と関わる機会が少なくて済みます。警備の仕事は巡回や監視が中心で、高度な対人スキルが必ずしも必要ではありません。ほかにも、Webライターや動画編集、イラスト制作のように成果物中心で進められる仕事も向いている場合があります。
Q. 向いている仕事が自分では見つけられない場合、どのような方法で外部のサポートを利用できますか？
A. 客観的な意見や専門的なアドバイスを得るには、家族や友人に自分の強みや性格を見てもらうことが役立ちます。ハローワークでは職業訓練や求人紹介といった公的な支援を受けられますし、就職や転職のエージェントを利用すれば、自分の適性や希望に合った求人を紹介してもらい、キャリア相談もできます。
株式会社DYMでは、求職者様に対して様々な就職支援サービスを提供しております。
お問い合わせはこちら↓
https://dym.asia/media/recruiting-contact/</t>
        </is>
      </c>
      <c r="J181" s="47" t="n"/>
      <c r="K181" s="47" t="inlineStr">
        <is>
          <t>未確認</t>
        </is>
      </c>
      <c r="L181" s="47" t="inlineStr">
        <is>
          <t>未確認</t>
        </is>
      </c>
      <c r="M181" s="47" t="n"/>
      <c r="N181" s="47" t="n"/>
      <c r="O181" s="47" t="n"/>
      <c r="P181" s="47" t="n"/>
      <c r="Q181" s="47" t="n"/>
      <c r="R181" s="47" t="n"/>
      <c r="S181" s="47" t="n"/>
      <c r="T181" s="47" t="n"/>
      <c r="U181" s="47" t="n"/>
      <c r="V181" s="47" t="n"/>
      <c r="W181" s="47" t="n"/>
      <c r="X181" s="47" t="n"/>
      <c r="Y181" s="47" t="n"/>
      <c r="Z181" s="47" t="n"/>
    </row>
    <row r="182" ht="15.75" customHeight="1" s="185">
      <c r="A182" s="52">
        <f>row()-3</f>
        <v/>
      </c>
      <c r="B182" s="46" t="inlineStr">
        <is>
          <t>30代女性の転職は厳しいの？未経験でも成功する方法</t>
        </is>
      </c>
      <c r="C182" s="6" t="inlineStr">
        <is>
          <t>https://dym.asia/media/recruiting/30s-job-change-woman/#index-30-730-7toc</t>
        </is>
      </c>
      <c r="D182" s="47" t="inlineStr">
        <is>
          <t>30代 転職 女性 手に職</t>
        </is>
      </c>
      <c r="E182" s="35" t="n">
        <v>1</v>
      </c>
      <c r="F182" s="36" t="n">
        <v>5.333333333333333</v>
      </c>
      <c r="G182" s="47" t="inlineStr">
        <is>
          <t>なし</t>
        </is>
      </c>
      <c r="H182" s="47" t="inlineStr">
        <is>
          <t>可</t>
        </is>
      </c>
      <c r="I182" s="10" t="inlineStr">
        <is>
          <t>Q. 30代女性が転職を考える主なきっかけやタイミングは何ですか？
A. 30代女性が転職を考える理由には、キャリアアップや自己成長の欲求、仕事と家庭のバランスを見直すタイミング、現在の仕事への満足度や職場環境の改善への思い、将来に向けた安定した経済基盤の構築などがあります。結婚や出産などのライフイベントを意識してタイミングを考える人も多いです。
Q. 30代女性が転職する際の最大のメリットと、注意すべきデメリットは何ですか？
A. 最大のメリットは、これまでの経験やスキルを活かしてキャリアアップを狙いやすく、即戦力として評価されやすい点です。また、自分の価値観に合った働き方を選びやすくなるのも大きな利点です。一方、注意すべき点は未経験分野への転職では年齢によるハードルが上がる可能性があることです。企業は即戦力や専門性を重視するため、キャリアチェンジが難しくなる場合があります。
Q. 30代女性の転職活動において、成功のために特に重要なアピールポイントや準備すべきことは何ですか？
A. 成功するためには、自分の経験や専門性、これまでの指導経験などを具体的にアピールすることが大切です。また、転職先の企業や業界をしっかり調べると同時に自己分析を行い、前向きな転職理由や譲れない条件を整理しておくことが求められます。さらに、新しい環境にも柔軟に適応できる姿勢や、バイタリティと向上心を示すことも重要です。
株式会社DYMでは、求職者様に対して様々な就職支援サービスを提供しております。
お問い合わせはこちら↓
https://dym.asia/media/recruiting-contact/</t>
        </is>
      </c>
      <c r="J182" s="47" t="n"/>
      <c r="K182" s="47" t="inlineStr">
        <is>
          <t>未確認</t>
        </is>
      </c>
      <c r="L182" s="47" t="inlineStr">
        <is>
          <t>未確認</t>
        </is>
      </c>
      <c r="M182" s="47" t="n"/>
      <c r="N182" s="47" t="n"/>
      <c r="O182" s="47" t="n"/>
      <c r="P182" s="47" t="n"/>
      <c r="Q182" s="47" t="n"/>
      <c r="R182" s="47" t="n"/>
      <c r="S182" s="47" t="n"/>
      <c r="T182" s="47" t="n"/>
      <c r="U182" s="47" t="n"/>
      <c r="V182" s="47" t="n"/>
      <c r="W182" s="47" t="n"/>
      <c r="X182" s="47" t="n"/>
      <c r="Y182" s="47" t="n"/>
      <c r="Z182" s="47" t="n"/>
    </row>
    <row r="183" ht="15.75" customHeight="1" s="185">
      <c r="A183" s="52">
        <f>row()-3</f>
        <v/>
      </c>
      <c r="B183" s="46" t="inlineStr">
        <is>
          <t>35歳からの転職は遅い？未経験転職の現状と転職を成功させるポイントを解説</t>
        </is>
      </c>
      <c r="C183" s="6" t="inlineStr">
        <is>
          <t>https://dym.asia/media/recruiting/35-job-change-women/</t>
        </is>
      </c>
      <c r="D183" s="47" t="inlineStr">
        <is>
          <t>35歳 マネジメント経験なし</t>
        </is>
      </c>
      <c r="E183" s="35" t="n">
        <v>1</v>
      </c>
      <c r="F183" s="36" t="n">
        <v>8.066666666666666</v>
      </c>
      <c r="G183" s="47" t="inlineStr">
        <is>
          <t>なし</t>
        </is>
      </c>
      <c r="H183" s="47" t="inlineStr">
        <is>
          <t>可</t>
        </is>
      </c>
      <c r="I183" s="10" t="inlineStr">
        <is>
          <t>Q. 35歳からの転職は「遅い」「難しい」と言われる主な理由は何ですか？
A. 35歳からの転職が難しいと言われるのは、企業が若手を長期的に育成したいと考える傾向があること、年下の同僚や上司と働く可能性がありマネジメント面で懸念されること、そして年収や役職、働き方の希望条件が複雑になり、希望に合う求人が限られてしまうことなどが理由です。
Q. 35歳からの転職で、これまでの経験を活かして得られる主なメリットは何ですか？
A. これまでの実務経験は即戦力として高く評価され、プロジェクト管理や業務ノウハウを武器にできます。マネジメント経験やリーダーシップがある場合は管理職としてのポジションや裁量権、年収アップのチャンスも広がります。さらに、自分の強みや価値観が明確になっているため、より自分に合った職場を選びやすく、万一の失敗にも対応しやすいという利点があります。
Q. 35歳からの転職を成功させるために、特に求められるスキルや戦略的なポイントは何ですか？
A. 成功のカギは、適応力や柔軟性、マネジメント力、リーダーシップ、困難に立ち向かう力など、経験を活かして即戦力として貢献できるスキルをアピールすることです。加えて、自己分析と企業研究を徹底し、自分の強みが生かせる職場を選ぶことが重要です。異業種や中小・ベンチャー企業への応募も視野に入れ、転職エージェントやスカウトサービスを活用してチャンスを広げることも有効です。
株式会社DYMでは、求職者様に対して様々な就職支援サービスを提供しております。
お問い合わせはこちら↓
https://dym.asia/media/recruiting-contact/</t>
        </is>
      </c>
      <c r="J183" s="47" t="n"/>
      <c r="K183" s="47" t="inlineStr">
        <is>
          <t>未確認</t>
        </is>
      </c>
      <c r="L183" s="47" t="inlineStr">
        <is>
          <t>未確認</t>
        </is>
      </c>
      <c r="M183" s="47" t="n"/>
      <c r="N183" s="47" t="n"/>
      <c r="O183" s="47" t="n"/>
      <c r="P183" s="47" t="n"/>
      <c r="Q183" s="47" t="n"/>
      <c r="R183" s="47" t="n"/>
      <c r="S183" s="47" t="n"/>
      <c r="T183" s="47" t="n"/>
      <c r="U183" s="47" t="n"/>
      <c r="V183" s="47" t="n"/>
      <c r="W183" s="47" t="n"/>
      <c r="X183" s="47" t="n"/>
      <c r="Y183" s="47" t="n"/>
      <c r="Z183" s="47" t="n"/>
    </row>
    <row r="184" ht="15.75" customHeight="1" s="185">
      <c r="A184" s="52">
        <f>row()-3</f>
        <v/>
      </c>
      <c r="B184" s="46" t="inlineStr">
        <is>
          <t>35歳からの転職は遅い？未経験転職の現状と転職を成功させるポイントを解説</t>
        </is>
      </c>
      <c r="C184" s="6" t="inlineStr">
        <is>
          <t>https://dym.asia/media/recruiting/35-job-change/#index-3535toc</t>
        </is>
      </c>
      <c r="D184" s="47" t="inlineStr">
        <is>
          <t>35歳 転職 未経験</t>
        </is>
      </c>
      <c r="E184" s="35" t="n">
        <v>1</v>
      </c>
      <c r="F184" s="36" t="n">
        <v>4.460176991150442</v>
      </c>
      <c r="G184" s="47" t="inlineStr">
        <is>
          <t>なし</t>
        </is>
      </c>
      <c r="H184" s="47" t="inlineStr">
        <is>
          <t>可</t>
        </is>
      </c>
      <c r="I184" s="10" t="inlineStr">
        <is>
          <t>Q. 35歳からの転職が「遅い」「難しい」と言われる主な理由は何ですか？
A. 35歳からの転職が難しいと言われるのは、企業が若手を長期的に育成したいと考える傾向があること、年下の上司や同僚と働く場合がありマネジメント面で懸念が生じやすいこと、そして年収や役職、労働環境などの希望条件が複雑になり、希望に合う求人が限られてしまうことが理由です。
Q. 35歳からの転職において、これまでの経験を活かして得られる主なメリットは何ですか？
A. これまでの実務経験は即戦力として評価され、プロジェクト管理や業務ノウハウを強みにできます。マネジメント経験があれば、管理職や中間管理職としてのポジションや裁量権を得やすく、年収アップのチャンスも広がります。また、自分の強みや価値観が明確になっているため、自分に合った転職先を選びやすく、異業種への挑戦もしやすいのが特徴です。
Q. 35歳からの転職を成功させるために、特に求められるスキルや戦略的なポイントは何ですか？
A. 成功の鍵は、適応力や柔軟性、マネジメント能力、リーダーシップ、困難に立ち向かう力など、組織で活躍できるスキルをアピールすることです。加えて、自己分析と企業研究を徹底し、自分の経験や強みが活かせる企業を選ぶことが重要です。中小企業やベンチャー企業にも積極的に応募し、転職エージェントやスカウトサービスを活用してチャンスを広げることも有効です。
株式会社DYMでは、求職者様に対して様々な就職支援サービスを提供しております。
お問い合わせはこちら↓
https://dym.asia/media/recruiting-contact/</t>
        </is>
      </c>
      <c r="J184" s="47" t="n"/>
      <c r="K184" s="47" t="inlineStr">
        <is>
          <t>未確認</t>
        </is>
      </c>
      <c r="L184" s="47" t="inlineStr">
        <is>
          <t>未確認</t>
        </is>
      </c>
      <c r="M184" s="47" t="n"/>
      <c r="N184" s="47" t="n"/>
      <c r="O184" s="47" t="n"/>
      <c r="P184" s="47" t="n"/>
      <c r="Q184" s="47" t="n"/>
      <c r="R184" s="47" t="n"/>
      <c r="S184" s="47" t="n"/>
      <c r="T184" s="47" t="n"/>
      <c r="U184" s="47" t="n"/>
      <c r="V184" s="47" t="n"/>
      <c r="W184" s="47" t="n"/>
      <c r="X184" s="47" t="n"/>
      <c r="Y184" s="47" t="n"/>
      <c r="Z184" s="47" t="n"/>
    </row>
    <row r="185" ht="15.75" customHeight="1" s="185">
      <c r="A185" s="52">
        <f>row()-3</f>
        <v/>
      </c>
      <c r="B185" s="46" t="inlineStr">
        <is>
          <t>40代女性の転職は厳しい？資格なし・未経験可の正社員職場と成功のヒント</t>
        </is>
      </c>
      <c r="C185" s="6" t="inlineStr">
        <is>
          <t>https://dym.asia/media/recruiting/40s-job-change-woman/#index-407407toc</t>
        </is>
      </c>
      <c r="D185" s="47" t="inlineStr">
        <is>
          <t>40代女性 再就職</t>
        </is>
      </c>
      <c r="E185" s="35" t="n">
        <v>1</v>
      </c>
      <c r="F185" s="36" t="n">
        <v>5.294871794871795</v>
      </c>
      <c r="G185" s="47" t="inlineStr">
        <is>
          <t>なし</t>
        </is>
      </c>
      <c r="H185" s="47" t="inlineStr">
        <is>
          <t>可</t>
        </is>
      </c>
      <c r="I185" s="10" t="inlineStr">
        <is>
          <t>Q. 40代女性の転職が「厳しい」「難しい」とされる主な理由は何ですか？
A. 40代女性の転職が難しいと言われる理由には、求人数が少なく競争が激しいことがあります。企業が求めるスキルや経験のレベルも高くなるため、若い世代との競争が厳しくなりがちです。また、企業側は新しい環境への適応力や家庭の事情による柔軟性の有無を懸念することも少なくありません。
Q. 40代女性が未経験や資格なしでも正社員として挑戦しやすい、おすすめの業界・職種は何ですか？
A. 人手不足や成長産業に目を向けることが大切です。介護職は経験や対人スキルが活かせる職種で、平均年齢も高めです。ITやクリエイティブ職も人材不足で、論理的思考や問題解決能力を活かせます。営業職も社会経験やコミュニケーション力が評価されやすく、タクシードライバーや飲食・販売・接客、ブライダルスタッフ、清掃員なども候補として挙げられます。
Q. 40代女性の転職活動を成功させるための重要なポイントと戦略は何ですか？
A. 成功のカギは、自分の強みを活かして戦略的に行動することです。まず自己分析でこれまでの経験やスキルを整理し、転職先でどう活かせるかを明確にします。そのうえで、新しいことに挑戦する意欲や適応力をしっかりアピールすることが大切です。また、転職エージェントや転職サイトを活用し、幅広い求人情報を確認するほか、女性の活躍や子育て支援に力を入れている企業を選ぶことも有効です。
株式会社DYMでは、求職者様に対して様々な就職支援サービスを提供しております。
お問い合わせはこちら↓
https://dym.asia/media/recruiting-contact/</t>
        </is>
      </c>
      <c r="J185" s="47" t="n"/>
      <c r="K185" s="47" t="inlineStr">
        <is>
          <t>未確認</t>
        </is>
      </c>
      <c r="L185" s="47" t="inlineStr">
        <is>
          <t>未確認</t>
        </is>
      </c>
      <c r="M185" s="47" t="n"/>
      <c r="N185" s="47" t="n"/>
      <c r="O185" s="47" t="n"/>
      <c r="P185" s="47" t="n"/>
      <c r="Q185" s="47" t="n"/>
      <c r="R185" s="47" t="n"/>
      <c r="S185" s="47" t="n"/>
      <c r="T185" s="47" t="n"/>
      <c r="U185" s="47" t="n"/>
      <c r="V185" s="47" t="n"/>
      <c r="W185" s="47" t="n"/>
      <c r="X185" s="47" t="n"/>
      <c r="Y185" s="47" t="n"/>
      <c r="Z185" s="47" t="n"/>
    </row>
    <row r="186" ht="15.75" customHeight="1" s="185">
      <c r="A186" s="52">
        <f>row()-3</f>
        <v/>
      </c>
      <c r="B186" s="46" t="inlineStr">
        <is>
          <t>40代からの転職はやめた方がいい？厳しい理由と成功への道</t>
        </is>
      </c>
      <c r="C186" s="6" t="inlineStr">
        <is>
          <t>https://dym.asia/media/recruiting/40s-job-change/#index-40-240-2toc</t>
        </is>
      </c>
      <c r="D186" s="47" t="inlineStr">
        <is>
          <t>40代転職 現実</t>
        </is>
      </c>
      <c r="E186" s="35" t="n">
        <v>1</v>
      </c>
      <c r="F186" s="36" t="n">
        <v>2.446254071661238</v>
      </c>
      <c r="G186" s="47" t="inlineStr">
        <is>
          <t>なし</t>
        </is>
      </c>
      <c r="H186" s="47" t="inlineStr">
        <is>
          <t>可</t>
        </is>
      </c>
      <c r="I186" s="10" t="inlineStr">
        <is>
          <t>Q. 40代の転職が「厳しい」とされる主な理由は何ですか？
A. 40代の転職が難しいと言われるのは、いくつかの理由があります。まず、求人数自体が若手に比べて少ないことが挙げられます。企業は新卒や20代・30代の採用に力を入れる傾向があり、40代以上向けの求人は限られがちです。また、企業は40代の求職者に即戦力としての活躍を強く期待するため、専門性やマネジメント経験など具体的なスキルや実績が求められ、採用のハードルが高くなります。さらに、給与コストの増加や組織の年齢構成、柔軟性への懸念などから、採用に消極的な企業も存在します。
Q. 40代の転職を成功させるための具体的な戦略とポイントは何ですか？
A. 40代の転職を成功させるには、自分の経験や強みを最大限に活かし、戦略的に行動することが大切です。まず、40代の経験者を求めている企業や成長産業、専門性の高い職種を中心に情報を集めます。応募先の企業文化や事業内容をよく調べ、応募書類や面接では、これまでの経験や実績、判断力、人脈など自分ならではの強みをしっかりアピールします。在職中に転職活動を進め、希望条件の優先順位を整理することも重要です。さらに、転職エージェントを活用すると、自分に合った求人情報や応募のサポートを受けられるため、効率的に活動を進められます。
Q. 40代でも活用できる転職支援サービスはありますか？
A. 転職エージェントやスカウトサービスは40代でも活用できます。エージェントでは、あなたの経験や希望に合う求人の紹介や、応募書類・面接のアドバイスを受けられるため、効率的に転職活動を進められます。特に管理職や専門職への転職を考えている場合、プロのアドバイザーの意見は大きな助けになります。
株式会社DYMでは、求職者様に対して様々な就職支援サービスを提供しております。
お問い合わせはこちら↓
https://dym.asia/media/recruiting-contact/</t>
        </is>
      </c>
      <c r="J186" s="47" t="n"/>
      <c r="K186" s="47" t="inlineStr">
        <is>
          <t>未確認</t>
        </is>
      </c>
      <c r="L186" s="47" t="inlineStr">
        <is>
          <t>未確認</t>
        </is>
      </c>
      <c r="M186" s="47" t="n"/>
      <c r="N186" s="47" t="n"/>
      <c r="O186" s="47" t="n"/>
      <c r="P186" s="47" t="n"/>
      <c r="Q186" s="47" t="n"/>
      <c r="R186" s="47" t="n"/>
      <c r="S186" s="47" t="n"/>
      <c r="T186" s="47" t="n"/>
      <c r="U186" s="47" t="n"/>
      <c r="V186" s="47" t="n"/>
      <c r="W186" s="47" t="n"/>
      <c r="X186" s="47" t="n"/>
      <c r="Y186" s="47" t="n"/>
      <c r="Z186" s="47" t="n"/>
    </row>
    <row r="187" ht="15.75" customHeight="1" s="185">
      <c r="A187" s="52">
        <f>row()-3</f>
        <v/>
      </c>
      <c r="B187" s="46" t="inlineStr">
        <is>
          <t>40代からの転職はやめた方がいい？厳しい理由と成功への道</t>
        </is>
      </c>
      <c r="C187" s="6" t="inlineStr">
        <is>
          <t>https://dym.asia/media/recruiting/40s-job-change/#index-4040toc</t>
        </is>
      </c>
      <c r="D187" s="47" t="inlineStr">
        <is>
          <t>40代 転職成功率</t>
        </is>
      </c>
      <c r="E187" s="35" t="n">
        <v>1</v>
      </c>
      <c r="F187" s="36" t="n">
        <v>3.588235294117647</v>
      </c>
      <c r="G187" s="47" t="inlineStr">
        <is>
          <t>なし</t>
        </is>
      </c>
      <c r="H187" s="47" t="inlineStr">
        <is>
          <t>可</t>
        </is>
      </c>
      <c r="I187" s="10" t="inlineStr">
        <is>
          <t>Q. 40代の転職を検討する際、多くの人が抱える「不安」や「不満」は何ですか？
A. 40代の転職者が抱えやすいのは、これまでのキャリアが停滞していると感じることや、新しい挑戦の機会が少ないことへの焦りです。また、職場の人間関係や評価への不満、会社の将来性への不安も重なります。さらに、自分のスキルや経験が転職市場でどのくらい通用するのか、自分の価値が正当に評価されるのかといった悩みもよく聞かれます。
Q. 40代の転職において「公共の支援サービス」が壁になる理由と、実際の転職の現実はどうですか？
A. ハローワークなどの公共の支援サービスは幅広く求人情報を提供していますが、若手や未経験者向けの案件が多く、40代のキャリアや希望に合った高度なポジションが少ないことがあります。また、利用者の多くが若年層であるため、年齢や経験に応じた具体的なアドバイスが得にくいこともあります。実際、40代の転職は全体の数パーセントにとどまり、競争が厳しいという現実もあります。
Q. 40代の転職に必要な「スキル」や「経験」とは具体的に何ですか？
A. 企業は40代に即戦力を期待します。そのため、長年の経験に基づく専門知識や業界での実績、部下育成やチーム運営の経験、問題解決能力や判断力が重視されます。加えて、新しい環境や技術への柔軟な対応力や、若手社員とのコミュニケーションに積極的に取り組む姿勢も評価されます。
株式会社DYMでは、求職者様に対して様々な就職支援サービスを提供しております。
お問い合わせはこちら↓
https://dym.asia/media/recruiting-contact/</t>
        </is>
      </c>
      <c r="J187" s="47" t="n"/>
      <c r="K187" s="47" t="inlineStr">
        <is>
          <t>未確認</t>
        </is>
      </c>
      <c r="L187" s="47" t="inlineStr">
        <is>
          <t>未確認</t>
        </is>
      </c>
      <c r="M187" s="47" t="n"/>
      <c r="N187" s="47" t="n"/>
      <c r="O187" s="47" t="n"/>
      <c r="P187" s="47" t="n"/>
      <c r="Q187" s="47" t="n"/>
      <c r="R187" s="47" t="n"/>
      <c r="S187" s="47" t="n"/>
      <c r="T187" s="47" t="n"/>
      <c r="U187" s="47" t="n"/>
      <c r="V187" s="47" t="n"/>
      <c r="W187" s="47" t="n"/>
      <c r="X187" s="47" t="n"/>
      <c r="Y187" s="47" t="n"/>
      <c r="Z187" s="47" t="n"/>
    </row>
    <row r="188" ht="15.75" customHeight="1" s="185">
      <c r="A188" s="52">
        <f>row()-3</f>
        <v/>
      </c>
      <c r="B188" s="46" t="inlineStr">
        <is>
          <t>OB・OG訪問とは？やり方・時期やメリットを徹底解説</t>
        </is>
      </c>
      <c r="C188" s="6" t="inlineStr">
        <is>
          <t>https://dym.asia/media/recruiting/alumni-vsit/</t>
        </is>
      </c>
      <c r="D188" s="47" t="inlineStr">
        <is>
          <t>obog訪問 やり方</t>
        </is>
      </c>
      <c r="E188" s="35" t="n">
        <v>1</v>
      </c>
      <c r="F188" s="36" t="n">
        <v>15</v>
      </c>
      <c r="G188" s="47" t="inlineStr">
        <is>
          <t>なし</t>
        </is>
      </c>
      <c r="H188" s="47" t="inlineStr">
        <is>
          <t>可</t>
        </is>
      </c>
      <c r="I188" s="10" t="inlineStr">
        <is>
          <t>Q. OB・OG訪問とは何ですか？また、その主な目的は何ですか？
A. OB・OG訪問とは、興味のある業界や企業で働く先輩に会い、仕事内容や社内の雰囲気、業界の実情など、外からは見えないリアルな情報を聞くことです。目的は、実際の職場の様子を知ることで自己分析や志望動機をより具体的にし、業界や企業理解を深めることです。また、訪問時の印象や会話内容が選考で間接的に活かされることもあり、内定に近づくチャンスを広げる役割もあります。
Q. OB・OG訪問を実施するメリットと、成功のための適切な時期はいつですか？
A. メリットは、企業の実情を直接知ることで入社後の自分のイメージを描きやすくなることや、選考対策に活用できること、さらに自己分析や業界研究が深まることです。訪問のタイミングは早ければ早いほど有利で、特に広報活動解禁前の時期（3月解禁なら前年12月から2月頃）は、就活生が少なくアポイントも取りやすいとされています。
Q. OB・OG訪問を成功させるための具体的なステップ（やり方）を教えてください。
A. 成功させるには計画的に進めることが大切です。まず訪問相手を大学のキャリアセンターやOB名簿、知人の紹介などで探します。次に礼儀正しいメールでアポイントを取り、時間は平日のランチタイムに1時間程度が目安です。訪問前には会社の情報を調べ、自分なりの仮説や質問を整理しておくと、より有意義な対話ができます。当日は時間を守り、感謝の気持ちを伝えつつ、質問は一問一答にならないよう対話を意識します。訪問後はお礼のメールを送り、どの話が参考になったか具体的に伝えることで関係を続けやすくなります。最後に、得た情報や気づきを自己PRや志望動機に反映させて、選考に活かすことが重要です。
株式会社DYMでは、求職者様に対して様々な就職支援サービスを提供しております。
お問い合わせはこちら↓
https://dym.asia/media/recruiting-contact/</t>
        </is>
      </c>
      <c r="J188" s="47" t="n"/>
      <c r="K188" s="47" t="inlineStr">
        <is>
          <t>未確認</t>
        </is>
      </c>
      <c r="L188" s="47" t="inlineStr">
        <is>
          <t>未確認</t>
        </is>
      </c>
      <c r="M188" s="47" t="n"/>
      <c r="N188" s="47" t="n"/>
      <c r="O188" s="47" t="n"/>
      <c r="P188" s="47" t="n"/>
      <c r="Q188" s="47" t="n"/>
      <c r="R188" s="47" t="n"/>
      <c r="S188" s="47" t="n"/>
      <c r="T188" s="47" t="n"/>
      <c r="U188" s="47" t="n"/>
      <c r="V188" s="47" t="n"/>
      <c r="W188" s="47" t="n"/>
      <c r="X188" s="47" t="n"/>
      <c r="Y188" s="47" t="n"/>
      <c r="Z188" s="47" t="n"/>
    </row>
    <row r="189" ht="15.75" customHeight="1" s="185">
      <c r="A189" s="52">
        <f>row()-3</f>
        <v/>
      </c>
      <c r="B189" s="46" t="inlineStr">
        <is>
          <t>アンガーマネジメントとは？やり方や6秒ルール、診断方法を解説</t>
        </is>
      </c>
      <c r="C189" s="6" t="inlineStr">
        <is>
          <t>https://dym.asia/media/recruiting/anger-management/</t>
        </is>
      </c>
      <c r="D189" s="47" t="inlineStr">
        <is>
          <t>6秒ルール</t>
        </is>
      </c>
      <c r="E189" s="35" t="n">
        <v>1</v>
      </c>
      <c r="F189" s="36" t="n">
        <v>3.05</v>
      </c>
      <c r="G189" s="47" t="inlineStr">
        <is>
          <t>なし</t>
        </is>
      </c>
      <c r="H189" s="47" t="inlineStr">
        <is>
          <t>可</t>
        </is>
      </c>
      <c r="I189" s="10" t="inlineStr">
        <is>
          <t>Q. アンガーマネジメントとは何ですか？また、その目的は何ですか？
A. アンガーマネジメントとは、怒りやイライラといった感情を上手に理解し、コントロールするスキルのことです。1970年代にアメリカで犯罪者の矯正プログラムとして始まり、現在では企業研修などでも取り入れられています。目的は怒りの感情を完全になくすことではなく、必要な場面では適切に怒り、そうでない場面では冷静に対応できるようになることです。つまり、怒りを建設的に活用できる力を身につけることを目指します。
Q. アンガーマネジメントを実践することで、企業や個人にどのような効果が期待できますか？
A. アンガーマネジメントとは、怒りやイライラといった感情を上手に理解し、コントロールするスキルのことです。1970年代にアメリカで犯罪者の矯正プログラムとして始まり、現在では企業研修などでも取り入れられています。目的は怒りの感情を完全になくすことではなく、必要な場面では適切に怒り、そうでない場面では冷静に対応できるようになることです。つまり、怒りを建設的に活用できる力を身につけることを目指します。
Q. 怒りを感じた時に、感情をコントロールするための具体的な手法は何ですか？
A. 怒りをコントロールする方法としては、まず「6秒ルール」があります。怒りを感じた瞬間から6秒待つことで衝動的な反応を抑え、深呼吸や前向きな言葉を心の中で唱えるとより効果的です。次に、怒りの原因から一時的に距離を置くことも有効です。トイレに行ったり外に出たりすることで、感情を落ち着けることができます。さらに、自分の考え方を柔軟に見直すことも大切です。「こうあるべき」といった固定観念を少し緩めることで、怒りを和らげることができます。
株式会社DYMでは、求職者様に対して様々な就職支援サービスを提供しております。
お問い合わせはこちら↓
https://dym.asia/media/recruiting-contact/</t>
        </is>
      </c>
      <c r="J189" s="47" t="n"/>
      <c r="K189" s="47" t="inlineStr">
        <is>
          <t>未確認</t>
        </is>
      </c>
      <c r="L189" s="47" t="inlineStr">
        <is>
          <t>未確認</t>
        </is>
      </c>
      <c r="M189" s="47" t="n"/>
      <c r="N189" s="47" t="n"/>
      <c r="O189" s="47" t="n"/>
      <c r="P189" s="47" t="n"/>
      <c r="Q189" s="47" t="n"/>
      <c r="R189" s="47" t="n"/>
      <c r="S189" s="47" t="n"/>
      <c r="T189" s="47" t="n"/>
      <c r="U189" s="47" t="n"/>
      <c r="V189" s="47" t="n"/>
      <c r="W189" s="47" t="n"/>
      <c r="X189" s="47" t="n"/>
      <c r="Y189" s="47" t="n"/>
      <c r="Z189" s="47" t="n"/>
    </row>
    <row r="190" ht="15.75" customHeight="1" s="185">
      <c r="A190" s="52">
        <f>row()-3</f>
        <v/>
      </c>
      <c r="B190" s="46" t="inlineStr">
        <is>
          <t>アスリート採用｜企業のメリットと注意点を解説</t>
        </is>
      </c>
      <c r="C190" s="6" t="inlineStr">
        <is>
          <t>https://dym.asia/media/recruiting/athlete-recruitment/#index-2</t>
        </is>
      </c>
      <c r="D190" s="47" t="inlineStr">
        <is>
          <t>企業所属 スポーツ選手 仕事</t>
        </is>
      </c>
      <c r="E190" s="35" t="n">
        <v>1</v>
      </c>
      <c r="F190" s="36" t="n">
        <v>4.698630136986301</v>
      </c>
      <c r="G190" s="47" t="inlineStr">
        <is>
          <t>なし</t>
        </is>
      </c>
      <c r="H190" s="47" t="inlineStr">
        <is>
          <t>可</t>
        </is>
      </c>
      <c r="I190" s="10" t="inlineStr">
        <is>
          <t>Q. アスリート採用とは何ですか？
A. アスリート採用とは、企業がスポーツ選手を社員として迎え入れ、競技活動と仕事を両立できるよう支援する採用の形です。「デュアルキャリア」とも呼ばれ、選手が競技を続けながら働けるよう、勤務時間や仕事内容に柔軟性を持たせることが特徴です。
Q. 企業がアスリートを採用するメリットは何ですか？
A. アスリートを採用することで、企業はさまざまな恩恵を得られます。選手が活躍する姿が企業の宣伝やブランドイメージの向上につながり、競技で培った統率力や協力姿勢は職場のチームワークにも良い影響を与えます。また、目標に向かって努力し続けるアスリートの姿勢は、周囲の社員にとっても刺激となり、仕事へのモチベーション向上につながります。
Q. アスリート採用における課題や注意点は何ですか？
A. 導入にあたっては注意も必要です。まず、遠征費やトレーニング費など競技にかかるコストが想定以上にかかることがあります。加えて、これまで競技中心だった場合、ビジネススキルが不足していることもあるため、入社後の研修や教育が重要です。さらに、引退後もキャリアを築けるように、現役時代から業務経験を積ませるなどの計画的な支援が求められます。
株式会社DYMでは、求職者様に対して様々な就職支援サービスを提供しております。
お問い合わせはこちら↓
https://dym.asia/media/recruiting-contact/</t>
        </is>
      </c>
      <c r="J190" s="47" t="n"/>
      <c r="K190" s="47" t="inlineStr">
        <is>
          <t>未確認</t>
        </is>
      </c>
      <c r="L190" s="47" t="inlineStr">
        <is>
          <t>未確認</t>
        </is>
      </c>
      <c r="M190" s="47" t="n"/>
      <c r="N190" s="47" t="n"/>
      <c r="O190" s="47" t="n"/>
      <c r="P190" s="47" t="n"/>
      <c r="Q190" s="47" t="n"/>
      <c r="R190" s="47" t="n"/>
      <c r="S190" s="47" t="n"/>
      <c r="T190" s="47" t="n"/>
      <c r="U190" s="47" t="n"/>
      <c r="V190" s="47" t="n"/>
      <c r="W190" s="47" t="n"/>
      <c r="X190" s="47" t="n"/>
      <c r="Y190" s="47" t="n"/>
      <c r="Z190" s="47" t="n"/>
    </row>
    <row r="191" ht="15.75" customHeight="1" s="185">
      <c r="A191" s="52">
        <f>row()-3</f>
        <v/>
      </c>
      <c r="B191" s="46" t="inlineStr">
        <is>
          <t>基本給とは？手取りや月給との違い、平均額まで詳しく解説</t>
        </is>
      </c>
      <c r="C191" s="6" t="inlineStr">
        <is>
          <t>https://dym.asia/media/recruiting/basic-salary/#index</t>
        </is>
      </c>
      <c r="D191" s="47" t="inlineStr">
        <is>
          <t>基本給 平均</t>
        </is>
      </c>
      <c r="E191" s="35" t="n">
        <v>1</v>
      </c>
      <c r="F191" s="36" t="n">
        <v>7.081543357199682</v>
      </c>
      <c r="G191" s="47" t="inlineStr">
        <is>
          <t>なし</t>
        </is>
      </c>
      <c r="H191" s="47" t="inlineStr">
        <is>
          <t>可</t>
        </is>
      </c>
      <c r="I191" s="10" t="inlineStr">
        <is>
          <t>Q. 基本給とは何ですか？また、「月給」や「手取り」とはどう違うのですか？
A. 基本給とは、給与の土台となる固定の賃金のことです。残業代や手当、ボーナス、退職金などの計算の基礎にもなる、給与の中心的な部分です。月給はこの基本給に通勤手当や住宅手当などの固定的な手当を加えた金額で、手取りは月給や残業代などの総額から社会保険料や税金を差し引いた、実際に受け取る金額を指します。
Q. 企業が基本給を決定する主な方法はどのようなものがありますか？
A. 基本給の決め方にはいくつか方法があります。職務の重要性や責任の重さに応じて決める「仕事給型」、年齢や勤続年数、資格など個人の属性を基準にする「属人給型」、そしてその両方を組み合わせた「総合給型」があり、日本では総合給型が広く採用されています。
Q. 基本給が直接影響を与える給与や控除の項目には、どのようなものがありますか？
A. 基本給は給与計算の基礎となるため、残業代や休日手当、ボーナスの額、退職金の算定などに直接関わります。また、社会保険料や所得税も基本給を含む額面をもとに計算されるため、給与全体に大きな影響を与える重要な要素です。
株式会社DYMでは、求職者様に対して様々な就職支援サービスを提供しております。
お問い合わせはこちら↓
https://dym.asia/media/recruiting-contact/</t>
        </is>
      </c>
      <c r="J191" s="47" t="n"/>
      <c r="K191" s="47" t="inlineStr">
        <is>
          <t>未確認</t>
        </is>
      </c>
      <c r="L191" s="47" t="inlineStr">
        <is>
          <t>未確認</t>
        </is>
      </c>
      <c r="M191" s="47" t="n"/>
      <c r="N191" s="47" t="n"/>
      <c r="O191" s="47" t="n"/>
      <c r="P191" s="47" t="n"/>
      <c r="Q191" s="47" t="n"/>
      <c r="R191" s="47" t="n"/>
      <c r="S191" s="47" t="n"/>
      <c r="T191" s="47" t="n"/>
      <c r="U191" s="47" t="n"/>
      <c r="V191" s="47" t="n"/>
      <c r="W191" s="47" t="n"/>
      <c r="X191" s="47" t="n"/>
      <c r="Y191" s="47" t="n"/>
      <c r="Z191" s="47" t="n"/>
    </row>
    <row r="192" ht="15.75" customHeight="1" s="185">
      <c r="A192" s="52">
        <f>row()-3</f>
        <v/>
      </c>
      <c r="B192" s="46" t="inlineStr">
        <is>
          <t>キャリアプランとは？描き方から職種別、年代別の例文まで解説</t>
        </is>
      </c>
      <c r="C192" s="6" t="inlineStr">
        <is>
          <t>https://dym.asia/media/recruiting/career-plan/</t>
        </is>
      </c>
      <c r="D192" s="47" t="inlineStr">
        <is>
          <t>キャリアプラン 30代 例文</t>
        </is>
      </c>
      <c r="E192" s="35" t="n">
        <v>1</v>
      </c>
      <c r="F192" s="36" t="n">
        <v>22</v>
      </c>
      <c r="G192" s="47" t="inlineStr">
        <is>
          <t>なし</t>
        </is>
      </c>
      <c r="H192" s="47" t="inlineStr">
        <is>
          <t>可</t>
        </is>
      </c>
      <c r="I192" s="10" t="inlineStr">
        <is>
          <t>Q. キャリアプランとは何ですか？また、キャリアパスとの違いは何ですか？        
A. キャリアプランとは、自分の理想とする将来の働き方や職業人生を実現するために立てる行動計画のことです。転職や独立も含めて、長期的な目標とその達成方法を自分で描きます。一方、キャリアパスは企業側が示す昇進や役職の道筋で、どのポジションにどう進むかを企業が設計した指針のことを指します。
Q. キャリアプランを作成するメリットや重要性は何ですか？        
A. キャリアプランを持つと、自分の目標が明確になり日々の仕事に目的意識を持てます。必要なスキルや経験を意識的に身につけられるので、成長や市場価値の向上にもつながります。また、転職活動や面接で企業との相性を見極めやすくなり、ミスマッチを防ぐ効果もあります。
Q. キャリアプランの具体的な描き方・作成手順を教えてください。        
A. まず自己分析で自分の強みや価値観、興味を整理します。次に、10年後にどんな仕事をしていたいかなど理想の将来像を具体的に描きます。そして、その目標を実現するために、必要なスキルや経験を逆算し、短期・中期の具体的なステップを計画します。この流れで、行動に落とし込めるキャリアプランが作れます。
株式会社DYMでは、求職者様に対して様々な就職支援サービスを提供しております。
お問い合わせはこちら↓
https://dym.asia/media/recruiting-contact/</t>
        </is>
      </c>
      <c r="J192" s="47" t="n"/>
      <c r="K192" s="47" t="inlineStr">
        <is>
          <t>未確認</t>
        </is>
      </c>
      <c r="L192" s="47" t="inlineStr">
        <is>
          <t>未確認</t>
        </is>
      </c>
      <c r="M192" s="47" t="n"/>
      <c r="N192" s="47" t="n"/>
      <c r="O192" s="47" t="n"/>
      <c r="P192" s="47" t="n"/>
      <c r="Q192" s="47" t="n"/>
      <c r="R192" s="47" t="n"/>
      <c r="S192" s="47" t="n"/>
      <c r="T192" s="47" t="n"/>
      <c r="U192" s="47" t="n"/>
      <c r="V192" s="47" t="n"/>
      <c r="W192" s="47" t="n"/>
      <c r="X192" s="47" t="n"/>
      <c r="Y192" s="47" t="n"/>
      <c r="Z192" s="47" t="n"/>
    </row>
    <row r="193" ht="15.75" customHeight="1" s="185">
      <c r="A193" s="52">
        <f>row()-3</f>
        <v/>
      </c>
      <c r="B193" s="46" t="inlineStr">
        <is>
          <t>コミュニケーション能力とは？高い人の特徴と鍛えるべき4つのスキル</t>
        </is>
      </c>
      <c r="C193" s="6" t="inlineStr">
        <is>
          <t>https://dym.asia/media/recruiting/communication-ability/</t>
        </is>
      </c>
      <c r="D193" s="47" t="inlineStr">
        <is>
          <t>コミュニケーション</t>
        </is>
      </c>
      <c r="E193" s="35" t="n">
        <v>1</v>
      </c>
      <c r="F193" s="36" t="n">
        <v>3</v>
      </c>
      <c r="G193" s="47" t="inlineStr">
        <is>
          <t>なし</t>
        </is>
      </c>
      <c r="H193" s="47" t="inlineStr">
        <is>
          <t>可</t>
        </is>
      </c>
      <c r="I193" s="10" t="inlineStr">
        <is>
          <t>Q. コミュニケーション能力とは何ですか？       
 A. コミュニケーション能力とは、ただ会話が上手なことを指すのではなく、相手との関係を築きながら、自分と相手の意思や情報をうまくやり取りできる力のことです。外向的でなくても、相手の話をよく聴き、適切な言葉を選べれば高い能力を発揮できます。
Q. コミュニケーション能力を構成する4つの要素とは何ですか？        
A.コミュニケーション能力は、主に自分の考えを分かりやすく伝える力、相手の話を丁寧に聴く力、言葉以外の表現で気持ちや態度を伝える力、そして相手の表情や態度から真意を読み取る力の4つの側面で成り立っています。
Q. コミュニケーション能力を向上させるための具体的なポイントを教えてください。        
A. まず、自分の考えを整理して簡潔に伝える力を意識しましょう。同時に、相手の話を最後まで遮らずに聴き、要点を確認したり質問したりすることで理解を深めます。そして、表情や声のトーン、身振り手振りなど言葉以外の伝え方にも気を配り、相手の気持ちを読み取る力も鍛えることが大切です。
株式会社DYMでは、求職者様に対して様々な就職支援サービスを提供しております。
お問い合わせはこちら↓
https://dym.asia/media/recruiting-contact/</t>
        </is>
      </c>
      <c r="J193" s="47" t="n"/>
      <c r="K193" s="47" t="inlineStr">
        <is>
          <t>未確認</t>
        </is>
      </c>
      <c r="L193" s="47" t="inlineStr">
        <is>
          <t>未確認</t>
        </is>
      </c>
      <c r="M193" s="47" t="n"/>
      <c r="N193" s="47" t="n"/>
      <c r="O193" s="47" t="n"/>
      <c r="P193" s="47" t="n"/>
      <c r="Q193" s="47" t="n"/>
      <c r="R193" s="47" t="n"/>
      <c r="S193" s="47" t="n"/>
      <c r="T193" s="47" t="n"/>
      <c r="U193" s="47" t="n"/>
      <c r="V193" s="47" t="n"/>
      <c r="W193" s="47" t="n"/>
      <c r="X193" s="47" t="n"/>
      <c r="Y193" s="47" t="n"/>
      <c r="Z193" s="47" t="n"/>
    </row>
    <row r="194" ht="15.75" customHeight="1" s="185">
      <c r="A194" s="52">
        <f>row()-3</f>
        <v/>
      </c>
      <c r="B194" s="46" t="inlineStr">
        <is>
          <t>未経験からコンサルタントへ転職するポイントとは</t>
        </is>
      </c>
      <c r="C194" s="6" t="inlineStr">
        <is>
          <t>https://dym.asia/media/recruiting/consulting-job-change/</t>
        </is>
      </c>
      <c r="D194" s="47" t="inlineStr">
        <is>
          <t>40代 コンサル 転職 未経験</t>
        </is>
      </c>
      <c r="E194" s="35" t="n">
        <v>1</v>
      </c>
      <c r="F194" s="36" t="n">
        <v>20.02564102564103</v>
      </c>
      <c r="G194" s="47" t="inlineStr">
        <is>
          <t>なし</t>
        </is>
      </c>
      <c r="H194" s="47" t="inlineStr">
        <is>
          <t>可</t>
        </is>
      </c>
      <c r="I194" s="10" t="inlineStr">
        <is>
          <t>Q. コンサルティング業界が未経験者を積極採用している背景は何ですか？        
A. コンサルティング業界では、DX（デジタルトランスフォーメーション）や新しい業務領域の需要が急増しており、それに対応できる人材が不足しています。そのため、従来の経験よりも新しい視点やポテンシャルを持つ未経験者が採用されやすくなっています。
Q. 未経験からコンサルタントに求められる主要な能力や資格は何ですか？        
A.論理的に考える力やコミュニケーション能力、英語力が特に重視されます。公認会計士や税理士の資格は有利ですが必須ではなく、重要なのは本人の能力や適性、過去の実績です。
Q. 転職活動で有利になる経験やアピールポイントは何ですか？        
A. 過去の経験をコンサル業務にどう活かせるかを示すことが大切です。IT領域の経験や特定業界での専門性、セールスやマネジメントの経験があると評価されやすい傾向にあります。
Q. コンサルタントに転職した後、どのような点で大変だと感じることが多いですか？        
A. プライベートの時間が少なくなることや、常に自己学習が求められること、チームや勤務地の変動が多いことなどが挙げられます。高い学習意欲と柔軟性が求められる環境です。
Q. 転職を成功させるための具体的な準備は何ですか？        
A. 過去の経験をどう活かせるかを整理して志望動機を明確にし、コンサル特有のケース面接に備えることが重要です。また、転職エージェントを活用して非公開求人や選考対策のサポートを受けることも効果的です。
株式会社DYMでは、求職者様に対して様々な就職支援サービスを提供しております。
お問い合わせはこちら↓
https://dym.asia/media/recruiting-contact/</t>
        </is>
      </c>
      <c r="J194" s="47" t="n"/>
      <c r="K194" s="47" t="inlineStr">
        <is>
          <t>未確認</t>
        </is>
      </c>
      <c r="L194" s="47" t="inlineStr">
        <is>
          <t>未確認</t>
        </is>
      </c>
      <c r="M194" s="47" t="n"/>
      <c r="N194" s="47" t="n"/>
      <c r="O194" s="47" t="n"/>
      <c r="P194" s="47" t="n"/>
      <c r="Q194" s="47" t="n"/>
      <c r="R194" s="47" t="n"/>
      <c r="S194" s="47" t="n"/>
      <c r="T194" s="47" t="n"/>
      <c r="U194" s="47" t="n"/>
      <c r="V194" s="47" t="n"/>
      <c r="W194" s="47" t="n"/>
      <c r="X194" s="47" t="n"/>
      <c r="Y194" s="47" t="n"/>
      <c r="Z194" s="47" t="n"/>
    </row>
    <row r="195" ht="15.75" customHeight="1" s="185">
      <c r="A195" s="52">
        <f>row()-3</f>
        <v/>
      </c>
      <c r="B195" s="46" t="inlineStr">
        <is>
          <t>第二新卒と既卒の違いとは？どちらが有利？意味や就職成功のポイントを解説</t>
        </is>
      </c>
      <c r="C195" s="6" t="inlineStr">
        <is>
          <t>https://dym.asia/media/recruiting/differance-former/#index-4</t>
        </is>
      </c>
      <c r="D195" s="47" t="inlineStr">
        <is>
          <t>第二新卒 有利</t>
        </is>
      </c>
      <c r="E195" s="35" t="n">
        <v>1</v>
      </c>
      <c r="F195" s="36" t="n">
        <v>7.142857142857143</v>
      </c>
      <c r="G195" s="47" t="inlineStr">
        <is>
          <t>なし</t>
        </is>
      </c>
      <c r="H195" s="47" t="inlineStr">
        <is>
          <t>可</t>
        </is>
      </c>
      <c r="I195" s="10" t="inlineStr">
        <is>
          <t>Q. 「第二新卒」と「既卒」の定義と違いは何ですか？        
A. 両方とも新卒とは異なる立場で就職活動をする人を指しますが、定義が少し違います。第二新卒は、新卒で入社した後、比較的短期間（およそ3年以内）で退職して再就職活動をする人を指し、社会人としての基礎スキルがあるのが特徴です。一方、既卒は学校を卒業してから正社員として就職せずに一定期間が経過した人を指し、正社員としての就業経験がないか、あっても非常に短いことが多い点が特徴です。
Q. 第二新卒が持つメリット・デメリットは何ですか？        
A. 第二新卒のメリットは、短期間ながらも業務経験やビジネスマナーをアピールできることと、スムーズに入社できる点が評価されやすいことです。一方で、企業から「すぐに辞めるのではないか」と懸念される可能性がデメリットとしてあります。
Q. 既卒が持つメリット・デメリットは何ですか？        
A. 既卒のメリットは、新卒枠に応募できる企業があることや、新卒と同様の研修を受けられる可能性があることです。デメリットとしては、企業によって募集枠が限られている場合や、卒業後の空白期間に対してマイナスの印象を持たれる場合があることです。
Q. 就職活動を成功させるためのポイント（アピール方法）は何ですか？        
A. 第二新卒の場合は、前職を辞めた理由を前向きに伝え、前職で得たスキルや知識を積極的にアピールすることが重要です。既卒の場合も、自分の強みや経験を整理し、空白期間を含めて納得できるストーリーとして説明できるよう準備すると良いでしょう。
株式会社DYMでは、求職者様に対して様々な就職支援サービスを提供しております。
お問い合わせはこちら↓
https://dym.asia/media/recruiting-contact/</t>
        </is>
      </c>
      <c r="J195" s="47" t="n"/>
      <c r="K195" s="47" t="inlineStr">
        <is>
          <t>未確認</t>
        </is>
      </c>
      <c r="L195" s="47" t="inlineStr">
        <is>
          <t>未確認</t>
        </is>
      </c>
      <c r="M195" s="47" t="n"/>
      <c r="N195" s="47" t="n"/>
      <c r="O195" s="47" t="n"/>
      <c r="P195" s="47" t="n"/>
      <c r="Q195" s="47" t="n"/>
      <c r="R195" s="47" t="n"/>
      <c r="S195" s="47" t="n"/>
      <c r="T195" s="47" t="n"/>
      <c r="U195" s="47" t="n"/>
      <c r="V195" s="47" t="n"/>
      <c r="W195" s="47" t="n"/>
      <c r="X195" s="47" t="n"/>
      <c r="Y195" s="47" t="n"/>
      <c r="Z195" s="47" t="n"/>
    </row>
    <row r="196" ht="15.75" customHeight="1" s="185">
      <c r="A196" s="52">
        <f>row()-3</f>
        <v/>
      </c>
      <c r="B196" s="46" t="inlineStr">
        <is>
          <t>第二新卒と中途採用の違いって？どっちが転職に有利なのか解説</t>
        </is>
      </c>
      <c r="C196" s="6" t="inlineStr">
        <is>
          <t>https://dym.asia/media/recruiting/differance-former2/#index</t>
        </is>
      </c>
      <c r="D196" s="47" t="inlineStr">
        <is>
          <t>第二新卒と中途の違い</t>
        </is>
      </c>
      <c r="E196" s="35" t="n">
        <v>1</v>
      </c>
      <c r="F196" s="36" t="n">
        <v>5.010695187165775</v>
      </c>
      <c r="G196" s="47" t="inlineStr">
        <is>
          <t>なし</t>
        </is>
      </c>
      <c r="H196" s="47" t="inlineStr">
        <is>
          <t>可</t>
        </is>
      </c>
      <c r="I196" s="47" t="inlineStr">
        <is>
          <t>Q. 「第二新卒」と「一般中途採用（キャリア採用）」の定義と違いは何ですか？        
A. 両方とも新卒以外の採用ですが、対象と目的が異なります。第二新卒は、新卒入社後おおむね3年以内に退職した若手を対象とし、企業はポテンシャルや成長意欲を重視して育成前提で採用します。一方、一般中途採用は幅広い年齢層や経験者を対象とし、即戦力としてスキルや実績を評価し、入社後すぐに成果を出すことを期待します。
Q. 一般中途採用のメリット・デメリットは何ですか？        
A. メリットは、これまでの経験やスキルが評価されやすく、キャリアアップや年収アップにつながる点です。デメリットは、経験豊富なライバルが多く競争が激しいことや、異業種への転職では年収が下がる可能性があることです。
Q. 第二新卒のメリット・デメリットは何ですか？        
A. メリットは、ポテンシャルや人柄を評価してもらいやすく、採用ハードルが中途より低めである点です。デメリットは、「すぐに辞めるのではないか」と懸念される場合があることや、前職の給与水準によっては年収が下がることがある点です。
Q. 第二新卒が転職を成功させるためのポイントは何ですか？        
A. 若さや可能性を活かすことが大切です。まず自己分析をして転職の軸やキャリアプランを明確にし、退職理由は前向きな言葉で伝えられるように準備します。また、社会人としての基本的なビジネスマナーを身につけておくことも重要です。
株式会社DYMでは、求職者様に対して様々な就職支援サービスを提供しております。
お問い合わせはこちら↓
https://dym.asia/media/recruiting-contact/</t>
        </is>
      </c>
      <c r="J196" s="47" t="n"/>
      <c r="K196" s="47" t="inlineStr">
        <is>
          <t>未確認</t>
        </is>
      </c>
      <c r="L196" s="47" t="inlineStr">
        <is>
          <t>未確認</t>
        </is>
      </c>
      <c r="M196" s="47" t="n"/>
      <c r="N196" s="47" t="n"/>
      <c r="O196" s="47" t="n"/>
      <c r="P196" s="47" t="n"/>
      <c r="Q196" s="47" t="n"/>
      <c r="R196" s="47" t="n"/>
      <c r="S196" s="47" t="n"/>
      <c r="T196" s="47" t="n"/>
      <c r="U196" s="47" t="n"/>
      <c r="V196" s="47" t="n"/>
      <c r="W196" s="47" t="n"/>
      <c r="X196" s="47" t="n"/>
      <c r="Y196" s="47" t="n"/>
      <c r="Z196" s="47" t="n"/>
    </row>
    <row r="197" ht="15.75" customHeight="1" s="185">
      <c r="A197" s="52">
        <f>row()-3</f>
        <v/>
      </c>
      <c r="B197" s="46" t="inlineStr">
        <is>
          <t>第二新卒と中途採用の違いって？どっちが転職に有利なのか解説</t>
        </is>
      </c>
      <c r="C197" s="6" t="inlineStr">
        <is>
          <t>https://dym.asia/media/recruiting/differance-former2/#index-2</t>
        </is>
      </c>
      <c r="D197" s="47" t="inlineStr">
        <is>
          <t>中途採用 第二新卒</t>
        </is>
      </c>
      <c r="E197" s="35" t="n">
        <v>1</v>
      </c>
      <c r="F197" s="36" t="n">
        <v>6.955357142857143</v>
      </c>
      <c r="G197" s="47" t="inlineStr">
        <is>
          <t>なし</t>
        </is>
      </c>
      <c r="H197" s="47" t="inlineStr">
        <is>
          <t>可</t>
        </is>
      </c>
      <c r="I197" s="47" t="inlineStr">
        <is>
          <t xml:space="preserve">Q. 一般中途採用（キャリア採用）とは何ですか？        
A. 新卒採用以外の採用活動全般を指します。企業が即戦力として活躍できる専門知識やスキルを持つ人材を必要に応じて募集する採用形態です。
Q. 中途採用の求職者にとっての主なメリットは何ですか？        
A. 前職で培った経験やスキルを活かしてキャリアアップできることが大きな魅力です。責任あるポジションやマネジメント職に挑戦できる可能性があり、専門性が評価されれば年収アップも期待できます。
Q. 中途採用の求職者にとっての主なデメリットや注意点は何ですか？        
A. 経験豊富な求職者が多く競争が激しい点や、異業種への転職では年収が下がる場合がある点に注意が必要です。自身の強みを整理してアピールできることが重要です。
Q. 企業が中途採用を行う主な目的は何ですか？　　　　　　　　　　　　　　　　　　　　　　　　　　　　　　　　　　　　　　　　　　　　　　　A. 欠員補充や新規事業の立ち上げ、専門知識や技術を持つ即戦力の確保が主な目的です。採用後はすぐに戦力として活躍することが求められます。　　　　　　　　　　　　　　　　　　　　　　　　　　　　
株式会社DYMでは、求職者様に対して様々な就職支援サービスを提供しております。
お問い合わせはこちら↓
https://dym.asia/media/recruiting-contact/　　　　　　　　　　　　　　　　　　　　　　　　　　　　　　　　　　　　　　　　　　　　　　　　　　　　　　　　　　　　　　　　　　　　　　　　　　　　　　　　　　　　　　　　　　　　　　　　　　　　　　　　　　　　</t>
        </is>
      </c>
      <c r="J197" s="47" t="n"/>
      <c r="K197" s="47" t="inlineStr">
        <is>
          <t>未確認</t>
        </is>
      </c>
      <c r="L197" s="47" t="inlineStr">
        <is>
          <t>未確認</t>
        </is>
      </c>
      <c r="M197" s="47" t="n"/>
      <c r="N197" s="47" t="n"/>
      <c r="O197" s="47" t="n"/>
      <c r="P197" s="47" t="n"/>
      <c r="Q197" s="47" t="n"/>
      <c r="R197" s="47" t="n"/>
      <c r="S197" s="47" t="n"/>
      <c r="T197" s="47" t="n"/>
      <c r="U197" s="47" t="n"/>
      <c r="V197" s="47" t="n"/>
      <c r="W197" s="47" t="n"/>
      <c r="X197" s="47" t="n"/>
      <c r="Y197" s="47" t="n"/>
      <c r="Z197" s="47" t="n"/>
    </row>
    <row r="198" ht="15.75" customHeight="1" s="185">
      <c r="A198" s="52">
        <f>row()-3</f>
        <v/>
      </c>
      <c r="B198" s="46" t="inlineStr">
        <is>
          <t>就活早期化が進む理由とは？意味や背景、対策まで徹底解説</t>
        </is>
      </c>
      <c r="C198" s="6" t="inlineStr">
        <is>
          <t>https://dym.asia/media/recruiting/early-job-hunting/#index-5-35-3toc</t>
        </is>
      </c>
      <c r="D198" s="47" t="inlineStr">
        <is>
          <t>就活 早期化</t>
        </is>
      </c>
      <c r="E198" s="35" t="n">
        <v>1</v>
      </c>
      <c r="F198" s="36" t="n">
        <v>2.239316239316239</v>
      </c>
      <c r="G198" s="47" t="inlineStr">
        <is>
          <t>なし</t>
        </is>
      </c>
      <c r="H198" s="47" t="inlineStr">
        <is>
          <t>可</t>
        </is>
      </c>
      <c r="I198" s="47" t="inlineStr">
        <is>
          <t>Q. 就職活動の早期化は、いつ頃から準備を始めれば間に合いますか？
A. 最近の早期化に対応するには、大学3年生の春ごろ（4月～6月）から自己分析や業界研究を始めるのが理想です。特に夏のインターンシップに参加する場合は、その前に準備を整えておく必要があります。
Q. 早期選考に参加することの最大のメリットとリスクは何ですか？
A. 最大のメリットは、早めに内定を得られ、安心して学生生活を送れることです。リスクは、自己分析や企業研究が不十分なまま進めてしまうと、入社後にミスマッチが起こりやすくなる点です。比較検討する時間も限られます。
Q. 早期化に対応するため、学業や卒論と就活を両立させるにはどうすれば良いですか？
A. スケジュール管理がカギです。年間の活動計画を立て、就活のピークと学業の山場が重ならないよう調整しましょう。必要に応じてキャリアセンターや教授に相談してサポートを得るのも効果的です。　　　　　　　　　　　　　　　　　　　　　　　　　　　　　　　　　　　　　　　　　　　　　　　　
株式会社DYMでは、求職者様に対して様々な就職支援サービスを提供しております。
お問い合わせはこちら↓
https://dym.asia/media/recruiting-contact/</t>
        </is>
      </c>
      <c r="J198" s="47" t="n"/>
      <c r="K198" s="47" t="inlineStr">
        <is>
          <t>未確認</t>
        </is>
      </c>
      <c r="L198" s="47" t="inlineStr">
        <is>
          <t>未確認</t>
        </is>
      </c>
      <c r="M198" s="47" t="n"/>
      <c r="N198" s="47" t="n"/>
      <c r="O198" s="47" t="n"/>
      <c r="P198" s="47" t="n"/>
      <c r="Q198" s="47" t="n"/>
      <c r="R198" s="47" t="n"/>
      <c r="S198" s="47" t="n"/>
      <c r="T198" s="47" t="n"/>
      <c r="U198" s="47" t="n"/>
      <c r="V198" s="47" t="n"/>
      <c r="W198" s="47" t="n"/>
      <c r="X198" s="47" t="n"/>
      <c r="Y198" s="47" t="n"/>
      <c r="Z198" s="47" t="n"/>
    </row>
    <row r="199" ht="15.75" customHeight="1" s="185">
      <c r="A199" s="52">
        <f>row()-3</f>
        <v/>
      </c>
      <c r="B199" s="46" t="inlineStr">
        <is>
          <t>就活早期化が進む理由とは？意味や背景、対策まで徹底解説</t>
        </is>
      </c>
      <c r="C199" s="6" t="inlineStr">
        <is>
          <t>https://dym.asia/media/recruiting/early-job-hunting/#index-55toc</t>
        </is>
      </c>
      <c r="D199" s="47" t="inlineStr">
        <is>
          <t>就活の早期化 なぜ</t>
        </is>
      </c>
      <c r="E199" s="35" t="n">
        <v>1</v>
      </c>
      <c r="F199" s="36" t="n">
        <v>2.351851851851852</v>
      </c>
      <c r="G199" s="47" t="inlineStr">
        <is>
          <t>なし</t>
        </is>
      </c>
      <c r="H199" s="47" t="inlineStr">
        <is>
          <t>可</t>
        </is>
      </c>
      <c r="I199" s="10" t="inlineStr">
        <is>
          <t>Q. 就活の早期化に対応するため、いつまでに「就活の軸」を決めておくべきですか？
A. 大まかな「就活の軸」は、大学3年生の夏のインターンシップが始まる前までに決めておくのが理想です。軸があると、どのインターンに参加すべきかや早期選考の機会を逃さず、効率よく活動できます。
Q. インターンシップが実質的な選考の場になる中で、どのような姿勢で臨むべきですか？
A. 単なる職業体験としてではなく、入社意欲や成長の可能性を具体的に示す場と考えましょう。企業文化への適応力や学ぶ姿勢、チームでの協力など、入社後に活躍できる人材であることを実際の業務やグループワークで示すことが大切です。
Q. 早期内定を獲得した場合でも、すぐに承諾せず他の企業と比較検討する時間はありますか？
A. 早すぐに承諾する必要はありませんが、企業側は早期に人材を確保したいため、承諾期限が短く設定されていることが多いです。他の選考状況を正直に伝えたり、「就活の軸」を基に迅速に判断したりすることが重要です。　　　　　　　　　　　　　　　　　　　　　　　　　　　　　　　　　　　　　　　　　
株式会社DYMでは、求職者様に対して様々な就職支援サービスを提供しております。
お問い合わせはこちら↓
https://dym.asia/media/recruiting-contact/</t>
        </is>
      </c>
      <c r="J199" s="47" t="n"/>
      <c r="K199" s="47" t="inlineStr">
        <is>
          <t>未確認</t>
        </is>
      </c>
      <c r="L199" s="47" t="inlineStr">
        <is>
          <t>未確認</t>
        </is>
      </c>
      <c r="M199" s="47" t="n"/>
      <c r="N199" s="47" t="n"/>
      <c r="O199" s="47" t="n"/>
      <c r="P199" s="47" t="n"/>
      <c r="Q199" s="47" t="n"/>
      <c r="R199" s="47" t="n"/>
      <c r="S199" s="47" t="n"/>
      <c r="T199" s="47" t="n"/>
      <c r="U199" s="47" t="n"/>
      <c r="V199" s="47" t="n"/>
      <c r="W199" s="47" t="n"/>
      <c r="X199" s="47" t="n"/>
      <c r="Y199" s="47" t="n"/>
      <c r="Z199" s="47" t="n"/>
    </row>
    <row r="200" ht="15.75" customHeight="1" s="185">
      <c r="A200" s="52">
        <f>row()-3</f>
        <v/>
      </c>
      <c r="B200" s="46" t="inlineStr">
        <is>
          <t>早期選考とは？業種別の特徴や成功に導く対策を解説</t>
        </is>
      </c>
      <c r="C200" s="6" t="inlineStr">
        <is>
          <t>https://dym.asia/media/recruiting/early-selection/#index-7</t>
        </is>
      </c>
      <c r="D200" s="47" t="inlineStr">
        <is>
          <t>早期選考とは</t>
        </is>
      </c>
      <c r="E200" s="35" t="n">
        <v>1</v>
      </c>
      <c r="F200" s="36" t="n">
        <v>6.73331463825014</v>
      </c>
      <c r="G200" s="47" t="inlineStr">
        <is>
          <t>なし</t>
        </is>
      </c>
      <c r="H200" s="47" t="inlineStr">
        <is>
          <t>可</t>
        </is>
      </c>
      <c r="I200" s="10" t="inlineStr">
        <is>
          <t xml:space="preserve">Q. 早期選考に参加する上で、最も合格率を高めるための効果的な対策は何ですか？
A. 最も重要なのは自己分析を徹底することです。早期選考では準備期間が短く、企業は学生のポテンシャルだけでなく、自社との相性も重視します。自分の強みや価値観を整理し、なぜその企業で働きたいのかを明確にすることが、選考で有利に働きます。
Q. 早期選考を実施している業界にはどのような特徴がありますか？
A. 主に人材獲得競争が激しい業界、例えばコンサルティングや金融、総合商社、IT・テクノロジー、ベンチャー企業などが中心です。こうした企業は、優秀な人材を他社に先駆けて確保するために早期選考を取り入れています。
Q. 早期選考で内定を獲得した場合、その後の「オワハラ」（就活終われハラスメント）への対処法はありますか？
A. 他社の選考を辞退するよう圧力をかけられる場合は、内定承諾期限の延長を交渉したり、就職エージェントなど第三者を通じてやり取りするのが有効です。内定辞退自体は法的に問題ないため、自分のキャリアプランを冷静に伝え、丁寧に辞退の意思を示すことが大切です。　　　　　　　　　　　　　　　　　　　　　　　　　　　　　　　　　　　　　　　　　　　　　　　　　　　　　　　　　　　
株式会社DYMでは、求職者様に対して様々な就職支援サービスを提供しております。
お問い合わせはこちら↓
https://dym.asia/media/recruiting-contact/　　　　　　　　　　　　　　　　　　　　　　　　　　　　　　　　　　　　　</t>
        </is>
      </c>
      <c r="J200" s="47" t="n"/>
      <c r="K200" s="47" t="inlineStr">
        <is>
          <t>未確認</t>
        </is>
      </c>
      <c r="L200" s="47" t="inlineStr">
        <is>
          <t>未確認</t>
        </is>
      </c>
      <c r="M200" s="47" t="n"/>
      <c r="N200" s="47" t="n"/>
      <c r="O200" s="47" t="n"/>
      <c r="P200" s="47" t="n"/>
      <c r="Q200" s="47" t="n"/>
      <c r="R200" s="47" t="n"/>
      <c r="S200" s="47" t="n"/>
      <c r="T200" s="47" t="n"/>
      <c r="U200" s="47" t="n"/>
      <c r="V200" s="47" t="n"/>
      <c r="W200" s="47" t="n"/>
      <c r="X200" s="47" t="n"/>
      <c r="Y200" s="47" t="n"/>
      <c r="Z200" s="47" t="n"/>
    </row>
    <row r="201" ht="15.75" customHeight="1" s="185">
      <c r="A201" s="52">
        <f>row()-3</f>
        <v/>
      </c>
      <c r="B201" s="46" t="inlineStr">
        <is>
          <t>大学生向け就職相談サービス5選｜支援内容や就活への生かし方を徹底解説</t>
        </is>
      </c>
      <c r="C201" s="6" t="inlineStr">
        <is>
          <t>https://dym.asia/media/recruiting/employment-consultation-university-student/#index</t>
        </is>
      </c>
      <c r="D201" s="47" t="inlineStr">
        <is>
          <t>就職相談 大学生</t>
        </is>
      </c>
      <c r="E201" s="35" t="n">
        <v>1</v>
      </c>
      <c r="F201" s="36" t="n">
        <v>1.930555555555556</v>
      </c>
      <c r="G201" s="47" t="inlineStr">
        <is>
          <t>なし</t>
        </is>
      </c>
      <c r="H201" s="47" t="inlineStr">
        <is>
          <t>可</t>
        </is>
      </c>
      <c r="I201" s="10" t="inlineStr">
        <is>
          <t>Q. 大学のキャリアセンター（就職課）を利用する最大のメリットと、どんなサポートが受けられますか？
A. 最大のメリットは、自分の学歴や専攻に合った具体的なアドバイスを無料で受けられることです。キャリアカウンセラーによる相談、エントリーシートや面接の対策、OB・OG訪問の紹介、大学独自の求人情報の提供など、さまざまなサポートが利用できます。
Q. 就職相談を最大限に活用し、成功率を高めるために事前にすべきことは何ですか？
A. 相談を有意義にするためには、話したい内容を整理しておくことが大切です。「何に悩んでいるのか」「何を知りたいのか」をメモにまとめておくとスムーズです。また、相談内容によって、大学のキャリアセンターか就活エージェントかなど、相談相手を選ぶのも有効です。
Q. 「自分にどんな仕事が向いているかわからない」場合、就職相談ではどのような支援を受けられますか？
A. の場合は、自己分析や適性検査を通じてサポートしてもらえます。キャリアアドバイザーが過去の経験や価値観を整理する手助けをしたり、適性検査の結果から自分でも気づいていない強みや向いている職種・業界を示してくれます。　　　　　　　　　　　　　　　　　　　　　　　　　　　　　　　　　　　　　　　　　　
株式会社DYMでは、求職者様に対して様々な就職支援サービスを提供しております。
お問い合わせはこちら↓
https://dym.asia/media/recruiting-contact/</t>
        </is>
      </c>
      <c r="J201" s="47" t="n"/>
      <c r="K201" s="47" t="inlineStr">
        <is>
          <t>未確認</t>
        </is>
      </c>
      <c r="L201" s="47" t="inlineStr">
        <is>
          <t>未確認</t>
        </is>
      </c>
      <c r="M201" s="47" t="n"/>
      <c r="N201" s="47" t="n"/>
      <c r="O201" s="47" t="n"/>
      <c r="P201" s="47" t="n"/>
      <c r="Q201" s="47" t="n"/>
      <c r="R201" s="47" t="n"/>
      <c r="S201" s="47" t="n"/>
      <c r="T201" s="47" t="n"/>
      <c r="U201" s="47" t="n"/>
      <c r="V201" s="47" t="n"/>
      <c r="W201" s="47" t="n"/>
      <c r="X201" s="47" t="n"/>
      <c r="Y201" s="47" t="n"/>
      <c r="Z201" s="47" t="n"/>
    </row>
    <row r="202" ht="15.75" customHeight="1" s="185">
      <c r="A202" s="52">
        <f>row()-3</f>
        <v/>
      </c>
      <c r="B202" s="46" t="inlineStr">
        <is>
          <t>ENFP（広報運動家）の性格・相性・恋愛傾向を徹底解説！</t>
        </is>
      </c>
      <c r="C202" s="6" t="inlineStr">
        <is>
          <t>https://dym.asia/media/recruiting/enfp/#index-ENFP-13ENFP-13toc</t>
        </is>
      </c>
      <c r="D202" s="47" t="inlineStr">
        <is>
          <t>enfp 性格</t>
        </is>
      </c>
      <c r="E202" s="35" t="n">
        <v>1</v>
      </c>
      <c r="F202" s="36" t="n">
        <v>5.164995241929581</v>
      </c>
      <c r="G202" s="47" t="inlineStr">
        <is>
          <t>なし</t>
        </is>
      </c>
      <c r="H202" s="47" t="inlineStr">
        <is>
          <t>可</t>
        </is>
      </c>
      <c r="I202" s="10" t="inlineStr">
        <is>
          <t>Q. ENFP（広報運動家）が仕事を選ぶ際に、特に重視すべき環境や条件は何ですか？
A. ENFPは自由な発想を活かせ、人とのつながりを感じられる環境を重視します。単調なルーティンや厳しいルールのある職場より、企画や対人支援、クリエイティブな仕事のように新しいアイデアを追求でき、情熱を注げる柔軟な環境が向いています。　　　　　　　　　　　　　　　　　　　　　　　　　　　　　　　　　　　　　　
Q. ENFPの弱点とされる「飽きっぽさ」や「計画性の欠如」を仕事で克服する方法はありますか？
A. 飽きやすさには、複数のプロジェクトを同時に進めたり、短期間で成果が出る目標を設定したりするのが効果的です。計画性の面では、タスク管理が得意な同僚とチームを組むなど、周囲の強みを借りることで補えます。
Q. ENFPの「情熱的で感情的になりやすい」という特性は、ビジネスの場でどのように活かせますか？
A. その情熱や感情の豊かさは、人を巻き込むリーダーシップや共感力を発揮する場面で役立ちます。新しいプロジェクトの推進やチームのモチベーション向上など、組織を前進させる原動力として活かせます。
株式会社DYMでは、求職者様に対して様々な就職支援サービスを提供しております。
お問い合わせはこちら↓
https://dym.asia/media/recruiting-contact/</t>
        </is>
      </c>
      <c r="J202" s="47" t="n"/>
      <c r="K202" s="47" t="inlineStr">
        <is>
          <t>未確認</t>
        </is>
      </c>
      <c r="L202" s="47" t="inlineStr">
        <is>
          <t>未確認</t>
        </is>
      </c>
      <c r="M202" s="47" t="n"/>
      <c r="N202" s="47" t="n"/>
      <c r="O202" s="47" t="n"/>
      <c r="P202" s="47" t="n"/>
      <c r="Q202" s="47" t="n"/>
      <c r="R202" s="47" t="n"/>
      <c r="S202" s="47" t="n"/>
      <c r="T202" s="47" t="n"/>
      <c r="U202" s="47" t="n"/>
      <c r="V202" s="47" t="n"/>
      <c r="W202" s="47" t="n"/>
      <c r="X202" s="47" t="n"/>
      <c r="Y202" s="47" t="n"/>
      <c r="Z202" s="47" t="n"/>
    </row>
    <row r="203" ht="15.75" customHeight="1" s="185">
      <c r="A203" s="52">
        <f>row()-3</f>
        <v/>
      </c>
      <c r="B203" s="46" t="inlineStr">
        <is>
          <t>ENFP（広報運動家）の性格・相性・恋愛傾向を徹底解説！</t>
        </is>
      </c>
      <c r="C203" s="6" t="inlineStr">
        <is>
          <t>https://dym.asia/media/recruiting/enfp/#index-ENFPENFPtoc</t>
        </is>
      </c>
      <c r="D203" s="47" t="inlineStr">
        <is>
          <t>enfp 性格</t>
        </is>
      </c>
      <c r="E203" s="35" t="n">
        <v>1</v>
      </c>
      <c r="F203" s="36" t="n">
        <v>5.164995241929581</v>
      </c>
      <c r="G203" s="47" t="inlineStr">
        <is>
          <t>なし</t>
        </is>
      </c>
      <c r="H203" s="47" t="inlineStr">
        <is>
          <t>可</t>
        </is>
      </c>
      <c r="I203" s="10" t="inlineStr">
        <is>
          <t xml:space="preserve">Q. ENFP（広報運動家）が、仕事や人間関係でストレスを感じた際に、その感情を切り替えるにはどうすれば良いですか？
A. ENFPは感情が豊かでストレスを感じやすいですが、切り替えも早いのが特徴です。怒りや不満を感じたときは、信頼できる人に話して共感してもらったり、新しい刺激や楽しい活動に意識的に取り組むことで、前向きな気持ちを取り戻せます。
Q. ENFP-A（主張型）とENFP-T（適応型）の違いが、日常生活やキャリアにどのような影響を与えますか？
A. ENFP-Aは自信があり、ストレスに強く、困難な状況でも前向きでいられます。対してENFP-Tは感情に敏感で自己批判的になりやすいですが、他者の感情を深く理解しサポートする力に長けています。キャリアでは、A型はリーダーシップを発揮しやすく、T型はチームの調整役として力を発揮しやすい傾向があります。
Q. ENFPに対して「現実的ではない」「無駄だ」というネガティブな言葉を避けるべきなのはなぜですか？
A. ENFPは自由な発想や理想を大切にする性格です。そのアイデアやビジョンを否定されると、自分の価値観や存在を否定されたと感じ、モチベーションを大きく損なうことがあります。尊重し、可能性を引き出す声かけが重要です。
株式会社DYMでは、求職者様に対して様々な就職支援サービスを提供しております。
お問い合わせはこちら↓
https://dym.asia/media/recruiting-contact/　　　　　　　　　　　　　　　　　　　　　　　　　　　　　　　　　　　　　　　　　　　　　　　　　　　　　　　　　　　　　　　</t>
        </is>
      </c>
      <c r="J203" s="47" t="n"/>
      <c r="K203" s="47" t="inlineStr">
        <is>
          <t>未確認</t>
        </is>
      </c>
      <c r="L203" s="47" t="inlineStr">
        <is>
          <t>未確認</t>
        </is>
      </c>
      <c r="M203" s="47" t="n"/>
      <c r="N203" s="47" t="n"/>
      <c r="O203" s="47" t="n"/>
      <c r="P203" s="47" t="n"/>
      <c r="Q203" s="47" t="n"/>
      <c r="R203" s="47" t="n"/>
      <c r="S203" s="47" t="n"/>
      <c r="T203" s="47" t="n"/>
      <c r="U203" s="47" t="n"/>
      <c r="V203" s="47" t="n"/>
      <c r="W203" s="47" t="n"/>
      <c r="X203" s="47" t="n"/>
      <c r="Y203" s="47" t="n"/>
      <c r="Z203" s="47" t="n"/>
    </row>
    <row r="204" ht="15.75" customHeight="1" s="185">
      <c r="A204" s="52">
        <f>row()-3</f>
        <v/>
      </c>
      <c r="B204" s="46" t="inlineStr">
        <is>
          <t>ENTJ（指揮官）の性格と恋愛傾向｜16Personalities診断でわかる相性</t>
        </is>
      </c>
      <c r="C204" s="6" t="inlineStr">
        <is>
          <t>https://dym.asia/media/recruiting/entj/#index-ENTJ-9ENTJ-9toc</t>
        </is>
      </c>
      <c r="D204" s="47" t="inlineStr">
        <is>
          <t>entj 恋愛 男</t>
        </is>
      </c>
      <c r="E204" s="35" t="n">
        <v>1</v>
      </c>
      <c r="F204" s="36" t="n">
        <v>1.551601423487544</v>
      </c>
      <c r="G204" s="47" t="inlineStr">
        <is>
          <t>なし</t>
        </is>
      </c>
      <c r="H204" s="47" t="inlineStr">
        <is>
          <t>可</t>
        </is>
      </c>
      <c r="I204" s="10" t="inlineStr">
        <is>
          <t>Q. ENTJ（指揮官）が持つ強いリーダーシップや効率重視の姿勢が、周囲の人間関係で軋轢を生むのを防ぐにはどうすれば良いですか？
A. 軋轢を避けるには、他者の才能を認めて活かすことが大切です。効率を追求するあまり無神経に指摘するのではなく、相手の能力や感情に配慮し、改善のための具体的な提案として伝えることで、チームの信頼を得ながら円滑な人間関係を築けます。
Q. ENTJ-A（自己主張型）とENTJ-T（慎重型）は、リーダーとしてどのように振る舞いが異なりますか？
A. ENTJ-Aは自分の決断に自信を持ち、ストレスにも強く、冷静で安定したリーダーシップを発揮します。対してENTJ-Tは周囲の意見に敏感で改善意識が高く、より慎重に、完璧を目指すリーダーシップを取る傾向があります。
Q. ENTJ（指揮官）が人間関係や恋愛において、特に相性が良いとされるタイプにはどのような特徴がありますか？
A. ENTJと相性が良いのは、戦略的思考や目標への情熱を理解して尊重できる人です。論理的な思考力や知的好奇心を持つタイプ、ENTJの感情面をサポートしてバランスを取れる人とは良好な関係を築きやすい傾向があります。
お客様に合う仕事を探している方は、ぜひお問い合わせください。お問い合わせはこちら↓　　　　　　　　　　　　　https://dym.asia/media/recruiting-contact/</t>
        </is>
      </c>
      <c r="J204" s="47" t="n"/>
      <c r="K204" s="47" t="inlineStr">
        <is>
          <t>未確認</t>
        </is>
      </c>
      <c r="L204" s="47" t="inlineStr">
        <is>
          <t>未確認</t>
        </is>
      </c>
      <c r="M204" s="47" t="n"/>
      <c r="N204" s="47" t="n"/>
      <c r="O204" s="47" t="n"/>
      <c r="P204" s="47" t="n"/>
      <c r="Q204" s="47" t="n"/>
      <c r="R204" s="47" t="n"/>
      <c r="S204" s="47" t="n"/>
      <c r="T204" s="47" t="n"/>
      <c r="U204" s="47" t="n"/>
      <c r="V204" s="47" t="n"/>
      <c r="W204" s="47" t="n"/>
      <c r="X204" s="47" t="n"/>
      <c r="Y204" s="47" t="n"/>
      <c r="Z204" s="47" t="n"/>
    </row>
    <row r="205" ht="15.75" customHeight="1" s="185">
      <c r="A205" s="52">
        <f>row()-3</f>
        <v/>
      </c>
      <c r="B205" s="46" t="inlineStr">
        <is>
          <t>ENTP（討論者）の性格特徴！相性・恋愛・仕事は？</t>
        </is>
      </c>
      <c r="C205" s="6" t="inlineStr">
        <is>
          <t>https://dym.asia/media/recruiting/entp/#index-ENTP-3ENTP-3toc</t>
        </is>
      </c>
      <c r="D205" s="47" t="inlineStr">
        <is>
          <t>entp 性格 男</t>
        </is>
      </c>
      <c r="E205" s="35" t="n">
        <v>1</v>
      </c>
      <c r="F205" s="36" t="n">
        <v>6.792717086834734</v>
      </c>
      <c r="G205" s="47" t="inlineStr">
        <is>
          <t>なし</t>
        </is>
      </c>
      <c r="H205" s="47" t="inlineStr">
        <is>
          <t>可</t>
        </is>
      </c>
      <c r="I205" s="10" t="inlineStr">
        <is>
          <t>Q. ENTP（討論者）の「議論好き」な性格は、なぜ周囲から「理屈っぽい」や「自己主張が強い」と誤解されやすいのでしょうか？
A. EENTPは相手を否定したいわけではなく、論点を深めて新しいアイデアや視点を見つけることを目的に議論します。しかし、自ら進んで反対意見を述べたり、思ったことをストレートに伝えたりするスタイルが、感情より理屈を優先しているように見えるため、誤解されやすいのです。
Q. ENTPが、仕事や日常生活で「心を開く」のはどのような相手に対してですか？
A. ENTPは知的な刺激を与え合える相手や、自分の考えを自由に話せる関係を好みます。感情よりも知的な共鳴を重視し、柔軟で冒険心のある相手には自然と心を開きやすくなります。
Q. ENTP-T（慎重型）とENTP-A（自己主張型）では、議論や問題解決へのアプローチにどのような違いがありますか？
A. ENTP-Aは自信があり失敗を恐れず、議論でも積極的に主導権を握る傾向があります。一方、ENTP-Tは周囲の反応に敏感で、議論から得た気づきや不安を次に活かす慎重なアプローチを取ることが多いです。　　　　　　　　　　　　　　　　　　　
株式会社DYMでは、求職者様に対して様々な就職支援サービスを提供しております。
お問い合わせはこちら↓
https://dym.asia/media/recruiting-contact/</t>
        </is>
      </c>
      <c r="J205" s="47" t="n"/>
      <c r="K205" s="47" t="inlineStr">
        <is>
          <t>未確認</t>
        </is>
      </c>
      <c r="L205" s="47" t="inlineStr">
        <is>
          <t>未確認</t>
        </is>
      </c>
      <c r="M205" s="47" t="n"/>
      <c r="N205" s="47" t="n"/>
      <c r="O205" s="47" t="n"/>
      <c r="P205" s="47" t="n"/>
      <c r="Q205" s="47" t="n"/>
      <c r="R205" s="47" t="n"/>
      <c r="S205" s="47" t="n"/>
      <c r="T205" s="47" t="n"/>
      <c r="U205" s="47" t="n"/>
      <c r="V205" s="47" t="n"/>
      <c r="W205" s="47" t="n"/>
      <c r="X205" s="47" t="n"/>
      <c r="Y205" s="47" t="n"/>
      <c r="Z205" s="47" t="n"/>
    </row>
    <row r="206" ht="15.75" customHeight="1" s="185">
      <c r="A206" s="52">
        <f>row()-3</f>
        <v/>
      </c>
      <c r="B206" s="46" t="inlineStr">
        <is>
          <t>ESとは？その役割と内定を引き寄せるための書き方講座</t>
        </is>
      </c>
      <c r="C206" s="6" t="inlineStr">
        <is>
          <t>https://dym.asia/media/recruiting/es/</t>
        </is>
      </c>
      <c r="D206" s="47" t="inlineStr">
        <is>
          <t>es</t>
        </is>
      </c>
      <c r="E206" s="35" t="n">
        <v>1</v>
      </c>
      <c r="F206" s="36" t="n">
        <v>4.315789473684211</v>
      </c>
      <c r="G206" s="47" t="inlineStr">
        <is>
          <t>なし</t>
        </is>
      </c>
      <c r="H206" s="47" t="inlineStr">
        <is>
          <t>可</t>
        </is>
      </c>
      <c r="I206" s="10" t="inlineStr">
        <is>
          <t>Q. エントリーシート（ES）と履歴書は、就職活動においてどのような役割の違いがありますか？
A. 履歴書は氏名や学歴などの基本情報を記載する公的な書類で、入社後の人事データとしても使われます。対してエントリーシートは、応募者の人柄や熱意、価値観を知るための書類で、志望動機や自己PRなど、あなたを企業に印象づける内容を中心に書きます。ESは選考の最初の関門であり、ここでの評価が次のステップに進むかどうかを左右します。
Q. 採用担当者に響く「学生時代に力を入れたこと（ガクチカ）」の効果的な伝え方は何ですか？
A. 活動内容をただ並べるのではなく、まず何を達成したのか結論を伝え、その理由やプロセスを具体的に説明する「結論ファースト」の方法が有効です。経験の中で直面した課題や工夫したこと、成果を数字で示すと、あなたの能力や入社後の活躍イメージをより分かりやすく伝えられます。
Q. ESで企業に「この学生は入社後に活躍しそうだ」と判断してもらうために、特に意識すべきポイントは何ですか？
A. 企業が求める能力や姿勢と自分の経験を結びつけて表現することがポイントです。たとえば、サークルでのリーダー経験を「組織をマネジメントし、目標達成に導いた経験」と言い換えるなど、学生時代の活動をビジネスに置き換えて伝えます。また、なぜその企業で働きたいのかを具体的に述べることで、志望度やモチベーションの高さをしっかりアピールできます。
株式会社DYMでは、求職者様に対して様々な就職支援サービスを提供しております。
お問い合わせはこちら↓
https://dym.asia/media/recruiting-contact/</t>
        </is>
      </c>
      <c r="J206" s="47" t="n"/>
      <c r="K206" s="47" t="inlineStr">
        <is>
          <t>未確認</t>
        </is>
      </c>
      <c r="L206" s="47" t="inlineStr">
        <is>
          <t>未確認</t>
        </is>
      </c>
      <c r="M206" s="47" t="n"/>
      <c r="N206" s="47" t="n"/>
      <c r="O206" s="47" t="n"/>
      <c r="P206" s="47" t="n"/>
      <c r="Q206" s="47" t="n"/>
      <c r="R206" s="47" t="n"/>
      <c r="S206" s="47" t="n"/>
      <c r="T206" s="47" t="n"/>
      <c r="U206" s="47" t="n"/>
      <c r="V206" s="47" t="n"/>
      <c r="W206" s="47" t="n"/>
      <c r="X206" s="47" t="n"/>
      <c r="Y206" s="47" t="n"/>
      <c r="Z206" s="47" t="n"/>
    </row>
    <row r="207" ht="15.75" customHeight="1" s="185">
      <c r="A207" s="52">
        <f>row()-3</f>
        <v/>
      </c>
      <c r="B207" s="46" t="inlineStr">
        <is>
          <t>ESFJ（領事官）の性格診断、相性、仕事を紹介</t>
        </is>
      </c>
      <c r="C207" s="6" t="inlineStr">
        <is>
          <t>https://dym.asia/media/recruiting/esfj/#index-ESFJ-4ESFJ-4toc</t>
        </is>
      </c>
      <c r="D207" s="47" t="inlineStr">
        <is>
          <t>16タイプ 領事</t>
        </is>
      </c>
      <c r="E207" s="35" t="n">
        <v>1</v>
      </c>
      <c r="F207" s="36" t="n">
        <v>3.136094674556213</v>
      </c>
      <c r="G207" s="47" t="inlineStr">
        <is>
          <t>なし</t>
        </is>
      </c>
      <c r="H207" s="47" t="inlineStr">
        <is>
          <t>可</t>
        </is>
      </c>
      <c r="I207" s="10" t="inlineStr">
        <is>
          <t>Q. ESFJ（領事官）の最大の長所である「高い協調性と社交性」を、仕事で最大限に活かすにはどうすれば良いですか？
A. ESFJは、人との関わりを大切にし、場の雰囲気を読みながら調和を作るのが得意です。この強みは、チームのムードを高めたり、周囲をサポートする役割で特に活かせます。医療や教育、営業など人と協力する仕事では、周囲への気配りを通して信頼を得ることで、自分の能力を最大限に発揮できます。
Q. ESFJが抱えがちな「過度の他者依存」や「感情の起伏の激しさ」といった短所を改善するにはどうしたら良いですか？
A. 他者の評価に左右されすぎず、自分の価値観に基づいて行動することが大切です。感情の波を落ち着けるためには、一人で冷静に振り返る時間を持ち、自分の感情を客観的に見つめる練習が有効です。こうすることで、自分の判断で行動できる力がつきます。
Q. ESFJ-A（自己主張型）とESFJ-T（慎重型）は、ストレスへの対応やチーム内での役割にどのような違いがありますか？
A. ESFJ-Aは自己肯定感が高く、ストレスにも冷静に対応しやすいため、チームでリーダーシップを発揮することが多いです。一方、ESFJ-Tは他者の気持ちに敏感でストレスを感じやすいですが、その共感力を活かして、献身的にサポートする役割に優れています。両者とも、それぞれの特性を理解すれば、チームの中で大きな力を発揮できます。
株式会社DYMでは、求職者様に対して様々な就職支援サービスを提供しております。
お問い合わせはこちら↓
https://dym.asia/media/recruiting-contact/</t>
        </is>
      </c>
      <c r="J207" s="47" t="n"/>
      <c r="K207" s="47" t="inlineStr">
        <is>
          <t>未確認</t>
        </is>
      </c>
      <c r="L207" s="47" t="inlineStr">
        <is>
          <t>未確認</t>
        </is>
      </c>
      <c r="M207" s="47" t="n"/>
      <c r="N207" s="47" t="n"/>
      <c r="O207" s="47" t="n"/>
      <c r="P207" s="47" t="n"/>
      <c r="Q207" s="47" t="n"/>
      <c r="R207" s="47" t="n"/>
      <c r="S207" s="47" t="n"/>
      <c r="T207" s="47" t="n"/>
      <c r="U207" s="47" t="n"/>
      <c r="V207" s="47" t="n"/>
      <c r="W207" s="47" t="n"/>
      <c r="X207" s="47" t="n"/>
      <c r="Y207" s="47" t="n"/>
      <c r="Z207" s="47" t="n"/>
    </row>
    <row r="208" ht="15.75" customHeight="1" s="185">
      <c r="A208" s="52">
        <f>row()-3</f>
        <v/>
      </c>
      <c r="B208" s="46" t="inlineStr">
        <is>
          <t>ESFJ（領事官）の性格診断、相性、仕事を紹介</t>
        </is>
      </c>
      <c r="C208" s="6" t="inlineStr">
        <is>
          <t>https://dym.asia/media/recruiting/esfj/#index-ESFJ-6ESFJ-6toc</t>
        </is>
      </c>
      <c r="D208" s="47" t="inlineStr">
        <is>
          <t>e s f j 性格</t>
        </is>
      </c>
      <c r="E208" s="35" t="n">
        <v>1</v>
      </c>
      <c r="F208" s="36" t="n">
        <v>5.607142857142857</v>
      </c>
      <c r="G208" s="47" t="inlineStr">
        <is>
          <t>なし</t>
        </is>
      </c>
      <c r="H208" s="47" t="inlineStr">
        <is>
          <t>可</t>
        </is>
      </c>
      <c r="I208" s="10" t="inlineStr">
        <is>
          <t>Q. ESFJ（領事官）は、恋愛においてどのような関係を求め、どのような行動をとる傾向がありますか？
A. ESFJは社交的で感情豊かなので、思いやりと献身を大切にした長期的で安定した関係を望みます。相手のニーズに応えることに喜びを感じ、記念日やサプライズを大切にしながら愛情を積極的に表現します。また、結婚や家庭を視野に入れ、パートナーに深く尽くす傾向があります。
Q. ESFJ（領事官）と相性の良いタイプは、どのような性格的特徴を持っていますか？
A. ESFJが大切にする調和や安定、感情的なつながりを理解できるタイプと相性が良い傾向があります。お互いに支え合い、現実的な解決策を見つけられるタイプ、特に同じ外交官タイプや管理者タイプの一部（ISFPやISTJなど）は、ESFJの社交性や計画性を尊重しつつ、安心感を与えてくれるので特に良い相性といえます。
Q. ESFJ（領事官）は、結婚や長期的なコミットメントに対してどのような特徴や価値観を持っていますか？
A. ESFJは家庭やコミュニティの調和を重視するため、結婚生活では責任感が強く、献身的で頼れるパートナーになります。伝統やルールを大切にし、家族行事や人間関係にも気を配ります。計画性があり、生活を整えて安定した家庭環境を築くことを重視する傾向があります。
株式会社DYMでは、求職者様に対して様々な就職支援サービスを提供しております。
お問い合わせはこちら↓
https://dym.asia/media/recruiting-contact/</t>
        </is>
      </c>
      <c r="J208" s="47" t="n"/>
      <c r="K208" s="47" t="inlineStr">
        <is>
          <t>未確認</t>
        </is>
      </c>
      <c r="L208" s="47" t="inlineStr">
        <is>
          <t>未確認</t>
        </is>
      </c>
      <c r="M208" s="47" t="n"/>
      <c r="N208" s="47" t="n"/>
      <c r="O208" s="47" t="n"/>
      <c r="P208" s="47" t="n"/>
      <c r="Q208" s="47" t="n"/>
      <c r="R208" s="47" t="n"/>
      <c r="S208" s="47" t="n"/>
      <c r="T208" s="47" t="n"/>
      <c r="U208" s="47" t="n"/>
      <c r="V208" s="47" t="n"/>
      <c r="W208" s="47" t="n"/>
      <c r="X208" s="47" t="n"/>
      <c r="Y208" s="47" t="n"/>
      <c r="Z208" s="47" t="n"/>
    </row>
    <row r="209" ht="15.75" customHeight="1" s="185">
      <c r="A209" s="52">
        <f>row()-3</f>
        <v/>
      </c>
      <c r="B209" s="46" t="inlineStr">
        <is>
          <t>ESTJ（幹部）の性格診断｜相性、特徴、恋愛傾向を解説</t>
        </is>
      </c>
      <c r="C209" s="6" t="inlineStr">
        <is>
          <t>https://dym.asia/media/recruiting/estj/#index-ESTJ-8ESTJ-8toc</t>
        </is>
      </c>
      <c r="D209" s="47" t="inlineStr">
        <is>
          <t>estj特徴</t>
        </is>
      </c>
      <c r="E209" s="35" t="n">
        <v>1</v>
      </c>
      <c r="F209" s="36" t="n">
        <v>2.33955223880597</v>
      </c>
      <c r="G209" s="47" t="inlineStr">
        <is>
          <t>なし</t>
        </is>
      </c>
      <c r="H209" s="47" t="inlineStr">
        <is>
          <t>可</t>
        </is>
      </c>
      <c r="I209" s="10" t="inlineStr">
        <is>
          <t>Q. ESTJ（幹部）と「相性が良い」とされるタイプ（INFJ, ESFJ, ISFJ）とは、どのような点で価値観が一致し、安定した関係を築けるのですか？
A. これらのタイプは、ESTJが重視する計画性や秩序を理解し尊重してくれる傾向があります。特にESFJやISFJは、現実的で判断力を重んじる性格で、誠実さや責任感、安定した生活を大切にする点でESTJと共通しています。また、感情型（F）のタイプは、ESTJにやや欠けがちな感情面での配慮やサポートを補ってくれるため、バランスの取れた関係を築きやすいです。
Q. ESTJ（幹部）が「相性が悪い」とされるタイプ（INFP, ISTJ, ISTP）とは、具体的にどのような価値観の違いや衝突ポイントがありますか？
A. ESTJは論理と計画を重視しますが、これらのタイプとは性格の特性が異なります。INFPは感情や柔軟性を大切にするため、ESTJの厳格さや論理的思考を窮屈に感じやすく、衝突が起きやすいです。ISTJは同じく現実的で論理的ですが、内向的な性格のため、ESTJの積極的なリーダーシップを負担に感じることがあります。ISTPは自由や即興性を好むため、ESTJの計画性や規律と意見がぶつかりやすくなります。
Q. ESTJ（幹部）が、相性の悪いタイプとの人間関係を円滑にするために意識すべきことは何ですか？
A.論理や効率を優先しがちなESTJは、相手の柔軟性や感情に配慮することが大切です。相手の価値観や気持ちを理解しようと努め、一方的にルールを押し付けないことがポイントです。さらに、物言いを柔らかくし、意見を尊重する姿勢を見せることで摩擦を減らし、関係をスムーズにすることができます。
株式会社DYMでは、求職者様に対して様々な就職支援サービスを提供しております。
お問い合わせはこちら↓
https://dym.asia/media/recruiting-contact/</t>
        </is>
      </c>
      <c r="J209" s="47" t="n"/>
      <c r="K209" s="47" t="inlineStr">
        <is>
          <t>未確認</t>
        </is>
      </c>
      <c r="L209" s="47" t="inlineStr">
        <is>
          <t>未確認</t>
        </is>
      </c>
      <c r="M209" s="47" t="n"/>
      <c r="N209" s="47" t="n"/>
      <c r="O209" s="47" t="n"/>
      <c r="P209" s="47" t="n"/>
      <c r="Q209" s="47" t="n"/>
      <c r="R209" s="47" t="n"/>
      <c r="S209" s="47" t="n"/>
      <c r="T209" s="47" t="n"/>
      <c r="U209" s="47" t="n"/>
      <c r="V209" s="47" t="n"/>
      <c r="W209" s="47" t="n"/>
      <c r="X209" s="47" t="n"/>
      <c r="Y209" s="47" t="n"/>
      <c r="Z209" s="47" t="n"/>
    </row>
    <row r="210" ht="15.75" customHeight="1" s="185">
      <c r="A210" s="52">
        <f>row()-3</f>
        <v/>
      </c>
      <c r="B210" s="46" t="inlineStr">
        <is>
          <t>最終面接に落ちる理由と対策！転職活動でよくある不合格の理由や確率</t>
        </is>
      </c>
      <c r="C210" s="6" t="inlineStr">
        <is>
          <t>https://dym.asia/media/recruiting/final-interview-rejection/#index-2</t>
        </is>
      </c>
      <c r="D210" s="47" t="inlineStr">
        <is>
          <t>dym 面接 落ちた</t>
        </is>
      </c>
      <c r="E210" s="35" t="n">
        <v>1</v>
      </c>
      <c r="F210" s="36" t="n">
        <v>3.4</v>
      </c>
      <c r="G210" s="47" t="inlineStr">
        <is>
          <t>なし</t>
        </is>
      </c>
      <c r="H210" s="47" t="inlineStr">
        <is>
          <t>可</t>
        </is>
      </c>
      <c r="I210" s="10" t="inlineStr">
        <is>
          <t>Q. 最終面接で「落ちる人」に共通する最大の理由は、単なるスキル不足ではなく、何ですか？
A. 最終面接で落ちる人に多いのは、企業への志望度の低さや、企業の価値観や方向性とのズレです。一次・二次面接を通過している時点でスキルは認められていますが、最終面接では役員や上層部が長期的に定着できるか、企業理念に合う人材かを見ています。そのため、企業研究が不十分で入社意欲が伝わらなかったり、回答に一貫性がなかったりすると不合格になりやすくなります。
Q. 最終面接で「自己アピールが弱い」とは、具体的にどのような状態を指し、どのように改善すれば良いですか？
A. 最単に経歴を並べるだけで、入社後に自分が企業にどんな成果をもたらせるかを伝えられていない状態を指します。改善するには、過去の成功体験を具体的に話し、それを入社後の貢献につなげて企業の事業内容と結びつけて説明することが大切です。こうすることで、自分が即戦力として活躍できるイメージを面接官に持ってもらえます。
Q. これまでの面接と最終面接の内容に「一貫性がない回答」をしてしまうと、なぜ不合格になるのでしょうか？
A. 一貫性のない回答は、準備不足や自己分析の甘さ、信頼性の欠如と受け取られます。最終面接では、役員陣がその人の価値観や適性を最終確認するため、一次面接で話した内容とズレがあると採用リスクが高いと判断されやすいです。事前に過去の選考で話した内容を振り返り、回答の軸をぶらさず準備しておくことが重要です。　　　　　　　　　　　　　　　　　　　　　　　　　　　　　　　　　　　　　　　
株式会社DYMでは、求職者様に対して様々な就職支援サービスを提供しております。
お問い合わせはこちら↓
https://dym.asia/media/recruiting-contact/</t>
        </is>
      </c>
      <c r="J210" s="47" t="n"/>
      <c r="K210" s="47" t="inlineStr">
        <is>
          <t>未確認</t>
        </is>
      </c>
      <c r="L210" s="47" t="inlineStr">
        <is>
          <t>未確認</t>
        </is>
      </c>
      <c r="M210" s="47" t="n"/>
      <c r="N210" s="47" t="n"/>
      <c r="O210" s="47" t="n"/>
      <c r="P210" s="47" t="n"/>
      <c r="Q210" s="47" t="n"/>
      <c r="R210" s="47" t="n"/>
      <c r="S210" s="47" t="n"/>
      <c r="T210" s="47" t="n"/>
      <c r="U210" s="47" t="n"/>
      <c r="V210" s="47" t="n"/>
      <c r="W210" s="47" t="n"/>
      <c r="X210" s="47" t="n"/>
      <c r="Y210" s="47" t="n"/>
      <c r="Z210" s="47" t="n"/>
    </row>
    <row r="211" ht="15.75" customHeight="1" s="185">
      <c r="A211" s="52">
        <f>row()-3</f>
        <v/>
      </c>
      <c r="B211" s="46" t="inlineStr">
        <is>
          <t>第二新卒とは？いつまでが第二新卒に該当するのかを解説</t>
        </is>
      </c>
      <c r="C211" s="6" t="inlineStr">
        <is>
          <t>https://dym.asia/media/recruiting/former-graduate-when/</t>
        </is>
      </c>
      <c r="D211" s="47" t="inlineStr">
        <is>
          <t>10月入社 第二新卒</t>
        </is>
      </c>
      <c r="E211" s="35" t="n">
        <v>1</v>
      </c>
      <c r="F211" s="36" t="n">
        <v>9.959183673469388</v>
      </c>
      <c r="G211" s="47" t="inlineStr">
        <is>
          <t>なし</t>
        </is>
      </c>
      <c r="H211" s="47" t="inlineStr">
        <is>
          <t>可</t>
        </is>
      </c>
      <c r="I211" s="10" t="inlineStr">
        <is>
          <t>Q. 「既卒」の就職活動において、新卒と比べて不利になるのはどのような点ですか？
A. 既卒の場合、新卒一括採用の枠から外れる点が大きな不利です。新卒向けの大規模な説明会や選考ルートに参加できないため、既卒者向けや中途採用枠で応募することが主になります。そのため、ポテンシャルだけでなく、社会人としての基礎力や就職への強い意欲を証明する必要があります。加えて、卒業後の空白期間の過ごし方についても、納得できる説明が求められます。
Q. 既卒が就職活動を成功させるために、最も注力すべき対策は何ですか？
A. 既功の鍵は、卒業後の空白期間をポジティブに説明できるように準備することと、入社後のビジョンを明確に示すことです。空白期間に行った資格取得やボランティア、専門分野の研究などを具体的に説明し、それがどのように仕事で活かせるかを論理的に結びつけましょう。また、企業研究を徹底して、なぜその企業で働きたいのかを明確に伝えることも大切です。
Q. 既卒の就職活動において、「第二新卒」として扱われるために目安となる卒業後の期間はどれくらいですか？
A. 法的な定義はありませんが、一般的には学校卒業後、約3年以内が目安とされています。この期間内であれば、社会人経験の有無にかかわらず、ポテンシャル採用として積極的に受け入れられる傾向があります。それを過ぎると中途採用枠での応募が中心となり、実務経験がより重視されるようになります。　　　　　　　　　　　　　　　　　　　　　　　　　　　　　　　　　　　　　　　　　　　　　　　　
株式会社DYMでは、求職者様に対して様々な就職支援サービスを提供しております。
お問い合わせはこちら↓
https://dym.asia/media/recruiting-contact/</t>
        </is>
      </c>
      <c r="J211" s="47" t="n"/>
      <c r="K211" s="47" t="inlineStr">
        <is>
          <t>未確認</t>
        </is>
      </c>
      <c r="L211" s="47" t="inlineStr">
        <is>
          <t>未確認</t>
        </is>
      </c>
      <c r="M211" s="47" t="n"/>
      <c r="N211" s="47" t="n"/>
      <c r="O211" s="47" t="n"/>
      <c r="P211" s="47" t="n"/>
      <c r="Q211" s="47" t="n"/>
      <c r="R211" s="47" t="n"/>
      <c r="S211" s="47" t="n"/>
      <c r="T211" s="47" t="n"/>
      <c r="U211" s="47" t="n"/>
      <c r="V211" s="47" t="n"/>
      <c r="W211" s="47" t="n"/>
      <c r="X211" s="47" t="n"/>
      <c r="Y211" s="47" t="n"/>
      <c r="Z211" s="47" t="n"/>
    </row>
    <row r="212" ht="15.75" customHeight="1" s="185">
      <c r="A212" s="52">
        <f>row()-3</f>
        <v/>
      </c>
      <c r="B212" s="46" t="inlineStr">
        <is>
          <t>第二新卒とは？年齢は何歳まで？定義や転職のコツ</t>
        </is>
      </c>
      <c r="C212" s="6" t="inlineStr">
        <is>
          <t>https://dym.asia/media/recruiting/former-recruitment-age/#index-2</t>
        </is>
      </c>
      <c r="D212" s="47" t="inlineStr">
        <is>
          <t>第二新卒 何歳まで</t>
        </is>
      </c>
      <c r="E212" s="35" t="n">
        <v>1</v>
      </c>
      <c r="F212" s="36" t="n">
        <v>4.252815315315315</v>
      </c>
      <c r="G212" s="47" t="inlineStr">
        <is>
          <t>なし</t>
        </is>
      </c>
      <c r="H212" s="47" t="inlineStr">
        <is>
          <t>可</t>
        </is>
      </c>
      <c r="I212" s="10" t="inlineStr">
        <is>
          <t>Q. 「既卒」の就職活動において、明確な年齢制限やタイムリミットはあるのでしょうか？
A. 法律上の明確な年齢制限はありませんが、企業が第二新卒としてポテンシャル採用を行うのは、卒業後おおよそ3年以内、25歳前後から28歳くらいまでが一般的です。この期間を過ぎると中途採用枠での応募が中心となり、実務経験や専門スキルの重要性が高まります。既卒期間が長くなるほど、空白期間やキャリア形成について詳しく質問されるため、若いうちに活動する方が有利です。
Q. 既卒期間が長くなり、30代に差し掛かる場合、就職活動で特に重視すべきことは何ですか？
A. この年代では、単なる若さでは評価されにくいため、「即戦力としてのポテンシャル」と「これまでの経験や努力の言語化」が重要です。卒業後に何を学び、どんなスキルを身につけてきたのか（資格取得や専門分野の学習、アルバイト経験など）を具体的に示し、それが応募先でどのように役立つかを明確に伝えることが求められます。
Q. 既卒の就職活動を成功させるために、年齢が不利にならないようにするための具体的な対策は何ですか？
A. 年齢を不利にしないためには、まず企業文化への順応性や成長意欲、社会人としての謙虚さを示し、「入社後に活躍する」という熱意を伝えることが大切です。さらに、卒業後の期間にどのような行動や学びがあったかを履歴書や面接で具体的に示すことで、前向きなキャリア姿勢をアピールできます。　　　　　　　　　　　　　　　　　　　　　　　　　　　　　　　　　　　　　　　　　　　　　　　　　　　　　　　　　　　　　　　　　　　　　　　　　　　　　　　　　　　　　　　　　　　　　　　　　　
株式会社DYMでは、求職者様に対して様々な就職支援サービスを提供しております。
お問い合わせはこちら↓
https://dym.asia/media/recruiting-contact/</t>
        </is>
      </c>
      <c r="J212" s="47" t="n"/>
      <c r="K212" s="47" t="inlineStr">
        <is>
          <t>未確認</t>
        </is>
      </c>
      <c r="L212" s="47" t="inlineStr">
        <is>
          <t>未確認</t>
        </is>
      </c>
      <c r="M212" s="47" t="n"/>
      <c r="N212" s="47" t="n"/>
      <c r="O212" s="47" t="n"/>
      <c r="P212" s="47" t="n"/>
      <c r="Q212" s="47" t="n"/>
      <c r="R212" s="47" t="n"/>
      <c r="S212" s="47" t="n"/>
      <c r="T212" s="47" t="n"/>
      <c r="U212" s="47" t="n"/>
      <c r="V212" s="47" t="n"/>
      <c r="W212" s="47" t="n"/>
      <c r="X212" s="47" t="n"/>
      <c r="Y212" s="47" t="n"/>
      <c r="Z212" s="47" t="n"/>
    </row>
    <row r="213" ht="15.75" customHeight="1" s="185">
      <c r="A213" s="52">
        <f>row()-3</f>
        <v/>
      </c>
      <c r="B213" s="46" t="inlineStr">
        <is>
          <t>ヘッドハンティング会社とは？おすすめの会社を紹介</t>
        </is>
      </c>
      <c r="C213" s="6" t="inlineStr">
        <is>
          <t>https://dym.asia/media/recruiting/head-hunting-company/</t>
        </is>
      </c>
      <c r="D213" s="47" t="inlineStr">
        <is>
          <t>ヘッドハンター 求人</t>
        </is>
      </c>
      <c r="E213" s="35" t="n">
        <v>1</v>
      </c>
      <c r="F213" s="36" t="n">
        <v>35.5</v>
      </c>
      <c r="G213" s="47" t="inlineStr">
        <is>
          <t>なし</t>
        </is>
      </c>
      <c r="H213" s="47" t="inlineStr">
        <is>
          <t>可</t>
        </is>
      </c>
      <c r="I213" s="10" t="inlineStr">
        <is>
          <t>Q. ヘッドハンティングの仕組みは、一般的な採用活動とどのように異なりますか？
A. ヘッドハンティングは、求人広告や転職エージェントを通す一般的な採用とは違い、企業が求める高度なスキルや専門知識を持った特定の人材に対して、ヘッドハンターが直接スカウトする仕組みです。重要なポジションや即戦力を確保するために使われ、企業と候補者のマッチング精度が高いのが特徴です。
Q. ヘッドハンティング会社と一般的な転職エージェントの、最も大きな違いは何ですか？
A. 大きな違いは「求人へのアクセス方法」と「求人の公開性」です。転職エージェントは、求職者が登録して公開・非公開の求人から応募します。一方、ヘッドハンティング会社は、企業が必要とするスキルを持つ人物を特定し、ヘッドハンターが直接オファーを出します。戦略的な役割を担うため、扱う求人の多くが非公開なのも特徴です。　　　　　　　　　　　　　　　　　　　　　　　　　　　　　　　　　　　　　　　　　　　　　　　　　　　　　　　　　　　　　　　　　　　　　　
Q. ヘッドハンティング会社が主に扱う求人にはどのような特徴があり、特に「年収800万円以上」の公開求人数が重視されるのはなぜですか？
A. こうした求人は、企業の経営や新規事業に直結する専門性の高い重要ポジションが中心です。特に年収800万円以上の求人は、企業が高いスキルと実績を求めている証であり、ヘッドハンティング会社の信頼性や優秀な人材を集める実績を示す指標にもなります。
株式会社DYMでは、求職者様に対して様々な就職支援サービスを提供しております。
お問い合わせはこちら↓
https://dym.asia/media/recruiting-contact/</t>
        </is>
      </c>
      <c r="J213" s="47" t="n"/>
      <c r="K213" s="47" t="inlineStr">
        <is>
          <t>未確認</t>
        </is>
      </c>
      <c r="L213" s="47" t="inlineStr">
        <is>
          <t>未確認</t>
        </is>
      </c>
      <c r="M213" s="47" t="n"/>
      <c r="N213" s="47" t="n"/>
      <c r="O213" s="47" t="n"/>
      <c r="P213" s="47" t="n"/>
      <c r="Q213" s="47" t="n"/>
      <c r="R213" s="47" t="n"/>
      <c r="S213" s="47" t="n"/>
      <c r="T213" s="47" t="n"/>
      <c r="U213" s="47" t="n"/>
      <c r="V213" s="47" t="n"/>
      <c r="W213" s="47" t="n"/>
      <c r="X213" s="47" t="n"/>
      <c r="Y213" s="47" t="n"/>
      <c r="Z213" s="47" t="n"/>
    </row>
    <row r="214" ht="15.75" customHeight="1" s="185">
      <c r="A214" s="52">
        <f>row()-3</f>
        <v/>
      </c>
      <c r="B214" s="46" t="inlineStr">
        <is>
          <t>40代以上におすすめ！ハイクラス転職エージェント転職サイト比較</t>
        </is>
      </c>
      <c r="C214" s="6" t="inlineStr">
        <is>
          <t>https://dym.asia/media/recruiting/high-class-agent/</t>
        </is>
      </c>
      <c r="D214" s="47" t="inlineStr">
        <is>
          <t>40代 ハイクラス転職</t>
        </is>
      </c>
      <c r="E214" s="35" t="n">
        <v>1</v>
      </c>
      <c r="F214" s="36" t="n">
        <v>12.41666666666667</v>
      </c>
      <c r="G214" s="47" t="inlineStr">
        <is>
          <t>なし</t>
        </is>
      </c>
      <c r="H214" s="47" t="inlineStr">
        <is>
          <t>可</t>
        </is>
      </c>
      <c r="I214" s="10" t="inlineStr">
        <is>
          <t>Q. 「ハイクラス転職」において、40代の転職者が企業から特に求められるスキルや役割は何ですか？
A. 40代のハイクラス転職者には、経験や専門知識に加えてマネジメント力や専門スキル、幅広い人脈が求められます。企業はチームや部門を率い、組織の重要な意思決定を担うリーダーシップを期待しています。また、変化の激しい環境に柔軟に対応できる力も高く評価されます。
Q. 40代のハイクラス転職を成功させるために、転職エージェントを選ぶ際の重要なポイントは何ですか？
A. 重要なのは、非公開求人を豊富に扱っていることと、業界への理解が深いことです。非公開求人には経営層や専門職の重要なポジションが多く、担当者が業界に精通していれば、経験や強みを正しく企業に伝えられ、より良い条件での転職が可能になります。
Q. 40代のハイクラス転職で「異業界への挑戦」が増えているのはなぜですか？
A. 企業は異業界出身者の新しい視点やアイデアを求めています。ハイクラス層は既存の業界での経験を新しい分野に活かせると評価され、求職者もキャリアの幅を広げるために積極的に異業界に挑戦しています。　　　　　　　　　　　　　　　　　　　　　　　　　　　　　　　　　　　　　　　　　　　　　
株式会社DYMでは、求職者様に対して様々な就職支援サービスを提供しております。
お問い合わせはこちら↓
https://dym.asia/media/recruiting-contact/</t>
        </is>
      </c>
      <c r="J214" s="47" t="n"/>
      <c r="K214" s="47" t="inlineStr">
        <is>
          <t>未確認</t>
        </is>
      </c>
      <c r="L214" s="47" t="inlineStr">
        <is>
          <t>未確認</t>
        </is>
      </c>
      <c r="M214" s="47" t="n"/>
      <c r="N214" s="47" t="n"/>
      <c r="O214" s="47" t="n"/>
      <c r="P214" s="47" t="n"/>
      <c r="Q214" s="47" t="n"/>
      <c r="R214" s="47" t="n"/>
      <c r="S214" s="47" t="n"/>
      <c r="T214" s="47" t="n"/>
      <c r="U214" s="47" t="n"/>
      <c r="V214" s="47" t="n"/>
      <c r="W214" s="47" t="n"/>
      <c r="X214" s="47" t="n"/>
      <c r="Y214" s="47" t="n"/>
      <c r="Z214" s="47" t="n"/>
    </row>
    <row r="215" ht="15.75" customHeight="1" s="185">
      <c r="A215" s="52">
        <f>row()-3</f>
        <v/>
      </c>
      <c r="B215" s="46" t="inlineStr">
        <is>
          <t>ハイクラス転職の年収相場は？年収を上げる条件と転職のポイントを解説</t>
        </is>
      </c>
      <c r="C215" s="6" t="inlineStr">
        <is>
          <t>https://dym.asia/media/recruiting/highclass-job-change-salary/</t>
        </is>
      </c>
      <c r="D215" s="47" t="inlineStr">
        <is>
          <t>ハイクラス 転職</t>
        </is>
      </c>
      <c r="E215" s="35" t="n">
        <v>1</v>
      </c>
      <c r="F215" s="36" t="n">
        <v>24</v>
      </c>
      <c r="G215" s="47" t="inlineStr">
        <is>
          <t>なし</t>
        </is>
      </c>
      <c r="H215" s="47" t="inlineStr">
        <is>
          <t>可</t>
        </is>
      </c>
      <c r="I215" s="10" t="inlineStr">
        <is>
          <t>Q. 「ハイクラス転職」における年収相場の目安はどのくらいですか？
A. ハイクラス転職の年収は一般的に約800万円前後ですが、求人によっては700万円から1,500万円と幅があります。日本の民間給与の平均（約458万円）と比べると高めですが、それだけ企業が管理職や専門職など、高度な知識や技術を持つ人材に価値を認めているということです。
Q. ハイクラス転職では必ず年収が上がるのでしょうか？また、年収を下げないためのリスクヘッジは何ですか？
A. 年収が必ず上がるわけではありません。転職先の給与水準や業績、求職者のスキルや市場価値によって変わります。年収を下げないためには、自分の能力や市場価値を正しく把握し、業界や企業の状況を調べたうえで、転職後の役割や貢献をイメージしておくことが大切です。
Q. ハイクラス転職を成功させ、年収アップを実現するために最も重要なポイントは何ですか？
A. 自身の専門的なスキルや経験を企業のニーズに合致させ、具体的な価値として示すことが最も重要です。単なる経験のアピールではなく、新しい職場でどのような成果を出せるかを明確に伝えましょう。また、転職エージェントやコンサルタントを活用し、自分の価値を正確に評価してもらいながら年収交渉を行うことも有効です。
株式会社DYMでは、求職者様に対して様々な就職支援サービスを提供しております。
お問い合わせはこちら↓
https://dym.asia/media/recruiting-contact/</t>
        </is>
      </c>
      <c r="J215" s="47" t="n"/>
      <c r="K215" s="47" t="inlineStr">
        <is>
          <t>未確認</t>
        </is>
      </c>
      <c r="L215" s="47" t="inlineStr">
        <is>
          <t>未確認</t>
        </is>
      </c>
      <c r="M215" s="47" t="n"/>
      <c r="N215" s="47" t="n"/>
      <c r="O215" s="47" t="n"/>
      <c r="P215" s="47" t="n"/>
      <c r="Q215" s="47" t="n"/>
      <c r="R215" s="47" t="n"/>
      <c r="S215" s="47" t="n"/>
      <c r="T215" s="47" t="n"/>
      <c r="U215" s="47" t="n"/>
      <c r="V215" s="47" t="n"/>
      <c r="W215" s="47" t="n"/>
      <c r="X215" s="47" t="n"/>
      <c r="Y215" s="47" t="n"/>
      <c r="Z215" s="47" t="n"/>
    </row>
    <row r="216" ht="15.75" customHeight="1" s="185">
      <c r="A216" s="52">
        <f>row()-3</f>
        <v/>
      </c>
      <c r="B216" s="46" t="inlineStr">
        <is>
          <t>メンタルを強くする方法5選｜心を鍛える習慣も紹介</t>
        </is>
      </c>
      <c r="C216" s="6" t="inlineStr">
        <is>
          <t>https://dym.asia/media/recruiting/how-to-strengthen-mentality/#index-55toc</t>
        </is>
      </c>
      <c r="D216" s="47" t="inlineStr">
        <is>
          <t>メンタル 良くする方法</t>
        </is>
      </c>
      <c r="E216" s="35" t="n">
        <v>1</v>
      </c>
      <c r="F216" s="36" t="n">
        <v>2.068181818181818</v>
      </c>
      <c r="G216" s="47" t="inlineStr">
        <is>
          <t>なし</t>
        </is>
      </c>
      <c r="H216" s="47" t="inlineStr">
        <is>
          <t>可</t>
        </is>
      </c>
      <c r="I216" s="10" t="inlineStr">
        <is>
          <t>Q. 就職活動中にメンタルが落ち込みやすい人は、どのような特徴がありますか？
A. メンタルが落ち込みやすい人は、自分を否定的に考えたり、他人と比べて自信を失いやすかったり、ストレスに弱く疲れやすい傾向があります。就活では、不採用が続くことで自己肯定感が下がったり、内定を得た友人と比べて落ち込むことが、さらにネガティブな思考を生みやすくなります。
Q. 就活のストレスに打ち勝つために、日常生活で簡単に取り入れられる具体的なメンタル強化法を教えてください。
A. 日常で取り入れやすいのは、前向きな考え方を意識すること、小さな成功体験を積み重ねること、そして十分な運動と睡眠を確保することです。失敗から学び、「次はうまくいく」と考える習慣を持つことや、履歴書を一枚仕上げたなど小さな目標を達成することが、自己肯定感を高めます。心身の健康を整えることも、ストレスに負けない土台になります。　　　　　　　　　　　
Q. 「小さな成功体験を積み重ねる」ことが、なぜ就活のメンタル強化に効果的なのですか？
A. 小さな成功体験は自己肯定感の基盤になります。簡単な目標を達成する経験を重ねると、「自分でもできる」という自信が生まれます。この自信が、選考での失敗や予期せぬ困難に対する回復力を高め、就職活動を前向きに進める力になります。
株式会社DYMでは、求職者様に対して様々な就職支援サービスを提供しております。
お問い合わせはこちら↓
https://dym.asia/media/recruiting-contact/</t>
        </is>
      </c>
      <c r="J216" s="47" t="n"/>
      <c r="K216" s="47" t="inlineStr">
        <is>
          <t>未確認</t>
        </is>
      </c>
      <c r="L216" s="47" t="inlineStr">
        <is>
          <t>未確認</t>
        </is>
      </c>
      <c r="M216" s="47" t="n"/>
      <c r="N216" s="47" t="n"/>
      <c r="O216" s="47" t="n"/>
      <c r="P216" s="47" t="n"/>
      <c r="Q216" s="47" t="n"/>
      <c r="R216" s="47" t="n"/>
      <c r="S216" s="47" t="n"/>
      <c r="T216" s="47" t="n"/>
      <c r="U216" s="47" t="n"/>
      <c r="V216" s="47" t="n"/>
      <c r="W216" s="47" t="n"/>
      <c r="X216" s="47" t="n"/>
      <c r="Y216" s="47" t="n"/>
      <c r="Z216" s="47" t="n"/>
    </row>
    <row r="217" ht="15.75" customHeight="1" s="185">
      <c r="A217" s="52">
        <f>row()-3</f>
        <v/>
      </c>
      <c r="B217" s="46" t="inlineStr">
        <is>
          <t>文系におすすめの職業一覧！専門職や高収入を狙える業界も紹介</t>
        </is>
      </c>
      <c r="C217" s="6" t="inlineStr">
        <is>
          <t>https://dym.asia/media/recruiting/humanities/#index</t>
        </is>
      </c>
      <c r="D217" s="47" t="inlineStr">
        <is>
          <t>文系 職業</t>
        </is>
      </c>
      <c r="E217" s="35" t="n">
        <v>1</v>
      </c>
      <c r="F217" s="36" t="n">
        <v>5.035506601901895</v>
      </c>
      <c r="G217" s="47" t="inlineStr">
        <is>
          <t>なし</t>
        </is>
      </c>
      <c r="H217" s="47" t="inlineStr">
        <is>
          <t>可</t>
        </is>
      </c>
      <c r="I217" s="10" t="inlineStr">
        <is>
          <t>Q. 文系出身者の就職活動における最大の強みと、企業から評価されやすいポイントは何ですか？
A. 文系出身者の強みは、基礎的なコミュニケーション能力と、多角的に考える力、文章力にあります。企業は特定の専門知識よりもポテンシャルを重視する傾向があり、特に高いコミュニケーション力や柔軟な適応力を評価します。営業や広報・PRなど、人とのやり取りが多い職種では、文系の強みが活かされやすいです。
Q. 文系学生が高収入を目指す場合、どのような業界を選ぶべきですか？
A. 文系学生が高収入を狙いやすい業界には、金融、IT・Web、コンサルティング、外資系企業などがあります。これらの業界では、論理的思考力や問題解決力が求められ、成果に応じた評価制度が整っています。特にコンサルタントやITエンジニアのマネジメント層など、専門性と責任が重いポジションは高収入につながりやすいです。
Q. 文系学生が希望の職業に就くための成功のコツは何ですか？
A. 成功のコツは、自己分析で自分の強みややりたいことを明確にすること、業界研究で入社後のミスマッチを防ぐこと、インターンで実務や企業文化を体験することです。また、資格取得で専門性や意欲を示したり、業界関係者との交流で情報と視野を広げることも大切です。　　　　　　　　　　　　　　　　　　　　　　　　　　　　　　　　　　
株式会社DYMでは、求職者様に対して様々な就職支援サービスを提供しております。
お問い合わせはこちら↓
https://dym.asia/media/recruiting-contact/</t>
        </is>
      </c>
      <c r="J217" s="47" t="n"/>
      <c r="K217" s="47" t="inlineStr">
        <is>
          <t>未確認</t>
        </is>
      </c>
      <c r="L217" s="47" t="inlineStr">
        <is>
          <t>未確認</t>
        </is>
      </c>
      <c r="M217" s="47" t="n"/>
      <c r="N217" s="47" t="n"/>
      <c r="O217" s="47" t="n"/>
      <c r="P217" s="47" t="n"/>
      <c r="Q217" s="47" t="n"/>
      <c r="R217" s="47" t="n"/>
      <c r="S217" s="47" t="n"/>
      <c r="T217" s="47" t="n"/>
      <c r="U217" s="47" t="n"/>
      <c r="V217" s="47" t="n"/>
      <c r="W217" s="47" t="n"/>
      <c r="X217" s="47" t="n"/>
      <c r="Y217" s="47" t="n"/>
      <c r="Z217" s="47" t="n"/>
    </row>
    <row r="218" ht="15.75" customHeight="1" s="185">
      <c r="A218" s="52">
        <f>row()-3</f>
        <v/>
      </c>
      <c r="B218" s="46" t="inlineStr">
        <is>
          <t>文系におすすめの職業一覧！専門職や高収入を狙える業界も紹介</t>
        </is>
      </c>
      <c r="C218" s="6" t="inlineStr">
        <is>
          <t>https://dym.asia/media/recruiting/humanities/#index-1010toc</t>
        </is>
      </c>
      <c r="D218" s="47" t="inlineStr">
        <is>
          <t>文系 職業</t>
        </is>
      </c>
      <c r="E218" s="35" t="n">
        <v>1</v>
      </c>
      <c r="F218" s="36" t="n">
        <v>5.035763222800767</v>
      </c>
      <c r="G218" s="47" t="inlineStr">
        <is>
          <t>なし</t>
        </is>
      </c>
      <c r="H218" s="47" t="inlineStr">
        <is>
          <t>可</t>
        </is>
      </c>
      <c r="I218" s="10" t="inlineStr">
        <is>
          <t>Q. 文系学生が就職活動を成功させるために、最も優先して行うべき準備は何ですか？
A. 最も大切なのは、自己分析を徹底して自分の強みを明確にすることです。文系の採用ではポテンシャルが重視されるため、自分に何ができるか（Can）、何をやりたいか（Will）、何をすべきか（Must）を整理することで、志望動機や自己PRに一貫性が生まれ、企業とのミスマッチを防ぐことができます。　　　　　　　　　　　　　　　　　　　　　　　　　　　　　　　　　　　　　　　　　　　　　　　　　　　　
Q. 文系学生は、専門性をアピールするためにどのような資格を取得すべきですか？
A. 文系で役立つ資格には、TOEICや英検など語学力を示すもの、簿記検定のような会計知識、秘書検定などビジネスマナーに関するものがあります。志望業界が明確であれば、宅地建物取引士のように業界特化型の資格も有効です。資格は知識を示すだけでなく、目標達成への意欲や学び続ける姿勢を伝える手段にもなります。
Q. 職業理解を深め、ミスマッチを防ぐために、インターンシップはどれほど重要ですか？
A. インターンシップは非常に重要です。文系は職種の選択肢が広いため、実際の業務や職場を体験することで、想像とのギャップを減らすことができます。さらに、インターンで得た経験は、選考で具体的な志望理由を伝える材料にもなります。
株式会社DYMでは、求職者様に対して様々な就職支援サービスを提供しております。
お問い合わせはこちら↓
https://dym.asia/media/recruiting-contact/</t>
        </is>
      </c>
      <c r="J218" s="47" t="n"/>
      <c r="K218" s="47" t="inlineStr">
        <is>
          <t>未確認</t>
        </is>
      </c>
      <c r="L218" s="47" t="inlineStr">
        <is>
          <t>未確認</t>
        </is>
      </c>
      <c r="M218" s="47" t="n"/>
      <c r="N218" s="47" t="n"/>
      <c r="O218" s="47" t="n"/>
      <c r="P218" s="47" t="n"/>
      <c r="Q218" s="47" t="n"/>
      <c r="R218" s="47" t="n"/>
      <c r="S218" s="47" t="n"/>
      <c r="T218" s="47" t="n"/>
      <c r="U218" s="47" t="n"/>
      <c r="V218" s="47" t="n"/>
      <c r="W218" s="47" t="n"/>
      <c r="X218" s="47" t="n"/>
      <c r="Y218" s="47" t="n"/>
      <c r="Z218" s="47" t="n"/>
    </row>
    <row r="219" ht="15.75" customHeight="1" s="185">
      <c r="A219" s="52">
        <f>row()-3</f>
        <v/>
      </c>
      <c r="B219" s="46" t="inlineStr">
        <is>
          <t>文系におすすめの職業一覧！専門職や高収入を狙える業界も紹介</t>
        </is>
      </c>
      <c r="C219" s="6" t="inlineStr">
        <is>
          <t>https://dym.asia/media/recruiting/humanities/#index-55toc</t>
        </is>
      </c>
      <c r="D219" s="47" t="inlineStr">
        <is>
          <t>専門性の高い仕事 文系</t>
        </is>
      </c>
      <c r="E219" s="35" t="n">
        <v>1</v>
      </c>
      <c r="F219" s="36" t="n">
        <v>3.770642201834862</v>
      </c>
      <c r="G219" s="47" t="inlineStr">
        <is>
          <t>なし</t>
        </is>
      </c>
      <c r="H219" s="47" t="inlineStr">
        <is>
          <t>可</t>
        </is>
      </c>
      <c r="I219" s="10" t="inlineStr">
        <is>
          <t xml:space="preserve">Q. 文系学生が目指せる専門職には、どのようなものがありますか？
A. 文系学生でも目指せる専門職には、学芸員、キャリアコンサルタント、行政書士、臨床心理士、弁護士などがあります。いずれも資格や専門知識が求められますが、文系で培った知識やコミュニケーション力、論理的思考力を活かすことができます。学芸員は博物館で資料の管理や研究を行い、キャリアコンサルタントは個人の職業選択やキャリア形成を支援します。行政書士や弁護士は法律の専門家として書類作成や法律業務に携わり、臨床心理士は心理的支援を通じて心の健康をサポートします。
Q. 文系専門職の中で、特に人の悩みや課題解決に貢献できる仕事はどれですか？
A. キャリアコンサルタントや臨床心理士が該当します。キャリアコンサルタントは就職や転職を通じて人々のキャリア形成を支援し、臨床心理士は心の問題や心理的課題に向き合い、生活の質の向上に貢献します。
Q. 専門職である「行政書士」や「弁護士」になるためには、文系大学でどのような学習が必要ですか？
A. 法律系の専門職になるには、まず資格試験に合格する必要があります。大学の法学部などで法律の基礎を学ぶことが、資格取得への土台になります。弁護士を目指す場合は、法科大学院（ロースクール）への進学や予備試験を経て司法試験に合格することが求められます。文系で培った論理的思考力は、学習や実務において重要な力となります。
株式会社DYMでは、求職者様に対して様々な就職支援サービスを提供しております。
お問い合わせはこちら↓
https://dym.asia/media/recruiting-contact/　　　　　　　　　　　　　　　　　　　　　　　　　　　　　　　　　　　　　　　　　　　　　　　　</t>
        </is>
      </c>
      <c r="J219" s="47" t="n"/>
      <c r="K219" s="47" t="inlineStr">
        <is>
          <t>未確認</t>
        </is>
      </c>
      <c r="L219" s="47" t="inlineStr">
        <is>
          <t>未確認</t>
        </is>
      </c>
      <c r="M219" s="47" t="n"/>
      <c r="N219" s="47" t="n"/>
      <c r="O219" s="47" t="n"/>
      <c r="P219" s="47" t="n"/>
      <c r="Q219" s="47" t="n"/>
      <c r="R219" s="47" t="n"/>
      <c r="S219" s="47" t="n"/>
      <c r="T219" s="47" t="n"/>
      <c r="U219" s="47" t="n"/>
      <c r="V219" s="47" t="n"/>
      <c r="W219" s="47" t="n"/>
      <c r="X219" s="47" t="n"/>
      <c r="Y219" s="47" t="n"/>
      <c r="Z219" s="47" t="n"/>
    </row>
    <row r="220" ht="15.75" customHeight="1" s="185">
      <c r="A220" s="52">
        <f>row()-3</f>
        <v/>
      </c>
      <c r="B220" s="46" t="inlineStr">
        <is>
          <t>主体性とは？意味と自主性との違いや高める方法を解説</t>
        </is>
      </c>
      <c r="C220" s="6" t="inlineStr">
        <is>
          <t>https://dym.asia/media/recruiting/independence/</t>
        </is>
      </c>
      <c r="D220" s="47" t="inlineStr">
        <is>
          <t>主体性</t>
        </is>
      </c>
      <c r="E220" s="35" t="n">
        <v>1</v>
      </c>
      <c r="F220" s="36" t="n">
        <v>10.57687991021324</v>
      </c>
      <c r="G220" s="47" t="inlineStr">
        <is>
          <t>なし</t>
        </is>
      </c>
      <c r="H220" s="47" t="inlineStr">
        <is>
          <t>可</t>
        </is>
      </c>
      <c r="I220" s="10" t="inlineStr">
        <is>
          <t>Q. 「主体性」と「自主性」はどのように異なりますか？
A. 主体性は、自分の意志や価値観に基づいて目標を設定し、責任を持って行動する力を指します。一方、自主性は、指示がない状況でも自ら進んで行動する力です。自主性が「与えられた枠の中で自発的に動くこと」なのに対し、主体性は「自ら枠を作り出すこと」を含み、より能動的な行動を意味します。
Q. 現代の仕事において、主体性が特に重要視される理由は何ですか？
A. 急速に変化するビジネス環境では、従業員が自ら考え行動し、課題を解決する力が求められます。主体性を持つことで、新しいアイデアが生まれ、責任感や問題解決力などのスキルが実践的に身につき、業務の効率化や生産性の向上にもつながります。
Q. 主体性を高める（鍛える）ための具体的な方法や習慣には、どのようなものがありますか？
A. 主体性を高めるには、まず自分で考える習慣を身につけ、どんな仕事にも意味を見出すことが大切です。さらに、失敗を恐れず新しい課題に挑戦し、主体性のある人の行動や考え方を参考にすることも効果的です。こうした積み重ねが、自ら動ける力を育てます。
株式会社DYMでは、求職者様に対して様々な就職支援サービスを提供しております。
お問い合わせはこちら↓
https://dym.asia/media/recruiting-contact/</t>
        </is>
      </c>
      <c r="J220" s="47" t="n"/>
      <c r="K220" s="47" t="inlineStr">
        <is>
          <t>未確認</t>
        </is>
      </c>
      <c r="L220" s="47" t="inlineStr">
        <is>
          <t>未確認</t>
        </is>
      </c>
      <c r="M220" s="47" t="n"/>
      <c r="N220" s="47" t="n"/>
      <c r="O220" s="47" t="n"/>
      <c r="P220" s="47" t="n"/>
      <c r="Q220" s="47" t="n"/>
      <c r="R220" s="47" t="n"/>
      <c r="S220" s="47" t="n"/>
      <c r="T220" s="47" t="n"/>
      <c r="U220" s="47" t="n"/>
      <c r="V220" s="47" t="n"/>
      <c r="W220" s="47" t="n"/>
      <c r="X220" s="47" t="n"/>
      <c r="Y220" s="47" t="n"/>
      <c r="Z220" s="47" t="n"/>
    </row>
    <row r="221" ht="15.75" customHeight="1" s="185">
      <c r="A221" s="52">
        <f>row()-3</f>
        <v/>
      </c>
      <c r="B221" s="46" t="inlineStr">
        <is>
          <t>業界研究のやり方・ポイントを解説！就活に役立つ業界一覧も</t>
        </is>
      </c>
      <c r="C221" s="6" t="inlineStr">
        <is>
          <t>https://dym.asia/media/recruiting/industry-research/</t>
        </is>
      </c>
      <c r="D221" s="47" t="inlineStr">
        <is>
          <t>業界研究 やり方</t>
        </is>
      </c>
      <c r="E221" s="35" t="n">
        <v>1</v>
      </c>
      <c r="F221" s="36" t="n">
        <v>21.42489270386266</v>
      </c>
      <c r="G221" s="47" t="inlineStr">
        <is>
          <t>なし</t>
        </is>
      </c>
      <c r="H221" s="47" t="inlineStr">
        <is>
          <t>可</t>
        </is>
      </c>
      <c r="I221" s="10" t="inlineStr">
        <is>
          <t>Q. 業界研究を行う目的と、就職活動における重要性は何ですか？
A. 業界研究の目的は、さまざまな業界の特徴や動向を理解し、志望する業界を絞り込むことです。就職活動では、自己分析で見つけた自分の軸と照らし合わせることで、ミスマッチの少ない業界選びができ、企業研究や面接で説得力のある志望動機を作るための土台になります。
Q. 効果的な業界研究を進めるための、体系的なステップ（やり方）を教えてください。
A. まず自己分析で関心を明確にし、業界全体の特徴を広く把握します。その後、興味のある業界を2〜3つに絞り、深く調べていきます。情報はサイトや書籍、セミナーなど多様な手段で集め、整理してノートにまとめると、企業研究につなげやすくなります。
Q. 業界を「狭く深く」調べる際に、特に注目すべき分析のポイントは何ですか？
A. 現状の課題や将来の成長性といった業界の「今」と「これから」、ビジネスモデルや顧客層、そして関連する他の業界とのつながりに注目することが重要です。これらを理解することで、業界全体の仕組みや自分の働き方との相性を把握できます。
株式会社DYMでは、求職者様に対して様々な就職支援サービスを提供しております。
お問い合わせはこちら↓
https://dym.asia/media/recruiting-contact/</t>
        </is>
      </c>
      <c r="J221" s="47" t="n"/>
      <c r="K221" s="47" t="inlineStr">
        <is>
          <t>未確認</t>
        </is>
      </c>
      <c r="L221" s="47" t="inlineStr">
        <is>
          <t>未確認</t>
        </is>
      </c>
      <c r="M221" s="47" t="n"/>
      <c r="N221" s="47" t="n"/>
      <c r="O221" s="47" t="n"/>
      <c r="P221" s="47" t="n"/>
      <c r="Q221" s="47" t="n"/>
      <c r="R221" s="47" t="n"/>
      <c r="S221" s="47" t="n"/>
      <c r="T221" s="47" t="n"/>
      <c r="U221" s="47" t="n"/>
      <c r="V221" s="47" t="n"/>
      <c r="W221" s="47" t="n"/>
      <c r="X221" s="47" t="n"/>
      <c r="Y221" s="47" t="n"/>
      <c r="Z221" s="47" t="n"/>
    </row>
    <row r="222" ht="15.75" customHeight="1" s="185">
      <c r="A222" s="52">
        <f>row()-3</f>
        <v/>
      </c>
      <c r="B222" s="46" t="inlineStr">
        <is>
          <t>INFJ（提唱者）の基本性格と相性！男女別の特徴やあるあるも解説</t>
        </is>
      </c>
      <c r="C222" s="6" t="inlineStr">
        <is>
          <t>https://dym.asia/media/recruiting/infj/#index-INFJ-8INFJ-8toc</t>
        </is>
      </c>
      <c r="D222" s="47" t="inlineStr">
        <is>
          <t>infj特徴</t>
        </is>
      </c>
      <c r="E222" s="35" t="n">
        <v>1</v>
      </c>
      <c r="F222" s="36" t="n">
        <v>6.008658008658009</v>
      </c>
      <c r="G222" s="47" t="inlineStr">
        <is>
          <t>なし</t>
        </is>
      </c>
      <c r="H222" s="47" t="inlineStr">
        <is>
          <t>可</t>
        </is>
      </c>
      <c r="I222" s="10" t="inlineStr">
        <is>
          <t>Q. INFJ（提唱者）の性格が仕事で活かせるのは、どのような特性が求められる分野ですか？
A. IINFJの強みである責任感の強さ、共感力、洞察力は、人の成長や問題解決を支援する仕事で特に活かせます。責任感は教育や社会福祉など倫理観と粘り強さが求められる分野で役立ちます。共感力はカウンセリングや人事など、人の気持ちに寄り添う仕事に適しています。洞察力は研究や企画など、物事の本質を見抜く力が求められる場で活かせます。
Q. INFJに向いているとされる「共感力が活かせる仕事」には、具体的にどのような職種がありますか？
A. 記カウンセラーや心理学者はクライアントの心の問題解決をサポートできます。教師や教育者は生徒一人ひとりの個性を理解して才能を引き出すことができます。人事では社員の気持ちやモチベーションを察してサポート体制を整える役割があり、社会福祉士やNPO・NGO職員は弱い立場の人々の支援に力を発揮できます。
Q. INFJが仕事を選ぶ際に、避けるべき、あるいは注意すべき職場環境や仕事内容はありますか？
A. NFJは内向的で繊細な性格のため、競争が激しく成果主義が強調される環境はストレスになりやすいです。他人を蹴落として勝ち上がるような文化は、精神的負荷が大きくなる可能性があります。
株式会社DYMでは、求職者様に対して様々な就職支援サービスを提供しております。
お問い合わせはこちら↓
https://dym.asia/media/recruiting-contact/</t>
        </is>
      </c>
      <c r="J222" s="47" t="n"/>
      <c r="K222" s="47" t="inlineStr">
        <is>
          <t>未確認</t>
        </is>
      </c>
      <c r="L222" s="47" t="inlineStr">
        <is>
          <t>未確認</t>
        </is>
      </c>
      <c r="M222" s="47" t="n"/>
      <c r="N222" s="47" t="n"/>
      <c r="O222" s="47" t="n"/>
      <c r="P222" s="47" t="n"/>
      <c r="Q222" s="47" t="n"/>
      <c r="R222" s="47" t="n"/>
      <c r="S222" s="47" t="n"/>
      <c r="T222" s="47" t="n"/>
      <c r="U222" s="47" t="n"/>
      <c r="V222" s="47" t="n"/>
      <c r="W222" s="47" t="n"/>
      <c r="X222" s="47" t="n"/>
      <c r="Y222" s="47" t="n"/>
      <c r="Z222" s="47" t="n"/>
    </row>
    <row r="223" ht="15.75" customHeight="1" s="185">
      <c r="A223" s="52">
        <f>row()-3</f>
        <v/>
      </c>
      <c r="B223" s="46" t="inlineStr">
        <is>
          <t>INFJ（提唱者）の基本性格と相性！男女別の特徴やあるあるも解説</t>
        </is>
      </c>
      <c r="C223" s="6" t="inlineStr">
        <is>
          <t>https://dym.asia/media/recruiting/infj/#index-INFJINFJtoc</t>
        </is>
      </c>
      <c r="D223" s="47" t="inlineStr">
        <is>
          <t>infj特徴</t>
        </is>
      </c>
      <c r="E223" s="35" t="n">
        <v>1</v>
      </c>
      <c r="F223" s="36" t="n">
        <v>6.031914893617022</v>
      </c>
      <c r="G223" s="47" t="inlineStr">
        <is>
          <t>なし</t>
        </is>
      </c>
      <c r="H223" s="47" t="inlineStr">
        <is>
          <t>可</t>
        </is>
      </c>
      <c r="I223" s="10" t="inlineStr">
        <is>
          <t>Q. INFJ（提唱者）とは、どのような基本特性を持つ性格タイプですか？
A. INFJは16タイプ性格診断の中で「提唱者」と呼ばれるタイプで、内向的で一人の時間でエネルギーを回復し、直感的に物事や未来の可能性を捉えます。感情や価値観を重視して意思決定を行い、計画的に物事を進める傾向があります。こうした特性から、深い共感力と強い理想主義を持ち、より良い社会を目指して静かに行動する性格です。　　　　　　　　　　　　　　　　　　　　　　　　　　　　　　　　　　　　　　　　　　　　　　　　　　　　　　　　　　　　　　　　　　　　　　　　　　　　　　　　
Q. 同じINFJでも「INFJ-T」と「INFJ-A」にはどのような違いがありますか？
A. IINFJ-T（タービュレント型）は完璧主義で他人の評価に敏感ですが、自己改善意識が高くもストレスを感じやすく、感情の浮き沈みが大きい傾向があります。一方、INFJ-A（アサーティブ型）は自分の判断に自信があり、ストレスへの耐性が高いタイプです。他者の意見を尊重しつつも、自分の価値観に沿って冷静に行動できます。
Q. INFJ（提唱者）は「人口の約1％」と聞きますが、日本における割合はどの程度ですか？
A. 世界的には珍しいとされるINFJですが、日本では16タイプの中で5番目に多く、約7.9％が該当するとされています。特に慎重で内省的なINFJ-Tタイプが比較的多く見られる傾向があります。
株式会社DYMでは、求職者様に対して様々な就職支援サービスを提供しております。
お問い合わせはこちら↓
https://dym.asia/media/recruiting-contact/</t>
        </is>
      </c>
      <c r="J223" s="47" t="n"/>
      <c r="K223" s="47" t="inlineStr">
        <is>
          <t>未確認</t>
        </is>
      </c>
      <c r="L223" s="47" t="inlineStr">
        <is>
          <t>未確認</t>
        </is>
      </c>
      <c r="M223" s="47" t="n"/>
      <c r="N223" s="47" t="n"/>
      <c r="O223" s="47" t="n"/>
      <c r="P223" s="47" t="n"/>
      <c r="Q223" s="47" t="n"/>
      <c r="R223" s="47" t="n"/>
      <c r="S223" s="47" t="n"/>
      <c r="T223" s="47" t="n"/>
      <c r="U223" s="47" t="n"/>
      <c r="V223" s="47" t="n"/>
      <c r="W223" s="47" t="n"/>
      <c r="X223" s="47" t="n"/>
      <c r="Y223" s="47" t="n"/>
      <c r="Z223" s="47" t="n"/>
    </row>
    <row r="224" ht="15.75" customHeight="1" s="185">
      <c r="A224" s="52">
        <f>row()-3</f>
        <v/>
      </c>
      <c r="B224" s="46" t="inlineStr">
        <is>
          <t>INFP（仲介者）の性格診断｜特徴や恋愛も解説</t>
        </is>
      </c>
      <c r="C224" s="6" t="inlineStr">
        <is>
          <t>https://dym.asia/media/recruiting/infp/#index-INFP-10INFP-10toc</t>
        </is>
      </c>
      <c r="D224" s="47" t="inlineStr">
        <is>
          <t>infp</t>
        </is>
      </c>
      <c r="E224" s="35" t="n">
        <v>1</v>
      </c>
      <c r="F224" s="36" t="n">
        <v>4.896995708154506</v>
      </c>
      <c r="G224" s="47" t="inlineStr">
        <is>
          <t>なし</t>
        </is>
      </c>
      <c r="H224" s="47" t="inlineStr">
        <is>
          <t>可</t>
        </is>
      </c>
      <c r="I224" s="10" t="inlineStr">
        <is>
          <t>Q. INFP（仲介者）と良い関係を築くために、最も重視すべきコミュニケーションの姿勢は何ですか？
A. INFPは感情と誠実さを重視するため、表面的な付き合いではなく、相手の気持ちを尊重することが重要です。繊細な感情や考えを否定せず受け止め、嘘やごまかしのない一貫した誠実な態度で接することが、信頼関係を築くうえで大切です。
Q. INFPに対して、批判や指摘を伝える際に注意すべきことは何ですか？
A. INFPは自己批判的な面があるため、批判や指摘は慎重に行う必要があります。行動ではなく価値観や理想を理解し、人格を否定しない穏やかな言葉で伝えることが有効です。まず共感を示し、そのうえで具体的な改善点を提案すると受け入れやすくなります。
Q. INFPの「内向性」や「一人の時間」について、周囲の人はどのように配慮すべきですか？
A. INFPは一人の時間でエネルギーを回復するため、この時間を尊重することが必要です。孤独や拒絶と捉えず、必要なリフレッシュの時間と理解しましょう。大人数での浅い交流よりも、一対一での深い会話を通じて信頼関係を築くことを好みます。
株式会社DYMでは、求職者様に対して様々な就職支援サービスを提供しております。
お問い合わせはこちら↓
https://dym.asia/media/recruiting-contact/</t>
        </is>
      </c>
      <c r="J224" s="47" t="n"/>
      <c r="K224" s="47" t="inlineStr">
        <is>
          <t>未確認</t>
        </is>
      </c>
      <c r="L224" s="47" t="inlineStr">
        <is>
          <t>未確認</t>
        </is>
      </c>
      <c r="M224" s="47" t="n"/>
      <c r="N224" s="47" t="n"/>
      <c r="O224" s="47" t="n"/>
      <c r="P224" s="47" t="n"/>
      <c r="Q224" s="47" t="n"/>
      <c r="R224" s="47" t="n"/>
      <c r="S224" s="47" t="n"/>
      <c r="T224" s="47" t="n"/>
      <c r="U224" s="47" t="n"/>
      <c r="V224" s="47" t="n"/>
      <c r="W224" s="47" t="n"/>
      <c r="X224" s="47" t="n"/>
      <c r="Y224" s="47" t="n"/>
      <c r="Z224" s="47" t="n"/>
    </row>
    <row r="225" ht="15.75" customHeight="1" s="185">
      <c r="A225" s="52">
        <f>row()-3</f>
        <v/>
      </c>
      <c r="B225" s="46" t="inlineStr">
        <is>
          <t>INFP（仲介者）の性格診断｜特徴や恋愛も解説</t>
        </is>
      </c>
      <c r="C225" s="6" t="inlineStr">
        <is>
          <t>https://dym.asia/media/recruiting/infp/#index-INFP-14INFP-14toc</t>
        </is>
      </c>
      <c r="D225" s="47" t="inlineStr">
        <is>
          <t>i n f p 性格</t>
        </is>
      </c>
      <c r="E225" s="35" t="n">
        <v>1</v>
      </c>
      <c r="F225" s="36" t="n">
        <v>4.814814814814815</v>
      </c>
      <c r="G225" s="47" t="inlineStr">
        <is>
          <t>なし</t>
        </is>
      </c>
      <c r="H225" s="47" t="inlineStr">
        <is>
          <t>可</t>
        </is>
      </c>
      <c r="I225" s="10" t="inlineStr">
        <is>
          <t>Q. INFP（仲介者）と良い関係を築くために、最も重視すべきコミュニケーションの姿勢は何ですか？
A. INFPは感情と誠実さを重視するため、表面的な付き合いではなく、相手の気持ちを尊重する姿勢が重要です。繊細な感情や考えを否定せず受け止め、嘘やごまかしのない一貫した誠実な態度で接することが信頼関係を築くうえで大切です。
Q. INFPに対して、批判や指摘を伝える際に注意すべきことは何ですか？
A. INFPは自己批判的で繊細な性格のため、批判や指摘は慎重に行う必要があります。行動を否定するのではなく、その背後にある価値観や理想を理解し、人格を否定しない穏やかな言葉で伝えることが有効です。まず共感を示してから、具体的な改善点を提案するようにしましょう。
Q. INFPの「内向性」や「一人の時間」について、周囲の人はどのように配慮すべきですか？
A. INFPは一人の時間でエネルギーを回復するため、その時間や空間を尊重することが必要です。一人でいることを孤独や拒絶と捉えず、必要なリフレッシュの時間と理解しましょう。大人数での浅い交流よりも、一対一の深い会話を通じて信頼関係を築くことを好みます。
株式会社DYMでは、求職者様に対して様々な就職支援サービスを提供しております。
お問い合わせはこちら↓
https://dym.asia/media/recruiting-contact/</t>
        </is>
      </c>
      <c r="J225" s="47" t="n"/>
      <c r="K225" s="47" t="inlineStr">
        <is>
          <t>未確認</t>
        </is>
      </c>
      <c r="L225" s="47" t="inlineStr">
        <is>
          <t>未確認</t>
        </is>
      </c>
      <c r="M225" s="47" t="n"/>
      <c r="N225" s="47" t="n"/>
      <c r="O225" s="47" t="n"/>
      <c r="P225" s="47" t="n"/>
      <c r="Q225" s="47" t="n"/>
      <c r="R225" s="47" t="n"/>
      <c r="S225" s="47" t="n"/>
      <c r="T225" s="47" t="n"/>
      <c r="U225" s="47" t="n"/>
      <c r="V225" s="47" t="n"/>
      <c r="W225" s="47" t="n"/>
      <c r="X225" s="47" t="n"/>
      <c r="Y225" s="47" t="n"/>
      <c r="Z225" s="47" t="n"/>
    </row>
    <row r="226" ht="15.75" customHeight="1" s="185">
      <c r="A226" s="52">
        <f>row()-3</f>
        <v/>
      </c>
      <c r="B226" s="46" t="inlineStr">
        <is>
          <t>INFP（仲介者）の性格診断｜特徴や恋愛も解説</t>
        </is>
      </c>
      <c r="C226" s="6" t="inlineStr">
        <is>
          <t>https://dym.asia/media/recruiting/infp/#index-INFP-6INFP-6toc</t>
        </is>
      </c>
      <c r="D226" s="47" t="inlineStr">
        <is>
          <t>infp 恋愛</t>
        </is>
      </c>
      <c r="E226" s="35" t="n">
        <v>1</v>
      </c>
      <c r="F226" s="36" t="n">
        <v>5.299705207992139</v>
      </c>
      <c r="G226" s="47" t="inlineStr">
        <is>
          <t>なし</t>
        </is>
      </c>
      <c r="H226" s="47" t="inlineStr">
        <is>
          <t>可</t>
        </is>
      </c>
      <c r="I226" s="10" t="inlineStr">
        <is>
          <t>Q. INFP（仲介者）の性格が持つ、最も特徴的で周囲に価値を提供する強みは何ですか？
A. INFPの最大の強みは深い共感力です。他者の感情や立場を表面的に捉えるのではなく、その裏にある気持ちまで理解し、心から寄り添うことができます。この能力は、人間関係や対人支援の場面で特に力を発揮し、困っている人や悩んでいる人に対して、真に役立つサポートを提供できる点に価値があります。　　　　　　　　　　　　　　　　　　　　　　　　　　　　　　　　　　　　　　　　　　　　　　　　　　　　　　　　　　　　　　　　　　　　　　　　　　
Q. INFPの「創造性」は具体的にどのような場面で発揮されますか？
A. INFPは独自の発想力に優れており、既成概念にとらわれないアイデアを生み出せます。芸術や文学の分野では、自分の感情や価値観をオリジナルな形で表現できます。また、問題解決の場面では、従来の方法にとらわれず新しいアプローチや視点を提案する力として活かされます。
Q. INFPの「独立した価値観」は、どのような強みにつながりますか？
A. INFPは周囲の期待に流されず、自分の信念に従って行動します。この特性は誠実さや一貫性につながり、信頼できる人物として評価されます。また、自分の正しいと思うことを貫く不屈の精神を持ち、困難な状況でも目標に向かって進む力となります。
株式会社DYMでは、求職者様に対して様々な就職支援サービスを提供しております。
お問い合わせはこちら↓
https://dym.asia/media/recruiting-contact/</t>
        </is>
      </c>
      <c r="J226" s="47" t="n"/>
      <c r="K226" s="47" t="inlineStr">
        <is>
          <t>未確認</t>
        </is>
      </c>
      <c r="L226" s="47" t="inlineStr">
        <is>
          <t>未確認</t>
        </is>
      </c>
      <c r="M226" s="47" t="n"/>
      <c r="N226" s="47" t="n"/>
      <c r="O226" s="47" t="n"/>
      <c r="P226" s="47" t="n"/>
      <c r="Q226" s="47" t="n"/>
      <c r="R226" s="47" t="n"/>
      <c r="S226" s="47" t="n"/>
      <c r="T226" s="47" t="n"/>
      <c r="U226" s="47" t="n"/>
      <c r="V226" s="47" t="n"/>
      <c r="W226" s="47" t="n"/>
      <c r="X226" s="47" t="n"/>
      <c r="Y226" s="47" t="n"/>
      <c r="Z226" s="47" t="n"/>
    </row>
    <row r="227" ht="15.75" customHeight="1" s="185">
      <c r="A227" s="52">
        <f>row()-3</f>
        <v/>
      </c>
      <c r="B227" s="46" t="inlineStr">
        <is>
          <t>インターンの早期選考とは？企業から呼ばれるための就活方法</t>
        </is>
      </c>
      <c r="C227" s="6" t="inlineStr">
        <is>
          <t>https://dym.asia/media/recruiting/internship-early-selection/#index</t>
        </is>
      </c>
      <c r="D227" s="47" t="inlineStr">
        <is>
          <t>インターン 後 早期選考 メール</t>
        </is>
      </c>
      <c r="E227" s="35" t="n">
        <v>1</v>
      </c>
      <c r="F227" s="36" t="n">
        <v>5.363636363636363</v>
      </c>
      <c r="G227" s="47" t="inlineStr">
        <is>
          <t>なし</t>
        </is>
      </c>
      <c r="H227" s="47" t="inlineStr">
        <is>
          <t>可</t>
        </is>
      </c>
      <c r="I227" s="47" t="inlineStr">
        <is>
          <t>Q. インターンシップの「早期選考」とは、一般選考とどのように違うのですか？
A. 早期選考は、インターンシップで優秀と評価された学生を対象に、企業が個別に行う選考のことです。一般選考とは異なり、大学3年生の段階など比較的早い時期に内定のチャンスがあり、インターンで能力が把握されているため、エントリーシートや筆記試験が免除されたり、面接回数が少なくなることがあります。
Q. 早期選考に参加することで、就活生が得られる主なメリットは何ですか？
A. 早期選考に参加すると、まず内定を早めに獲得できるため、卒業研究など学業に集中できる時間が増えます。また、参加者が限られているため競争率が低く、内定を得やすくなる点もメリットです。さらに、早い段階で面接や選考の経験を積むことで、就活全体のスキルアップにつながります。
Q. 早期選考を受ける際に注意すべき、主なデメリットは何ですか？
A. 早期選考には内定辞退の難しさがあります。早く内定を得ると企業との関係性ができてしまい、辞退しづらく感じることがあります。また、早期内定によって他の業界や企業を知る機会が減り、選択肢が狭まる可能性があります。さらに、選考が早く始まる分、自己分析や企業研究の準備期間が短くなることにも注意が必要です。　　　　　　　　　　　　　
株式会社DYMでは、求職者様に対して様々な就職支援サービスを提供しております。
お問い合わせはこちら↓
https://dym.asia/media/recruiting-contact/</t>
        </is>
      </c>
      <c r="J227" s="47" t="n"/>
      <c r="K227" s="47" t="inlineStr">
        <is>
          <t>未確認</t>
        </is>
      </c>
      <c r="L227" s="47" t="inlineStr">
        <is>
          <t>未確認</t>
        </is>
      </c>
      <c r="M227" s="47" t="n"/>
      <c r="N227" s="47" t="n"/>
      <c r="O227" s="47" t="n"/>
      <c r="P227" s="47" t="n"/>
      <c r="Q227" s="47" t="n"/>
      <c r="R227" s="47" t="n"/>
      <c r="S227" s="47" t="n"/>
      <c r="T227" s="47" t="n"/>
      <c r="U227" s="47" t="n"/>
      <c r="V227" s="47" t="n"/>
      <c r="W227" s="47" t="n"/>
      <c r="X227" s="47" t="n"/>
      <c r="Y227" s="47" t="n"/>
      <c r="Z227" s="47" t="n"/>
    </row>
    <row r="228" ht="15.75" customHeight="1" s="185">
      <c r="A228" s="52">
        <f>row()-3</f>
        <v/>
      </c>
      <c r="B228" s="46" t="inlineStr">
        <is>
          <t>インターンメリットでキャリアアップ！成功させる秘訣と内定獲得への近道</t>
        </is>
      </c>
      <c r="C228" s="6" t="inlineStr">
        <is>
          <t>https://dym.asia/media/recruiting/internship-merit/</t>
        </is>
      </c>
      <c r="D228" s="47" t="inlineStr">
        <is>
          <t>dym 1day選考</t>
        </is>
      </c>
      <c r="E228" s="35" t="n">
        <v>1</v>
      </c>
      <c r="F228" s="36" t="n">
        <v>9.4375</v>
      </c>
      <c r="G228" s="47" t="inlineStr">
        <is>
          <t>なし</t>
        </is>
      </c>
      <c r="H228" s="47" t="inlineStr">
        <is>
          <t>可</t>
        </is>
      </c>
      <c r="I228" s="10" t="inlineStr">
        <is>
          <t>Q. 学生がインターンシップに参加することで得られる、就職活動において有利になるメリットは何ですか？
A. インターンシップに参加すると、面接で話す「学生時代に力を入れたこと」や志望動機に説得力を持たせる具体的な経験を得られます。また、現場の雰囲気や社員の声を直接知ることで業界や企業への理解が深まり、入社後のミスマッチを防ぐことにもつながります。さらに、ビジネスマナーやPCスキル、コミュニケーション能力など、社会人として必要な実践的なスキルを事前に身につけられる点も大きなメリットです。
Q. インターンシップに参加する際に、学生が直面しやすいデメリットやリスクは何ですか？
A. 学業やサークル活動との両立が難しくなることがあり、特に長期インターンでは時間のやりくりが課題になる場合があります。また、参加した業界や職種が自分に合わないとわかることで、キャリアの方向性に迷いが生じることもあります。さらに、学生だからと特別扱いされることは少なく、成果への責任感やプレッシャーが大きく、ストレスを感じる場合もあります。
Q. インターンシップの効果を最大限に高め、メリットを得るために重要な注意点は何ですか？
A. まず、参加前に「何を学びたいか」「何を達成したいか」という具体的な目標を決めることが大切です。そのうえで、指示を待つだけでなく、自ら質問や提案を行うなど積極的に取り組む姿勢が求められます。最後に、経験を振り返り、自己評価やフィードバックを行うことで、自分の成長や改善点を確認し、就職活動に活かすことができます。　　　　　　　　　　　　　　　　　　　　　　　　　　　　　　　　　　　　　　　　　　　　　　　　　　　　　ぜひDYMのインターンシップにご応募ください。お問い合わせはこちら↓　　　　　　　　　　　　　　　　　　　　　　　　　　　　　　　　　　　　　　　　　　　　　　https://discussion.meetscompany.jp/1281/?_gl=1*1ptbztc*_ga*MTY1NDA3OTI2OC4xNzYwNTgxMjEy*_ga_ZXCZZJJ72V*czE3NjUzMzIxNzckbzE1JGcxJHQxNzY1MzQ1NTg2JGo1NSRsMCRoMA..</t>
        </is>
      </c>
      <c r="J228" s="47" t="n"/>
      <c r="K228" s="47" t="inlineStr">
        <is>
          <t>未確認</t>
        </is>
      </c>
      <c r="L228" s="47" t="inlineStr">
        <is>
          <t>未確認</t>
        </is>
      </c>
      <c r="M228" s="47" t="n"/>
      <c r="N228" s="47" t="n"/>
      <c r="O228" s="47" t="n"/>
      <c r="P228" s="47" t="n"/>
      <c r="Q228" s="47" t="n"/>
      <c r="R228" s="47" t="n"/>
      <c r="S228" s="47" t="n"/>
      <c r="T228" s="47" t="n"/>
      <c r="U228" s="47" t="n"/>
      <c r="V228" s="47" t="n"/>
      <c r="W228" s="47" t="n"/>
      <c r="X228" s="47" t="n"/>
      <c r="Y228" s="47" t="n"/>
      <c r="Z228" s="47" t="n"/>
    </row>
    <row r="229" ht="15.75" customHeight="1" s="185">
      <c r="A229" s="52">
        <f>row()-3</f>
        <v/>
      </c>
      <c r="B229" s="46" t="inlineStr">
        <is>
          <t>面接練習の効果的なやり方｜就活・転職に役立つ対策や一人でできる練習方法</t>
        </is>
      </c>
      <c r="C229" s="6" t="inlineStr">
        <is>
          <t>https://dym.asia/media/recruiting/interview-practice/#index-13</t>
        </is>
      </c>
      <c r="D229" s="47" t="inlineStr">
        <is>
          <t>スピークビズ</t>
        </is>
      </c>
      <c r="E229" s="35" t="n">
        <v>1</v>
      </c>
      <c r="F229" s="36" t="n">
        <v>7.666666666666667</v>
      </c>
      <c r="G229" s="47" t="inlineStr">
        <is>
          <t>なし</t>
        </is>
      </c>
      <c r="H229" s="47" t="inlineStr">
        <is>
          <t>可</t>
        </is>
      </c>
      <c r="I229" s="10" t="inlineStr">
        <is>
          <t>Q. 面接の冒頭で聞かれる「自己紹介」で、面接官が確認したいのはどのような点ですか？また、回答のポイントを教えてください。
A. 面接官は、あなたのコミュニケーション能力や人物像の概要を確認しています。短い時間で自分の経歴や特徴をわかりやすく伝えることが大切です。
Q. 「当社の志望理由」を問われた際、面接官の納得度を高めるために、どのような視点で回答すべきですか？
A. 企業への理解度や入社意欲、そして自分と企業のマッチ度が伝わるように答えることが重要です。自分の経験や価値観と企業の特徴を結びつけて話すと、納得感のある回答になります。
Q. 「あなたの強みと弱みを教えてください」という質問に答える際、弱み（欠点）をどのように伝えるのがベストですか？
A. 弱みを話すときは、単に欠点を挙げるのではなく、自己分析の結果として理解していることや、改善のために努力している姿勢を示すことが大切です。　　　　　　　　　　　　　　　　　　　　　　　　　　　　　　　　　　　　　　　　　　　　　　　　　　　　　　　　　　　　　
株式会社DYMでは、求職者様に対して様々な就職支援サービスを提供しております。
お問い合わせはこちら↓
https://dym.asia/media/recruiting-contact/</t>
        </is>
      </c>
      <c r="J229" s="47" t="n"/>
      <c r="K229" s="47" t="inlineStr">
        <is>
          <t>未確認</t>
        </is>
      </c>
      <c r="L229" s="47" t="inlineStr">
        <is>
          <t>未確認</t>
        </is>
      </c>
      <c r="M229" s="47" t="n"/>
      <c r="N229" s="47" t="n"/>
      <c r="O229" s="47" t="n"/>
      <c r="P229" s="47" t="n"/>
      <c r="Q229" s="47" t="n"/>
      <c r="R229" s="47" t="n"/>
      <c r="S229" s="47" t="n"/>
      <c r="T229" s="47" t="n"/>
      <c r="U229" s="47" t="n"/>
      <c r="V229" s="47" t="n"/>
      <c r="W229" s="47" t="n"/>
      <c r="X229" s="47" t="n"/>
      <c r="Y229" s="47" t="n"/>
      <c r="Z229" s="47" t="n"/>
    </row>
    <row r="230" ht="15.75" customHeight="1" s="185">
      <c r="A230" s="52">
        <f>row()-3</f>
        <v/>
      </c>
      <c r="B230" s="46" t="inlineStr">
        <is>
          <t>INTP（論理学者）の性格・特徴は？相性や向いている仕事も解説！</t>
        </is>
      </c>
      <c r="C230" s="6" t="inlineStr">
        <is>
          <t>https://dym.asia/media/recruiting/intp/#index-INTP-12INTP-12toc</t>
        </is>
      </c>
      <c r="D230" s="47" t="inlineStr">
        <is>
          <t>intp性格 男</t>
        </is>
      </c>
      <c r="E230" s="35" t="n">
        <v>1</v>
      </c>
      <c r="F230" s="36" t="n">
        <v>3.642857142857143</v>
      </c>
      <c r="G230" s="47" t="inlineStr">
        <is>
          <t>なし</t>
        </is>
      </c>
      <c r="H230" s="47" t="inlineStr">
        <is>
          <t>可</t>
        </is>
      </c>
      <c r="I230" s="10" t="inlineStr">
        <is>
          <t>Q: INTP（論理学者型）は、仕事においてどのような環境や役割で最も能力を発揮できますか？
A: INTPは複雑な問題を分析し、論理的に解決策を導き出す場面で力を発揮します。研究職やプログラマー、データサイエンティスト、戦略コンサルタントのように、知的な探求が求められ、集中して考えられる時間が確保できる仕事が向いています。一方で、単調な作業や人間関係の調整が中心の仕事は苦手です。　　　　　　　　　　　　　　　　　　　　　　　　　　　　　　　　　　
　　　　　　　　　　　　　　　　　　　　　　　　　　　　　　　　　　　　　　　　　　　　　　　　　　　　　　　Q: INTP（論理学者型）がチームで働く際、コミュニケーションで意識すべきことは何ですか？
A: 論理的な思考が強いため、知らず知らずのうちに冷たく聞こえる表現を使うことがあります。チームで働く際は、自分の考えをただ伝えるだけでなく、相手に理解してもらえるよう丁寧に説明することが大切です。感情的なやり取りは避け、事実と論理に基づいた話し方を意識すると良いでしょう。
　　　　　　　　　　　　　　　　　　　　　　　　　　　　　　　　　　　　　　　　　　　　　　　　　　　　　　　　　　　　　　　　　　　　Q: INTP（論理学者型）が恋愛関係や人間関係を築く上で、特に求めることは何ですか？
A: INTPは知的な刺激や理解、そして自由やプライバシーの尊重を重視します。束縛されたり感情的なドラマに巻き込まれる関係は苦手です。パートナーには、自分の好奇心や思考の時間を尊重してくれ、知的で誠実な会話ができることを望みます。
株式会社DYMでは、求職者様に対して様々な就職支援サービスを提供しております。
お問い合わせはこちら↓
https://dym.asia/media/recruiting-contact/</t>
        </is>
      </c>
      <c r="J230" s="47" t="n"/>
      <c r="K230" s="47" t="inlineStr">
        <is>
          <t>未確認</t>
        </is>
      </c>
      <c r="L230" s="47" t="inlineStr">
        <is>
          <t>未確認</t>
        </is>
      </c>
      <c r="M230" s="47" t="n"/>
      <c r="N230" s="47" t="n"/>
      <c r="O230" s="47" t="n"/>
      <c r="P230" s="47" t="n"/>
      <c r="Q230" s="47" t="n"/>
      <c r="R230" s="47" t="n"/>
      <c r="S230" s="47" t="n"/>
      <c r="T230" s="47" t="n"/>
      <c r="U230" s="47" t="n"/>
      <c r="V230" s="47" t="n"/>
      <c r="W230" s="47" t="n"/>
      <c r="X230" s="47" t="n"/>
      <c r="Y230" s="47" t="n"/>
      <c r="Z230" s="47" t="n"/>
    </row>
    <row r="231" ht="15.75" customHeight="1" s="185">
      <c r="A231" s="52">
        <f>row()-3</f>
        <v/>
      </c>
      <c r="B231" s="46" t="inlineStr">
        <is>
          <t>INTP（論理学者）の性格・特徴は？相性や向いている仕事も解説！</t>
        </is>
      </c>
      <c r="C231" s="6" t="inlineStr">
        <is>
          <t>https://dym.asia/media/recruiting/intp/#index-INTP-3INTP-3toc</t>
        </is>
      </c>
      <c r="D231" s="47" t="inlineStr">
        <is>
          <t>intp 性格</t>
        </is>
      </c>
      <c r="E231" s="35" t="n">
        <v>1</v>
      </c>
      <c r="F231" s="36" t="n">
        <v>6.115819674058745</v>
      </c>
      <c r="G231" s="47" t="n"/>
      <c r="H231" s="47" t="n"/>
      <c r="I231" s="47" t="inlineStr">
        <is>
          <t>1つ上の記事と同じでした。</t>
        </is>
      </c>
      <c r="J231" s="47" t="n"/>
      <c r="K231" s="47" t="inlineStr">
        <is>
          <t>未確認</t>
        </is>
      </c>
      <c r="L231" s="47" t="inlineStr">
        <is>
          <t>未確認</t>
        </is>
      </c>
      <c r="M231" s="47" t="n"/>
      <c r="N231" s="47" t="n"/>
      <c r="O231" s="47" t="n"/>
      <c r="P231" s="47" t="n"/>
      <c r="Q231" s="47" t="n"/>
      <c r="R231" s="47" t="n"/>
      <c r="S231" s="47" t="n"/>
      <c r="T231" s="47" t="n"/>
      <c r="U231" s="47" t="n"/>
      <c r="V231" s="47" t="n"/>
      <c r="W231" s="47" t="n"/>
      <c r="X231" s="47" t="n"/>
      <c r="Y231" s="47" t="n"/>
      <c r="Z231" s="47" t="n"/>
    </row>
    <row r="232" ht="15.75" customHeight="1" s="185">
      <c r="A232" s="52">
        <f>row()-3</f>
        <v/>
      </c>
      <c r="B232" s="46" t="inlineStr">
        <is>
          <t>INTP（論理学者）の性格・特徴は？相性や向いている仕事も解説！</t>
        </is>
      </c>
      <c r="C232" s="6" t="inlineStr">
        <is>
          <t>https://dym.asia/media/recruiting/intp/#index-INTP-7INTP-7toc</t>
        </is>
      </c>
      <c r="D232" s="47" t="inlineStr">
        <is>
          <t>論理学者 性格</t>
        </is>
      </c>
      <c r="E232" s="35" t="n">
        <v>1</v>
      </c>
      <c r="F232" s="36" t="n">
        <v>5.949928724162509</v>
      </c>
      <c r="G232" s="47" t="n"/>
      <c r="H232" s="47" t="n"/>
      <c r="I232" s="47" t="inlineStr">
        <is>
          <t>1つ上の記事と同じでした。</t>
        </is>
      </c>
      <c r="J232" s="47" t="n"/>
      <c r="K232" s="47" t="inlineStr">
        <is>
          <t>未確認</t>
        </is>
      </c>
      <c r="L232" s="47" t="inlineStr">
        <is>
          <t>未確認</t>
        </is>
      </c>
      <c r="M232" s="47" t="n"/>
      <c r="N232" s="47" t="n"/>
      <c r="O232" s="47" t="n"/>
      <c r="P232" s="47" t="n"/>
      <c r="Q232" s="47" t="n"/>
      <c r="R232" s="47" t="n"/>
      <c r="S232" s="47" t="n"/>
      <c r="T232" s="47" t="n"/>
      <c r="U232" s="47" t="n"/>
      <c r="V232" s="47" t="n"/>
      <c r="W232" s="47" t="n"/>
      <c r="X232" s="47" t="n"/>
      <c r="Y232" s="47" t="n"/>
      <c r="Z232" s="47" t="n"/>
    </row>
    <row r="233" ht="15.75" customHeight="1" s="185">
      <c r="A233" s="52">
        <f>row()-3</f>
        <v/>
      </c>
      <c r="B233" s="46" t="inlineStr">
        <is>
          <t>INTP（論理学者）の性格・特徴は？相性や向いている仕事も解説！</t>
        </is>
      </c>
      <c r="C233" s="6" t="inlineStr">
        <is>
          <t>https://dym.asia/media/recruiting/intp/#index-INTP-8INTP-8toc</t>
        </is>
      </c>
      <c r="D233" s="47" t="inlineStr">
        <is>
          <t>intp どんな人</t>
        </is>
      </c>
      <c r="E233" s="35" t="n">
        <v>1</v>
      </c>
      <c r="F233" s="36" t="n">
        <v>4.115535889872174</v>
      </c>
      <c r="G233" s="47" t="n"/>
      <c r="H233" s="47" t="n"/>
      <c r="I233" s="47" t="inlineStr">
        <is>
          <t>1つ上の記事と同じでした。</t>
        </is>
      </c>
      <c r="J233" s="47" t="n"/>
      <c r="K233" s="47" t="inlineStr">
        <is>
          <t>未確認</t>
        </is>
      </c>
      <c r="L233" s="47" t="inlineStr">
        <is>
          <t>未確認</t>
        </is>
      </c>
      <c r="M233" s="47" t="n"/>
      <c r="N233" s="47" t="n"/>
      <c r="O233" s="47" t="n"/>
      <c r="P233" s="47" t="n"/>
      <c r="Q233" s="47" t="n"/>
      <c r="R233" s="47" t="n"/>
      <c r="S233" s="47" t="n"/>
      <c r="T233" s="47" t="n"/>
      <c r="U233" s="47" t="n"/>
      <c r="V233" s="47" t="n"/>
      <c r="W233" s="47" t="n"/>
      <c r="X233" s="47" t="n"/>
      <c r="Y233" s="47" t="n"/>
      <c r="Z233" s="47" t="n"/>
    </row>
    <row r="234" ht="15.75" customHeight="1" s="185">
      <c r="A234" s="52">
        <f>row()-3</f>
        <v/>
      </c>
      <c r="B234" s="46" t="inlineStr">
        <is>
          <t>ISFJ（擁護者）の性格と相性：特徴や恋愛、仕事も解説</t>
        </is>
      </c>
      <c r="C234" s="6" t="inlineStr">
        <is>
          <t>https://dym.asia/media/recruiting/isfj/#index-ISFJ-TISFJ-AISFJ-TISFJ-Atoc</t>
        </is>
      </c>
      <c r="D234" s="47" t="inlineStr">
        <is>
          <t>isfj-t</t>
        </is>
      </c>
      <c r="E234" s="35" t="n">
        <v>1</v>
      </c>
      <c r="F234" s="36" t="n">
        <v>6.195686480799579</v>
      </c>
      <c r="G234" s="47" t="n"/>
      <c r="H234" s="47" t="n"/>
      <c r="I234" s="47" t="inlineStr">
        <is>
          <t>1つ上の記事と同じでした。</t>
        </is>
      </c>
      <c r="J234" s="47" t="n"/>
      <c r="K234" s="47" t="inlineStr">
        <is>
          <t>未確認</t>
        </is>
      </c>
      <c r="L234" s="47" t="inlineStr">
        <is>
          <t>未確認</t>
        </is>
      </c>
      <c r="M234" s="47" t="n"/>
      <c r="N234" s="47" t="n"/>
      <c r="O234" s="47" t="n"/>
      <c r="P234" s="47" t="n"/>
      <c r="Q234" s="47" t="n"/>
      <c r="R234" s="47" t="n"/>
      <c r="S234" s="47" t="n"/>
      <c r="T234" s="47" t="n"/>
      <c r="U234" s="47" t="n"/>
      <c r="V234" s="47" t="n"/>
      <c r="W234" s="47" t="n"/>
      <c r="X234" s="47" t="n"/>
      <c r="Y234" s="47" t="n"/>
      <c r="Z234" s="47" t="n"/>
    </row>
    <row r="235" ht="15.75" customHeight="1" s="185">
      <c r="A235" s="52">
        <f>row()-3</f>
        <v/>
      </c>
      <c r="B235" s="46" t="inlineStr">
        <is>
          <t>ISTJ（管理者）の性格と恋愛傾向は？仕事や相性も解説！</t>
        </is>
      </c>
      <c r="C235" s="6" t="inlineStr">
        <is>
          <t>https://dym.asia/media/recruiting/istj/#index-ISTJ-13ISTJ-13toc</t>
        </is>
      </c>
      <c r="D235" s="47" t="inlineStr">
        <is>
          <t>管理者</t>
        </is>
      </c>
      <c r="E235" s="35" t="n">
        <v>1</v>
      </c>
      <c r="F235" s="36" t="n">
        <v>4.94011790257524</v>
      </c>
      <c r="G235" s="47" t="inlineStr">
        <is>
          <t>なし</t>
        </is>
      </c>
      <c r="H235" s="47" t="inlineStr">
        <is>
          <t>可</t>
        </is>
      </c>
      <c r="I235" s="10" t="inlineStr">
        <is>
          <t>Q: ISTJ（管理者型）が仕事で最も能力を発揮しやすいのは、どのような環境や職種ですか？
A: ISTJは、ルールや構造がはっきりしていて、正確さや責任感が求められる環境で力を発揮します。経理や監査、法務、システム管理者、厳密な規則に基づくエンジニアリングなどの職種が適しています。地道な努力と計画性によって、組織の安定や効率化に大きく貢献できます。　　　　　　　　　　　　　　　　　　　　　　　　　　　　　　　　　　　　　
　　　　　　　　　　　　　　　　　　　　　　　　　　　　　　　　　　　　　　　　　　　　　　　　　　　　　　　　　　　　　　　　　　Q: ISTJ（管理者型）がチームメンバーや上司と良好な人間関係を築くための秘訣は何ですか？
A: ISTJは論理や事実を重視するため、曖昧な表現は避け、具体的なデータや根拠に基づいて話すことが大切です。また、感情表現が苦手なため、口頭だけでなくメールや文書で感謝や評価を伝えると、信頼関係を深めやすくなります。
　　　　　　　　　　　　　　　　　　　　　　　　　　　　Q: ISTJ（管理者型）は変化を嫌う傾向がありますが、キャリアチェンジや新しいスキル習得にどう向き合うべきですか？
A: ISTJが変化を避けるのは、予測できないリスクを避けたいからです。新しい挑戦に取り組む際は、綿密な計画と準備を行うことで不安を減らせます。キャリアチェンジやスキル習得も、長期的な安定や確実な成長という目標と結びつけて段階的に進めると、持ち前の粘り強さと継続力を活かせます。
株式会社DYMでは、求職者様に対して様々な就職支援サービスを提供しております。
お問い合わせはこちら↓
https://dym.asia/media/recruiting-contact/</t>
        </is>
      </c>
      <c r="J235" s="47" t="n"/>
      <c r="K235" s="47" t="inlineStr">
        <is>
          <t>未確認</t>
        </is>
      </c>
      <c r="L235" s="47" t="inlineStr">
        <is>
          <t>未確認</t>
        </is>
      </c>
      <c r="M235" s="47" t="n"/>
      <c r="N235" s="47" t="n"/>
      <c r="O235" s="47" t="n"/>
      <c r="P235" s="47" t="n"/>
      <c r="Q235" s="47" t="n"/>
      <c r="R235" s="47" t="n"/>
      <c r="S235" s="47" t="n"/>
      <c r="T235" s="47" t="n"/>
      <c r="U235" s="47" t="n"/>
      <c r="V235" s="47" t="n"/>
      <c r="W235" s="47" t="n"/>
      <c r="X235" s="47" t="n"/>
      <c r="Y235" s="47" t="n"/>
      <c r="Z235" s="47" t="n"/>
    </row>
    <row r="236" ht="15.75" customHeight="1" s="185">
      <c r="A236" s="52">
        <f>row()-3</f>
        <v/>
      </c>
      <c r="B236" s="46" t="inlineStr">
        <is>
          <t>ISTJ（管理者）の性格と恋愛傾向は？仕事や相性も解説！</t>
        </is>
      </c>
      <c r="C236" s="10" t="inlineStr">
        <is>
          <t>https://dym.asia/media/recruiting/istj/#index-ISTJ-4ISTJ-4toc</t>
        </is>
      </c>
      <c r="D236" s="47" t="inlineStr">
        <is>
          <t>管理者</t>
        </is>
      </c>
      <c r="E236" s="35" t="n">
        <v>1</v>
      </c>
      <c r="F236" s="36" t="n">
        <v>4.986555566915449</v>
      </c>
      <c r="G236" s="47" t="n"/>
      <c r="H236" s="47" t="n"/>
      <c r="I236" s="47" t="inlineStr">
        <is>
          <t>1つ上の記事と同じでした。</t>
        </is>
      </c>
      <c r="J236" s="47" t="n"/>
      <c r="K236" s="47" t="inlineStr">
        <is>
          <t>未確認</t>
        </is>
      </c>
      <c r="L236" s="47" t="inlineStr">
        <is>
          <t>未確認</t>
        </is>
      </c>
      <c r="M236" s="47" t="n"/>
      <c r="N236" s="47" t="n"/>
      <c r="O236" s="47" t="n"/>
      <c r="P236" s="47" t="n"/>
      <c r="Q236" s="47" t="n"/>
      <c r="R236" s="47" t="n"/>
      <c r="S236" s="47" t="n"/>
      <c r="T236" s="47" t="n"/>
      <c r="U236" s="47" t="n"/>
      <c r="V236" s="47" t="n"/>
      <c r="W236" s="47" t="n"/>
      <c r="X236" s="47" t="n"/>
      <c r="Y236" s="47" t="n"/>
      <c r="Z236" s="47" t="n"/>
    </row>
    <row r="237" ht="15.75" customHeight="1" s="185">
      <c r="A237" s="52">
        <f>row()-3</f>
        <v/>
      </c>
      <c r="B237" s="46" t="inlineStr">
        <is>
          <t>ISTJ（管理者）の性格と恋愛傾向は？仕事や相性も解説！</t>
        </is>
      </c>
      <c r="C237" s="6" t="inlineStr">
        <is>
          <t>https://dym.asia/media/recruiting/istj/#index-ISTJ-9ISTJ-9toc</t>
        </is>
      </c>
      <c r="D237" s="47" t="inlineStr">
        <is>
          <t>istj 恋愛 男</t>
        </is>
      </c>
      <c r="E237" s="35" t="n">
        <v>1</v>
      </c>
      <c r="F237" s="36" t="n">
        <v>1.065217391304348</v>
      </c>
      <c r="G237" s="47" t="n"/>
      <c r="H237" s="47" t="n"/>
      <c r="I237" s="47" t="inlineStr">
        <is>
          <t>1つ上の記事と同じでした。</t>
        </is>
      </c>
      <c r="J237" s="47" t="n"/>
      <c r="K237" s="47" t="inlineStr">
        <is>
          <t>未確認</t>
        </is>
      </c>
      <c r="L237" s="47" t="inlineStr">
        <is>
          <t>未確認</t>
        </is>
      </c>
      <c r="M237" s="47" t="n"/>
      <c r="N237" s="47" t="n"/>
      <c r="O237" s="47" t="n"/>
      <c r="P237" s="47" t="n"/>
      <c r="Q237" s="47" t="n"/>
      <c r="R237" s="47" t="n"/>
      <c r="S237" s="47" t="n"/>
      <c r="T237" s="47" t="n"/>
      <c r="U237" s="47" t="n"/>
      <c r="V237" s="47" t="n"/>
      <c r="W237" s="47" t="n"/>
      <c r="X237" s="47" t="n"/>
      <c r="Y237" s="47" t="n"/>
      <c r="Z237" s="47" t="n"/>
    </row>
    <row r="238" ht="15.75" customHeight="1" s="185">
      <c r="A238" s="52">
        <f>row()-3</f>
        <v/>
      </c>
      <c r="B238" s="46" t="inlineStr">
        <is>
          <t>ISTP（巨匠）の性格と相性｜16Personalities診断でわかる特徴</t>
        </is>
      </c>
      <c r="C238" s="6" t="inlineStr">
        <is>
          <t>https://dym.asia/media/recruiting/istp/#index-ISTP-2ISTP-2toc</t>
        </is>
      </c>
      <c r="D238" s="47" t="inlineStr">
        <is>
          <t>巨匠 性格</t>
        </is>
      </c>
      <c r="E238" s="35" t="n">
        <v>1</v>
      </c>
      <c r="F238" s="36" t="n">
        <v>5.824170616113744</v>
      </c>
      <c r="G238" s="47" t="inlineStr">
        <is>
          <t>なし</t>
        </is>
      </c>
      <c r="H238" s="47" t="inlineStr">
        <is>
          <t>可</t>
        </is>
      </c>
      <c r="I238" s="10" t="inlineStr">
        <is>
          <t>Q: ISTP（巨匠型）は、仕事においてどのような環境や役割で最も能力を発揮できますか？
A: ISTPは、手を使う作業や論理的な問題解決、自由に裁量を持てる環境で特に力を発揮します。技術者やエンジニア、職人のように独立して作業を進め、具体的な成果を求められる役割が向いています。逆に、単調な事務作業や厳格なルールで縛られる環境は苦手です。　　　　　　　　　　　　　　　　　　　　　　　　　　　　　　　　　
Q: ISTP（巨匠型）が、職場の人間関係を円滑にするために意識すべきことは何ですか？
A: ISTPは感情を表に出すのが苦手で、時に冷たい印象を与えがちです。円滑な関係を築くには、自分の考えや意図を意識して言葉にすることが大切です。また、周囲の感情や努力に気づき、感謝やねぎらいの言葉を適度に伝えることで、チームの信頼関係を深められます。
Q: ISTP（巨匠型）が恋人やパートナーに求める傾向や、良好な関係を築くための秘訣は何ですか？
A: ISTPは自立していて束縛しないことや、個人の時間や空間を尊重してくれることを重視します。良い関係を築くには、過度な干渉を避け、一緒に体を動かす活動や共通の趣味を楽しむことがポイントです。ISTPは言葉よりも行動で愛情を示すため、その表現方法を理解することが大切です。
株式会社DYMでは、求職者様に対して様々な就職支援サービスを提供しております。
お問い合わせはこちら↓
https://dym.asia/media/recruiting-contact/</t>
        </is>
      </c>
      <c r="J238" s="47" t="n"/>
      <c r="K238" s="47" t="inlineStr">
        <is>
          <t>未確認</t>
        </is>
      </c>
      <c r="L238" s="47" t="inlineStr">
        <is>
          <t>未確認</t>
        </is>
      </c>
      <c r="M238" s="47" t="n"/>
      <c r="N238" s="47" t="n"/>
      <c r="O238" s="47" t="n"/>
      <c r="P238" s="47" t="n"/>
      <c r="Q238" s="47" t="n"/>
      <c r="R238" s="47" t="n"/>
      <c r="S238" s="47" t="n"/>
      <c r="T238" s="47" t="n"/>
      <c r="U238" s="47" t="n"/>
      <c r="V238" s="47" t="n"/>
      <c r="W238" s="47" t="n"/>
      <c r="X238" s="47" t="n"/>
      <c r="Y238" s="47" t="n"/>
      <c r="Z238" s="47" t="n"/>
    </row>
    <row r="239" ht="15.75" customHeight="1" s="185">
      <c r="A239" s="52">
        <f>row()-3</f>
        <v/>
      </c>
      <c r="B239" s="46" t="inlineStr">
        <is>
          <t>ISTP（巨匠）の性格と相性｜16Personalities診断でわかる特徴</t>
        </is>
      </c>
      <c r="C239" s="6" t="inlineStr">
        <is>
          <t>https://dym.asia/media/recruiting/istp/#index-ISTP-7ISTP-7toc</t>
        </is>
      </c>
      <c r="D239" s="47" t="inlineStr">
        <is>
          <t>istp 雰囲気</t>
        </is>
      </c>
      <c r="E239" s="35" t="n">
        <v>1</v>
      </c>
      <c r="F239" s="36" t="n">
        <v>11.21739130434783</v>
      </c>
      <c r="G239" s="47" t="n"/>
      <c r="H239" s="47" t="n"/>
      <c r="I239" s="47" t="inlineStr">
        <is>
          <t>1つ上の記事と同じでした。</t>
        </is>
      </c>
      <c r="J239" s="47" t="n"/>
      <c r="K239" s="47" t="inlineStr">
        <is>
          <t>未確認</t>
        </is>
      </c>
      <c r="L239" s="47" t="inlineStr">
        <is>
          <t>未確認</t>
        </is>
      </c>
      <c r="M239" s="47" t="n"/>
      <c r="N239" s="47" t="n"/>
      <c r="O239" s="47" t="n"/>
      <c r="P239" s="47" t="n"/>
      <c r="Q239" s="47" t="n"/>
      <c r="R239" s="47" t="n"/>
      <c r="S239" s="47" t="n"/>
      <c r="T239" s="47" t="n"/>
      <c r="U239" s="47" t="n"/>
      <c r="V239" s="47" t="n"/>
      <c r="W239" s="47" t="n"/>
      <c r="X239" s="47" t="n"/>
      <c r="Y239" s="47" t="n"/>
      <c r="Z239" s="47" t="n"/>
    </row>
    <row r="240" ht="15.75" customHeight="1" s="185">
      <c r="A240" s="52">
        <f>row()-3</f>
        <v/>
      </c>
      <c r="B240" s="46" t="inlineStr">
        <is>
          <t>ISTP（巨匠）の性格と相性｜16Personalities診断でわかる特徴</t>
        </is>
      </c>
      <c r="C240" s="6" t="inlineStr">
        <is>
          <t>https://dym.asia/media/recruiting/istp/#index-ISTPISTPtoc</t>
        </is>
      </c>
      <c r="D240" s="47" t="inlineStr">
        <is>
          <t>istp 巨匠</t>
        </is>
      </c>
      <c r="E240" s="35" t="n">
        <v>1</v>
      </c>
      <c r="F240" s="36" t="n">
        <v>4.178571428571429</v>
      </c>
      <c r="G240" s="47" t="n"/>
      <c r="H240" s="47" t="n"/>
      <c r="I240" s="47" t="inlineStr">
        <is>
          <t>1つ上の記事と同じでした。</t>
        </is>
      </c>
      <c r="J240" s="47" t="n"/>
      <c r="K240" s="47" t="inlineStr">
        <is>
          <t>未確認</t>
        </is>
      </c>
      <c r="L240" s="47" t="inlineStr">
        <is>
          <t>未確認</t>
        </is>
      </c>
      <c r="M240" s="47" t="n"/>
      <c r="N240" s="47" t="n"/>
      <c r="O240" s="47" t="n"/>
      <c r="P240" s="47" t="n"/>
      <c r="Q240" s="47" t="n"/>
      <c r="R240" s="47" t="n"/>
      <c r="S240" s="47" t="n"/>
      <c r="T240" s="47" t="n"/>
      <c r="U240" s="47" t="n"/>
      <c r="V240" s="47" t="n"/>
      <c r="W240" s="47" t="n"/>
      <c r="X240" s="47" t="n"/>
      <c r="Y240" s="47" t="n"/>
      <c r="Z240" s="47" t="n"/>
    </row>
    <row r="241" ht="15.75" customHeight="1" s="185">
      <c r="A241" s="52">
        <f>row()-3</f>
        <v/>
      </c>
      <c r="B241" s="46" t="inlineStr">
        <is>
          <t>企業選びの軸を聞かれたら？例文と決め方を紹介</t>
        </is>
      </c>
      <c r="C241" s="6" t="inlineStr">
        <is>
          <t>https://dym.asia/media/recruiting/jobselect-important/#index</t>
        </is>
      </c>
      <c r="D241" s="47" t="inlineStr">
        <is>
          <t>企業選びで重視すること 例文 転職</t>
        </is>
      </c>
      <c r="E241" s="35" t="n">
        <v>1</v>
      </c>
      <c r="F241" s="36" t="n">
        <v>3.39080459770115</v>
      </c>
      <c r="G241" s="47" t="inlineStr">
        <is>
          <t>なし</t>
        </is>
      </c>
      <c r="H241" s="47" t="inlineStr">
        <is>
          <t>可</t>
        </is>
      </c>
      <c r="I241" s="10" t="inlineStr">
        <is>
          <t>Q: 仕事を選ぶ際、「やりがい」と「給与・待遇」のどちらを優先すべきですか？
A: どちらか片方だけを重視するのではなく、両方のバランスが大切です。給与や待遇は生活の基盤を支えるもので、不安なく働くために必要です。一方、やりがいは仕事を続けるモチベーションになります。まずは生活に困らない給与の目安を決め、その範囲内で最もやりがいを感じられる仕事を選ぶのが現実的で理想的です。　　　　　　　　　　　　　　　　　　　　　　
Q: 職場の人間関係を重視して仕事を選ぶのは、キャリア形成において不利になりますか？
A: 不利にはなりません。職場の人間関係は、仕事の継続や精神的な健康に直結する重要な要素です。良好な人間関係がある環境ではストレスが少なく、自然とパフォーマンスも上がります。企業文化や職場の雰囲気は、面接やOB・OG訪問を通じて確認するとよいでしょう。
Q: 「未経験の職種」と「経験のある職種」のどちらに転職すべきか、判断基準を教えてください。
A: 基準は将来のキャリア目標によります。未経験の職種は、新しい分野で汎用的なスキルを活かし、キャリアチェンジを目指す場合に向いています。経験のある職種は、専門性をさらに深めたり、待遇や環境の向上を目指すキャリアアップに適しています。自己分析で目標を明確にすることが判断のポイントです。　　　　　　　　　　　　　　　　　　　　　　　　　　　　　　　　　　　　　　　　　　　　　　　　　　　　　　
株式会社DYMでは、求職者様に対して様々な就職支援サービスを提供しております。
お問い合わせはこちら↓
https://dym.asia/media/recruiting-contact/</t>
        </is>
      </c>
      <c r="J241" s="47" t="n"/>
      <c r="K241" s="47" t="inlineStr">
        <is>
          <t>未確認</t>
        </is>
      </c>
      <c r="L241" s="47" t="inlineStr">
        <is>
          <t>未確認</t>
        </is>
      </c>
      <c r="M241" s="47" t="n"/>
      <c r="N241" s="47" t="n"/>
      <c r="O241" s="47" t="n"/>
      <c r="P241" s="47" t="n"/>
      <c r="Q241" s="47" t="n"/>
      <c r="R241" s="47" t="n"/>
      <c r="S241" s="47" t="n"/>
      <c r="T241" s="47" t="n"/>
      <c r="U241" s="47" t="n"/>
      <c r="V241" s="47" t="n"/>
      <c r="W241" s="47" t="n"/>
      <c r="X241" s="47" t="n"/>
      <c r="Y241" s="47" t="n"/>
      <c r="Z241" s="47" t="n"/>
    </row>
    <row r="242" ht="15.75" customHeight="1" s="185">
      <c r="A242" s="52">
        <f>row()-3</f>
        <v/>
      </c>
      <c r="B242" s="46" t="inlineStr">
        <is>
          <t>企業選びの軸を聞かれたら？例文と決め方を紹介</t>
        </is>
      </c>
      <c r="C242" s="6" t="inlineStr">
        <is>
          <t>https://dym.asia/media/recruiting/jobselect-important/#index-44toc</t>
        </is>
      </c>
      <c r="D242" s="47" t="inlineStr">
        <is>
          <t>企業を選ぶ上で重視していること 例</t>
        </is>
      </c>
      <c r="E242" s="35" t="n">
        <v>1</v>
      </c>
      <c r="F242" s="36" t="n">
        <v>3.233082706766917</v>
      </c>
      <c r="G242" s="47" t="n"/>
      <c r="H242" s="47" t="n"/>
      <c r="I242" s="47" t="inlineStr">
        <is>
          <t>1つ上の記事と同じでした。</t>
        </is>
      </c>
      <c r="J242" s="47" t="n"/>
      <c r="K242" s="47" t="inlineStr">
        <is>
          <t>未確認</t>
        </is>
      </c>
      <c r="L242" s="47" t="inlineStr">
        <is>
          <t>未確認</t>
        </is>
      </c>
      <c r="M242" s="47" t="n"/>
      <c r="N242" s="47" t="n"/>
      <c r="O242" s="47" t="n"/>
      <c r="P242" s="47" t="n"/>
      <c r="Q242" s="47" t="n"/>
      <c r="R242" s="47" t="n"/>
      <c r="S242" s="47" t="n"/>
      <c r="T242" s="47" t="n"/>
      <c r="U242" s="47" t="n"/>
      <c r="V242" s="47" t="n"/>
      <c r="W242" s="47" t="n"/>
      <c r="X242" s="47" t="n"/>
      <c r="Y242" s="47" t="n"/>
      <c r="Z242" s="47" t="n"/>
    </row>
    <row r="243" ht="15.75" customHeight="1" s="185">
      <c r="A243" s="52">
        <f>row()-3</f>
        <v/>
      </c>
      <c r="B243" s="46" t="inlineStr">
        <is>
          <t>企業選びの軸を聞かれたら？例文と決め方を紹介</t>
        </is>
      </c>
      <c r="C243" s="6" t="inlineStr">
        <is>
          <t>https://dym.asia/media/recruiting/jobselect-important/#index-66toc</t>
        </is>
      </c>
      <c r="D243" s="47" t="inlineStr">
        <is>
          <t>企業選びで重視すること 例文</t>
        </is>
      </c>
      <c r="E243" s="35" t="n">
        <v>1</v>
      </c>
      <c r="F243" s="36" t="n">
        <v>3.252336448598131</v>
      </c>
      <c r="G243" s="47" t="n"/>
      <c r="H243" s="47" t="n"/>
      <c r="I243" s="47" t="inlineStr">
        <is>
          <t>1つ上の記事と同じでした。</t>
        </is>
      </c>
      <c r="J243" s="47" t="n"/>
      <c r="K243" s="47" t="inlineStr">
        <is>
          <t>未確認</t>
        </is>
      </c>
      <c r="L243" s="47" t="inlineStr">
        <is>
          <t>未確認</t>
        </is>
      </c>
      <c r="M243" s="47" t="n"/>
      <c r="N243" s="47" t="n"/>
      <c r="O243" s="47" t="n"/>
      <c r="P243" s="47" t="n"/>
      <c r="Q243" s="47" t="n"/>
      <c r="R243" s="47" t="n"/>
      <c r="S243" s="47" t="n"/>
      <c r="T243" s="47" t="n"/>
      <c r="U243" s="47" t="n"/>
      <c r="V243" s="47" t="n"/>
      <c r="W243" s="47" t="n"/>
      <c r="X243" s="47" t="n"/>
      <c r="Y243" s="47" t="n"/>
      <c r="Z243" s="47" t="n"/>
    </row>
    <row r="244" ht="15.75" customHeight="1" s="185">
      <c r="A244" s="52">
        <f>row()-3</f>
        <v/>
      </c>
      <c r="B244" s="46" t="inlineStr">
        <is>
          <t>リスティング広告を自分で始める！設定方法と効果的な運用</t>
        </is>
      </c>
      <c r="C244" s="6" t="inlineStr">
        <is>
          <t>https://dym.asia/media/recruiting/listing-personal/</t>
        </is>
      </c>
      <c r="D244" s="47" t="inlineStr">
        <is>
          <t>リスティング広告 自分で</t>
        </is>
      </c>
      <c r="E244" s="35" t="n">
        <v>1</v>
      </c>
      <c r="F244" s="36" t="n">
        <v>8.943243243243243</v>
      </c>
      <c r="G244" s="47" t="inlineStr">
        <is>
          <t>なし</t>
        </is>
      </c>
      <c r="H244" s="47" t="inlineStr">
        <is>
          <t>可</t>
        </is>
      </c>
      <c r="I244" s="10" t="inlineStr">
        <is>
          <t>Q: 上場企業と非上場企業で、従業員の給与や福利厚生に違いは出やすいですか？
A: 一般的には上場企業の方が給与や福利厚生が整っている傾向があります。上場企業は資金力があり、社会的な信用も高いためです。ただし、非上場企業でも特定の分野で高い収益を上げている会社やオーナー企業では、上場企業を上回る待遇が用意されている場合もあります。
Q: 上場企業に就職するメリットと、非上場企業に就職するメリットをそれぞれ教えてください。
A: 上場企業のメリットは、安定性が高く社会的信用もあり、福利厚生が充実していることに加え、大規模な事業に関われるチャンスがある点です。一方、非上場企業は経営判断が早く、少人数で幅広い業務を経験でき、アットホームな社風の会社が多いことが魅力です。
　　　　　　　　　　　　　　　　　　　　　　　　　　　　　　　　　　　　　　　　　　　　　　　　　　　　　　　　　　　　　Q: 上場企業に転職する際、求職者が特に準備・アピールすべき点は何ですか？　　　　　　　　　　　　　　　　　　　　　　　　A: 上場企業では、組織内での協調性や規律、論理的な思考力が重視されます。過去の経験は具体的な数字を用いて示し、再現性のあるスキルをアピールすることが有効です。また、コンプライアンス意識や大規模組織での適応力も重要視されるため、その点を意識した準備が求められます。　　　　　　　　　　　　　　　　　　　　　　
株式会社DYMでは、求職者様に対して様々な就職支援サービスを提供しております。
お問い合わせはこちら↓
https://dym.asia/media/recruiting-contact/</t>
        </is>
      </c>
      <c r="J244" s="47" t="n"/>
      <c r="K244" s="47" t="inlineStr">
        <is>
          <t>未確認</t>
        </is>
      </c>
      <c r="L244" s="47" t="inlineStr">
        <is>
          <t>未確認</t>
        </is>
      </c>
      <c r="M244" s="47" t="n"/>
      <c r="N244" s="47" t="n"/>
      <c r="O244" s="47" t="n"/>
      <c r="P244" s="47" t="n"/>
      <c r="Q244" s="47" t="n"/>
      <c r="R244" s="47" t="n"/>
      <c r="S244" s="47" t="n"/>
      <c r="T244" s="47" t="n"/>
      <c r="U244" s="47" t="n"/>
      <c r="V244" s="47" t="n"/>
      <c r="W244" s="47" t="n"/>
      <c r="X244" s="47" t="n"/>
      <c r="Y244" s="47" t="n"/>
      <c r="Z244" s="47" t="n"/>
    </row>
    <row r="245" ht="15.75" customHeight="1" s="185">
      <c r="A245" s="52">
        <f>row()-3</f>
        <v/>
      </c>
      <c r="B245" s="46" t="inlineStr">
        <is>
          <t>「産休」・「育休」いつから？ 取得条件や期間、手当の仕組み</t>
        </is>
      </c>
      <c r="C245" s="6" t="inlineStr">
        <is>
          <t>https://dym.asia/media/recruiting/maternity-leave-when/</t>
        </is>
      </c>
      <c r="D245" s="47" t="inlineStr">
        <is>
          <t>産休 仕組み</t>
        </is>
      </c>
      <c r="E245" s="35" t="n">
        <v>1</v>
      </c>
      <c r="F245" s="36" t="n">
        <v>9.456140350877194</v>
      </c>
      <c r="G245" s="47" t="inlineStr">
        <is>
          <t>なし</t>
        </is>
      </c>
      <c r="H245" s="47" t="inlineStr">
        <is>
          <t>可</t>
        </is>
      </c>
      <c r="I245" s="10" t="inlineStr">
        <is>
          <t>Q: 産前産後休業と育児休業は、いつからいつまで取得できますか？
A: 産前休業は出産予定日の6週間前から取得できます（多胎妊娠の場合は14週間前）。産後休業は出産の翌日から8週間で、産後6週間を過ぎて医師の許可があれば就業も可能です。育児休業は、産後休業が終わった翌日から原則として子どもが1歳になるまで取得できます。
　　　　　　　　　　　　　　　　　　　　　　　　　　　　　　　　　　　　　　　　　　　　　　　　　　　　　　　　　　　　　　　Q: 産休・育休を取得する際、会社にいつまでに申請（相談）するのが適切ですか？
A: 育児休業の法律上の申請期限は休業開始の1ヶ月前ですが、業務調整のためにも、妊娠が分かった時点で直属の上司に相談を始めるのが望ましいです。遅くとも産前休業開始の2週間前までには、会社の所定手続きを完了させましょう。
　　　　　　　　　　　　　　　　　　　　　　　　　　　　　　　　　　　　　　　　　　　　　　　　　　　　　　　　　　　　　　Q: 産休・育休中は給与が出ませんが、その間の生活費を賄うための公的な給付金はありますか？
A: はい、出産手当金と育児休業給付金があります。出産手当金は健康保険から、育児休業給付金は雇用保険から支給され、休業前の賃金の一定割合が支払われます。申請は会社を通じて行うことが多いため、人事や総務に確認して手続きを進めることが大切です。
株式会社DYMでは、求職者様に対して様々な就職支援サービスを提供しております。
お問い合わせはこちら↓
https://dym.asia/media/recruiting-contact/</t>
        </is>
      </c>
      <c r="J245" s="47" t="n"/>
      <c r="K245" s="47" t="inlineStr">
        <is>
          <t>未確認</t>
        </is>
      </c>
      <c r="L245" s="47" t="inlineStr">
        <is>
          <t>未確認</t>
        </is>
      </c>
      <c r="M245" s="47" t="n"/>
      <c r="N245" s="47" t="n"/>
      <c r="O245" s="47" t="n"/>
      <c r="P245" s="47" t="n"/>
      <c r="Q245" s="47" t="n"/>
      <c r="R245" s="47" t="n"/>
      <c r="S245" s="47" t="n"/>
      <c r="T245" s="47" t="n"/>
      <c r="U245" s="47" t="n"/>
      <c r="V245" s="47" t="n"/>
      <c r="W245" s="47" t="n"/>
      <c r="X245" s="47" t="n"/>
      <c r="Y245" s="47" t="n"/>
      <c r="Z245" s="47" t="n"/>
    </row>
    <row r="246" ht="15.75" customHeight="1" s="185">
      <c r="A246" s="52">
        <f>row()-3</f>
        <v/>
      </c>
      <c r="B246" s="46" t="inlineStr">
        <is>
          <t>面接練習のやり方｜一人で練習できる方法をご紹介！</t>
        </is>
      </c>
      <c r="C246" s="6" t="inlineStr">
        <is>
          <t>https://dym.asia/media/recruiting/mensetsu-practice-alone/</t>
        </is>
      </c>
      <c r="D246" s="47" t="inlineStr">
        <is>
          <t>dym ai面接</t>
        </is>
      </c>
      <c r="E246" s="35" t="n">
        <v>1</v>
      </c>
      <c r="F246" s="36" t="n">
        <v>11</v>
      </c>
      <c r="G246" s="47" t="inlineStr">
        <is>
          <t>なし</t>
        </is>
      </c>
      <c r="H246" s="47" t="inlineStr">
        <is>
          <t>可</t>
        </is>
      </c>
      <c r="I246" s="10" t="inlineStr">
        <is>
          <t>Q: 一人で面接練習をする際、鏡の前で練習するのと、動画を撮影して確認するのでは、どちらが効果的ですか？
A: 動画を撮影して後から客観的に確認する方が効果的です。鏡では姿勢や表情をその場でチェックできますが、話すスピードや声のトーン、話の構成や全体の印象までは見落としがちです。撮影した動画を見返して、面接官の立場になったつもりで自己評価すると改善点が明確になります。
　　　　　　　　　　　　　　　　　　　　　　　　　　　　　　　　　　　　　　　　　　　　　　　　　　　　　　　　　　　　　　Q: 面接の回答をすべて一字一句完璧に暗記して練習するべきですか？
A: 完全な暗記は避けましょう。暗記すると棒読みになりやすく、質問が少し変わるだけで対応できなくなることがあります。練習では話の「構成」と「結論」を押さえ、エピソードや補足は自然な言葉で話せるようにすると、本番でも柔軟に対応できます。　　　　　　　　　　　　　　　　　　　　　　　　　　　　　　　　　　　　　　　　　　　
　　　　　　　　　　　　　　　　　　　　　　　　　　　　　　　　　　　　　　　　　　　　　　　　　　　　　　　　　　　　　Q: 一人での練習で、面接官役を自分で演じる際のコツはありますか？
A: 面接官役を演じるときは、あえて厳しい質問をしたり、笑顔を見せなかったり、話を途中で遮ったりすると効果的です。これにより本番での予期せぬ質問や緊張にも対応しやすくなります。また、質問の順番をランダムに変えて練習するのも有効です。
株式会社DYMでは、求職者様に対して様々な就職支援サービスを提供しております。
お問い合わせはこちら↓
https://dym.asia/media/recruiting-contact/</t>
        </is>
      </c>
      <c r="J246" s="47" t="n"/>
      <c r="K246" s="47" t="inlineStr">
        <is>
          <t>未確認</t>
        </is>
      </c>
      <c r="L246" s="47" t="inlineStr">
        <is>
          <t>未確認</t>
        </is>
      </c>
      <c r="M246" s="47" t="n"/>
      <c r="N246" s="47" t="n"/>
      <c r="O246" s="47" t="n"/>
      <c r="P246" s="47" t="n"/>
      <c r="Q246" s="47" t="n"/>
      <c r="R246" s="47" t="n"/>
      <c r="S246" s="47" t="n"/>
      <c r="T246" s="47" t="n"/>
      <c r="U246" s="47" t="n"/>
      <c r="V246" s="47" t="n"/>
      <c r="W246" s="47" t="n"/>
      <c r="X246" s="47" t="n"/>
      <c r="Y246" s="47" t="n"/>
      <c r="Z246" s="47" t="n"/>
    </row>
    <row r="247" ht="15.75" customHeight="1" s="185">
      <c r="A247" s="52">
        <f>row()-3</f>
        <v/>
      </c>
      <c r="B247" s="46" t="inlineStr">
        <is>
          <t>【モチベーショングラフの書き方】メリットや就活活用術も紹介</t>
        </is>
      </c>
      <c r="C247" s="6" t="inlineStr">
        <is>
          <t>https://dym.asia/media/recruiting/motivation-graph/</t>
        </is>
      </c>
      <c r="D247" s="47" t="inlineStr">
        <is>
          <t>モチベーショングラフ</t>
        </is>
      </c>
      <c r="E247" s="35" t="n">
        <v>1</v>
      </c>
      <c r="F247" s="36" t="n">
        <v>21.1990171990172</v>
      </c>
      <c r="G247" s="47" t="inlineStr">
        <is>
          <t>なし</t>
        </is>
      </c>
      <c r="H247" s="47" t="inlineStr">
        <is>
          <t>可</t>
        </is>
      </c>
      <c r="I247" s="10" t="inlineStr">
        <is>
          <t>Q: モチベーショングラフを作成する際、どの年代の出来事から書き始め、どのくらいの期間を扱うべきですか？
A: 小学校高学年から中学生頃を起点に、現在までの人生全体を振り返るのが理想です。特に、現在の価値観や仕事への意欲につながった重要な出来事に注目すると、自分のモチベーションの傾向やパターンを把握しやすくなります。
　　　　　　　　　　　　　　　　　　　　　　　　　　　　　　　　　　　　　　　　　　　　　　　　　　　　　　　　　　　Q: グラフの変動幅が小さく、波の少ない人生を送っている場合、面接でどのようにアピールすれば良いですか？
A: 変動が少ないことは、環境の変化に強く、安定して高いパフォーマンスを発揮できる強みとして伝えられます。大きな出来事を無理に探すよりも、安定して努力を続けた時期や地道に目標を達成した経験を示すと、「着実に成果を積み重ねる粘り強さ」として評価されやすくなります。
　　　　　　　　　　　　　　　　　　　　　　　　　　　　　　　　　　　　　　　　　　　　　　　　　　　　　　　　　　　　Q: モチベーショングラフを面接で使う際、グラフそのものを面接官に見せるべきですか？
A: 基本的には見せる必要はありません。グラフは自己分析のためのツールで、面接ではその分析結果を説明することが目的です。つまり、波の起伏から読み取れる自分のモチベーションの源泉や行動パターンを論理的に話せば十分です。提出が求められた場合のみ、準備したものを提出しましょう。　　　　　　　　　　　　　　　　　　　　　　　　　　　　　　　　　　　　　　　　　　　　　　　　　　　　　　
株式会社DYMでは、求職者様に対して様々な就職支援サービスを提供しております。
お問い合わせはこちら↓
https://dym.asia/media/recruiting-contact/</t>
        </is>
      </c>
      <c r="J247" s="47" t="n"/>
      <c r="K247" s="47" t="inlineStr">
        <is>
          <t>未確認</t>
        </is>
      </c>
      <c r="L247" s="47" t="inlineStr">
        <is>
          <t>未確認</t>
        </is>
      </c>
      <c r="M247" s="47" t="n"/>
      <c r="N247" s="47" t="n"/>
      <c r="O247" s="47" t="n"/>
      <c r="P247" s="47" t="n"/>
      <c r="Q247" s="47" t="n"/>
      <c r="R247" s="47" t="n"/>
      <c r="S247" s="47" t="n"/>
      <c r="T247" s="47" t="n"/>
      <c r="U247" s="47" t="n"/>
      <c r="V247" s="47" t="n"/>
      <c r="W247" s="47" t="n"/>
      <c r="X247" s="47" t="n"/>
      <c r="Y247" s="47" t="n"/>
      <c r="Z247" s="47" t="n"/>
    </row>
    <row r="248" ht="15.75" customHeight="1" s="185">
      <c r="A248" s="52">
        <f>row()-3</f>
        <v/>
      </c>
      <c r="B248" s="46" t="inlineStr">
        <is>
          <t>新卒の就活面接マナー｜入退室から服装や持ち物、言葉遣いの重要性</t>
        </is>
      </c>
      <c r="C248" s="6" t="inlineStr">
        <is>
          <t>https://dym.asia/media/recruiting/new-graduate-interview-manners/</t>
        </is>
      </c>
      <c r="D248" s="47" t="inlineStr">
        <is>
          <t>対面面接マナー 新卒</t>
        </is>
      </c>
      <c r="E248" s="35" t="n">
        <v>1</v>
      </c>
      <c r="F248" s="36" t="n">
        <v>10.44444444444444</v>
      </c>
      <c r="G248" s="47" t="inlineStr">
        <is>
          <t>なし</t>
        </is>
      </c>
      <c r="H248" s="47" t="inlineStr">
        <is>
          <t>可</t>
        </is>
      </c>
      <c r="I248" s="47" t="inlineStr">
        <is>
          <t>Q: 面接会場には、約束の時間の何分前に到着し、何分前に受付をするのがベストですか？
A: 建物やエントランスには約束の10分から15分前に到着し、身だしなみや気持ちを整えるのがよいです。受付で氏名を伝えるのは、約束の時間の5分前が目安です。早すぎると相手の準備を妨げる場合があるので避け、余裕がある場合は近くのカフェなどで時間を調整するとスマートです。
　　　　　　　　　　　　　　　　　　　　　　　　　　　　　　　　　　　　　　　　　　　　　　　　　　　　　　　　　　　　　　　　　　　　　　　　　　　　　　　　　Q: 面接室の入室時、ノックは何回するのが正しいマナーですか？また、どのタイミングで「失礼いたします」と言うべきですか？
A: ノックは3回が基本です。ノックの後に「どうぞ」と返事をもらってから入室し、ドアを静かに閉めたら面接官に向き直り、一礼して「失礼いたします」と言います。
　　　　　　　　　　　　　　　　　　　　　　　　　　　　　　　　　　　　　　　　　　　　　　　　　　　　　　　　　　　　　　　Q: 面接終了後、退室する際にも注意すべきマナーはありますか？
A: 退室を促されたら、まず着席していた場所で感謝を込めて一礼し、「ありがとうございました」と伝えます。ドアまで進んだら面接官に向き直り、再度「失礼いたします」と一礼してから静かに退室します。最後まで丁寧な姿勢を保つことが大切です。　　　　　　　　　　　　　　　　　　　　　　
株式会社DYMでは、求職者様に対して様々な就職支援サービスを提供しております。
お問い合わせはこちら↓
https://dym.asia/media/recruiting-contact/</t>
        </is>
      </c>
      <c r="J248" s="47" t="n"/>
      <c r="K248" s="47" t="inlineStr">
        <is>
          <t>未確認</t>
        </is>
      </c>
      <c r="L248" s="47" t="inlineStr">
        <is>
          <t>未確認</t>
        </is>
      </c>
      <c r="M248" s="47" t="n"/>
      <c r="N248" s="47" t="n"/>
      <c r="O248" s="47" t="n"/>
      <c r="P248" s="47" t="n"/>
      <c r="Q248" s="47" t="n"/>
      <c r="R248" s="47" t="n"/>
      <c r="S248" s="47" t="n"/>
      <c r="T248" s="47" t="n"/>
      <c r="U248" s="47" t="n"/>
      <c r="V248" s="47" t="n"/>
      <c r="W248" s="47" t="n"/>
      <c r="X248" s="47" t="n"/>
      <c r="Y248" s="47" t="n"/>
      <c r="Z248" s="47" t="n"/>
    </row>
    <row r="249" ht="15.75" customHeight="1" s="185">
      <c r="A249" s="52">
        <f>row()-3</f>
        <v/>
      </c>
      <c r="B249" s="46" t="inlineStr">
        <is>
          <t>新卒の面接で志望動機をアピール！成功ポイントと例文</t>
        </is>
      </c>
      <c r="C249" s="6" t="inlineStr">
        <is>
          <t>https://dym.asia/media/recruiting/new-graduate-interview-motivation/</t>
        </is>
      </c>
      <c r="D249" s="47" t="inlineStr">
        <is>
          <t>その会社でなければならない理由 例文</t>
        </is>
      </c>
      <c r="E249" s="35" t="n">
        <v>1</v>
      </c>
      <c r="F249" s="36" t="n">
        <v>7.790697674418604</v>
      </c>
      <c r="G249" s="47" t="inlineStr">
        <is>
          <t>なし</t>
        </is>
      </c>
      <c r="H249" s="47" t="inlineStr">
        <is>
          <t>可</t>
        </is>
      </c>
      <c r="I249" s="10" t="inlineStr">
        <is>
          <t>Q: 面接で「志望動機」を話す際、何分程度の長さでまとめるのが適切ですか？
A: 志望動機は1分半から2分くらいにまとめるのが理想です。大切なのは、結論として「なぜこの会社か」を先に伝え、その後に企業や業界の魅力、さらに入社後に自分がどのように貢献できるかを順序立てて話すことです。結論を先に伝えることで、面接官に最も伝えたい内容がはっきり届きます。
　　　　　　　　　　　　　　　　　　　　　　　　　　　　　　　　　　　　　　　　　　　　　　　　　　　　　　　　　　Q: 志望動機を、他社でも通用するような一般的な内容（例：「社会貢献したい」）で終わらせるのは良くないですか？
A: はい、あまり良くありません。抽象的な内容だけではどの企業にも当てはまるため、なぜこの会社でなければならないのかが伝わりません。企業の事業や理念、製品など具体的な点に触れ、この会社でしか実現できないことを示すことが大切です。
　　　　　　　　　　　　　　　　　　　　　　　　　　　　　　　　　　　　　　　　　　　　　　　　　　　　　　　　　　Q: 志望動機と自己PRの内容が重複してしまっても問題ありませんか？
A: 完全に重なるのは避けましょう。志望動機は入社したい理由や熱意を伝える場であり、自己PRは入社後に発揮できる自分の強みを示す場です。ただ、関連性を持たせることは効果的です。「私の強みは、貴社の事業に活かせる」といった形でつなげると、説得力が増します。　　　　　　　　　　　　　　　　　　　　　　　　　　　　　　　　　　　　　　　　　　　　　　　　　　　　　　　　　　　　　　　　　　　　　　　　　　　　　　
株式会社DYMでは、求職者様に対して様々な就職支援サービスを提供しております。
お問い合わせはこちら↓
https://dym.asia/media/recruiting-contact/</t>
        </is>
      </c>
      <c r="J249" s="47" t="n"/>
      <c r="K249" s="47" t="inlineStr">
        <is>
          <t>未確認</t>
        </is>
      </c>
      <c r="L249" s="47" t="inlineStr">
        <is>
          <t>未確認</t>
        </is>
      </c>
      <c r="M249" s="47" t="n"/>
      <c r="N249" s="47" t="n"/>
      <c r="O249" s="47" t="n"/>
      <c r="P249" s="47" t="n"/>
      <c r="Q249" s="47" t="n"/>
      <c r="R249" s="47" t="n"/>
      <c r="S249" s="47" t="n"/>
      <c r="T249" s="47" t="n"/>
      <c r="U249" s="47" t="n"/>
      <c r="V249" s="47" t="n"/>
      <c r="W249" s="47" t="n"/>
      <c r="X249" s="47" t="n"/>
      <c r="Y249" s="47" t="n"/>
      <c r="Z249" s="47" t="n"/>
    </row>
    <row r="250" ht="15.75" customHeight="1" s="185">
      <c r="A250" s="52">
        <f>row()-3</f>
        <v/>
      </c>
      <c r="B250" s="46" t="inlineStr">
        <is>
          <t>新卒の面接で聞かれる質問集！効果的な回答準備とポイント</t>
        </is>
      </c>
      <c r="C250" s="6" t="inlineStr">
        <is>
          <t>https://dym.asia/media/recruiting/new-graduate-interview-questions/</t>
        </is>
      </c>
      <c r="D250" s="47" t="inlineStr">
        <is>
          <t>転職面接 聞かれること</t>
        </is>
      </c>
      <c r="E250" s="35" t="n">
        <v>1</v>
      </c>
      <c r="F250" s="36" t="n">
        <v>1</v>
      </c>
      <c r="G250" s="47" t="inlineStr">
        <is>
          <t>あり</t>
        </is>
      </c>
      <c r="H250" s="47" t="inlineStr">
        <is>
          <t>既存</t>
        </is>
      </c>
      <c r="I250" s="47" t="n"/>
      <c r="J250" s="47" t="n"/>
      <c r="K250" s="47" t="inlineStr">
        <is>
          <t>未確認</t>
        </is>
      </c>
      <c r="L250" s="47" t="inlineStr">
        <is>
          <t>未確認</t>
        </is>
      </c>
      <c r="M250" s="47" t="n"/>
      <c r="N250" s="47" t="n"/>
      <c r="O250" s="47" t="n"/>
      <c r="P250" s="47" t="n"/>
      <c r="Q250" s="47" t="n"/>
      <c r="R250" s="47" t="n"/>
      <c r="S250" s="47" t="n"/>
      <c r="T250" s="47" t="n"/>
      <c r="U250" s="47" t="n"/>
      <c r="V250" s="47" t="n"/>
      <c r="W250" s="47" t="n"/>
      <c r="X250" s="47" t="n"/>
      <c r="Y250" s="47" t="n"/>
      <c r="Z250" s="47" t="n"/>
    </row>
    <row r="251" ht="15.75" customHeight="1" s="185">
      <c r="A251" s="52">
        <f>row()-3</f>
        <v/>
      </c>
      <c r="B251" s="46" t="inlineStr">
        <is>
          <t>面接の自己紹介、何を言う？新卒就活で使える例文＆自己PR</t>
        </is>
      </c>
      <c r="C251" s="6" t="inlineStr">
        <is>
          <t>https://dym.asia/media/recruiting/new-graduate-self-introduction/</t>
        </is>
      </c>
      <c r="D251" s="47" t="inlineStr">
        <is>
          <t>自己紹介 何を言う</t>
        </is>
      </c>
      <c r="E251" s="35" t="n">
        <v>1</v>
      </c>
      <c r="F251" s="36" t="n">
        <v>8.585106382978722</v>
      </c>
      <c r="G251" s="47" t="inlineStr">
        <is>
          <t>なし</t>
        </is>
      </c>
      <c r="H251" s="47" t="inlineStr">
        <is>
          <t>可</t>
        </is>
      </c>
      <c r="I251" s="10" t="inlineStr">
        <is>
          <t>Q: 面接で自己紹介を求められた際、話す時間の長さはどのくらいが適切ですか？
A: 自己紹介は1分程度にまとめるのが理想です。長くても2分以内に収め、氏名や大学・学部名、そして面接官に伝えたい自分の強みや意欲を簡潔に話すことを意識しましょう。短い時間で要点を伝えることで、面接官が質問しやすい土台を作れます。　　　　　　　　　　　　　　　　　　　　　　　
　　　　　　　　　　　　　　　　　　　　　　　　　　　　　　　　　　　　　　　　　　　　　　　　　　　　　　　　　　Q: 自己紹介で、趣味や特技などの個人的な話題に触れても問題ありませんか？
A: 問題ありません。ただ趣味や特技を話すときは、単なる紹介にとどめず、その経験から得た能力をどう仕事に活かせるかを結びつけることが大切です。たとえば、スポーツで培った粘り強さを業務での諦めない姿勢に繋げて説明すると効果的です。
　　　　　　　　　　　　　　　　　　　　　　　　　　　　　　　　　　　　　　　　　　　　　　　　　　　　　　　　　　　　Q: 「自己PR」と「自己紹介」は、面接でどのように使い分けるべきですか？
A: 自己紹介は面接の冒頭で行う挨拶と概要の提示で、「自分はこういう人物です」と簡潔に伝えるものです。一方、自己PRは入社後にどう貢献できるかを具体的なエピソードを交えて説明する場です。内容が重ならないように役割を分けることで、面接官の関心を引きやすくなります。
株式会社DYMでは、求職者様に対して様々な就職支援サービスを提供しております。
お問い合わせはこちら↓
https://dym.asia/media/recruiting-contact/</t>
        </is>
      </c>
      <c r="J251" s="47" t="n"/>
      <c r="K251" s="47" t="inlineStr">
        <is>
          <t>未確認</t>
        </is>
      </c>
      <c r="L251" s="47" t="inlineStr">
        <is>
          <t>未確認</t>
        </is>
      </c>
      <c r="M251" s="47" t="n"/>
      <c r="N251" s="47" t="n"/>
      <c r="O251" s="47" t="n"/>
      <c r="P251" s="47" t="n"/>
      <c r="Q251" s="47" t="n"/>
      <c r="R251" s="47" t="n"/>
      <c r="S251" s="47" t="n"/>
      <c r="T251" s="47" t="n"/>
      <c r="U251" s="47" t="n"/>
      <c r="V251" s="47" t="n"/>
      <c r="W251" s="47" t="n"/>
      <c r="X251" s="47" t="n"/>
      <c r="Y251" s="47" t="n"/>
      <c r="Z251" s="47" t="n"/>
    </row>
    <row r="252" ht="15.75" customHeight="1" s="185">
      <c r="A252" s="52">
        <f>row()-3</f>
        <v/>
      </c>
      <c r="B252" s="46" t="inlineStr">
        <is>
          <t>就職浪人は新卒扱い？就活は不利？就職留年との違いやメリット・デメリットを解説</t>
        </is>
      </c>
      <c r="C252" s="6" t="inlineStr">
        <is>
          <t>https://dym.asia/media/recruiting/new-graduate-taking-job-hunting-year/#index-3</t>
        </is>
      </c>
      <c r="D252" s="47" t="inlineStr">
        <is>
          <t>就職浪人</t>
        </is>
      </c>
      <c r="E252" s="35" t="n">
        <v>1</v>
      </c>
      <c r="F252" s="36" t="n">
        <v>5.740936058009229</v>
      </c>
      <c r="G252" s="47" t="inlineStr">
        <is>
          <t>あり</t>
        </is>
      </c>
      <c r="H252" s="47" t="inlineStr">
        <is>
          <t>既存</t>
        </is>
      </c>
      <c r="I252" s="47" t="n"/>
      <c r="J252" s="47" t="n"/>
      <c r="K252" s="47" t="inlineStr">
        <is>
          <t>未確認</t>
        </is>
      </c>
      <c r="L252" s="47" t="inlineStr">
        <is>
          <t>未確認</t>
        </is>
      </c>
      <c r="M252" s="47" t="n"/>
      <c r="N252" s="47" t="n"/>
      <c r="O252" s="47" t="n"/>
      <c r="P252" s="47" t="n"/>
      <c r="Q252" s="47" t="n"/>
      <c r="R252" s="47" t="n"/>
      <c r="S252" s="47" t="n"/>
      <c r="T252" s="47" t="n"/>
      <c r="U252" s="47" t="n"/>
      <c r="V252" s="47" t="n"/>
      <c r="W252" s="47" t="n"/>
      <c r="X252" s="47" t="n"/>
      <c r="Y252" s="47" t="n"/>
      <c r="Z252" s="47" t="n"/>
    </row>
    <row r="253" ht="15.75" customHeight="1" s="185">
      <c r="A253" s="52">
        <f>row()-3</f>
        <v/>
      </c>
      <c r="B253" s="46" t="inlineStr">
        <is>
          <t>就職浪人は新卒扱い？就活は不利？就職留年との違いやメリット・デメリットを解説</t>
        </is>
      </c>
      <c r="C253" s="6" t="inlineStr">
        <is>
          <t>https://dym.asia/media/recruiting/new-graduate-taking-job-hunting-year/#index-4</t>
        </is>
      </c>
      <c r="D253" s="47" t="inlineStr">
        <is>
          <t>就職浪人とは</t>
        </is>
      </c>
      <c r="E253" s="35" t="n">
        <v>1</v>
      </c>
      <c r="F253" s="36" t="n">
        <v>6.228876127973749</v>
      </c>
      <c r="G253" s="47" t="n"/>
      <c r="H253" s="47" t="n"/>
      <c r="I253" s="47" t="inlineStr">
        <is>
          <t>1つ上の記事と同じでした。</t>
        </is>
      </c>
      <c r="J253" s="47" t="n"/>
      <c r="K253" s="47" t="inlineStr">
        <is>
          <t>未確認</t>
        </is>
      </c>
      <c r="L253" s="47" t="inlineStr">
        <is>
          <t>未確認</t>
        </is>
      </c>
      <c r="M253" s="47" t="n"/>
      <c r="N253" s="47" t="n"/>
      <c r="O253" s="47" t="n"/>
      <c r="P253" s="47" t="n"/>
      <c r="Q253" s="47" t="n"/>
      <c r="R253" s="47" t="n"/>
      <c r="S253" s="47" t="n"/>
      <c r="T253" s="47" t="n"/>
      <c r="U253" s="47" t="n"/>
      <c r="V253" s="47" t="n"/>
      <c r="W253" s="47" t="n"/>
      <c r="X253" s="47" t="n"/>
      <c r="Y253" s="47" t="n"/>
      <c r="Z253" s="47" t="n"/>
    </row>
    <row r="254" ht="15.75" customHeight="1" s="185">
      <c r="A254" s="52">
        <f>row()-3</f>
        <v/>
      </c>
      <c r="B254" s="46" t="inlineStr">
        <is>
          <t>新卒とはいつまで？卒業後3年以内ならOK？第二新卒や既卒との違い解説</t>
        </is>
      </c>
      <c r="C254" s="6" t="inlineStr">
        <is>
          <t>https://dym.asia/media/recruiting/new-graduate-treated-when/#index-33toc</t>
        </is>
      </c>
      <c r="D254" s="47" t="inlineStr">
        <is>
          <t>卒業後3年以内 新卒扱い</t>
        </is>
      </c>
      <c r="E254" s="35" t="n">
        <v>1</v>
      </c>
      <c r="F254" s="36" t="n">
        <v>3.077669902912621</v>
      </c>
      <c r="G254" s="47" t="inlineStr">
        <is>
          <t>なし</t>
        </is>
      </c>
      <c r="H254" s="47" t="inlineStr">
        <is>
          <t>可</t>
        </is>
      </c>
      <c r="I254" s="10" t="inlineStr">
        <is>
          <t>Q: 内定後、入社までに企業から課される課題（内定者研修や課題図書）は必ずこなすべきですか？
A: 基本的には、必ず取り組むべきものと考えてよいでしょう。これらは入社後の業務にスムーズに入るための準備であると同時に、入社に対する意欲や真剣さを企業に伝える機会でもあります。もし学業や私生活との両立が難しい場合は、無理に抱え込まず、正直に事情を説明したうえで期限の調整などを相談する姿勢が大切です。
Q: 内定をもらった後、他の企業からの選考途中であっても、辞退を検討すべきですか？
A: 内定を承諾し、入社の意思を固めたのであれば、他社の選考についてはできるだけ早めに辞退の連絡を入れるのが望ましいでしょう。企業側や他の就職活動中の方への配慮としても、誠意ある対応が求められます。ただし、内定承諾の返事をする前に「本当にこの会社でよいのか」を改めて考える時間を持つこと自体は、決して問題ではありません。
Q: 内定後、入社までに資格取得やスキルアップのために何かしておくべきことはありますか？
A: 必須ではありませんが、できれば取り組んでおくことをおすすめします。配属予定の部署で求められそうな専門知識や語学力、WordやExcelといった基本的なPCスキルを復習しておくだけでも、入社後の不安は大きく減ります。企業から特別な課題が出ていない場合でも、自ら学ぼうとする姿勢は、良いスタートにつながります。　　　　　　　　　　　　　　　　　　　　　　　　　　　　　　　
株式会社DYMでは、求職者様一人ひとりに寄り添った就職支援サービスを提供しています。就職や転職についてお悩みの方は、ぜひお気軽にお問い合わせください。
お問い合わせはこちら↓
https://dym.asia/media/recruiting-contact/</t>
        </is>
      </c>
      <c r="J254" s="47" t="n"/>
      <c r="K254" s="47" t="inlineStr">
        <is>
          <t>未確認</t>
        </is>
      </c>
      <c r="L254" s="47" t="inlineStr">
        <is>
          <t>未確認</t>
        </is>
      </c>
      <c r="M254" s="47" t="n"/>
      <c r="N254" s="47" t="n"/>
      <c r="O254" s="47" t="n"/>
      <c r="P254" s="47" t="n"/>
      <c r="Q254" s="47" t="n"/>
      <c r="R254" s="47" t="n"/>
      <c r="S254" s="47" t="n"/>
      <c r="T254" s="47" t="n"/>
      <c r="U254" s="47" t="n"/>
      <c r="V254" s="47" t="n"/>
      <c r="W254" s="47" t="n"/>
      <c r="X254" s="47" t="n"/>
      <c r="Y254" s="47" t="n"/>
      <c r="Z254" s="47" t="n"/>
    </row>
    <row r="255" ht="15.75" customHeight="1" s="185">
      <c r="A255" s="52">
        <f>row()-3</f>
        <v/>
      </c>
      <c r="B255" s="46" t="inlineStr">
        <is>
          <t>新卒でベンチャーに就職するメリット、失敗しない企業選びのポイントも紹介</t>
        </is>
      </c>
      <c r="C255" s="6" t="inlineStr">
        <is>
          <t>https://dym.asia/media/recruiting/new-graduate-venture/</t>
        </is>
      </c>
      <c r="D255" s="47" t="inlineStr">
        <is>
          <t>ベンチャー 新卒</t>
        </is>
      </c>
      <c r="E255" s="35" t="n">
        <v>1</v>
      </c>
      <c r="F255" s="36" t="n">
        <v>12.12244897959184</v>
      </c>
      <c r="G255" s="47" t="inlineStr">
        <is>
          <t>なし</t>
        </is>
      </c>
      <c r="H255" s="47" t="inlineStr">
        <is>
          <t>可</t>
        </is>
      </c>
      <c r="I255" s="10" t="inlineStr">
        <is>
          <t>Q: 大企業と比べて、新卒でベンチャー企業に入社する最大のメリットは何ですか？
A: 最大の魅力は、成長のスピードと任される裁量の大きさにあります。年次や肩書きよりも成果を重視する企業が多く、若手のうちから事業の中心に関わる機会が得られやすいのが特徴です。組織や事業が日々変化していく環境の中で、試行錯誤を重ねながら仕事を進めることで、問題解決力や自ら考えて動く力が自然と鍛えられていきます。
Q: ベンチャー企業を数年で辞めて、将来的に大企業へ転職することは可能ですか？
A: 十分に可能です。ベンチャー企業で培った、特定分野での実績や、幅広い業務を主体的に担った経験、新規事業やプロジェクトに挑戦した経験は、大企業から見ても高く評価されます。特に、厳しい環境の中で成果を出した具体的なエピソードがあれば、転職市場での強みになります。
Q: ベンチャー企業の選考で、新卒として特にアピールすべきマインドセットや資質は何ですか？
A: 変化を前向きに受け止められる柔軟さと、自分ごととして仕事に向き合う姿勢が重要です。ベンチャー企業では、制度や仕組みが整っていないことも多く、待っているだけでは仕事は進みません。自ら課題を見つけ、試行錯誤しながら解決していく姿勢や、失敗を恐れずに挑戦し続ける意欲、必要であれば地道な仕事にも取り組める覚悟が強く求められます。
株式会社DYMでは、求職者様に対して様々な就職支援サービスを提供しております。
お問い合わせはこちら↓
https://dym.asia/media/recruiting-contact/</t>
        </is>
      </c>
      <c r="J255" s="47" t="n"/>
      <c r="K255" s="47" t="inlineStr">
        <is>
          <t>未確認</t>
        </is>
      </c>
      <c r="L255" s="47" t="inlineStr">
        <is>
          <t>未確認</t>
        </is>
      </c>
      <c r="M255" s="47" t="n"/>
      <c r="N255" s="47" t="n"/>
      <c r="O255" s="47" t="n"/>
      <c r="P255" s="47" t="n"/>
      <c r="Q255" s="47" t="n"/>
      <c r="R255" s="47" t="n"/>
      <c r="S255" s="47" t="n"/>
      <c r="T255" s="47" t="n"/>
      <c r="U255" s="47" t="n"/>
      <c r="V255" s="47" t="n"/>
      <c r="W255" s="47" t="n"/>
      <c r="X255" s="47" t="n"/>
      <c r="Y255" s="47" t="n"/>
      <c r="Z255" s="47" t="n"/>
    </row>
    <row r="256" ht="15.75" customHeight="1" s="185">
      <c r="A256" s="52">
        <f>row()-3</f>
        <v/>
      </c>
      <c r="B256" s="46" t="inlineStr">
        <is>
          <t>理系学生必見！就活エージェント・サイトの選び方</t>
        </is>
      </c>
      <c r="C256" s="10" t="inlineStr">
        <is>
          <t>https://dym.asia/media/recruiting/new-graduation-agent-scientific/</t>
        </is>
      </c>
      <c r="D256" s="47" t="inlineStr">
        <is>
          <t>理系 人材紹介</t>
        </is>
      </c>
      <c r="E256" s="35" t="n">
        <v>1</v>
      </c>
      <c r="F256" s="36" t="n">
        <v>14.37254901960784</v>
      </c>
      <c r="G256" s="47" t="inlineStr">
        <is>
          <t>なし</t>
        </is>
      </c>
      <c r="H256" s="47" t="inlineStr">
        <is>
          <t>可</t>
        </is>
      </c>
      <c r="I256" s="10" t="inlineStr">
        <is>
          <t>Q: 理系専門の就職エージェントを利用する最大のメリットは何ですか？
A: 最大の利点は、理系ならではの専門性や研究内容をきちんと理解したうえでサポートを受けられる点にあります。自分では強みだと思っていなかった知識やスキルも、プロの視点から正しく評価してもらえるため、ミスマッチの少ない技術職や研究職の求人につながりやすくなります。さらに、一般には出回らない非公開求人や推薦ルートを紹介してもらえることも多く、限られた時間の中で効率よく就職活動を進められます。
Q: 理系学生は研究や卒業論文で忙しいですが、エージェントをいつ頃から利用し始めるのが最適ですか？
A: 大学3年生の後半、1月から3月頃を目安に利用し始めるのがおすすめです。この時期からエージェントと一緒に自己分析や業界研究を進めておくことで、選考が本格化する前に志向や希望条件を整理できます。履歴書の書き方や面接対策も余裕を持って進められるため、研究が忙しくなる時期に慌てずに済むのも大きなメリットです。
 Q: エージェント経由で応募する際、研究内容や専門性を企業にどのようにアピールすべきですか？
A: 研究テーマをそのまま説明するだけではなく、その研究にどう向き合い、どんな課題を乗り越え、どのような成果につなげたのかを丁寧に伝えることが大切です。研究の背景や工夫した点、得られた結果を整理し、可能であれば数値を交えて説明すると説得力が増します。また、その経験が応募企業の仕事にどのように活かせるのかまで言及できると、意欲や将来性も伝わりやすくなります。
株式会社DYMでは、理系学生を含む求職者様に向けて、幅広い就職支援サービスを提供しています。就職活動に不安がある方や、研究と両立しながら進めたい方は、ぜひ一度ご相談ください。
お問い合わせはこちら↓
https://dym.asia/media/recruiting-contact/</t>
        </is>
      </c>
      <c r="J256" s="47" t="n"/>
      <c r="K256" s="47" t="inlineStr">
        <is>
          <t>未確認</t>
        </is>
      </c>
      <c r="L256" s="47" t="inlineStr">
        <is>
          <t>未確認</t>
        </is>
      </c>
      <c r="M256" s="47" t="n"/>
      <c r="N256" s="47" t="n"/>
      <c r="O256" s="47" t="n"/>
      <c r="P256" s="47" t="n"/>
      <c r="Q256" s="47" t="n"/>
      <c r="R256" s="47" t="n"/>
      <c r="S256" s="47" t="n"/>
      <c r="T256" s="47" t="n"/>
      <c r="U256" s="47" t="n"/>
      <c r="V256" s="47" t="n"/>
      <c r="W256" s="47" t="n"/>
      <c r="X256" s="47" t="n"/>
      <c r="Y256" s="47" t="n"/>
      <c r="Z256" s="47" t="n"/>
    </row>
    <row r="257" ht="15.75" customHeight="1" s="185">
      <c r="A257" s="52">
        <f>row()-3</f>
        <v/>
      </c>
      <c r="B257" s="46" t="inlineStr">
        <is>
          <t>非正規雇用女性の課題｜正規雇用の増加の可能性は？</t>
        </is>
      </c>
      <c r="C257" s="6" t="inlineStr">
        <is>
          <t>https://dym.asia/media/recruiting/non-regular-employment-female/#index-2</t>
        </is>
      </c>
      <c r="D257" s="47" t="inlineStr">
        <is>
          <t>女性 非正規雇用</t>
        </is>
      </c>
      <c r="E257" s="35" t="n">
        <v>1</v>
      </c>
      <c r="F257" s="36" t="n">
        <v>2.765432098765432</v>
      </c>
      <c r="G257" s="47" t="inlineStr">
        <is>
          <t>なし</t>
        </is>
      </c>
      <c r="H257" s="47" t="inlineStr">
        <is>
          <t>可</t>
        </is>
      </c>
      <c r="I257" s="10" t="inlineStr">
        <is>
          <t>Q: 派遣社員と契約社員、パート・アルバイトの大きな違いは何ですか？
A: 働き方の違いは、主に「誰と雇用契約を結ぶか」と「雇用の安定性」にあります。派遣社員は派遣会社と雇用契約を結び、実際の仕事の指示は派遣先の企業から受けます。一方、契約社員は勤務先の企業と直接契約を結びますが、あらかじめ雇用期間が定められているのが一般的です。パートやアルバイトも企業と直接雇用されますが、勤務時間が比較的短く、働き方の柔軟さが重視されるケースが多いのが特徴です。
Q: 非正規雇用から正社員へ登用されるための具体的なステップやアピールポイントは何ですか？
A: まず、正社員登用制度があるかどうかを確認し、制度がある場合は早めに上司へ意思を伝えておくことが大切です。日々の業務では、雇用形態に関わらず責任感を持って仕事に取り組み、業務改善の提案や周囲への貢献を積み重ねていく姿勢が評価につながります。あわせて、登用に必要とされる資格やスキルを身につけておくことも、有効な準備になります。
　　　　　　　　　　　　　　　　　　　　　　　　　　　　　　　　　　　　　　　　　　　　　　　　　　　　　　　　　Q: 女性が非正規雇用で働く場合、将来的なキャリアや収入面でのリスクはありますか？
A: 非正規雇用は、賞与や退職金がない場合が多く、昇給の機会も限られるため、長期的に見ると収入面で不安が残りやすい働き方です。また、契約更新が前提となるため、雇用の安定性という点でもリスクがあります。将来のキャリアや収入を重視する場合は、専門性を高めたり、正社員登用や条件の良い職場への転職を視野に入れて動くことが重要です。
株式会社DYMでは、さまざまな働き方や将来設計に合わせた就職・転職支援を行っています。今後のキャリアに不安がある方は、ぜひ一度ご相談ください。
お問い合わせはこちら↓
https://dym.asia/media/recruiting-contact/</t>
        </is>
      </c>
      <c r="J257" s="47" t="n"/>
      <c r="K257" s="47" t="inlineStr">
        <is>
          <t>未確認</t>
        </is>
      </c>
      <c r="L257" s="47" t="inlineStr">
        <is>
          <t>未確認</t>
        </is>
      </c>
      <c r="M257" s="47" t="n"/>
      <c r="N257" s="47" t="n"/>
      <c r="O257" s="47" t="n"/>
      <c r="P257" s="47" t="n"/>
      <c r="Q257" s="47" t="n"/>
      <c r="R257" s="47" t="n"/>
      <c r="S257" s="47" t="n"/>
      <c r="T257" s="47" t="n"/>
      <c r="U257" s="47" t="n"/>
      <c r="V257" s="47" t="n"/>
      <c r="W257" s="47" t="n"/>
      <c r="X257" s="47" t="n"/>
      <c r="Y257" s="47" t="n"/>
      <c r="Z257" s="47" t="n"/>
    </row>
    <row r="258" ht="15.75" customHeight="1" s="185">
      <c r="A258" s="52">
        <f>row()-3</f>
        <v/>
      </c>
      <c r="B258" s="46" t="inlineStr">
        <is>
          <t>事務員とは？仕事内容、向いている人やスキル、転職のメリットを解説</t>
        </is>
      </c>
      <c r="C258" s="6" t="inlineStr">
        <is>
          <t>https://dym.asia/media/recruiting/office-workers/#index-13</t>
        </is>
      </c>
      <c r="D258" s="47" t="inlineStr">
        <is>
          <t>事務員とは</t>
        </is>
      </c>
      <c r="E258" s="35" t="n">
        <v>1</v>
      </c>
      <c r="F258" s="36" t="n">
        <v>6.201005025125628</v>
      </c>
      <c r="G258" s="47" t="inlineStr">
        <is>
          <t>なし</t>
        </is>
      </c>
      <c r="H258" s="47" t="inlineStr">
        <is>
          <t>可</t>
        </is>
      </c>
      <c r="I258" s="10" t="inlineStr">
        <is>
          <t xml:space="preserve">Q：事務職への転職を成功させるために、未経験者が特にアピールすべきスキルは何ですか？
A：未経験の場合は、WordやExcelなどの基本的なPC操作ができることに加え、正確さや丁寧さといった事務職に欠かせない姿勢を伝えることが大切です。また、社内外とのやり取りが多い仕事でもあるため、相手に配慮したコミュニケーションや、報告・連絡・相談をきちんと行ってきた経験も評価されやすいポイントになります。
Q：一般事務と専門事務では、キャリアの広がり方に違いはありますか？
A：一般事務は幅広い業務を経験しながら、将来的にチームをまとめる立場や管理職を目指すケースが多い傾向があります。一方、経理事務や営業事務などの専門事務は、特定分野の知識やスキルを深め、スペシャリストとして活躍する道が開けます。専門性を高めることで、転職時の選択肢も広がります。
Q：事務職は将来、AIに仕事を奪われる可能性がありますか？
A：単純な入力作業や決まった手順の業務は、今後AIに置き換わる可能性があります。ただし、業務の中で発生する調整や判断、イレギュラー対応などは人の力が必要です。ITツールを使いこなしながら業務改善に関われる人材や、専門知識を持つ事務職は、今後も求められ続けるでしょう。
株式会社DYMでは、未経験からの事務職転職も含め、さまざまなキャリアのご相談を受け付けています。気になる方はぜひ一度お問い合わせください。
https://dym.asia/media/recruiting-contact/
</t>
        </is>
      </c>
      <c r="J258" s="47" t="n"/>
      <c r="K258" s="47" t="inlineStr">
        <is>
          <t>未確認</t>
        </is>
      </c>
      <c r="L258" s="47" t="inlineStr">
        <is>
          <t>未確認</t>
        </is>
      </c>
      <c r="M258" s="47" t="n"/>
      <c r="N258" s="47" t="n"/>
      <c r="O258" s="47" t="n"/>
      <c r="P258" s="47" t="n"/>
      <c r="Q258" s="47" t="n"/>
      <c r="R258" s="47" t="n"/>
      <c r="S258" s="47" t="n"/>
      <c r="T258" s="47" t="n"/>
      <c r="U258" s="47" t="n"/>
      <c r="V258" s="47" t="n"/>
      <c r="W258" s="47" t="n"/>
      <c r="X258" s="47" t="n"/>
      <c r="Y258" s="47" t="n"/>
      <c r="Z258" s="47" t="n"/>
    </row>
    <row r="259" ht="15.75" customHeight="1" s="185">
      <c r="A259" s="52">
        <f>row()-3</f>
        <v/>
      </c>
      <c r="B259" s="46" t="inlineStr">
        <is>
          <t>事務員とは？仕事内容、向いている人やスキル、転職のメリットを解説</t>
        </is>
      </c>
      <c r="C259" s="6" t="inlineStr">
        <is>
          <t>https://dym.asia/media/recruiting/office-workers/#index-4</t>
        </is>
      </c>
      <c r="D259" s="47" t="inlineStr">
        <is>
          <t>事務員 言い方</t>
        </is>
      </c>
      <c r="E259" s="35" t="n">
        <v>1</v>
      </c>
      <c r="F259" s="36" t="n">
        <v>8.62962962962963</v>
      </c>
      <c r="G259" s="47" t="n"/>
      <c r="H259" s="47" t="n"/>
      <c r="I259" s="47" t="inlineStr">
        <is>
          <t>1つ上の記事と同じでした。</t>
        </is>
      </c>
      <c r="J259" s="47" t="n"/>
      <c r="K259" s="47" t="inlineStr">
        <is>
          <t>未確認</t>
        </is>
      </c>
      <c r="L259" s="47" t="inlineStr">
        <is>
          <t>未確認</t>
        </is>
      </c>
      <c r="M259" s="47" t="n"/>
      <c r="N259" s="47" t="n"/>
      <c r="O259" s="47" t="n"/>
      <c r="P259" s="47" t="n"/>
      <c r="Q259" s="47" t="n"/>
      <c r="R259" s="47" t="n"/>
      <c r="S259" s="47" t="n"/>
      <c r="T259" s="47" t="n"/>
      <c r="U259" s="47" t="n"/>
      <c r="V259" s="47" t="n"/>
      <c r="W259" s="47" t="n"/>
      <c r="X259" s="47" t="n"/>
      <c r="Y259" s="47" t="n"/>
      <c r="Z259" s="47" t="n"/>
    </row>
    <row r="260" ht="15.75" customHeight="1" s="185">
      <c r="A260" s="52">
        <f>row()-3</f>
        <v/>
      </c>
      <c r="B260" s="46" t="inlineStr">
        <is>
          <t>服装に関して記載なしのWEB説明会、就活生におすすめの対応方法とは？</t>
        </is>
      </c>
      <c r="C260" s="6" t="inlineStr">
        <is>
          <t>https://dym.asia/media/recruiting/online-session-wearing-no-note/#index</t>
        </is>
      </c>
      <c r="D260" s="47" t="inlineStr">
        <is>
          <t>web説明会 服装 記載なし</t>
        </is>
      </c>
      <c r="E260" s="35" t="n">
        <v>1</v>
      </c>
      <c r="F260" s="36" t="n">
        <v>3.144560357675112</v>
      </c>
      <c r="G260" s="47" t="inlineStr">
        <is>
          <t>なし</t>
        </is>
      </c>
      <c r="H260" s="47" t="inlineStr">
        <is>
          <t>可</t>
        </is>
      </c>
      <c r="I260" s="10" t="inlineStr">
        <is>
          <t>Q：Web面接で「私服で結構です」と言われた場合、スーツで参加すると失礼になりますか？
A：スーツで参加しても失礼にあたることはありません。面接という場において、スーツは最も無難で誠実さが伝わる服装です。「私服可」というのはスーツでなくても問題ない、という意味合いであり、スーツを着ていることで評価が下がるケースはほとんどありません。迷ったときは、スーツを選んでおくと安心です。
Q：オンライン面接で私服を選ぶ場合、どんな服装が適切ですか？
A：ビジネスカジュアルを意識し、清潔感を第一に考えましょう。襟付きのシャツやブラウスにジャケットを羽織るなど、きちんと感のある装いが基本です。画面越しでも落ち着いた印象になるよう、ネイビーやグレーなどの控えめな色を選ぶと好印象につながります。
Q：Web面接で避けたほうがよい色や柄はありますか？
A：白すぎる服や光沢の強い素材は、画面で見たときに反射しやすいため避けたほうが無難です。また、細かいストライプやチェック柄は、映像がチラつく原因になることがあります。無地で落ち着いた色合いの服装を選ぶと、面接に集中してもらいやすくなります。
株式会社DYMでは、Web面接対策を含めた就職・転職サポートを行っています。面接に不安がある方は、ぜひお気軽にお問い合わせください。
https://dym.asia/media/recruiting-contact/</t>
        </is>
      </c>
      <c r="J260" s="47" t="n"/>
      <c r="K260" s="47" t="inlineStr">
        <is>
          <t>未確認</t>
        </is>
      </c>
      <c r="L260" s="47" t="inlineStr">
        <is>
          <t>未確認</t>
        </is>
      </c>
      <c r="M260" s="47" t="n"/>
      <c r="N260" s="47" t="n"/>
      <c r="O260" s="47" t="n"/>
      <c r="P260" s="47" t="n"/>
      <c r="Q260" s="47" t="n"/>
      <c r="R260" s="47" t="n"/>
      <c r="S260" s="47" t="n"/>
      <c r="T260" s="47" t="n"/>
      <c r="U260" s="47" t="n"/>
      <c r="V260" s="47" t="n"/>
      <c r="W260" s="47" t="n"/>
      <c r="X260" s="47" t="n"/>
      <c r="Y260" s="47" t="n"/>
      <c r="Z260" s="47" t="n"/>
    </row>
    <row r="261" ht="15.75" customHeight="1" s="185">
      <c r="A261" s="52">
        <f>row()-3</f>
        <v/>
      </c>
      <c r="B261" s="46" t="inlineStr">
        <is>
          <t>服装に関して記載なしのWEB説明会、就活生におすすめの対応方法とは？</t>
        </is>
      </c>
      <c r="C261" s="6" t="inlineStr">
        <is>
          <t>https://dym.asia/media/recruiting/online-session-wearing-no-note/#index-WEB-2WEB-2toc</t>
        </is>
      </c>
      <c r="D261" s="47" t="inlineStr">
        <is>
          <t>オンライン説明会 服装</t>
        </is>
      </c>
      <c r="E261" s="35" t="n">
        <v>1</v>
      </c>
      <c r="F261" s="36" t="n">
        <v>4.829411764705883</v>
      </c>
      <c r="G261" s="47" t="n"/>
      <c r="H261" s="47" t="n"/>
      <c r="I261" s="47" t="inlineStr">
        <is>
          <t>1つ上の記事と同じでした。</t>
        </is>
      </c>
      <c r="J261" s="47" t="n"/>
      <c r="K261" s="47" t="inlineStr">
        <is>
          <t>未確認</t>
        </is>
      </c>
      <c r="L261" s="47" t="inlineStr">
        <is>
          <t>未確認</t>
        </is>
      </c>
      <c r="M261" s="47" t="n"/>
      <c r="N261" s="47" t="n"/>
      <c r="O261" s="47" t="n"/>
      <c r="P261" s="47" t="n"/>
      <c r="Q261" s="47" t="n"/>
      <c r="R261" s="47" t="n"/>
      <c r="S261" s="47" t="n"/>
      <c r="T261" s="47" t="n"/>
      <c r="U261" s="47" t="n"/>
      <c r="V261" s="47" t="n"/>
      <c r="W261" s="47" t="n"/>
      <c r="X261" s="47" t="n"/>
      <c r="Y261" s="47" t="n"/>
      <c r="Z261" s="47" t="n"/>
    </row>
    <row r="262" ht="15.75" customHeight="1" s="185">
      <c r="A262" s="52">
        <f>row()-3</f>
        <v/>
      </c>
      <c r="B262" s="46" t="inlineStr">
        <is>
          <t>会社説明会の服装、服装自由・私服指定の注意点</t>
        </is>
      </c>
      <c r="C262" s="6" t="inlineStr">
        <is>
          <t>https://dym.asia/media/recruiting/online-session-wearing/#index-Web-3Web-3toc</t>
        </is>
      </c>
      <c r="D262" s="47" t="inlineStr">
        <is>
          <t>就活 オンライン説明会 服装自由</t>
        </is>
      </c>
      <c r="E262" s="35" t="n">
        <v>1</v>
      </c>
      <c r="F262" s="36" t="n">
        <v>2.1875</v>
      </c>
      <c r="G262" s="47" t="inlineStr">
        <is>
          <t>なし</t>
        </is>
      </c>
      <c r="H262" s="47" t="inlineStr">
        <is>
          <t>可</t>
        </is>
      </c>
      <c r="I262" s="10" t="inlineStr">
        <is>
          <t>Q: オンライン面接では、カメラに映らない下半身はパジャマなどラフな服装でも問題ありませんか？
A: 基本的には見えない部分ではありますが、上下ともにきちんとした服装で臨むことをおすすめします。急に立ち上がる場面があったり、思わぬタイミングで全身が映ってしまう可能性もあるためです。全身を整えておくことで自然と気持ちも引き締まり、面接に集中しやすくなるというメリットもあります。
Q: Web面接の際に、画面映りを良くするために避けるべき服装の色や柄はありますか？
A: 白に近い色や光沢の強い素材は、画面上で顔色が暗く見えたり、服だけが白飛びしてしまうことがあります。また、細かいストライプやチェック柄は映像がチラついて見える場合があります。ネイビーやグレー、ベージュなどの落ち着いた無地を選ぶと安心です。
Q: 「私服で参加OK」と指示された場合、Web面接でもスーツを着用しても失礼にあたりませんか？
A: スーツで参加してもまったく問題ありません。「私服可」というのはスーツを必須としない、という意味合いです。服装に迷った場合は、スーツを選んだほうが誠実さや真剣さが伝わりやすいでしょう。
株式会社DYMでは、Web面接対策を含めた就職支援を行っています。面接に不安がある方は、ぜひお気軽にお問い合わせください。
お問い合わせはこちら↓
https://dym.asia/media/recruiting-contact/</t>
        </is>
      </c>
      <c r="J262" s="47" t="n"/>
      <c r="K262" s="47" t="inlineStr">
        <is>
          <t>未確認</t>
        </is>
      </c>
      <c r="L262" s="47" t="inlineStr">
        <is>
          <t>未確認</t>
        </is>
      </c>
      <c r="M262" s="47" t="n"/>
      <c r="N262" s="47" t="n"/>
      <c r="O262" s="47" t="n"/>
      <c r="P262" s="47" t="n"/>
      <c r="Q262" s="47" t="n"/>
      <c r="R262" s="47" t="n"/>
      <c r="S262" s="47" t="n"/>
      <c r="T262" s="47" t="n"/>
      <c r="U262" s="47" t="n"/>
      <c r="V262" s="47" t="n"/>
      <c r="W262" s="47" t="n"/>
      <c r="X262" s="47" t="n"/>
      <c r="Y262" s="47" t="n"/>
      <c r="Z262" s="47" t="n"/>
    </row>
    <row r="263" ht="15.75" customHeight="1" s="185">
      <c r="A263" s="52">
        <f>row()-3</f>
        <v/>
      </c>
      <c r="B263" s="46" t="inlineStr">
        <is>
          <t>会社説明会の服装、服装自由・私服指定の注意点</t>
        </is>
      </c>
      <c r="C263" s="6" t="inlineStr">
        <is>
          <t>https://dym.asia/media/recruiting/online-session-wearing/#index-WebWebtoc</t>
        </is>
      </c>
      <c r="D263" s="47" t="inlineStr">
        <is>
          <t>企業説明会 服装自由 オンライン</t>
        </is>
      </c>
      <c r="E263" s="35" t="n">
        <v>1</v>
      </c>
      <c r="F263" s="36" t="n">
        <v>1.808510638297872</v>
      </c>
      <c r="G263" s="47" t="n"/>
      <c r="H263" s="47" t="n"/>
      <c r="I263" s="47" t="inlineStr">
        <is>
          <t>1つ上の記事と同じでした。</t>
        </is>
      </c>
      <c r="J263" s="47" t="n"/>
      <c r="K263" s="47" t="inlineStr">
        <is>
          <t>未確認</t>
        </is>
      </c>
      <c r="L263" s="47" t="inlineStr">
        <is>
          <t>未確認</t>
        </is>
      </c>
      <c r="M263" s="47" t="n"/>
      <c r="N263" s="47" t="n"/>
      <c r="O263" s="47" t="n"/>
      <c r="P263" s="47" t="n"/>
      <c r="Q263" s="47" t="n"/>
      <c r="R263" s="47" t="n"/>
      <c r="S263" s="47" t="n"/>
      <c r="T263" s="47" t="n"/>
      <c r="U263" s="47" t="n"/>
      <c r="V263" s="47" t="n"/>
      <c r="W263" s="47" t="n"/>
      <c r="X263" s="47" t="n"/>
      <c r="Y263" s="47" t="n"/>
      <c r="Z263" s="47" t="n"/>
    </row>
    <row r="264" ht="15.75" customHeight="1" s="185">
      <c r="A264" s="52">
        <f>row()-3</f>
        <v/>
      </c>
      <c r="B264" s="46" t="inlineStr">
        <is>
          <t>非常勤顧問とは？顧問との違いや報酬、社会保険について解説</t>
        </is>
      </c>
      <c r="C264" s="6" t="inlineStr">
        <is>
          <t>https://dym.asia/media/recruiting/part-time-advisor/#index-2</t>
        </is>
      </c>
      <c r="D264" s="47" t="inlineStr">
        <is>
          <t>非常勤顧問</t>
        </is>
      </c>
      <c r="E264" s="35" t="n">
        <v>1</v>
      </c>
      <c r="F264" s="36" t="n">
        <v>2.033492822966507</v>
      </c>
      <c r="G264" s="47" t="inlineStr">
        <is>
          <t>なし</t>
        </is>
      </c>
      <c r="H264" s="47" t="inlineStr">
        <is>
          <t>可</t>
        </is>
      </c>
      <c r="I264" s="10" t="inlineStr">
        <is>
          <t>Q: 顧問やアドバイザーとして副業を始める際、自分のどのような経験やスキルをアピールすれば採用されやすいですか？
A: 評価されやすいのは、特定分野で積み上げてきた専門性と、目に見える形で示せる実績です。たとえば新規事業を立ち上げた経験や、コスト削減・売上改善につなげた成果などは強い武器になります。そのうえで、自分の経験が「企業のどんな課題解決に役立つのか」を具体的に伝えられると、信頼感が高まります。
　　　　　　　　　　　　　　　　　　　　　　　　　　　　　　　　　　　　　　　　　　　　　　　　　　　　　　　　　　　　　　　　　　　　　　　　　　　　　　　　　　　　　　　　　　　　　　　　　　　　　　　　　　　　　　　　　　　　　　　　　　　　　　　　　　　　　　　　　　　　　　　　　　　　　　　　　　　　　　　　　　　　　　　　　　　　　　　　　　　　　　　　　　　　　　　　　　　　　　　　　　　　　　　　　　　　　　　　　　　　　Q: 顧問やアドバイザーの副業は、一般的なアルバイトと比べて報酬体系や相場に違いはありますか？
A: 大きく異なります。時間に対して支払われるアルバイトとは違い、顧問やアドバイザーは提供する価値や成果に応じて報酬が決まるケースが一般的です。月額報酬やプロジェクト単位の報酬など形はさまざまですが、専門性が高いほど高単価になりやすい傾向があります。
Q: 本業を持つ会社員が顧問の副業をする場合、特に注意すべき法的な問題やリスクは何ですか？
A: 特に気をつけたいのは、情報の取り扱いと契約面です。本業の就業規則で副業が認められているかを確認したうえで、業務上知り得た機密情報を副業に持ち込まないことが重要です。また、本業と競合する企業で顧問を務めることはトラブルにつながる可能性があるため、慎重な判断が求められます。
株式会社DYMでは、顧問・アドバイザーとしての副業を含め、多様なキャリアの選択肢をサポートしています。ご興味のある方は、ぜひ一度ご相談ください。
お問い合わせはこちら↓
https://dym.asia/media/recruiting-contact/</t>
        </is>
      </c>
      <c r="J264" s="47" t="n"/>
      <c r="K264" s="47" t="inlineStr">
        <is>
          <t>未確認</t>
        </is>
      </c>
      <c r="L264" s="47" t="inlineStr">
        <is>
          <t>未確認</t>
        </is>
      </c>
      <c r="M264" s="47" t="n"/>
      <c r="N264" s="47" t="n"/>
      <c r="O264" s="47" t="n"/>
      <c r="P264" s="47" t="n"/>
      <c r="Q264" s="47" t="n"/>
      <c r="R264" s="47" t="n"/>
      <c r="S264" s="47" t="n"/>
      <c r="T264" s="47" t="n"/>
      <c r="U264" s="47" t="n"/>
      <c r="V264" s="47" t="n"/>
      <c r="W264" s="47" t="n"/>
      <c r="X264" s="47" t="n"/>
      <c r="Y264" s="47" t="n"/>
      <c r="Z264" s="47" t="n"/>
    </row>
    <row r="265" ht="15.75" customHeight="1" s="185">
      <c r="A265" s="52">
        <f>row()-3</f>
        <v/>
      </c>
      <c r="B265" s="46" t="inlineStr">
        <is>
          <t>プログラマーが業務委託で働くメリット・デメリット｜契約前に確認すべきことも解説</t>
        </is>
      </c>
      <c r="C265" s="6" t="inlineStr">
        <is>
          <t>https://dym.asia/media/recruiting/programmer-outsourcing/</t>
        </is>
      </c>
      <c r="D265" s="47" t="inlineStr">
        <is>
          <t>プログラマー 業務委託</t>
        </is>
      </c>
      <c r="E265" s="35" t="n">
        <v>1</v>
      </c>
      <c r="F265" s="36" t="n">
        <v>7.841269841269841</v>
      </c>
      <c r="G265" s="47" t="inlineStr">
        <is>
          <t>なし</t>
        </is>
      </c>
      <c r="H265" s="47" t="inlineStr">
        <is>
          <t>可</t>
        </is>
      </c>
      <c r="I265" s="10" t="inlineStr">
        <is>
          <t>Q: プログラマーのアウトソーシングと、人材派遣や業務委託（フリーランス）との違いは何ですか？
A: アウトソーシングは、業務の完成そのものを目的として外部に任せる形で、発注側が日々の指示を出すことはありません。人材派遣は、派遣会社に雇われたエンジニアが、派遣先企業の指示を受けながら働く点が特徴です。業務委託はフリーランスなど個人に業務を依頼する形で、アウトソーシングに近いものの、契約主体や責任の範囲に違いがあります。
Q: プログラマーをアウトソーシングする最大のメリットとデメリットは何ですか？
A: 必要な期間だけ専門性の高いスキルを確保できることが大きなメリットです。人件費を固定費にせず、コア業務に集中できる点も魅力でしょう。一方で、社内にノウハウが残りにくいことや、情報管理、コミュニケーション不足による品質低下といったリスクには注意が必要です。
Q: アウトソーシングで開発プロジェクトを依頼する際、品質を確保するために最も重要なことは何ですか？
A: 最も重要なのは、最初のすり合わせです。仕様や納期、成果物の基準を事前にしっかり整理し、共通認識を持つことが欠かせません。そのうえで、進捗を定期的に共有し、小さなズレを早めに修正していく姿勢が、結果として品質の高い開発につながります。
株式会社DYMでは、IT分野を含むさまざまな人材・キャリアに関するご相談を受け付けています。ご興味のある方は、ぜひお気軽にお問い合わせください。
お問い合わせはこちら↓
https://dym.asia/media/recruiting-contact/</t>
        </is>
      </c>
      <c r="J265" s="47" t="n"/>
      <c r="K265" s="47" t="inlineStr">
        <is>
          <t>未確認</t>
        </is>
      </c>
      <c r="L265" s="47" t="inlineStr">
        <is>
          <t>未確認</t>
        </is>
      </c>
      <c r="M265" s="47" t="n"/>
      <c r="N265" s="47" t="n"/>
      <c r="O265" s="47" t="n"/>
      <c r="P265" s="47" t="n"/>
      <c r="Q265" s="47" t="n"/>
      <c r="R265" s="47" t="n"/>
      <c r="S265" s="47" t="n"/>
      <c r="T265" s="47" t="n"/>
      <c r="U265" s="47" t="n"/>
      <c r="V265" s="47" t="n"/>
      <c r="W265" s="47" t="n"/>
      <c r="X265" s="47" t="n"/>
      <c r="Y265" s="47" t="n"/>
      <c r="Z265" s="47" t="n"/>
    </row>
    <row r="266" ht="15.75" customHeight="1" s="185">
      <c r="A266" s="52">
        <f>row()-3</f>
        <v/>
      </c>
      <c r="B266" s="46" t="inlineStr">
        <is>
          <t>マーケティングに役立つ資格17選！ジャンル別に徹底解説</t>
        </is>
      </c>
      <c r="C266" s="6" t="inlineStr">
        <is>
          <t>https://dym.asia/media/recruiting/qualification/</t>
        </is>
      </c>
      <c r="D266" s="47" t="inlineStr">
        <is>
          <t>マーケティング職 資格</t>
        </is>
      </c>
      <c r="E266" s="35" t="n">
        <v>1</v>
      </c>
      <c r="F266" s="36" t="n">
        <v>10.64705882352941</v>
      </c>
      <c r="G266" s="47" t="inlineStr">
        <is>
          <t>なし</t>
        </is>
      </c>
      <c r="H266" s="47" t="inlineStr">
        <is>
          <t>可</t>
        </is>
      </c>
      <c r="I266" s="10" t="inlineStr">
        <is>
          <t>Q: 業務に直接関係のない資格でも、履歴書に記載したり面接でアピールしたりしても良いですか？
A: 記載しても問題はありませんが、大切なのは伝え方です。その資格を通じて、どんな姿勢で学び続けてきたのか、どれだけコツコツ取り組める人なのかといった点を、応募する仕事にどう活かせるかまでつなげて話せると好印象です。資格名だけを並べるよりも、仕事への向き合い方を伝える意識が重要になります。
Q: 資格をアピールする際、資格の難易度と実務経験のどちらを重視すべきですか？
A: 多くの場合、評価されるのは資格そのものよりも、実務でどう活かしてきたかです。たとえ難易度の高い資格でも、実務経験と結びついていなければ評価は限定的になりがちです。資格で得た知識を使って、どんな成果や工夫をしてきたのかを一緒に伝えることがポイントです。
Q: 取得中の資格や、勉強中の資格は履歴書にどのように記載すべきですか？
A: 明確な目標やスケジュールがある場合に限り、「〇〇資格取得に向けて勉強中」と記載するのが適切です。その際、取得予定時期や現在の進捗を説明できるよう準備しておくと安心です。ただ「勉強中」とだけ書いてしまうと、計画性が伝わりにくくなるため注意しましょう。
株式会社DYMでは、履歴書の書き方や自己PRの整理など、就職活動全般をサポートしています。資格の活かし方に悩んでいる方も、ぜひお気軽にご相談ください。
お問い合わせはこちら↓
https://dym.asia/media/recruiting-contact/</t>
        </is>
      </c>
      <c r="J266" s="47" t="n"/>
      <c r="K266" s="47" t="inlineStr">
        <is>
          <t>未確認</t>
        </is>
      </c>
      <c r="L266" s="47" t="inlineStr">
        <is>
          <t>未確認</t>
        </is>
      </c>
      <c r="M266" s="47" t="n"/>
      <c r="N266" s="47" t="n"/>
      <c r="O266" s="47" t="n"/>
      <c r="P266" s="47" t="n"/>
      <c r="Q266" s="47" t="n"/>
      <c r="R266" s="47" t="n"/>
      <c r="S266" s="47" t="n"/>
      <c r="T266" s="47" t="n"/>
      <c r="U266" s="47" t="n"/>
      <c r="V266" s="47" t="n"/>
      <c r="W266" s="47" t="n"/>
      <c r="X266" s="47" t="n"/>
      <c r="Y266" s="47" t="n"/>
      <c r="Z266" s="47" t="n"/>
    </row>
    <row r="267" ht="15.75" customHeight="1" s="185">
      <c r="A267" s="52">
        <f>row()-3</f>
        <v/>
      </c>
      <c r="B267" s="46" t="inlineStr">
        <is>
          <t>履歴書の証明写真｜服装マナーと好印象を与えるコツ</t>
        </is>
      </c>
      <c r="C267" s="6" t="inlineStr">
        <is>
          <t>https://dym.asia/media/recruiting/rirekisho-photo-manner/#index</t>
        </is>
      </c>
      <c r="D267" s="47" t="inlineStr">
        <is>
          <t>履歴書 写真 服装 女性</t>
        </is>
      </c>
      <c r="E267" s="35" t="n">
        <v>1</v>
      </c>
      <c r="F267" s="36" t="n">
        <v>10.28080808080808</v>
      </c>
      <c r="G267" s="47" t="inlineStr">
        <is>
          <t>なし</t>
        </is>
      </c>
      <c r="H267" s="47" t="inlineStr">
        <is>
          <t>可</t>
        </is>
      </c>
      <c r="I267" s="10" t="inlineStr">
        <is>
          <t>Q: 履歴書の写真サイズは、規定通りに貼るのが基本ですが、縦横の比率が少しずれても問題ありませんか？
A: 基本は規定サイズを守ることが大切です。一般的な縦4cm×横3cmから大きく外れてしまうと、見た目の印象が悪くなるだけでなく、管理上の都合で気になる場合もあります。撮影時は、最初から指定サイズに合わせておくと安心です。
Q: 履歴書に貼る写真は、スマートフォンで自撮りしたものでも問題ありませんか？
A: スマートフォンの自撮り写真は、できるだけ避けたほうが無難です。光や背景の影響でラフな印象になりやすく、正式な応募書類としては不向きに見られることがあります。写真館や証明写真機など、きちんとした環境で撮影された写真を選びましょう。
Q: 履歴書の写真で、表情はどの程度まで笑顔を見せて良いですか？
A: 大きく笑う必要はありませんが、口角を少し上げた自然な表情がおすすめです。無表情よりも柔らかく、前向きな印象を与えやすくなります。目線はまっすぐカメラに向け、清潔感を意識すると好印象につながります。
株式会社DYMでは、履歴書作成や写真の選び方についてもサポートしています。就職活動に不安がある方は、ぜひお気軽にご相談ください。
お問い合わせはこちら↓
https://dym.asia/media/recruiting-contact/</t>
        </is>
      </c>
      <c r="J267" s="47" t="n"/>
      <c r="K267" s="47" t="inlineStr">
        <is>
          <t>未確認</t>
        </is>
      </c>
      <c r="L267" s="47" t="inlineStr">
        <is>
          <t>未確認</t>
        </is>
      </c>
      <c r="M267" s="47" t="n"/>
      <c r="N267" s="47" t="n"/>
      <c r="O267" s="47" t="n"/>
      <c r="P267" s="47" t="n"/>
      <c r="Q267" s="47" t="n"/>
      <c r="R267" s="47" t="n"/>
      <c r="S267" s="47" t="n"/>
      <c r="T267" s="47" t="n"/>
      <c r="U267" s="47" t="n"/>
      <c r="V267" s="47" t="n"/>
      <c r="W267" s="47" t="n"/>
      <c r="X267" s="47" t="n"/>
      <c r="Y267" s="47" t="n"/>
      <c r="Z267" s="47" t="n"/>
    </row>
    <row r="268" ht="15.75" customHeight="1" s="185">
      <c r="A268" s="52">
        <f>row()-3</f>
        <v/>
      </c>
      <c r="B268" s="46" t="inlineStr">
        <is>
          <t>新卒面接で差をつける！自己紹介の例文やポイントを解説</t>
        </is>
      </c>
      <c r="C268" s="10" t="inlineStr">
        <is>
          <t>https://dym.asia/media/recruiting/self-introduction/</t>
        </is>
      </c>
      <c r="D268" s="47" t="inlineStr">
        <is>
          <t>自己紹介 面接</t>
        </is>
      </c>
      <c r="E268" s="35" t="n">
        <v>1</v>
      </c>
      <c r="F268" s="36" t="n">
        <v>6.333333333333333</v>
      </c>
      <c r="G268" s="47" t="inlineStr">
        <is>
          <t>なし</t>
        </is>
      </c>
      <c r="H268" s="47" t="inlineStr">
        <is>
          <t>可</t>
        </is>
      </c>
      <c r="I268" s="10" t="inlineStr">
        <is>
          <t>Q: 面接で「自己紹介をしてください」と言われた場合、時間配分はどのくらいが適切ですか？
A: 面接の冒頭での自己紹介は、1分程度を目安にするとちょうどよいでしょう。長くても2分以内に収め、名前やこれまでの経歴を簡潔に伝えたうえで、応募企業でどう貢献したいかを一言添える意識が大切です。詳しい話は、その後の質問で深掘りされると考えておくと安心です。
Q: 転職の面接で自己紹介をする際、職務経歴書の内容をそのまま読み上げても良いですか？
A: 職務経歴書を読み上げるような話し方は避けたほうがよいでしょう。自己紹介は、経歴の説明というよりも、あなたの人柄や仕事への姿勢を知ってもらうための入口です。数ある経験の中から、特に伝えたい実績や強みを選び、エピソードを交えて話すと印象に残りやすくなります。　　　　　　　　　　　　　　　　　　　　　　　　　　　　　　　　　　
Q: 自己紹介の最後に、「以上です」と締めくくるのは失礼にあたりますか？
A: 失礼ではありませんが、やや事務的に聞こえることがあります。最後に「本日はお時間をいただきありがとうございます。よろしくお願いいたします」といった一言を添えるだけで、丁寧で前向きな印象になります。
株式会社DYMでは、面接での自己紹介や受け答えについても丁寧にサポートしています。面接対策に不安がある方は、ぜひ一度ご相談ください。
お問い合わせはこちら↓
https://dym.asia/media/recruiting-contact/</t>
        </is>
      </c>
      <c r="J268" s="47" t="n"/>
      <c r="K268" s="47" t="inlineStr">
        <is>
          <t>未確認</t>
        </is>
      </c>
      <c r="L268" s="47" t="inlineStr">
        <is>
          <t>未確認</t>
        </is>
      </c>
      <c r="M268" s="47" t="n"/>
      <c r="N268" s="47" t="n"/>
      <c r="O268" s="47" t="n"/>
      <c r="P268" s="47" t="n"/>
      <c r="Q268" s="47" t="n"/>
      <c r="R268" s="47" t="n"/>
      <c r="S268" s="47" t="n"/>
      <c r="T268" s="47" t="n"/>
      <c r="U268" s="47" t="n"/>
      <c r="V268" s="47" t="n"/>
      <c r="W268" s="47" t="n"/>
      <c r="X268" s="47" t="n"/>
      <c r="Y268" s="47" t="n"/>
      <c r="Z268" s="47" t="n"/>
    </row>
    <row r="269" ht="15.75" customHeight="1" s="185">
      <c r="A269" s="52">
        <f>row()-3</f>
        <v/>
      </c>
      <c r="B269" s="46" t="inlineStr">
        <is>
          <t>売り手市場とは？意味・買い手市場との違いや転職活動への影響を解説</t>
        </is>
      </c>
      <c r="C269" s="6" t="inlineStr">
        <is>
          <t>https://dym.asia/media/recruiting/sellers-market/</t>
        </is>
      </c>
      <c r="D269" s="47" t="inlineStr">
        <is>
          <t>売り手市場とは</t>
        </is>
      </c>
      <c r="E269" s="35" t="n">
        <v>1</v>
      </c>
      <c r="F269" s="36" t="n">
        <v>2.668674698795181</v>
      </c>
      <c r="G269" s="47" t="inlineStr">
        <is>
          <t>なし</t>
        </is>
      </c>
      <c r="H269" s="47" t="inlineStr">
        <is>
          <t>可</t>
        </is>
      </c>
      <c r="I269" s="10" t="inlineStr">
        <is>
          <t>Q: 売り手市場とは具体的にどのような状況を指しますか？
A: 売り手市場とは、仕事を探している人の数よりも、企業が募集している求人数のほうが多い状態を指します。人材確保が難しくなるため、企業側は求職者に選ばれる立場となり、結果として転職希望者は複数の内定を得やすくなります。条件面や待遇面でも選択肢が広がりやすく、転職活動を進めやすい環境だと言えるでしょう。
Q: 売り手市場で転職活動をする際、求職者が注意すべき最大の点は何ですか？
A: 最も気をつけたいのは、内定が出やすいからこそ判断が甘くなり、入社後にミスマッチを感じてしまうことです。選択肢が多い状況では、企業研究や自己分析が十分でないまま決断してしまい、「想像していた仕事内容と違った」と早期離職につながるケースもあります。有利な市場環境だからこそ、自分のキャリアに本当に合っているかを冷静に見極める姿勢が大切です。　　　　　　　　　　　　　　　　　　　　　　　　　　　　　　　　　　　
Q: 景気が悪化し、買い手市場に転換する兆候を見抜くポイントはありますか？
A: 一つの目安として、新規の求人が目に見えて減ってきたり、選考が以前より長引いたり厳しくなったりする変化があります。また、新卒採用の人数が抑えられる動きや、企業業績の悪化を伝えるニュースが増えてくるのも注意すべきサインです。有効求人倍率が徐々に下がり始めた場合も、市場が切り替わりつつある可能性があります。
株式会社DYMでは、求職者様一人ひとりに合わせた就職支援サービスを提供しています。
転職についてのご相談は、以下よりお気軽にお問い合わせください。
お問い合わせはこちら↓
https://dym.asia/media/recruiting-contact/</t>
        </is>
      </c>
      <c r="J269" s="47" t="n"/>
      <c r="K269" s="47" t="inlineStr">
        <is>
          <t>未確認</t>
        </is>
      </c>
      <c r="L269" s="47" t="inlineStr">
        <is>
          <t>未確認</t>
        </is>
      </c>
      <c r="M269" s="47" t="n"/>
      <c r="N269" s="47" t="n"/>
      <c r="O269" s="47" t="n"/>
      <c r="P269" s="47" t="n"/>
      <c r="Q269" s="47" t="n"/>
      <c r="R269" s="47" t="n"/>
      <c r="S269" s="47" t="n"/>
      <c r="T269" s="47" t="n"/>
      <c r="U269" s="47" t="n"/>
      <c r="V269" s="47" t="n"/>
      <c r="W269" s="47" t="n"/>
      <c r="X269" s="47" t="n"/>
      <c r="Y269" s="47" t="n"/>
      <c r="Z269" s="47" t="n"/>
    </row>
    <row r="270" ht="15.75" customHeight="1" s="185">
      <c r="A270" s="52">
        <f>row()-3</f>
        <v/>
      </c>
      <c r="B270" s="46" t="inlineStr">
        <is>
          <t>企業説明会に最適なカバン選び｜おすすめのポイントと注意点</t>
        </is>
      </c>
      <c r="C270" s="6" t="inlineStr">
        <is>
          <t>https://dym.asia/media/recruiting/session-bag/#index</t>
        </is>
      </c>
      <c r="D270" s="47" t="inlineStr">
        <is>
          <t>企業説明会 カバン</t>
        </is>
      </c>
      <c r="E270" s="35" t="n">
        <v>1</v>
      </c>
      <c r="F270" s="36" t="n">
        <v>1.843537414965986</v>
      </c>
      <c r="G270" s="47" t="inlineStr">
        <is>
          <t>なし</t>
        </is>
      </c>
      <c r="H270" s="47" t="inlineStr">
        <is>
          <t>可</t>
        </is>
      </c>
      <c r="I270" s="10" t="inlineStr">
        <is>
          <t>Q: 面接時に使用するバッグの素材や色で、避けるべきものはありますか？
A: 面接では、派手な色や柄のあるバッグ、布製やビニール製などカジュアルに見える素材は避けたほうが無難です。黒や紺、茶といった落ち着いた色味で、革製または合成皮革の自立するタイプを選ぶと、きちんとした印象を与えられます。ブランドロゴが大きく入っているものや装飾が多いデザインも、面接の場にはあまり向いていません。
Q: 面接室に入室した際、バッグは椅子の隣と足元のどちらに置くのがマナーとして正しいですか？
A: バッグは、基本的に椅子の横の足元に置くのが一般的なマナーです。自立するバッグであれば椅子の横に立てかけ、自立しない場合は床に横にして置きます。ただし、面接官から置き場所を指定された場合は、その指示に従うのが最優先です。
Q: 面接にA4サイズの書類を折り曲げずに入れられる、大きめのバッグは必要ですか？
A: 面接では、履歴書や職務経歴書の控え、企業資料などA4サイズの書類を持参する場面が多いため、クリアファイルごと収納できるサイズのバッグが適しています。書類を折らずに持ち運べることで、見た目も所作もスマートになり、落ち着いて面接に臨めます。
株式会社DYMでは、求職者様に向けたさまざまな就職支援サービスを提供しています。
転職や就職活動についてのご相談は、以下よりお気軽にお問い合わせください。
https://dym.asia/media/recruiting-contact/</t>
        </is>
      </c>
      <c r="J270" s="47" t="n"/>
      <c r="K270" s="47" t="inlineStr">
        <is>
          <t>未確認</t>
        </is>
      </c>
      <c r="L270" s="47" t="inlineStr">
        <is>
          <t>未確認</t>
        </is>
      </c>
      <c r="M270" s="47" t="n"/>
      <c r="N270" s="47" t="n"/>
      <c r="O270" s="47" t="n"/>
      <c r="P270" s="47" t="n"/>
      <c r="Q270" s="47" t="n"/>
      <c r="R270" s="47" t="n"/>
      <c r="S270" s="47" t="n"/>
      <c r="T270" s="47" t="n"/>
      <c r="U270" s="47" t="n"/>
      <c r="V270" s="47" t="n"/>
      <c r="W270" s="47" t="n"/>
      <c r="X270" s="47" t="n"/>
      <c r="Y270" s="47" t="n"/>
      <c r="Z270" s="47" t="n"/>
    </row>
    <row r="271" ht="15.75" customHeight="1" s="185">
      <c r="A271" s="52">
        <f>row()-3</f>
        <v/>
      </c>
      <c r="B271" s="46" t="inlineStr">
        <is>
          <t>会社説明会の私服ルール、服装自由なら何を着ていくのがベスト？</t>
        </is>
      </c>
      <c r="C271" s="6" t="inlineStr">
        <is>
          <t>https://dym.asia/media/recruiting/session-casual/</t>
        </is>
      </c>
      <c r="D271" s="47" t="inlineStr">
        <is>
          <t>オープンカンパニー 私服</t>
        </is>
      </c>
      <c r="E271" s="35" t="n">
        <v>1</v>
      </c>
      <c r="F271" s="36" t="n">
        <v>10.4</v>
      </c>
      <c r="G271" s="47" t="inlineStr">
        <is>
          <t>なし</t>
        </is>
      </c>
      <c r="H271" s="47" t="inlineStr">
        <is>
          <t>可</t>
        </is>
      </c>
      <c r="I271" s="10" t="inlineStr">
        <is>
          <t>Q: カジュアル面談では、企業側から給与や条件に関する具体的な質問をしても問題ありませんか？
A: カジュアル面談は情報交換の場なので、給与や待遇について質問しても差し支えありません。ただし、いきなり条件の話から入るのではなく、仕事内容や社風について一通り聞いたあとに、「選考に進んだ場合を想定して伺いたいのですが」と一言添えると、印象が良くなります。
Q: カジュアル面談と正式な面接の大きな違いは何ですか？
A: カジュアル面談は、企業と応募者がお互いを知るための場で、基本的に合否は決まりません。一方、正式な面接は選考の一環として評価が行われます。ただし、カジュアル面談でも人柄を見られていることはあるため、丁寧な受け答えは意識しておきましょう。
Q: カジュアル面談の服装は「私服」と指定されることが多いですが、どこまでラフで良いですか？
A: 私服指定の場合でも、ビジネスカジュアルが無難です。Tシャツやデニムなどのラフすぎる服装は避け、清潔感のあるシャツやジャケットを選ぶと安心です。場に合った服装は、それだけで好印象につながります。　　　　　　　　　　　　　　　　　　　　　　　　　　　　　　　　　　
株式会社DYMでは、求職者様向けに幅広い就職支援サービスを提供しています。
ご相談やお問い合わせは、以下よりお気軽にご利用ください。
https://dym.asia/media/recruiting-contact/</t>
        </is>
      </c>
      <c r="J271" s="47" t="n"/>
      <c r="K271" s="47" t="inlineStr">
        <is>
          <t>未確認</t>
        </is>
      </c>
      <c r="L271" s="47" t="inlineStr">
        <is>
          <t>未確認</t>
        </is>
      </c>
      <c r="M271" s="47" t="n"/>
      <c r="N271" s="47" t="n"/>
      <c r="O271" s="47" t="n"/>
      <c r="P271" s="47" t="n"/>
      <c r="Q271" s="47" t="n"/>
      <c r="R271" s="47" t="n"/>
      <c r="S271" s="47" t="n"/>
      <c r="T271" s="47" t="n"/>
      <c r="U271" s="47" t="n"/>
      <c r="V271" s="47" t="n"/>
      <c r="W271" s="47" t="n"/>
      <c r="X271" s="47" t="n"/>
      <c r="Y271" s="47" t="n"/>
      <c r="Z271" s="47" t="n"/>
    </row>
    <row r="272" ht="15.75" customHeight="1" s="185">
      <c r="A272" s="52">
        <f>row()-3</f>
        <v/>
      </c>
      <c r="B272" s="46" t="inlineStr">
        <is>
          <t>企業説明会の服装は？服装自由・私服指定やオンライン合同説明会でのポイント</t>
        </is>
      </c>
      <c r="C272" s="6" t="inlineStr">
        <is>
          <t>https://dym.asia/media/recruiting/session-wearing/#index</t>
        </is>
      </c>
      <c r="D272" s="47" t="inlineStr">
        <is>
          <t>企業説明会 服装</t>
        </is>
      </c>
      <c r="E272" s="35" t="n">
        <v>1</v>
      </c>
      <c r="F272" s="36" t="n">
        <v>3.529075990010703</v>
      </c>
      <c r="G272" s="47" t="inlineStr">
        <is>
          <t>なし</t>
        </is>
      </c>
      <c r="H272" s="47" t="inlineStr">
        <is>
          <t>可</t>
        </is>
      </c>
      <c r="I272" s="10" t="inlineStr">
        <is>
          <t>Q: 面接で「私服でお越しください」と指示があった場合、どこまでカジュアルにして良いですか？
A: 「私服可」と言われても、普段着で行ってよいという意味ではないことがほとんどです。基本はビジネスカジュアルを意識し、襟付きのシャツやブラウスにジャケットやカーディガンを合わせるなど、清潔感のある装いを心がけましょう。迷ったときは、少しきちんとした印象になる服装を選ぶ方が安心です。
Q: クールビズ期間中に面接を受ける場合、ノーネクタイ・ノージャケットでも失礼にあたりませんか？
A: 企業からクールビズの案内がある場合は、ノーネクタイ・ノージャケットでも失礼にはあたりません。ただし、シャツのシワや汚れなどが目立たないよう、身だしなみには十分注意しましょう。念のためジャケットを持参しておくと、状況に応じて対応でき、丁寧な印象を与えられます。　　　　　　　　　　　　　　　　　　　　　　　　　　　　　　　　　　　　　　　　　　　　
Q: 服装自由の面接でスーツを着用した場合、かえって堅苦しい印象を与えてしまうことはありますか？
A: 基本的にスーツを着用してもマイナスになることはありません。スーツはビジネスの場において最も無難で、礼儀正しい服装です。服装自由という指示は配慮である場合も多いため、不安があればスーツを選んでも問題ありません。ただし、アパレルなど業界によっては私服が自然な場合もあるため、企業の雰囲気を踏まえて判断するとよいでしょう。
株式会社DYMでは、求職者様に向けて幅広い就職支援サービスを提供しています。
お問い合わせはこちらからお気軽にご相談ください。
https://dym.asia/media/recruiting-contact/</t>
        </is>
      </c>
      <c r="J272" s="47" t="n"/>
      <c r="K272" s="47" t="inlineStr">
        <is>
          <t>未確認</t>
        </is>
      </c>
      <c r="L272" s="47" t="inlineStr">
        <is>
          <t>未確認</t>
        </is>
      </c>
      <c r="M272" s="47" t="n"/>
      <c r="N272" s="47" t="n"/>
      <c r="O272" s="47" t="n"/>
      <c r="P272" s="47" t="n"/>
      <c r="Q272" s="47" t="n"/>
      <c r="R272" s="47" t="n"/>
      <c r="S272" s="47" t="n"/>
      <c r="T272" s="47" t="n"/>
      <c r="U272" s="47" t="n"/>
      <c r="V272" s="47" t="n"/>
      <c r="W272" s="47" t="n"/>
      <c r="X272" s="47" t="n"/>
      <c r="Y272" s="47" t="n"/>
      <c r="Z272" s="47" t="n"/>
    </row>
    <row r="273" ht="15.75" customHeight="1" s="185">
      <c r="A273" s="52">
        <f>row()-3</f>
        <v/>
      </c>
      <c r="B273" s="46" t="inlineStr">
        <is>
          <t>企業説明会の服装は？服装自由・私服指定やオンライン合同説明会でのポイント</t>
        </is>
      </c>
      <c r="C273" s="6" t="inlineStr">
        <is>
          <t>https://dym.asia/media/recruiting/session-wearing/#index-6</t>
        </is>
      </c>
      <c r="D273" s="47" t="inlineStr">
        <is>
          <t>企業説明会 服装</t>
        </is>
      </c>
      <c r="E273" s="35" t="n">
        <v>1</v>
      </c>
      <c r="F273" s="36" t="n">
        <v>3.529075990010703</v>
      </c>
      <c r="G273" s="47" t="inlineStr">
        <is>
          <t>なし</t>
        </is>
      </c>
      <c r="H273" s="47" t="inlineStr">
        <is>
          <t>可</t>
        </is>
      </c>
      <c r="I273" s="10" t="inlineStr">
        <is>
          <t>Q: 面接で「私服でお越しください」と言われた場合、本当に普段着で行っても良いですか？ 
A: 「私服」と言われても、完全な普段着で良いという意味ではないことがほとんどです。Tシャツやダメージジーンズなどは避け、ジャケットや襟付きのシャツを取り入れたビジネスカジュアルを意識しましょう。清潔感があり、職場でも違和感のない服装を選ぶことが大切です。
Q: 応募先の企業がクールビズ期間中と案内があった場合、どこまで服装を崩しても大丈夫ですか？
A: クールビズの場合、ノーネクタイ・ノージャケットが基本とされますが、面接では念のためジャケットを持参するのがおすすめです。ネクタイは不要でも問題ありませんが、襟付きのシャツを選び、シワや汚れのない清潔な身だしなみを心がけましょう。
Q: 転職活動で応募先が外資系企業やベンチャー企業の場合、服装に関する注意点はありますか？　　　　　　　　　　　　　　　　　　　　　　　　　　　　　　　　　　　　　　　A: 外資系やベンチャー企業は比較的服装の自由度が高い傾向にありますが、職種によって適した服装は異なります。営業や管理系であればスーツや落ち着いたビジネスカジュアル、エンジニアやデザイナーであればややラフでも問題ないケースが多いです。判断に迷った場合は、無難なスーツか控えめなビジネスカジュアルを選ぶと安心です。　　　　　　　　　　　　　　　　　　　　　　　　　　　　　　　　　　　
株式会社DYMでは、求職者様に対して様々な就職支援サービスを提供しております。
お問い合わせはこちら↓
https://dym.asia/media/recruiting-contact/</t>
        </is>
      </c>
      <c r="J273" s="47" t="n"/>
      <c r="K273" s="47" t="inlineStr">
        <is>
          <t>未確認</t>
        </is>
      </c>
      <c r="L273" s="47" t="inlineStr">
        <is>
          <t>未確認</t>
        </is>
      </c>
      <c r="M273" s="47" t="n"/>
      <c r="N273" s="47" t="n"/>
      <c r="O273" s="47" t="n"/>
      <c r="P273" s="47" t="n"/>
      <c r="Q273" s="47" t="n"/>
      <c r="R273" s="47" t="n"/>
      <c r="S273" s="47" t="n"/>
      <c r="T273" s="47" t="n"/>
      <c r="U273" s="47" t="n"/>
      <c r="V273" s="47" t="n"/>
      <c r="W273" s="47" t="n"/>
      <c r="X273" s="47" t="n"/>
      <c r="Y273" s="47" t="n"/>
      <c r="Z273" s="47" t="n"/>
    </row>
    <row r="274" ht="15.75" customHeight="1" s="185">
      <c r="A274" s="52">
        <f>row()-3</f>
        <v/>
      </c>
      <c r="B274" s="46" t="inlineStr">
        <is>
          <t>会社説明会、受付時間の何分前に来るべき？マナーとして正しい時間は？</t>
        </is>
      </c>
      <c r="C274" s="6" t="inlineStr">
        <is>
          <t>https://dym.asia/media/recruiting/session-when-arrive/#index-8</t>
        </is>
      </c>
      <c r="D274" s="47" t="inlineStr">
        <is>
          <t>企業説明会 遅刻</t>
        </is>
      </c>
      <c r="E274" s="35" t="n">
        <v>1</v>
      </c>
      <c r="F274" s="36" t="n">
        <v>6.704545454545454</v>
      </c>
      <c r="G274" s="47" t="inlineStr">
        <is>
          <t>なし</t>
        </is>
      </c>
      <c r="H274" s="47" t="inlineStr">
        <is>
          <t>可</t>
        </is>
      </c>
      <c r="I274" s="10" t="inlineStr">
        <is>
          <t>Q: 面接会場には、約束の時間の何分前に到着し、何分前に受付をするのがベストですか？
A: 面接会場の建物には、約束の時間の10〜15分前に着くのが理想的です。受付や担当者への連絡は、5分前を目安に行いましょう。あまりに早く到着しすぎると、かえって先方の負担になることもあるため注意が必要です。
Q: 5分前に受付をする場合、それまでの時間調整はどこで行うのが適切ですか？
A: 受付時間まで余裕がある場合は、近くのカフェや公共施設で時間を調整するのが無難です。その間に身だしなみを整えたり、話す内容を軽く確認しておくと落ち着いて臨めます。会社のロビーや受付付近で長く待つのは避けたほうが良いでしょう。
Q: 電車遅延などの予期せぬトラブルで遅刻しそうな場合、どのように連絡を入れるべきですか？
A: 遅刻しそうだと分かった時点で、できるだけ早く電話で連絡を入れましょう。メールではなく、直接伝えることが大切です。理由と到着予定時刻を簡潔に伝え、まずはお詫びの言葉を添えるようにしてください。
株式会社DYMでは、求職者様に対して様々な就職支援サービスを提供しております。
お問い合わせはこちら↓
https://dym.asia/media/recruiting-contact/</t>
        </is>
      </c>
      <c r="J274" s="47" t="n"/>
      <c r="K274" s="47" t="inlineStr">
        <is>
          <t>未確認</t>
        </is>
      </c>
      <c r="L274" s="47" t="inlineStr">
        <is>
          <t>未確認</t>
        </is>
      </c>
      <c r="M274" s="47" t="n"/>
      <c r="N274" s="47" t="n"/>
      <c r="O274" s="47" t="n"/>
      <c r="P274" s="47" t="n"/>
      <c r="Q274" s="47" t="n"/>
      <c r="R274" s="47" t="n"/>
      <c r="S274" s="47" t="n"/>
      <c r="T274" s="47" t="n"/>
      <c r="U274" s="47" t="n"/>
      <c r="V274" s="47" t="n"/>
      <c r="W274" s="47" t="n"/>
      <c r="X274" s="47" t="n"/>
      <c r="Y274" s="47" t="n"/>
      <c r="Z274" s="47" t="n"/>
    </row>
    <row r="275" ht="15.75" customHeight="1" s="185">
      <c r="A275" s="52">
        <f>row()-3</f>
        <v/>
      </c>
      <c r="B275" s="46" t="inlineStr">
        <is>
          <t>【完全版】職務経歴書の書き方マニュアル・例文集</t>
        </is>
      </c>
      <c r="C275" s="6" t="inlineStr">
        <is>
          <t>https://dym.asia/media/recruiting/shokumu-keirekisho-complete-guide/</t>
        </is>
      </c>
      <c r="D275" s="47" t="inlineStr">
        <is>
          <t>職務経歴書 サンプル</t>
        </is>
      </c>
      <c r="E275" s="35" t="n">
        <v>1</v>
      </c>
      <c r="F275" s="36" t="n">
        <v>44.09302325581395</v>
      </c>
      <c r="G275" s="47" t="inlineStr">
        <is>
          <t>あり</t>
        </is>
      </c>
      <c r="H275" s="47" t="inlineStr">
        <is>
          <t>不可</t>
        </is>
      </c>
      <c r="I275" s="47" t="n"/>
      <c r="J275" s="47" t="n"/>
      <c r="K275" s="47" t="inlineStr">
        <is>
          <t>未確認</t>
        </is>
      </c>
      <c r="L275" s="47" t="inlineStr">
        <is>
          <t>未確認</t>
        </is>
      </c>
      <c r="M275" s="47" t="n"/>
      <c r="N275" s="47" t="n"/>
      <c r="O275" s="47" t="n"/>
      <c r="P275" s="47" t="n"/>
      <c r="Q275" s="47" t="n"/>
      <c r="R275" s="47" t="n"/>
      <c r="S275" s="47" t="n"/>
      <c r="T275" s="47" t="n"/>
      <c r="U275" s="47" t="n"/>
      <c r="V275" s="47" t="n"/>
      <c r="W275" s="47" t="n"/>
      <c r="X275" s="47" t="n"/>
      <c r="Y275" s="47" t="n"/>
      <c r="Z275" s="47" t="n"/>
    </row>
    <row r="276" ht="15.75" customHeight="1" s="185">
      <c r="A276" s="52">
        <f>row()-3</f>
        <v/>
      </c>
      <c r="B276" s="46" t="inlineStr">
        <is>
          <t>「自分の強み」の見つけ方｜強みが分からない人の分析方法や自己PR例文を紹介</t>
        </is>
      </c>
      <c r="C276" s="6" t="inlineStr">
        <is>
          <t>https://dym.asia/media/recruiting/strengths/#index</t>
        </is>
      </c>
      <c r="D276" s="47" t="inlineStr">
        <is>
          <t>自分の強み 例 仕事</t>
        </is>
      </c>
      <c r="E276" s="35" t="n">
        <v>1</v>
      </c>
      <c r="F276" s="36" t="n">
        <v>10.453125</v>
      </c>
      <c r="G276" s="47" t="inlineStr">
        <is>
          <t>なし</t>
        </is>
      </c>
      <c r="H276" s="47" t="inlineStr">
        <is>
          <t>可</t>
        </is>
      </c>
      <c r="I276" s="47" t="inlineStr">
        <is>
          <t>Q: 自分の「強み」が一般的な長所と被っていても、そのまま伝えて問題ありませんか？
A: 問題ありません。大切なのは、その強みが実際にどう発揮されたのかを具体的に伝えることです。ありきたりに聞こえやすい強みでも、自分の行動や結果を交えて話すことで、あなたならではの説得力が生まれます。
Q: 自分の強みが仕事に直結しないように思える場合、どのようにアピールすれば良いですか？
A: 一見関係なさそうな強みでも、仕事に活かせる要素は必ずあります。集中力や継続力、人との関わり方などを、業務でどう役立つかに言い換えて伝えることで、企業側にもイメージしてもらいやすくなります。
Q: 自分の「弱み」を正直に伝えることは、就職活動で不利になりませんか？
A: 弱みそのものよりも、向き合い方が見られています。改善のためにどんな工夫や努力をしているのかを合わせて伝えれば、前向きに成長しようとする姿勢として評価されることが多いです。
株式会社DYMでは、求職者様に対して様々な就職支援サービスを提供しております。
お問い合わせはこちら↓
https://dym.asia/media/recruiting-contact/</t>
        </is>
      </c>
      <c r="J276" s="47" t="n"/>
      <c r="K276" s="47" t="inlineStr">
        <is>
          <t>未確認</t>
        </is>
      </c>
      <c r="L276" s="47" t="inlineStr">
        <is>
          <t>未確認</t>
        </is>
      </c>
      <c r="M276" s="47" t="n"/>
      <c r="N276" s="47" t="n"/>
      <c r="O276" s="47" t="n"/>
      <c r="P276" s="47" t="n"/>
      <c r="Q276" s="47" t="n"/>
      <c r="R276" s="47" t="n"/>
      <c r="S276" s="47" t="n"/>
      <c r="T276" s="47" t="n"/>
      <c r="U276" s="47" t="n"/>
      <c r="V276" s="47" t="n"/>
      <c r="W276" s="47" t="n"/>
      <c r="X276" s="47" t="n"/>
      <c r="Y276" s="47" t="n"/>
      <c r="Z276" s="47" t="n"/>
    </row>
    <row r="277" ht="15.75" customHeight="1" s="185">
      <c r="A277" s="52">
        <f>row()-3</f>
        <v/>
      </c>
      <c r="B277" s="46" t="inlineStr">
        <is>
          <t>「自分の強み」の見つけ方｜強みが分からない人の分析方法や自己PR例文を紹介</t>
        </is>
      </c>
      <c r="C277" s="10" t="inlineStr">
        <is>
          <t>https://dym.asia/media/recruiting/strengths/#index-5</t>
        </is>
      </c>
      <c r="D277" s="47" t="inlineStr">
        <is>
          <t>強み 見つけ方</t>
        </is>
      </c>
      <c r="E277" s="35" t="n">
        <v>1</v>
      </c>
      <c r="F277" s="36" t="n">
        <v>9.51528384279476</v>
      </c>
      <c r="G277" s="47" t="n"/>
      <c r="H277" s="47" t="n"/>
      <c r="I277" s="47" t="inlineStr">
        <is>
          <t>1つ上の記事と同じでした。</t>
        </is>
      </c>
      <c r="J277" s="47" t="n"/>
      <c r="K277" s="47" t="inlineStr">
        <is>
          <t>未確認</t>
        </is>
      </c>
      <c r="L277" s="47" t="inlineStr">
        <is>
          <t>未確認</t>
        </is>
      </c>
      <c r="M277" s="47" t="n"/>
      <c r="N277" s="47" t="n"/>
      <c r="O277" s="47" t="n"/>
      <c r="P277" s="47" t="n"/>
      <c r="Q277" s="47" t="n"/>
      <c r="R277" s="47" t="n"/>
      <c r="S277" s="47" t="n"/>
      <c r="T277" s="47" t="n"/>
      <c r="U277" s="47" t="n"/>
      <c r="V277" s="47" t="n"/>
      <c r="W277" s="47" t="n"/>
      <c r="X277" s="47" t="n"/>
      <c r="Y277" s="47" t="n"/>
      <c r="Z277" s="47" t="n"/>
    </row>
    <row r="278" ht="15.75" customHeight="1" s="185">
      <c r="A278" s="52">
        <f>row()-3</f>
        <v/>
      </c>
      <c r="B278" s="46" t="inlineStr">
        <is>
          <t>ベンチャー企業とは？スタートアップとの違いや、ベンチャーで働くメリット・デメリットを解説</t>
        </is>
      </c>
      <c r="C278" s="6" t="inlineStr">
        <is>
          <t>https://dym.asia/media/recruiting/venture-company/#index-16</t>
        </is>
      </c>
      <c r="D278" s="47" t="inlineStr">
        <is>
          <t>ベンチャー企業の強み</t>
        </is>
      </c>
      <c r="E278" s="35" t="n">
        <v>1</v>
      </c>
      <c r="F278" s="36" t="n">
        <v>6.841269841269841</v>
      </c>
      <c r="G278" s="47" t="inlineStr">
        <is>
          <t>なし</t>
        </is>
      </c>
      <c r="H278" s="47" t="inlineStr">
        <is>
          <t>可</t>
        </is>
      </c>
      <c r="I278" s="10" t="inlineStr">
        <is>
          <t>Q: ベンチャー企業で働くメリットとデメリットを教えてください。
A: ベンチャー企業の魅力は、一人ひとりに任される裁量が大きく、スピード感のある環境で成長できる点にあります。自分の意見やアイデアが事業に反映されやすく、立ち上げフェーズならではの経験を積めるのも大きな強みです。一方で、業務量が多くなりやすかったり、福利厚生や制度がまだ整っていないケースもあります。また、事業の先行きが不透明になるリスクがある点も理解しておく必要があります。
Q: ベンチャー企業に転職する際、最も重視されるスキルやマインドセットは何ですか？
A: 特に重視されるのは、自分で考え行動できる力と、変化を前向きに受け止める柔軟さです。決まったやり方や手厚いマニュアルがない場面も多いため、課題に直面した際に主体的に動ける姿勢や、失敗を恐れず挑戦する気持ちが評価されやすくなります。
Q: ベンチャー企業とスタートアップ企業の違いは何ですか？
A: スタートアップは、革新的なビジネスモデルで短期間の急成長や新しい市場の創出を目指す企業を指すことが多い言葉です。一方、ベンチャー企業は、新しい技術やサービスに挑戦する比較的新しい企業全体を広く表します。スタートアップはベンチャーの一種ですが、特に成長スピードと新規性の高さが特徴です。
株式会社DYMでは、求職者様に対して様々な就職支援サービスを提供しております。
お問い合わせはこちら↓
https://dym.asia/media/recruiting-contact/</t>
        </is>
      </c>
      <c r="J278" s="47" t="n"/>
      <c r="K278" s="47" t="inlineStr">
        <is>
          <t>未確認</t>
        </is>
      </c>
      <c r="L278" s="47" t="inlineStr">
        <is>
          <t>未確認</t>
        </is>
      </c>
      <c r="M278" s="47" t="n"/>
      <c r="N278" s="47" t="n"/>
      <c r="O278" s="47" t="n"/>
      <c r="P278" s="47" t="n"/>
      <c r="Q278" s="47" t="n"/>
      <c r="R278" s="47" t="n"/>
      <c r="S278" s="47" t="n"/>
      <c r="T278" s="47" t="n"/>
      <c r="U278" s="47" t="n"/>
      <c r="V278" s="47" t="n"/>
      <c r="W278" s="47" t="n"/>
      <c r="X278" s="47" t="n"/>
      <c r="Y278" s="47" t="n"/>
      <c r="Z278" s="47" t="n"/>
    </row>
    <row r="279" ht="15.75" customHeight="1" s="185">
      <c r="A279" s="52">
        <f>row()-3</f>
        <v/>
      </c>
      <c r="B279" s="46" t="inlineStr">
        <is>
          <t>自己都合退職で失業保険はもらえる？いつから、いくらもらえるかを解説</t>
        </is>
      </c>
      <c r="C279" s="6" t="inlineStr">
        <is>
          <t>https://dym.asia/media/recruiting/voluntary-unemployment-insurance/#index-7</t>
        </is>
      </c>
      <c r="D279" s="47" t="inlineStr">
        <is>
          <t>失業手当 いつからもらえる 自己都合</t>
        </is>
      </c>
      <c r="E279" s="35" t="n">
        <v>1</v>
      </c>
      <c r="F279" s="36" t="n">
        <v>7.88855421686747</v>
      </c>
      <c r="G279" s="47" t="inlineStr">
        <is>
          <t>なし</t>
        </is>
      </c>
      <c r="H279" s="47" t="inlineStr">
        <is>
          <t>可</t>
        </is>
      </c>
      <c r="I279" s="10" t="inlineStr">
        <is>
          <t>Q: 任意継続被保険者になるための主な条件は何ですか？
A: 任意継続被保険者になるには、退職日までに継続して2か月以上、健康保険の被保険者であることが必要です。加えて、退職日の翌日から20日以内に所定の手続きを行うことが条件となります。この2点を満たしていれば、退職後も同じ健康保険を継続して利用できます。
Q: 任意継続の保険料は、会社員時代と比べてどのように計算され、どれくらい高くなりますか？
A: 会社員時代は保険料の半分を会社が負担していましたが、任意継続になると全額自己負担になります。保険料は、退職時の標準報酬月額などを基に計算されるため、多くの場合、在職中のおよそ2倍程度になると考えておくとよいでしょう。
Q: 任意継続制度を利用している期間中に、再就職が決まった場合、何か手続きが必要ですか？
A: 再就職して新たに健康保険へ加入する場合は、任意継続の資格を喪失するため、手続きが必要です。新しい保険証が発行されたら、加入している健康保険組合へ資格喪失の届出と保険証の返却を行いましょう。手続きを怠ると二重加入となる可能性があるため注意が必要です。
株式会社DYMでは、求職者様に対して様々な就職支援サービスを提供しております。
お問い合わせはこちら↓
https://dym.asia/media/recruiting-contact/</t>
        </is>
      </c>
      <c r="J279" s="47" t="n"/>
      <c r="K279" s="47" t="inlineStr">
        <is>
          <t>未確認</t>
        </is>
      </c>
      <c r="L279" s="47" t="inlineStr">
        <is>
          <t>未確認</t>
        </is>
      </c>
      <c r="M279" s="47" t="n"/>
      <c r="N279" s="47" t="n"/>
      <c r="O279" s="47" t="n"/>
      <c r="P279" s="47" t="n"/>
      <c r="Q279" s="47" t="n"/>
      <c r="R279" s="47" t="n"/>
      <c r="S279" s="47" t="n"/>
      <c r="T279" s="47" t="n"/>
      <c r="U279" s="47" t="n"/>
      <c r="V279" s="47" t="n"/>
      <c r="W279" s="47" t="n"/>
      <c r="X279" s="47" t="n"/>
      <c r="Y279" s="47" t="n"/>
      <c r="Z279" s="47" t="n"/>
    </row>
    <row r="280" ht="15.75" customHeight="1" s="185">
      <c r="A280" s="52">
        <f>row()-3</f>
        <v/>
      </c>
      <c r="B280" s="46" t="inlineStr">
        <is>
          <t>高卒女性の就職、資格なしでもできる仕事</t>
        </is>
      </c>
      <c r="C280" s="6" t="inlineStr">
        <is>
          <t>https://dym.asia/media/recruiting/woman-highschool-graduation/#index</t>
        </is>
      </c>
      <c r="D280" s="47" t="inlineStr">
        <is>
          <t>高卒就職 女</t>
        </is>
      </c>
      <c r="E280" s="35" t="n">
        <v>1</v>
      </c>
      <c r="F280" s="36" t="n">
        <v>4.964238410596026</v>
      </c>
      <c r="G280" s="47" t="inlineStr">
        <is>
          <t>なし</t>
        </is>
      </c>
      <c r="H280" s="47" t="inlineStr">
        <is>
          <t>可</t>
        </is>
      </c>
      <c r="I280" s="10" t="inlineStr">
        <is>
          <t>Q: 高校卒業後すぐに就職する場合、どのような職種が女性に人気があり、未経験からでも挑戦しやすいですか？
A: 事務職や販売・接客職は、未経験から始めやすく、高卒女性にも人気の高い仕事です。事務職は落ち着いた環境で働ける点が魅力で、販売や接客は学歴や経験を問わない求人が多く、人と関わる力を活かせます。近年は、介護職やIT関連の仕事など、将来につながるスキルが身につく職種を選ぶ人も増えています。
Q: 大学や専門学校へ進学する場合、将来の就職を見据えて女性が選択すべき「文系」「理系」の専攻に傾向はありますか？
A: 文系を選ぶ人が多い傾向はありますが、それが正解というわけではありません。理系分野は専門性が高く、将来的な選択肢や収入面で有利になることもあります。大切なのは、周囲に合わせることではなく、自分が興味を持てる分野や将来の働き方をイメージして選ぶことです。
Q: 高校卒業後に就職・進学する際に、持っていると有利になる資格やスキルはありますか？
A: 基本的なパソコン操作ができることは、多くの仕事で評価されますし、介護分野を目指すなら初任者研修などの資格が役立ちます。また、運転免許や日常的なコミュニケーション力は、進学・就職を問わず幅広く活かせるため、早いうちから意識しておくと安心です。
株式会社DYMでは、求職者様に対して様々な就職支援サービスを提供しております。
お問い合わせはこちら↓
https://dym.asia/media/recruiting-contact/</t>
        </is>
      </c>
      <c r="J280" s="47" t="n"/>
      <c r="K280" s="47" t="inlineStr">
        <is>
          <t>未確認</t>
        </is>
      </c>
      <c r="L280" s="47" t="inlineStr">
        <is>
          <t>未確認</t>
        </is>
      </c>
      <c r="M280" s="47" t="n"/>
      <c r="N280" s="47" t="n"/>
      <c r="O280" s="47" t="n"/>
      <c r="P280" s="47" t="n"/>
      <c r="Q280" s="47" t="n"/>
      <c r="R280" s="47" t="n"/>
      <c r="S280" s="47" t="n"/>
      <c r="T280" s="47" t="n"/>
      <c r="U280" s="47" t="n"/>
      <c r="V280" s="47" t="n"/>
      <c r="W280" s="47" t="n"/>
      <c r="X280" s="47" t="n"/>
      <c r="Y280" s="47" t="n"/>
      <c r="Z280" s="47" t="n"/>
    </row>
    <row r="281" ht="15.75" customHeight="1" s="185">
      <c r="A281" s="52" t="n"/>
      <c r="B281" s="46" t="n"/>
      <c r="C281" s="47" t="n"/>
      <c r="D281" s="47" t="n"/>
      <c r="E281" s="35" t="n"/>
      <c r="F281" s="36"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row>
    <row r="282" ht="15.75" customHeight="1" s="185">
      <c r="A282" s="52" t="n"/>
      <c r="B282" s="46" t="n"/>
      <c r="C282" s="47" t="n"/>
      <c r="D282" s="47" t="n"/>
      <c r="E282" s="35" t="n"/>
      <c r="F282" s="36" t="n"/>
      <c r="G282" s="47" t="n"/>
      <c r="H282" s="47" t="n"/>
      <c r="I282" s="10" t="inlineStr">
        <is>
          <t>就職活動でお困りの方は、お気軽にご連絡ください。お問い合わせはこちら↓　　　　　　　　　　　　　　　　　　　　　　　　　　　　　　　　　https://discussion.meetscompany.jp/1281/?_gl=1*1ptbztc*_ga*MTY1NDA3OTI2OC4xNzYwNTgxMjEy*_ga_ZXCZZJJ72V*czE3NjUzMzIxNzckbzE1JGcxJHQxNzY1MzQ1NTg2JGo1NSRsMCRoMA..</t>
        </is>
      </c>
      <c r="J282" s="47" t="n"/>
      <c r="K282" s="47" t="n"/>
      <c r="L282" s="47" t="n"/>
      <c r="M282" s="47" t="n"/>
      <c r="N282" s="47" t="n"/>
      <c r="O282" s="47" t="n"/>
      <c r="P282" s="47" t="n"/>
      <c r="Q282" s="47" t="n"/>
      <c r="R282" s="47" t="n"/>
      <c r="S282" s="47" t="n"/>
      <c r="T282" s="47" t="n"/>
      <c r="U282" s="47" t="n"/>
      <c r="V282" s="47" t="n"/>
      <c r="W282" s="47" t="n"/>
      <c r="X282" s="47" t="n"/>
      <c r="Y282" s="47" t="n"/>
      <c r="Z282" s="47" t="n"/>
    </row>
    <row r="283" ht="15.75" customHeight="1" s="185">
      <c r="A283" s="52" t="n"/>
      <c r="B283" s="46" t="n"/>
      <c r="C283" s="47" t="n"/>
      <c r="D283" s="47" t="n"/>
      <c r="E283" s="35" t="n"/>
      <c r="F283" s="36" t="n"/>
      <c r="G283" s="47" t="n"/>
      <c r="H283" s="47" t="n"/>
      <c r="I283" s="10" t="inlineStr">
        <is>
          <t>転職でお困りの方は、お気軽にお問い合わせください。お問い合わせはこちら↓　　　　　　　　　　　　　　　　　　　　　　　　　　　　　　　　　　https://talk.dshu.jp/6838/?_gl=1*1ptbztc*_ga*MTY1NDA3OTI2OC4xNzYwNTgxMjEy*_ga_ZXCZZJJ72V*czE3NjUzMzIxNzckbzE1JGcxJHQxNzY1MzQ1NTg2JGo1NSRsMCRoMA..</t>
        </is>
      </c>
      <c r="J283" s="47" t="n"/>
      <c r="K283" s="47" t="n"/>
      <c r="L283" s="47" t="n"/>
      <c r="M283" s="47" t="n"/>
      <c r="N283" s="47" t="n"/>
      <c r="O283" s="47" t="n"/>
      <c r="P283" s="47" t="n"/>
      <c r="Q283" s="47" t="n"/>
      <c r="R283" s="47" t="n"/>
      <c r="S283" s="47" t="n"/>
      <c r="T283" s="47" t="n"/>
      <c r="U283" s="47" t="n"/>
      <c r="V283" s="47" t="n"/>
      <c r="W283" s="47" t="n"/>
      <c r="X283" s="47" t="n"/>
      <c r="Y283" s="47" t="n"/>
      <c r="Z283" s="47" t="n"/>
    </row>
    <row r="284" ht="15.75" customHeight="1" s="185">
      <c r="A284" s="52" t="n"/>
      <c r="B284" s="46" t="n"/>
      <c r="C284" s="47" t="n"/>
      <c r="D284" s="47" t="n"/>
      <c r="E284" s="35" t="n"/>
      <c r="F284" s="36" t="n"/>
      <c r="G284" s="47" t="n"/>
      <c r="H284" s="47" t="n"/>
      <c r="I284" s="10" t="inlineStr">
        <is>
          <t>就職活動や転職でお困りの方は、お気軽にお問い合わせください。お問い合わせはこちら↓　　　　　　　　　　　　　　　　　　　　　　　　　https://dym.asia/media/recruiting-contact/</t>
        </is>
      </c>
      <c r="J284" s="47" t="n"/>
      <c r="K284" s="47" t="n"/>
      <c r="L284" s="47" t="n"/>
      <c r="M284" s="47" t="n"/>
      <c r="N284" s="47" t="n"/>
      <c r="O284" s="47" t="n"/>
      <c r="P284" s="47" t="n"/>
      <c r="Q284" s="47" t="n"/>
      <c r="R284" s="47" t="n"/>
      <c r="S284" s="47" t="n"/>
      <c r="T284" s="47" t="n"/>
      <c r="U284" s="47" t="n"/>
      <c r="V284" s="47" t="n"/>
      <c r="W284" s="47" t="n"/>
      <c r="X284" s="47" t="n"/>
      <c r="Y284" s="47" t="n"/>
      <c r="Z284" s="47" t="n"/>
    </row>
    <row r="285" ht="15.75" customHeight="1" s="185">
      <c r="A285" s="52" t="n"/>
      <c r="B285" s="46" t="n"/>
      <c r="C285" s="47" t="n"/>
      <c r="D285" s="47" t="n"/>
      <c r="E285" s="35" t="n"/>
      <c r="F285" s="36" t="n"/>
      <c r="G285" s="47" t="n"/>
      <c r="H285" s="47" t="n"/>
      <c r="I285" s="10" t="inlineStr">
        <is>
          <t>このような職業を探している方、ぜひご相談ください。お問い合わせはこちら↓　　　　　　　　　　　　　　　　　　　　　　　　　　　　　　　　　　　　　　　　　　https://dym.asia/media/recruiting-contact/</t>
        </is>
      </c>
      <c r="J285" s="47" t="n"/>
      <c r="K285" s="47" t="n"/>
      <c r="L285" s="47" t="n"/>
      <c r="M285" s="47" t="n"/>
      <c r="N285" s="47" t="n"/>
      <c r="O285" s="47" t="n"/>
      <c r="P285" s="47" t="n"/>
      <c r="Q285" s="47" t="n"/>
      <c r="R285" s="47" t="n"/>
      <c r="S285" s="47" t="n"/>
      <c r="T285" s="47" t="n"/>
      <c r="U285" s="47" t="n"/>
      <c r="V285" s="47" t="n"/>
      <c r="W285" s="47" t="n"/>
      <c r="X285" s="47" t="n"/>
      <c r="Y285" s="47" t="n"/>
      <c r="Z285" s="47" t="n"/>
    </row>
    <row r="286" ht="15.75" customHeight="1" s="185">
      <c r="A286" s="52" t="n"/>
      <c r="B286" s="46" t="n"/>
      <c r="C286" s="47" t="n"/>
      <c r="D286" s="47" t="n"/>
      <c r="E286" s="35" t="n"/>
      <c r="F286" s="36" t="n"/>
      <c r="G286" s="47" t="n"/>
      <c r="H286" s="47" t="n"/>
      <c r="I286" s="47" t="inlineStr">
        <is>
          <t>お客様に合う仕事を探している方は、ぜひお問い合わせください。お問い合わせはこちら↓　　　　　　　　　　　　　https://dym.asia/media/recruiting-contact/</t>
        </is>
      </c>
      <c r="J286" s="47" t="n"/>
      <c r="K286" s="47" t="n"/>
      <c r="L286" s="47" t="n"/>
      <c r="M286" s="47" t="n"/>
      <c r="N286" s="47" t="n"/>
      <c r="O286" s="47" t="n"/>
      <c r="P286" s="47" t="n"/>
      <c r="Q286" s="47" t="n"/>
      <c r="R286" s="47" t="n"/>
      <c r="S286" s="47" t="n"/>
      <c r="T286" s="47" t="n"/>
      <c r="U286" s="47" t="n"/>
      <c r="V286" s="47" t="n"/>
      <c r="W286" s="47" t="n"/>
      <c r="X286" s="47" t="n"/>
      <c r="Y286" s="47" t="n"/>
      <c r="Z286" s="47" t="n"/>
    </row>
    <row r="287" ht="15.75" customHeight="1" s="185">
      <c r="A287" s="52" t="n"/>
      <c r="B287" s="46" t="n"/>
      <c r="C287" s="47" t="n"/>
      <c r="D287" s="47" t="n"/>
      <c r="E287" s="35" t="n"/>
      <c r="F287" s="36"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row>
    <row r="288" ht="15.75" customHeight="1" s="185">
      <c r="A288" s="52" t="n"/>
      <c r="B288" s="46" t="n"/>
      <c r="C288" s="47" t="n"/>
      <c r="D288" s="47" t="n"/>
      <c r="E288" s="35" t="n"/>
      <c r="F288" s="36"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row>
    <row r="289" ht="15.75" customHeight="1" s="185">
      <c r="A289" s="52" t="n"/>
      <c r="B289" s="46" t="n"/>
      <c r="C289" s="47" t="n"/>
      <c r="D289" s="47" t="n"/>
      <c r="E289" s="35" t="n"/>
      <c r="F289" s="36"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row>
    <row r="290" ht="15.75" customHeight="1" s="185">
      <c r="A290" s="52" t="n"/>
      <c r="B290" s="46" t="n"/>
      <c r="C290" s="47" t="n"/>
      <c r="D290" s="47" t="n"/>
      <c r="E290" s="35" t="n"/>
      <c r="F290" s="36"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row>
    <row r="291" ht="15.75" customHeight="1" s="185">
      <c r="A291" s="52" t="n"/>
      <c r="B291" s="46" t="n"/>
      <c r="C291" s="47" t="n"/>
      <c r="D291" s="47" t="n"/>
      <c r="E291" s="35" t="n"/>
      <c r="F291" s="36"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row>
    <row r="292" ht="15.75" customHeight="1" s="185">
      <c r="A292" s="52" t="n"/>
      <c r="B292" s="46" t="n"/>
      <c r="C292" s="47" t="n"/>
      <c r="D292" s="47" t="n"/>
      <c r="E292" s="35" t="n"/>
      <c r="F292" s="36"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row>
    <row r="293" ht="15.75" customHeight="1" s="185">
      <c r="A293" s="52" t="n"/>
      <c r="B293" s="46" t="n"/>
      <c r="C293" s="47" t="n"/>
      <c r="D293" s="47" t="n"/>
      <c r="E293" s="35" t="n"/>
      <c r="F293" s="36"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row>
    <row r="294" ht="15.75" customHeight="1" s="185">
      <c r="A294" s="52" t="n"/>
      <c r="B294" s="46" t="n"/>
      <c r="C294" s="47" t="n"/>
      <c r="D294" s="47" t="n"/>
      <c r="E294" s="35" t="n"/>
      <c r="F294" s="36"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row>
    <row r="295" ht="15.75" customHeight="1" s="185">
      <c r="A295" s="52" t="n"/>
      <c r="B295" s="46" t="n"/>
      <c r="C295" s="47" t="n"/>
      <c r="D295" s="47" t="n"/>
      <c r="E295" s="35" t="n"/>
      <c r="F295" s="36"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row>
    <row r="296" ht="15.75" customHeight="1" s="185">
      <c r="A296" s="52" t="n"/>
      <c r="B296" s="46" t="n"/>
      <c r="C296" s="47" t="n"/>
      <c r="D296" s="47" t="n"/>
      <c r="E296" s="35" t="n"/>
      <c r="F296" s="36"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row>
    <row r="297" ht="15.75" customHeight="1" s="185">
      <c r="A297" s="52" t="n"/>
      <c r="B297" s="46" t="n"/>
      <c r="C297" s="47" t="n"/>
      <c r="D297" s="47" t="n"/>
      <c r="E297" s="35" t="n"/>
      <c r="F297" s="36"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row>
    <row r="298" ht="15.75" customHeight="1" s="185">
      <c r="A298" s="52" t="n"/>
      <c r="B298" s="46" t="n"/>
      <c r="C298" s="47" t="n"/>
      <c r="D298" s="47" t="n"/>
      <c r="E298" s="35" t="n"/>
      <c r="F298" s="36"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row>
    <row r="299" ht="15.75" customHeight="1" s="185">
      <c r="A299" s="52" t="n"/>
      <c r="B299" s="46" t="n"/>
      <c r="C299" s="47" t="n"/>
      <c r="D299" s="47" t="n"/>
      <c r="E299" s="35" t="n"/>
      <c r="F299" s="36"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row>
    <row r="300" ht="15.75" customHeight="1" s="185">
      <c r="A300" s="52" t="n"/>
      <c r="B300" s="46" t="n"/>
      <c r="C300" s="47" t="n"/>
      <c r="D300" s="47" t="n"/>
      <c r="E300" s="35" t="n"/>
      <c r="F300" s="36"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row>
    <row r="301" ht="15.75" customHeight="1" s="185">
      <c r="A301" s="52" t="n"/>
      <c r="B301" s="46" t="n"/>
      <c r="C301" s="47" t="n"/>
      <c r="D301" s="47" t="n"/>
      <c r="E301" s="35" t="n"/>
      <c r="F301" s="36"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row>
    <row r="302" ht="15.75" customHeight="1" s="185">
      <c r="A302" s="52" t="n"/>
      <c r="B302" s="46" t="n"/>
      <c r="C302" s="47" t="n"/>
      <c r="D302" s="47" t="n"/>
      <c r="E302" s="35" t="n"/>
      <c r="F302" s="36"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row>
    <row r="303" ht="15.75" customHeight="1" s="185">
      <c r="A303" s="52" t="n"/>
      <c r="B303" s="46" t="n"/>
      <c r="C303" s="47" t="n"/>
      <c r="D303" s="47" t="n"/>
      <c r="E303" s="35" t="n"/>
      <c r="F303" s="36"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row>
    <row r="304" ht="15.75" customHeight="1" s="185">
      <c r="A304" s="52" t="n"/>
      <c r="B304" s="46" t="n"/>
      <c r="C304" s="47" t="n"/>
      <c r="D304" s="47" t="n"/>
      <c r="E304" s="35" t="n"/>
      <c r="F304" s="36"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row>
    <row r="305" ht="15.75" customHeight="1" s="185">
      <c r="A305" s="52" t="n"/>
      <c r="B305" s="46" t="n"/>
      <c r="C305" s="47" t="n"/>
      <c r="D305" s="47" t="n"/>
      <c r="E305" s="35" t="n"/>
      <c r="F305" s="36"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row>
    <row r="306" ht="15.75" customHeight="1" s="185">
      <c r="A306" s="52" t="n"/>
      <c r="B306" s="46" t="n"/>
      <c r="C306" s="47" t="n"/>
      <c r="D306" s="47" t="n"/>
      <c r="E306" s="35" t="n"/>
      <c r="F306" s="36"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row>
    <row r="307" ht="15.75" customHeight="1" s="185">
      <c r="A307" s="52" t="n"/>
      <c r="B307" s="46" t="n"/>
      <c r="C307" s="47" t="n"/>
      <c r="D307" s="47" t="n"/>
      <c r="E307" s="35" t="n"/>
      <c r="F307" s="36"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row>
    <row r="308" ht="15.75" customHeight="1" s="185">
      <c r="A308" s="52" t="n"/>
      <c r="B308" s="46" t="n"/>
      <c r="C308" s="47" t="n"/>
      <c r="D308" s="47" t="n"/>
      <c r="E308" s="35" t="n"/>
      <c r="F308" s="36"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row>
    <row r="309" ht="15.75" customHeight="1" s="185">
      <c r="A309" s="52" t="n"/>
      <c r="B309" s="46" t="n"/>
      <c r="C309" s="47" t="n"/>
      <c r="D309" s="47" t="n"/>
      <c r="E309" s="35" t="n"/>
      <c r="F309" s="36"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row>
    <row r="310" ht="15.75" customHeight="1" s="185">
      <c r="A310" s="52" t="n"/>
      <c r="B310" s="46" t="n"/>
      <c r="C310" s="47" t="n"/>
      <c r="D310" s="47" t="n"/>
      <c r="E310" s="35" t="n"/>
      <c r="F310" s="36"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row>
    <row r="311" ht="15.75" customHeight="1" s="185">
      <c r="A311" s="52" t="n"/>
      <c r="B311" s="46" t="n"/>
      <c r="C311" s="47" t="n"/>
      <c r="D311" s="47" t="n"/>
      <c r="E311" s="35" t="n"/>
      <c r="F311" s="36"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row>
    <row r="312" ht="15.75" customHeight="1" s="185">
      <c r="A312" s="52" t="n"/>
      <c r="B312" s="46" t="n"/>
      <c r="C312" s="47" t="n"/>
      <c r="D312" s="47" t="n"/>
      <c r="E312" s="35" t="n"/>
      <c r="F312" s="36"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row>
    <row r="313" ht="15.75" customHeight="1" s="185">
      <c r="A313" s="52" t="n"/>
      <c r="B313" s="46" t="n"/>
      <c r="C313" s="47" t="n"/>
      <c r="D313" s="47" t="n"/>
      <c r="E313" s="35" t="n"/>
      <c r="F313" s="36"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row>
    <row r="314" ht="15.75" customHeight="1" s="185">
      <c r="A314" s="52" t="n"/>
      <c r="B314" s="46" t="n"/>
      <c r="C314" s="47" t="n"/>
      <c r="D314" s="47" t="n"/>
      <c r="E314" s="35" t="n"/>
      <c r="F314" s="36"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row>
    <row r="315" ht="15.75" customHeight="1" s="185">
      <c r="A315" s="52" t="n"/>
      <c r="B315" s="46" t="n"/>
      <c r="C315" s="47" t="n"/>
      <c r="D315" s="47" t="n"/>
      <c r="E315" s="35" t="n"/>
      <c r="F315" s="36"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row>
    <row r="316" ht="15.75" customHeight="1" s="185">
      <c r="A316" s="52" t="n"/>
      <c r="B316" s="46" t="n"/>
      <c r="C316" s="47" t="n"/>
      <c r="D316" s="47" t="n"/>
      <c r="E316" s="35" t="n"/>
      <c r="F316" s="36"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row>
    <row r="317" ht="15.75" customHeight="1" s="185">
      <c r="A317" s="52" t="n"/>
      <c r="B317" s="46" t="n"/>
      <c r="C317" s="47" t="n"/>
      <c r="D317" s="47" t="n"/>
      <c r="E317" s="35" t="n"/>
      <c r="F317" s="36"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row>
    <row r="318" ht="15.75" customHeight="1" s="185">
      <c r="A318" s="52" t="n"/>
      <c r="B318" s="46" t="n"/>
      <c r="C318" s="47" t="n"/>
      <c r="D318" s="47" t="n"/>
      <c r="E318" s="35" t="n"/>
      <c r="F318" s="36"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row>
    <row r="319" ht="15.75" customHeight="1" s="185">
      <c r="A319" s="52" t="n"/>
      <c r="B319" s="46" t="n"/>
      <c r="C319" s="47" t="n"/>
      <c r="D319" s="47" t="n"/>
      <c r="E319" s="35" t="n"/>
      <c r="F319" s="36"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row>
    <row r="320" ht="15.75" customHeight="1" s="185">
      <c r="A320" s="52" t="n"/>
      <c r="B320" s="46" t="n"/>
      <c r="C320" s="47" t="n"/>
      <c r="D320" s="47" t="n"/>
      <c r="E320" s="35" t="n"/>
      <c r="F320" s="36"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row>
    <row r="321" ht="15.75" customHeight="1" s="185">
      <c r="A321" s="52" t="n"/>
      <c r="B321" s="46" t="n"/>
      <c r="C321" s="47" t="n"/>
      <c r="D321" s="47" t="n"/>
      <c r="E321" s="35" t="n"/>
      <c r="F321" s="36"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row>
    <row r="322" ht="15.75" customHeight="1" s="185">
      <c r="A322" s="52" t="n"/>
      <c r="B322" s="46" t="n"/>
      <c r="C322" s="47" t="n"/>
      <c r="D322" s="47" t="n"/>
      <c r="E322" s="35" t="n"/>
      <c r="F322" s="36"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row>
    <row r="323" ht="15.75" customHeight="1" s="185">
      <c r="A323" s="52" t="n"/>
      <c r="B323" s="46" t="n"/>
      <c r="C323" s="47" t="n"/>
      <c r="D323" s="47" t="n"/>
      <c r="E323" s="35" t="n"/>
      <c r="F323" s="36"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row>
    <row r="324" ht="15.75" customHeight="1" s="185">
      <c r="A324" s="52" t="n"/>
      <c r="B324" s="46" t="n"/>
      <c r="C324" s="47" t="n"/>
      <c r="D324" s="47" t="n"/>
      <c r="E324" s="35" t="n"/>
      <c r="F324" s="36"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row>
    <row r="325" ht="15.75" customHeight="1" s="185">
      <c r="A325" s="52" t="n"/>
      <c r="B325" s="46" t="n"/>
      <c r="C325" s="47" t="n"/>
      <c r="D325" s="47" t="n"/>
      <c r="E325" s="35" t="n"/>
      <c r="F325" s="36"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row>
    <row r="326" ht="15.75" customHeight="1" s="185">
      <c r="A326" s="52" t="n"/>
      <c r="B326" s="46" t="n"/>
      <c r="C326" s="47" t="n"/>
      <c r="D326" s="47" t="n"/>
      <c r="E326" s="35" t="n"/>
      <c r="F326" s="36"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row>
    <row r="327" ht="15.75" customHeight="1" s="185">
      <c r="A327" s="52" t="n"/>
      <c r="B327" s="46" t="n"/>
      <c r="C327" s="47" t="n"/>
      <c r="D327" s="47" t="n"/>
      <c r="E327" s="35" t="n"/>
      <c r="F327" s="36"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row>
    <row r="328" ht="15.75" customHeight="1" s="185">
      <c r="A328" s="52" t="n"/>
      <c r="B328" s="46" t="n"/>
      <c r="C328" s="47" t="n"/>
      <c r="D328" s="47" t="n"/>
      <c r="E328" s="35" t="n"/>
      <c r="F328" s="36"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row>
    <row r="329" ht="15.75" customHeight="1" s="185">
      <c r="A329" s="52" t="n"/>
      <c r="B329" s="46" t="n"/>
      <c r="C329" s="47" t="n"/>
      <c r="D329" s="47" t="n"/>
      <c r="E329" s="35" t="n"/>
      <c r="F329" s="36"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row>
    <row r="330" ht="15.75" customHeight="1" s="185">
      <c r="A330" s="52" t="n"/>
      <c r="B330" s="46" t="n"/>
      <c r="C330" s="47" t="n"/>
      <c r="D330" s="47" t="n"/>
      <c r="E330" s="35" t="n"/>
      <c r="F330" s="36"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row>
    <row r="331" ht="15.75" customHeight="1" s="185">
      <c r="A331" s="52" t="n"/>
      <c r="B331" s="46" t="n"/>
      <c r="C331" s="47" t="n"/>
      <c r="D331" s="47" t="n"/>
      <c r="E331" s="35" t="n"/>
      <c r="F331" s="36"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row>
    <row r="332" ht="15.75" customHeight="1" s="185">
      <c r="A332" s="52" t="n"/>
      <c r="B332" s="46" t="n"/>
      <c r="C332" s="47" t="n"/>
      <c r="D332" s="47" t="n"/>
      <c r="E332" s="35" t="n"/>
      <c r="F332" s="36"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row>
    <row r="333" ht="15.75" customHeight="1" s="185">
      <c r="A333" s="52" t="n"/>
      <c r="B333" s="46" t="n"/>
      <c r="C333" s="47" t="n"/>
      <c r="D333" s="47" t="n"/>
      <c r="E333" s="35" t="n"/>
      <c r="F333" s="36"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row>
    <row r="334" ht="15.75" customHeight="1" s="185">
      <c r="A334" s="52" t="n"/>
      <c r="B334" s="46" t="n"/>
      <c r="C334" s="47" t="n"/>
      <c r="D334" s="47" t="n"/>
      <c r="E334" s="35" t="n"/>
      <c r="F334" s="36"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row>
    <row r="335" ht="15.75" customHeight="1" s="185">
      <c r="A335" s="52" t="n"/>
      <c r="B335" s="46" t="n"/>
      <c r="C335" s="47" t="n"/>
      <c r="D335" s="47" t="n"/>
      <c r="E335" s="35" t="n"/>
      <c r="F335" s="36"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row>
    <row r="336" ht="15.75" customHeight="1" s="185">
      <c r="A336" s="52" t="n"/>
      <c r="B336" s="46" t="n"/>
      <c r="C336" s="47" t="n"/>
      <c r="D336" s="47" t="n"/>
      <c r="E336" s="35" t="n"/>
      <c r="F336" s="36"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row>
    <row r="337" ht="15.75" customHeight="1" s="185">
      <c r="A337" s="52" t="n"/>
      <c r="B337" s="46" t="n"/>
      <c r="C337" s="47" t="n"/>
      <c r="D337" s="47" t="n"/>
      <c r="E337" s="35" t="n"/>
      <c r="F337" s="36"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row>
    <row r="338" ht="15.75" customHeight="1" s="185">
      <c r="A338" s="52" t="n"/>
      <c r="B338" s="46" t="n"/>
      <c r="C338" s="47" t="n"/>
      <c r="D338" s="47" t="n"/>
      <c r="E338" s="35" t="n"/>
      <c r="F338" s="36"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row>
    <row r="339" ht="15.75" customHeight="1" s="185">
      <c r="A339" s="52" t="n"/>
      <c r="B339" s="46" t="n"/>
      <c r="C339" s="47" t="n"/>
      <c r="D339" s="47" t="n"/>
      <c r="E339" s="35" t="n"/>
      <c r="F339" s="36"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row>
    <row r="340" ht="15.75" customHeight="1" s="185">
      <c r="A340" s="52" t="n"/>
      <c r="B340" s="46" t="n"/>
      <c r="C340" s="47" t="n"/>
      <c r="D340" s="47" t="n"/>
      <c r="E340" s="35" t="n"/>
      <c r="F340" s="36"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row>
    <row r="341" ht="15.75" customHeight="1" s="185">
      <c r="A341" s="52" t="n"/>
      <c r="B341" s="46" t="n"/>
      <c r="C341" s="47" t="n"/>
      <c r="D341" s="47" t="n"/>
      <c r="E341" s="35" t="n"/>
      <c r="F341" s="36"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row>
    <row r="342" ht="15.75" customHeight="1" s="185">
      <c r="A342" s="52" t="n"/>
      <c r="B342" s="46" t="n"/>
      <c r="C342" s="47" t="n"/>
      <c r="D342" s="47" t="n"/>
      <c r="E342" s="35" t="n"/>
      <c r="F342" s="36"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row>
    <row r="343" ht="15.75" customHeight="1" s="185">
      <c r="A343" s="52" t="n"/>
      <c r="B343" s="46" t="n"/>
      <c r="C343" s="47" t="n"/>
      <c r="D343" s="47" t="n"/>
      <c r="E343" s="35" t="n"/>
      <c r="F343" s="36"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row>
    <row r="344" ht="15.75" customHeight="1" s="185">
      <c r="A344" s="52" t="n"/>
      <c r="B344" s="46" t="n"/>
      <c r="C344" s="47" t="n"/>
      <c r="D344" s="47" t="n"/>
      <c r="E344" s="35" t="n"/>
      <c r="F344" s="36"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row>
    <row r="345" ht="15.75" customHeight="1" s="185">
      <c r="A345" s="52" t="n"/>
      <c r="B345" s="46" t="n"/>
      <c r="C345" s="47" t="n"/>
      <c r="D345" s="47" t="n"/>
      <c r="E345" s="35" t="n"/>
      <c r="F345" s="36"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row>
    <row r="346" ht="15.75" customHeight="1" s="185">
      <c r="A346" s="52" t="n"/>
      <c r="B346" s="46" t="n"/>
      <c r="C346" s="47" t="n"/>
      <c r="D346" s="47" t="n"/>
      <c r="E346" s="35" t="n"/>
      <c r="F346" s="36"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row>
    <row r="347" ht="15.75" customHeight="1" s="185">
      <c r="A347" s="52" t="n"/>
      <c r="B347" s="46" t="n"/>
      <c r="C347" s="47" t="n"/>
      <c r="D347" s="47" t="n"/>
      <c r="E347" s="35" t="n"/>
      <c r="F347" s="36"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row>
    <row r="348" ht="15.75" customHeight="1" s="185">
      <c r="A348" s="52" t="n"/>
      <c r="B348" s="46" t="n"/>
      <c r="C348" s="47" t="n"/>
      <c r="D348" s="47" t="n"/>
      <c r="E348" s="35" t="n"/>
      <c r="F348" s="36"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row>
    <row r="349" ht="15.75" customHeight="1" s="185">
      <c r="A349" s="52" t="n"/>
      <c r="B349" s="46" t="n"/>
      <c r="C349" s="47" t="n"/>
      <c r="D349" s="47" t="n"/>
      <c r="E349" s="35" t="n"/>
      <c r="F349" s="36"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row>
    <row r="350" ht="15.75" customHeight="1" s="185">
      <c r="A350" s="52" t="n"/>
      <c r="B350" s="46" t="n"/>
      <c r="C350" s="47" t="n"/>
      <c r="D350" s="47" t="n"/>
      <c r="E350" s="35" t="n"/>
      <c r="F350" s="36"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row>
    <row r="351" ht="15.75" customHeight="1" s="185">
      <c r="A351" s="52" t="n"/>
      <c r="B351" s="46" t="n"/>
      <c r="C351" s="47" t="n"/>
      <c r="D351" s="47" t="n"/>
      <c r="E351" s="35" t="n"/>
      <c r="F351" s="36"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row>
    <row r="352" ht="15.75" customHeight="1" s="185">
      <c r="A352" s="52" t="n"/>
      <c r="B352" s="46" t="n"/>
      <c r="C352" s="47" t="n"/>
      <c r="D352" s="47" t="n"/>
      <c r="E352" s="35" t="n"/>
      <c r="F352" s="36"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row>
    <row r="353" ht="15.75" customHeight="1" s="185">
      <c r="A353" s="52" t="n"/>
      <c r="B353" s="46" t="n"/>
      <c r="C353" s="47" t="n"/>
      <c r="D353" s="47" t="n"/>
      <c r="E353" s="35" t="n"/>
      <c r="F353" s="36"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row>
    <row r="354" ht="15.75" customHeight="1" s="185">
      <c r="A354" s="52" t="n"/>
      <c r="B354" s="46" t="n"/>
      <c r="C354" s="47" t="n"/>
      <c r="D354" s="47" t="n"/>
      <c r="E354" s="35" t="n"/>
      <c r="F354" s="36"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row>
    <row r="355" ht="15.75" customHeight="1" s="185">
      <c r="A355" s="52" t="n"/>
      <c r="B355" s="46" t="n"/>
      <c r="C355" s="47" t="n"/>
      <c r="D355" s="47" t="n"/>
      <c r="E355" s="35" t="n"/>
      <c r="F355" s="36"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row>
    <row r="356" ht="15.75" customHeight="1" s="185">
      <c r="A356" s="52" t="n"/>
      <c r="B356" s="46" t="n"/>
      <c r="C356" s="47" t="n"/>
      <c r="D356" s="47" t="n"/>
      <c r="E356" s="35" t="n"/>
      <c r="F356" s="36"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row>
    <row r="357" ht="15.75" customHeight="1" s="185">
      <c r="A357" s="52" t="n"/>
      <c r="B357" s="46" t="n"/>
      <c r="C357" s="47" t="n"/>
      <c r="D357" s="47" t="n"/>
      <c r="E357" s="35" t="n"/>
      <c r="F357" s="36"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row>
    <row r="358" ht="15.75" customHeight="1" s="185">
      <c r="A358" s="52" t="n"/>
      <c r="B358" s="46" t="n"/>
      <c r="C358" s="47" t="n"/>
      <c r="D358" s="47" t="n"/>
      <c r="E358" s="35" t="n"/>
      <c r="F358" s="36"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row>
    <row r="359" ht="15.75" customHeight="1" s="185">
      <c r="A359" s="52" t="n"/>
      <c r="B359" s="46" t="n"/>
      <c r="C359" s="47" t="n"/>
      <c r="D359" s="47" t="n"/>
      <c r="E359" s="35" t="n"/>
      <c r="F359" s="36"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row>
    <row r="360" ht="15.75" customHeight="1" s="185">
      <c r="A360" s="52" t="n"/>
      <c r="B360" s="46" t="n"/>
      <c r="C360" s="47" t="n"/>
      <c r="D360" s="47" t="n"/>
      <c r="E360" s="35" t="n"/>
      <c r="F360" s="36"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row>
    <row r="361" ht="15.75" customHeight="1" s="185">
      <c r="A361" s="52" t="n"/>
      <c r="B361" s="46" t="n"/>
      <c r="C361" s="47" t="n"/>
      <c r="D361" s="47" t="n"/>
      <c r="E361" s="35" t="n"/>
      <c r="F361" s="36"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row>
    <row r="362" ht="15.75" customHeight="1" s="185">
      <c r="A362" s="52" t="n"/>
      <c r="B362" s="46" t="n"/>
      <c r="C362" s="47" t="n"/>
      <c r="D362" s="47" t="n"/>
      <c r="E362" s="35" t="n"/>
      <c r="F362" s="36"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row>
    <row r="363" ht="15.75" customHeight="1" s="185">
      <c r="A363" s="52" t="n"/>
      <c r="B363" s="46" t="n"/>
      <c r="C363" s="47" t="n"/>
      <c r="D363" s="47" t="n"/>
      <c r="E363" s="35" t="n"/>
      <c r="F363" s="36"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row>
    <row r="364" ht="15.75" customHeight="1" s="185">
      <c r="A364" s="52" t="n"/>
      <c r="B364" s="46" t="n"/>
      <c r="C364" s="47" t="n"/>
      <c r="D364" s="47" t="n"/>
      <c r="E364" s="35" t="n"/>
      <c r="F364" s="36"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row>
    <row r="365" ht="15.75" customHeight="1" s="185">
      <c r="A365" s="52" t="n"/>
      <c r="B365" s="46" t="n"/>
      <c r="C365" s="47" t="n"/>
      <c r="D365" s="47" t="n"/>
      <c r="E365" s="35" t="n"/>
      <c r="F365" s="36"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row>
    <row r="366" ht="15.75" customHeight="1" s="185">
      <c r="A366" s="52" t="n"/>
      <c r="B366" s="46" t="n"/>
      <c r="C366" s="47" t="n"/>
      <c r="D366" s="47" t="n"/>
      <c r="E366" s="35" t="n"/>
      <c r="F366" s="36"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row>
    <row r="367" ht="15.75" customHeight="1" s="185">
      <c r="A367" s="52" t="n"/>
      <c r="B367" s="46" t="n"/>
      <c r="C367" s="47" t="n"/>
      <c r="D367" s="47" t="n"/>
      <c r="E367" s="35" t="n"/>
      <c r="F367" s="36"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row>
    <row r="368" ht="15.75" customHeight="1" s="185">
      <c r="A368" s="52" t="n"/>
      <c r="B368" s="46" t="n"/>
      <c r="C368" s="47" t="n"/>
      <c r="D368" s="47" t="n"/>
      <c r="E368" s="35" t="n"/>
      <c r="F368" s="36"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row>
    <row r="369" ht="15.75" customHeight="1" s="185">
      <c r="A369" s="52" t="n"/>
      <c r="B369" s="46" t="n"/>
      <c r="C369" s="47" t="n"/>
      <c r="D369" s="47" t="n"/>
      <c r="E369" s="35" t="n"/>
      <c r="F369" s="36"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row>
    <row r="370" ht="15.75" customHeight="1" s="185">
      <c r="A370" s="52" t="n"/>
      <c r="B370" s="46" t="n"/>
      <c r="C370" s="47" t="n"/>
      <c r="D370" s="47" t="n"/>
      <c r="E370" s="35" t="n"/>
      <c r="F370" s="36"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row>
    <row r="371" ht="15.75" customHeight="1" s="185">
      <c r="A371" s="52" t="n"/>
      <c r="B371" s="46" t="n"/>
      <c r="C371" s="47" t="n"/>
      <c r="D371" s="47" t="n"/>
      <c r="E371" s="35" t="n"/>
      <c r="F371" s="36"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row>
    <row r="372" ht="15.75" customHeight="1" s="185">
      <c r="A372" s="52" t="n"/>
      <c r="B372" s="46" t="n"/>
      <c r="C372" s="47" t="n"/>
      <c r="D372" s="47" t="n"/>
      <c r="E372" s="35" t="n"/>
      <c r="F372" s="36"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row>
    <row r="373" ht="15.75" customHeight="1" s="185">
      <c r="A373" s="52" t="n"/>
      <c r="B373" s="46" t="n"/>
      <c r="C373" s="47" t="n"/>
      <c r="D373" s="47" t="n"/>
      <c r="E373" s="35" t="n"/>
      <c r="F373" s="36"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row>
    <row r="374" ht="15.75" customHeight="1" s="185">
      <c r="A374" s="52" t="n"/>
      <c r="B374" s="46" t="n"/>
      <c r="C374" s="47" t="n"/>
      <c r="D374" s="47" t="n"/>
      <c r="E374" s="35" t="n"/>
      <c r="F374" s="36"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row>
    <row r="375" ht="15.75" customHeight="1" s="185">
      <c r="A375" s="52" t="n"/>
      <c r="B375" s="46" t="n"/>
      <c r="C375" s="47" t="n"/>
      <c r="D375" s="47" t="n"/>
      <c r="E375" s="35" t="n"/>
      <c r="F375" s="36"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row>
    <row r="376" ht="15.75" customHeight="1" s="185">
      <c r="A376" s="52" t="n"/>
      <c r="B376" s="46" t="n"/>
      <c r="C376" s="47" t="n"/>
      <c r="D376" s="47" t="n"/>
      <c r="E376" s="35" t="n"/>
      <c r="F376" s="36"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row>
    <row r="377" ht="15.75" customHeight="1" s="185">
      <c r="A377" s="52" t="n"/>
      <c r="B377" s="46" t="n"/>
      <c r="C377" s="47" t="n"/>
      <c r="D377" s="47" t="n"/>
      <c r="E377" s="35" t="n"/>
      <c r="F377" s="36"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row>
    <row r="378" ht="15.75" customHeight="1" s="185">
      <c r="A378" s="52" t="n"/>
      <c r="B378" s="46" t="n"/>
      <c r="C378" s="47" t="n"/>
      <c r="D378" s="47" t="n"/>
      <c r="E378" s="35" t="n"/>
      <c r="F378" s="36"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row>
    <row r="379" ht="15.75" customHeight="1" s="185">
      <c r="A379" s="52" t="n"/>
      <c r="B379" s="46" t="n"/>
      <c r="C379" s="47" t="n"/>
      <c r="D379" s="47" t="n"/>
      <c r="E379" s="35" t="n"/>
      <c r="F379" s="36"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row>
    <row r="380" ht="15.75" customHeight="1" s="185">
      <c r="A380" s="52" t="n"/>
      <c r="B380" s="46" t="n"/>
      <c r="C380" s="47" t="n"/>
      <c r="D380" s="47" t="n"/>
      <c r="E380" s="35" t="n"/>
      <c r="F380" s="36"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row>
    <row r="381" ht="15.75" customHeight="1" s="185">
      <c r="A381" s="52" t="n"/>
      <c r="B381" s="46" t="n"/>
      <c r="C381" s="47" t="n"/>
      <c r="D381" s="47" t="n"/>
      <c r="E381" s="35" t="n"/>
      <c r="F381" s="36"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row>
    <row r="382" ht="15.75" customHeight="1" s="185">
      <c r="A382" s="52" t="n"/>
      <c r="B382" s="46" t="n"/>
      <c r="C382" s="47" t="n"/>
      <c r="D382" s="47" t="n"/>
      <c r="E382" s="35" t="n"/>
      <c r="F382" s="36"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row>
    <row r="383" ht="15.75" customHeight="1" s="185">
      <c r="A383" s="52" t="n"/>
      <c r="B383" s="46" t="n"/>
      <c r="C383" s="47" t="n"/>
      <c r="D383" s="47" t="n"/>
      <c r="E383" s="35" t="n"/>
      <c r="F383" s="36"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row>
    <row r="384" ht="15.75" customHeight="1" s="185">
      <c r="A384" s="52" t="n"/>
      <c r="B384" s="46" t="n"/>
      <c r="C384" s="47" t="n"/>
      <c r="D384" s="47" t="n"/>
      <c r="E384" s="35" t="n"/>
      <c r="F384" s="36"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row>
    <row r="385" ht="15.75" customHeight="1" s="185">
      <c r="A385" s="52" t="n"/>
      <c r="B385" s="46" t="n"/>
      <c r="C385" s="47" t="n"/>
      <c r="D385" s="47" t="n"/>
      <c r="E385" s="35" t="n"/>
      <c r="F385" s="36"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row>
    <row r="386" ht="15.75" customHeight="1" s="185">
      <c r="A386" s="52" t="n"/>
      <c r="B386" s="46" t="n"/>
      <c r="C386" s="47" t="n"/>
      <c r="D386" s="47" t="n"/>
      <c r="E386" s="35" t="n"/>
      <c r="F386" s="36"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row>
    <row r="387" ht="15.75" customHeight="1" s="185">
      <c r="A387" s="52" t="n"/>
      <c r="B387" s="46" t="n"/>
      <c r="C387" s="47" t="n"/>
      <c r="D387" s="47" t="n"/>
      <c r="E387" s="35" t="n"/>
      <c r="F387" s="36"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row>
    <row r="388" ht="15.75" customHeight="1" s="185">
      <c r="A388" s="52" t="n"/>
      <c r="B388" s="46" t="n"/>
      <c r="C388" s="47" t="n"/>
      <c r="D388" s="47" t="n"/>
      <c r="E388" s="35" t="n"/>
      <c r="F388" s="36"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row>
    <row r="389" ht="15.75" customHeight="1" s="185">
      <c r="A389" s="52" t="n"/>
      <c r="B389" s="46" t="n"/>
      <c r="C389" s="47" t="n"/>
      <c r="D389" s="47" t="n"/>
      <c r="E389" s="35" t="n"/>
      <c r="F389" s="36"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row>
    <row r="390" ht="15.75" customHeight="1" s="185">
      <c r="A390" s="52" t="n"/>
      <c r="B390" s="46" t="n"/>
      <c r="C390" s="47" t="n"/>
      <c r="D390" s="47" t="n"/>
      <c r="E390" s="35" t="n"/>
      <c r="F390" s="36"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row>
    <row r="391" ht="15.75" customHeight="1" s="185">
      <c r="A391" s="52" t="n"/>
      <c r="B391" s="46" t="n"/>
      <c r="C391" s="47" t="n"/>
      <c r="D391" s="47" t="n"/>
      <c r="E391" s="35" t="n"/>
      <c r="F391" s="36"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row>
    <row r="392" ht="15.75" customHeight="1" s="185">
      <c r="A392" s="52" t="n"/>
      <c r="B392" s="46" t="n"/>
      <c r="C392" s="47" t="n"/>
      <c r="D392" s="47" t="n"/>
      <c r="E392" s="35" t="n"/>
      <c r="F392" s="36"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row>
    <row r="393" ht="15.75" customHeight="1" s="185">
      <c r="A393" s="52" t="n"/>
      <c r="B393" s="46" t="n"/>
      <c r="C393" s="47" t="n"/>
      <c r="D393" s="47" t="n"/>
      <c r="E393" s="35" t="n"/>
      <c r="F393" s="36"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row>
    <row r="394" ht="15.75" customHeight="1" s="185">
      <c r="A394" s="52" t="n"/>
      <c r="B394" s="46" t="n"/>
      <c r="C394" s="47" t="n"/>
      <c r="D394" s="47" t="n"/>
      <c r="E394" s="35" t="n"/>
      <c r="F394" s="36"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row>
    <row r="395" ht="15.75" customHeight="1" s="185">
      <c r="A395" s="52" t="n"/>
      <c r="B395" s="46" t="n"/>
      <c r="C395" s="47" t="n"/>
      <c r="D395" s="47" t="n"/>
      <c r="E395" s="35" t="n"/>
      <c r="F395" s="36"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row>
    <row r="396" ht="15.75" customHeight="1" s="185">
      <c r="A396" s="52" t="n"/>
      <c r="B396" s="46" t="n"/>
      <c r="C396" s="47" t="n"/>
      <c r="D396" s="47" t="n"/>
      <c r="E396" s="35" t="n"/>
      <c r="F396" s="36"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row>
    <row r="397" ht="15.75" customHeight="1" s="185">
      <c r="A397" s="52" t="n"/>
      <c r="B397" s="46" t="n"/>
      <c r="C397" s="47" t="n"/>
      <c r="D397" s="47" t="n"/>
      <c r="E397" s="35" t="n"/>
      <c r="F397" s="36"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row>
    <row r="398" ht="15.75" customHeight="1" s="185">
      <c r="A398" s="52" t="n"/>
      <c r="B398" s="46" t="n"/>
      <c r="C398" s="47" t="n"/>
      <c r="D398" s="47" t="n"/>
      <c r="E398" s="35" t="n"/>
      <c r="F398" s="36"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row>
    <row r="399" ht="15.75" customHeight="1" s="185">
      <c r="A399" s="52" t="n"/>
      <c r="B399" s="46" t="n"/>
      <c r="C399" s="47" t="n"/>
      <c r="D399" s="47" t="n"/>
      <c r="E399" s="35" t="n"/>
      <c r="F399" s="36"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row>
    <row r="400" ht="15.75" customHeight="1" s="185">
      <c r="A400" s="52" t="n"/>
      <c r="B400" s="46" t="n"/>
      <c r="C400" s="47" t="n"/>
      <c r="D400" s="47" t="n"/>
      <c r="E400" s="35" t="n"/>
      <c r="F400" s="36"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row>
    <row r="401" ht="15.75" customHeight="1" s="185">
      <c r="A401" s="52" t="n"/>
      <c r="B401" s="46" t="n"/>
      <c r="C401" s="47" t="n"/>
      <c r="D401" s="47" t="n"/>
      <c r="E401" s="35" t="n"/>
      <c r="F401" s="36" t="n"/>
      <c r="G401" s="47" t="n"/>
      <c r="H401" s="47" t="n"/>
      <c r="I401" s="47" t="n"/>
      <c r="J401" s="47" t="n"/>
      <c r="K401" s="47" t="n"/>
      <c r="L401" s="47" t="n"/>
      <c r="M401" s="47" t="n"/>
      <c r="N401" s="47" t="n"/>
      <c r="O401" s="47" t="n"/>
      <c r="P401" s="47" t="n"/>
      <c r="Q401" s="47" t="n"/>
      <c r="R401" s="47" t="n"/>
      <c r="S401" s="47" t="n"/>
      <c r="T401" s="47" t="n"/>
      <c r="U401" s="47" t="n"/>
      <c r="V401" s="47" t="n"/>
      <c r="W401" s="47" t="n"/>
      <c r="X401" s="47" t="n"/>
      <c r="Y401" s="47" t="n"/>
      <c r="Z401" s="47" t="n"/>
    </row>
    <row r="402" ht="15.75" customHeight="1" s="185">
      <c r="A402" s="52" t="n"/>
      <c r="B402" s="46" t="n"/>
      <c r="C402" s="47" t="n"/>
      <c r="D402" s="47" t="n"/>
      <c r="E402" s="35" t="n"/>
      <c r="F402" s="36" t="n"/>
      <c r="G402" s="47" t="n"/>
      <c r="H402" s="47" t="n"/>
      <c r="I402" s="47" t="n"/>
      <c r="J402" s="47" t="n"/>
      <c r="K402" s="47" t="n"/>
      <c r="L402" s="47" t="n"/>
      <c r="M402" s="47" t="n"/>
      <c r="N402" s="47" t="n"/>
      <c r="O402" s="47" t="n"/>
      <c r="P402" s="47" t="n"/>
      <c r="Q402" s="47" t="n"/>
      <c r="R402" s="47" t="n"/>
      <c r="S402" s="47" t="n"/>
      <c r="T402" s="47" t="n"/>
      <c r="U402" s="47" t="n"/>
      <c r="V402" s="47" t="n"/>
      <c r="W402" s="47" t="n"/>
      <c r="X402" s="47" t="n"/>
      <c r="Y402" s="47" t="n"/>
      <c r="Z402" s="47" t="n"/>
    </row>
    <row r="403" ht="15.75" customHeight="1" s="185">
      <c r="A403" s="52" t="n"/>
      <c r="B403" s="46" t="n"/>
      <c r="C403" s="47" t="n"/>
      <c r="D403" s="47" t="n"/>
      <c r="E403" s="35" t="n"/>
      <c r="F403" s="36" t="n"/>
      <c r="G403" s="47" t="n"/>
      <c r="H403" s="47" t="n"/>
      <c r="I403" s="47" t="n"/>
      <c r="J403" s="47" t="n"/>
      <c r="K403" s="47" t="n"/>
      <c r="L403" s="47" t="n"/>
      <c r="M403" s="47" t="n"/>
      <c r="N403" s="47" t="n"/>
      <c r="O403" s="47" t="n"/>
      <c r="P403" s="47" t="n"/>
      <c r="Q403" s="47" t="n"/>
      <c r="R403" s="47" t="n"/>
      <c r="S403" s="47" t="n"/>
      <c r="T403" s="47" t="n"/>
      <c r="U403" s="47" t="n"/>
      <c r="V403" s="47" t="n"/>
      <c r="W403" s="47" t="n"/>
      <c r="X403" s="47" t="n"/>
      <c r="Y403" s="47" t="n"/>
      <c r="Z403" s="47" t="n"/>
    </row>
    <row r="404" ht="15.75" customHeight="1" s="185">
      <c r="A404" s="52" t="n"/>
      <c r="B404" s="46" t="n"/>
      <c r="C404" s="47" t="n"/>
      <c r="D404" s="47" t="n"/>
      <c r="E404" s="35" t="n"/>
      <c r="F404" s="36" t="n"/>
      <c r="G404" s="47" t="n"/>
      <c r="H404" s="47" t="n"/>
      <c r="I404" s="47" t="n"/>
      <c r="J404" s="47" t="n"/>
      <c r="K404" s="47" t="n"/>
      <c r="L404" s="47" t="n"/>
      <c r="M404" s="47" t="n"/>
      <c r="N404" s="47" t="n"/>
      <c r="O404" s="47" t="n"/>
      <c r="P404" s="47" t="n"/>
      <c r="Q404" s="47" t="n"/>
      <c r="R404" s="47" t="n"/>
      <c r="S404" s="47" t="n"/>
      <c r="T404" s="47" t="n"/>
      <c r="U404" s="47" t="n"/>
      <c r="V404" s="47" t="n"/>
      <c r="W404" s="47" t="n"/>
      <c r="X404" s="47" t="n"/>
      <c r="Y404" s="47" t="n"/>
      <c r="Z404" s="47" t="n"/>
    </row>
    <row r="405" ht="15.75" customHeight="1" s="185">
      <c r="A405" s="52" t="n"/>
      <c r="B405" s="46" t="n"/>
      <c r="C405" s="47" t="n"/>
      <c r="D405" s="47" t="n"/>
      <c r="E405" s="35" t="n"/>
      <c r="F405" s="36" t="n"/>
      <c r="G405" s="47" t="n"/>
      <c r="H405" s="47" t="n"/>
      <c r="I405" s="47" t="n"/>
      <c r="J405" s="47" t="n"/>
      <c r="K405" s="47" t="n"/>
      <c r="L405" s="47" t="n"/>
      <c r="M405" s="47" t="n"/>
      <c r="N405" s="47" t="n"/>
      <c r="O405" s="47" t="n"/>
      <c r="P405" s="47" t="n"/>
      <c r="Q405" s="47" t="n"/>
      <c r="R405" s="47" t="n"/>
      <c r="S405" s="47" t="n"/>
      <c r="T405" s="47" t="n"/>
      <c r="U405" s="47" t="n"/>
      <c r="V405" s="47" t="n"/>
      <c r="W405" s="47" t="n"/>
      <c r="X405" s="47" t="n"/>
      <c r="Y405" s="47" t="n"/>
      <c r="Z405" s="47" t="n"/>
    </row>
    <row r="406" ht="15.75" customHeight="1" s="185">
      <c r="A406" s="52" t="n"/>
      <c r="B406" s="46" t="n"/>
      <c r="C406" s="47" t="n"/>
      <c r="D406" s="47" t="n"/>
      <c r="E406" s="35" t="n"/>
      <c r="F406" s="36" t="n"/>
      <c r="G406" s="47" t="n"/>
      <c r="H406" s="47" t="n"/>
      <c r="I406" s="47" t="n"/>
      <c r="J406" s="47" t="n"/>
      <c r="K406" s="47" t="n"/>
      <c r="L406" s="47" t="n"/>
      <c r="M406" s="47" t="n"/>
      <c r="N406" s="47" t="n"/>
      <c r="O406" s="47" t="n"/>
      <c r="P406" s="47" t="n"/>
      <c r="Q406" s="47" t="n"/>
      <c r="R406" s="47" t="n"/>
      <c r="S406" s="47" t="n"/>
      <c r="T406" s="47" t="n"/>
      <c r="U406" s="47" t="n"/>
      <c r="V406" s="47" t="n"/>
      <c r="W406" s="47" t="n"/>
      <c r="X406" s="47" t="n"/>
      <c r="Y406" s="47" t="n"/>
      <c r="Z406" s="47" t="n"/>
    </row>
    <row r="407" ht="15.75" customHeight="1" s="185">
      <c r="A407" s="52" t="n"/>
      <c r="B407" s="46" t="n"/>
      <c r="C407" s="47" t="n"/>
      <c r="D407" s="47" t="n"/>
      <c r="E407" s="35" t="n"/>
      <c r="F407" s="36" t="n"/>
      <c r="G407" s="47" t="n"/>
      <c r="H407" s="47" t="n"/>
      <c r="I407" s="47" t="n"/>
      <c r="J407" s="47" t="n"/>
      <c r="K407" s="47" t="n"/>
      <c r="L407" s="47" t="n"/>
      <c r="M407" s="47" t="n"/>
      <c r="N407" s="47" t="n"/>
      <c r="O407" s="47" t="n"/>
      <c r="P407" s="47" t="n"/>
      <c r="Q407" s="47" t="n"/>
      <c r="R407" s="47" t="n"/>
      <c r="S407" s="47" t="n"/>
      <c r="T407" s="47" t="n"/>
      <c r="U407" s="47" t="n"/>
      <c r="V407" s="47" t="n"/>
      <c r="W407" s="47" t="n"/>
      <c r="X407" s="47" t="n"/>
      <c r="Y407" s="47" t="n"/>
      <c r="Z407" s="47" t="n"/>
    </row>
    <row r="408" ht="15.75" customHeight="1" s="185">
      <c r="A408" s="52" t="n"/>
      <c r="B408" s="46" t="n"/>
      <c r="C408" s="47" t="n"/>
      <c r="D408" s="47" t="n"/>
      <c r="E408" s="35" t="n"/>
      <c r="F408" s="36" t="n"/>
      <c r="G408" s="47" t="n"/>
      <c r="H408" s="47" t="n"/>
      <c r="I408" s="47" t="n"/>
      <c r="J408" s="47" t="n"/>
      <c r="K408" s="47" t="n"/>
      <c r="L408" s="47" t="n"/>
      <c r="M408" s="47" t="n"/>
      <c r="N408" s="47" t="n"/>
      <c r="O408" s="47" t="n"/>
      <c r="P408" s="47" t="n"/>
      <c r="Q408" s="47" t="n"/>
      <c r="R408" s="47" t="n"/>
      <c r="S408" s="47" t="n"/>
      <c r="T408" s="47" t="n"/>
      <c r="U408" s="47" t="n"/>
      <c r="V408" s="47" t="n"/>
      <c r="W408" s="47" t="n"/>
      <c r="X408" s="47" t="n"/>
      <c r="Y408" s="47" t="n"/>
      <c r="Z408" s="47" t="n"/>
    </row>
    <row r="409" ht="15.75" customHeight="1" s="185">
      <c r="A409" s="52" t="n"/>
      <c r="B409" s="46" t="n"/>
      <c r="C409" s="47" t="n"/>
      <c r="D409" s="47" t="n"/>
      <c r="E409" s="35" t="n"/>
      <c r="F409" s="36" t="n"/>
      <c r="G409" s="47" t="n"/>
      <c r="H409" s="47" t="n"/>
      <c r="I409" s="47" t="n"/>
      <c r="J409" s="47" t="n"/>
      <c r="K409" s="47" t="n"/>
      <c r="L409" s="47" t="n"/>
      <c r="M409" s="47" t="n"/>
      <c r="N409" s="47" t="n"/>
      <c r="O409" s="47" t="n"/>
      <c r="P409" s="47" t="n"/>
      <c r="Q409" s="47" t="n"/>
      <c r="R409" s="47" t="n"/>
      <c r="S409" s="47" t="n"/>
      <c r="T409" s="47" t="n"/>
      <c r="U409" s="47" t="n"/>
      <c r="V409" s="47" t="n"/>
      <c r="W409" s="47" t="n"/>
      <c r="X409" s="47" t="n"/>
      <c r="Y409" s="47" t="n"/>
      <c r="Z409" s="47" t="n"/>
    </row>
    <row r="410" ht="15.75" customHeight="1" s="185">
      <c r="A410" s="52" t="n"/>
      <c r="B410" s="46" t="n"/>
      <c r="C410" s="47" t="n"/>
      <c r="D410" s="47" t="n"/>
      <c r="E410" s="35" t="n"/>
      <c r="F410" s="36" t="n"/>
      <c r="G410" s="47" t="n"/>
      <c r="H410" s="47" t="n"/>
      <c r="I410" s="47" t="n"/>
      <c r="J410" s="47" t="n"/>
      <c r="K410" s="47" t="n"/>
      <c r="L410" s="47" t="n"/>
      <c r="M410" s="47" t="n"/>
      <c r="N410" s="47" t="n"/>
      <c r="O410" s="47" t="n"/>
      <c r="P410" s="47" t="n"/>
      <c r="Q410" s="47" t="n"/>
      <c r="R410" s="47" t="n"/>
      <c r="S410" s="47" t="n"/>
      <c r="T410" s="47" t="n"/>
      <c r="U410" s="47" t="n"/>
      <c r="V410" s="47" t="n"/>
      <c r="W410" s="47" t="n"/>
      <c r="X410" s="47" t="n"/>
      <c r="Y410" s="47" t="n"/>
      <c r="Z410" s="47" t="n"/>
    </row>
    <row r="411" ht="15.75" customHeight="1" s="185">
      <c r="A411" s="52" t="n"/>
      <c r="B411" s="46" t="n"/>
      <c r="C411" s="47" t="n"/>
      <c r="D411" s="47" t="n"/>
      <c r="E411" s="35" t="n"/>
      <c r="F411" s="36" t="n"/>
      <c r="G411" s="47" t="n"/>
      <c r="H411" s="47" t="n"/>
      <c r="I411" s="47" t="n"/>
      <c r="J411" s="47" t="n"/>
      <c r="K411" s="47" t="n"/>
      <c r="L411" s="47" t="n"/>
      <c r="M411" s="47" t="n"/>
      <c r="N411" s="47" t="n"/>
      <c r="O411" s="47" t="n"/>
      <c r="P411" s="47" t="n"/>
      <c r="Q411" s="47" t="n"/>
      <c r="R411" s="47" t="n"/>
      <c r="S411" s="47" t="n"/>
      <c r="T411" s="47" t="n"/>
      <c r="U411" s="47" t="n"/>
      <c r="V411" s="47" t="n"/>
      <c r="W411" s="47" t="n"/>
      <c r="X411" s="47" t="n"/>
      <c r="Y411" s="47" t="n"/>
      <c r="Z411" s="47" t="n"/>
    </row>
    <row r="412" ht="15.75" customHeight="1" s="185">
      <c r="A412" s="52" t="n"/>
      <c r="B412" s="46" t="n"/>
      <c r="C412" s="47" t="n"/>
      <c r="D412" s="47" t="n"/>
      <c r="E412" s="35" t="n"/>
      <c r="F412" s="36" t="n"/>
      <c r="G412" s="47" t="n"/>
      <c r="H412" s="47" t="n"/>
      <c r="I412" s="47" t="n"/>
      <c r="J412" s="47" t="n"/>
      <c r="K412" s="47" t="n"/>
      <c r="L412" s="47" t="n"/>
      <c r="M412" s="47" t="n"/>
      <c r="N412" s="47" t="n"/>
      <c r="O412" s="47" t="n"/>
      <c r="P412" s="47" t="n"/>
      <c r="Q412" s="47" t="n"/>
      <c r="R412" s="47" t="n"/>
      <c r="S412" s="47" t="n"/>
      <c r="T412" s="47" t="n"/>
      <c r="U412" s="47" t="n"/>
      <c r="V412" s="47" t="n"/>
      <c r="W412" s="47" t="n"/>
      <c r="X412" s="47" t="n"/>
      <c r="Y412" s="47" t="n"/>
      <c r="Z412" s="47" t="n"/>
    </row>
    <row r="413" ht="15.75" customHeight="1" s="185">
      <c r="A413" s="52" t="n"/>
      <c r="B413" s="46" t="n"/>
      <c r="C413" s="47" t="n"/>
      <c r="D413" s="47" t="n"/>
      <c r="E413" s="35" t="n"/>
      <c r="F413" s="36" t="n"/>
      <c r="G413" s="47" t="n"/>
      <c r="H413" s="47" t="n"/>
      <c r="I413" s="47" t="n"/>
      <c r="J413" s="47" t="n"/>
      <c r="K413" s="47" t="n"/>
      <c r="L413" s="47" t="n"/>
      <c r="M413" s="47" t="n"/>
      <c r="N413" s="47" t="n"/>
      <c r="O413" s="47" t="n"/>
      <c r="P413" s="47" t="n"/>
      <c r="Q413" s="47" t="n"/>
      <c r="R413" s="47" t="n"/>
      <c r="S413" s="47" t="n"/>
      <c r="T413" s="47" t="n"/>
      <c r="U413" s="47" t="n"/>
      <c r="V413" s="47" t="n"/>
      <c r="W413" s="47" t="n"/>
      <c r="X413" s="47" t="n"/>
      <c r="Y413" s="47" t="n"/>
      <c r="Z413" s="47" t="n"/>
    </row>
    <row r="414" ht="15.75" customHeight="1" s="185">
      <c r="A414" s="52" t="n"/>
      <c r="B414" s="46" t="n"/>
      <c r="C414" s="47" t="n"/>
      <c r="D414" s="47" t="n"/>
      <c r="E414" s="35" t="n"/>
      <c r="F414" s="36" t="n"/>
      <c r="G414" s="47" t="n"/>
      <c r="H414" s="47" t="n"/>
      <c r="I414" s="47" t="n"/>
      <c r="J414" s="47" t="n"/>
      <c r="K414" s="47" t="n"/>
      <c r="L414" s="47" t="n"/>
      <c r="M414" s="47" t="n"/>
      <c r="N414" s="47" t="n"/>
      <c r="O414" s="47" t="n"/>
      <c r="P414" s="47" t="n"/>
      <c r="Q414" s="47" t="n"/>
      <c r="R414" s="47" t="n"/>
      <c r="S414" s="47" t="n"/>
      <c r="T414" s="47" t="n"/>
      <c r="U414" s="47" t="n"/>
      <c r="V414" s="47" t="n"/>
      <c r="W414" s="47" t="n"/>
      <c r="X414" s="47" t="n"/>
      <c r="Y414" s="47" t="n"/>
      <c r="Z414" s="47" t="n"/>
    </row>
    <row r="415" ht="15.75" customHeight="1" s="185">
      <c r="A415" s="52" t="n"/>
      <c r="B415" s="46" t="n"/>
      <c r="C415" s="47" t="n"/>
      <c r="D415" s="47" t="n"/>
      <c r="E415" s="35" t="n"/>
      <c r="F415" s="36" t="n"/>
      <c r="G415" s="47" t="n"/>
      <c r="H415" s="47" t="n"/>
      <c r="I415" s="47" t="n"/>
      <c r="J415" s="47" t="n"/>
      <c r="K415" s="47" t="n"/>
      <c r="L415" s="47" t="n"/>
      <c r="M415" s="47" t="n"/>
      <c r="N415" s="47" t="n"/>
      <c r="O415" s="47" t="n"/>
      <c r="P415" s="47" t="n"/>
      <c r="Q415" s="47" t="n"/>
      <c r="R415" s="47" t="n"/>
      <c r="S415" s="47" t="n"/>
      <c r="T415" s="47" t="n"/>
      <c r="U415" s="47" t="n"/>
      <c r="V415" s="47" t="n"/>
      <c r="W415" s="47" t="n"/>
      <c r="X415" s="47" t="n"/>
      <c r="Y415" s="47" t="n"/>
      <c r="Z415" s="47" t="n"/>
    </row>
    <row r="416" ht="15.75" customHeight="1" s="185">
      <c r="A416" s="52" t="n"/>
      <c r="B416" s="46" t="n"/>
      <c r="C416" s="47" t="n"/>
      <c r="D416" s="47" t="n"/>
      <c r="E416" s="35" t="n"/>
      <c r="F416" s="36" t="n"/>
      <c r="G416" s="47" t="n"/>
      <c r="H416" s="47" t="n"/>
      <c r="I416" s="47" t="n"/>
      <c r="J416" s="47" t="n"/>
      <c r="K416" s="47" t="n"/>
      <c r="L416" s="47" t="n"/>
      <c r="M416" s="47" t="n"/>
      <c r="N416" s="47" t="n"/>
      <c r="O416" s="47" t="n"/>
      <c r="P416" s="47" t="n"/>
      <c r="Q416" s="47" t="n"/>
      <c r="R416" s="47" t="n"/>
      <c r="S416" s="47" t="n"/>
      <c r="T416" s="47" t="n"/>
      <c r="U416" s="47" t="n"/>
      <c r="V416" s="47" t="n"/>
      <c r="W416" s="47" t="n"/>
      <c r="X416" s="47" t="n"/>
      <c r="Y416" s="47" t="n"/>
      <c r="Z416" s="47" t="n"/>
    </row>
    <row r="417" ht="15.75" customHeight="1" s="185">
      <c r="A417" s="52" t="n"/>
      <c r="B417" s="46" t="n"/>
      <c r="C417" s="47" t="n"/>
      <c r="D417" s="47" t="n"/>
      <c r="E417" s="35" t="n"/>
      <c r="F417" s="36" t="n"/>
      <c r="G417" s="47" t="n"/>
      <c r="H417" s="47" t="n"/>
      <c r="I417" s="47" t="n"/>
      <c r="J417" s="47" t="n"/>
      <c r="K417" s="47" t="n"/>
      <c r="L417" s="47" t="n"/>
      <c r="M417" s="47" t="n"/>
      <c r="N417" s="47" t="n"/>
      <c r="O417" s="47" t="n"/>
      <c r="P417" s="47" t="n"/>
      <c r="Q417" s="47" t="n"/>
      <c r="R417" s="47" t="n"/>
      <c r="S417" s="47" t="n"/>
      <c r="T417" s="47" t="n"/>
      <c r="U417" s="47" t="n"/>
      <c r="V417" s="47" t="n"/>
      <c r="W417" s="47" t="n"/>
      <c r="X417" s="47" t="n"/>
      <c r="Y417" s="47" t="n"/>
      <c r="Z417" s="47" t="n"/>
    </row>
    <row r="418" ht="15.75" customHeight="1" s="185">
      <c r="A418" s="52" t="n"/>
      <c r="B418" s="46" t="n"/>
      <c r="C418" s="47" t="n"/>
      <c r="D418" s="47" t="n"/>
      <c r="E418" s="35" t="n"/>
      <c r="F418" s="36" t="n"/>
      <c r="G418" s="47" t="n"/>
      <c r="H418" s="47" t="n"/>
      <c r="I418" s="47" t="n"/>
      <c r="J418" s="47" t="n"/>
      <c r="K418" s="47" t="n"/>
      <c r="L418" s="47" t="n"/>
      <c r="M418" s="47" t="n"/>
      <c r="N418" s="47" t="n"/>
      <c r="O418" s="47" t="n"/>
      <c r="P418" s="47" t="n"/>
      <c r="Q418" s="47" t="n"/>
      <c r="R418" s="47" t="n"/>
      <c r="S418" s="47" t="n"/>
      <c r="T418" s="47" t="n"/>
      <c r="U418" s="47" t="n"/>
      <c r="V418" s="47" t="n"/>
      <c r="W418" s="47" t="n"/>
      <c r="X418" s="47" t="n"/>
      <c r="Y418" s="47" t="n"/>
      <c r="Z418" s="47" t="n"/>
    </row>
    <row r="419" ht="15.75" customHeight="1" s="185">
      <c r="A419" s="52" t="n"/>
      <c r="B419" s="46" t="n"/>
      <c r="C419" s="47" t="n"/>
      <c r="D419" s="47" t="n"/>
      <c r="E419" s="35" t="n"/>
      <c r="F419" s="36" t="n"/>
      <c r="G419" s="47" t="n"/>
      <c r="H419" s="47" t="n"/>
      <c r="I419" s="47" t="n"/>
      <c r="J419" s="47" t="n"/>
      <c r="K419" s="47" t="n"/>
      <c r="L419" s="47" t="n"/>
      <c r="M419" s="47" t="n"/>
      <c r="N419" s="47" t="n"/>
      <c r="O419" s="47" t="n"/>
      <c r="P419" s="47" t="n"/>
      <c r="Q419" s="47" t="n"/>
      <c r="R419" s="47" t="n"/>
      <c r="S419" s="47" t="n"/>
      <c r="T419" s="47" t="n"/>
      <c r="U419" s="47" t="n"/>
      <c r="V419" s="47" t="n"/>
      <c r="W419" s="47" t="n"/>
      <c r="X419" s="47" t="n"/>
      <c r="Y419" s="47" t="n"/>
      <c r="Z419" s="47" t="n"/>
    </row>
    <row r="420" ht="15.75" customHeight="1" s="185">
      <c r="A420" s="52" t="n"/>
      <c r="B420" s="46" t="n"/>
      <c r="C420" s="47" t="n"/>
      <c r="D420" s="47" t="n"/>
      <c r="E420" s="35" t="n"/>
      <c r="F420" s="36" t="n"/>
      <c r="G420" s="47" t="n"/>
      <c r="H420" s="47" t="n"/>
      <c r="I420" s="47" t="n"/>
      <c r="J420" s="47" t="n"/>
      <c r="K420" s="47" t="n"/>
      <c r="L420" s="47" t="n"/>
      <c r="M420" s="47" t="n"/>
      <c r="N420" s="47" t="n"/>
      <c r="O420" s="47" t="n"/>
      <c r="P420" s="47" t="n"/>
      <c r="Q420" s="47" t="n"/>
      <c r="R420" s="47" t="n"/>
      <c r="S420" s="47" t="n"/>
      <c r="T420" s="47" t="n"/>
      <c r="U420" s="47" t="n"/>
      <c r="V420" s="47" t="n"/>
      <c r="W420" s="47" t="n"/>
      <c r="X420" s="47" t="n"/>
      <c r="Y420" s="47" t="n"/>
      <c r="Z420" s="47" t="n"/>
    </row>
    <row r="421" ht="15.75" customHeight="1" s="185">
      <c r="A421" s="52" t="n"/>
      <c r="B421" s="46" t="n"/>
      <c r="C421" s="47" t="n"/>
      <c r="D421" s="47" t="n"/>
      <c r="E421" s="35" t="n"/>
      <c r="F421" s="36" t="n"/>
      <c r="G421" s="47" t="n"/>
      <c r="H421" s="47" t="n"/>
      <c r="I421" s="47" t="n"/>
      <c r="J421" s="47" t="n"/>
      <c r="K421" s="47" t="n"/>
      <c r="L421" s="47" t="n"/>
      <c r="M421" s="47" t="n"/>
      <c r="N421" s="47" t="n"/>
      <c r="O421" s="47" t="n"/>
      <c r="P421" s="47" t="n"/>
      <c r="Q421" s="47" t="n"/>
      <c r="R421" s="47" t="n"/>
      <c r="S421" s="47" t="n"/>
      <c r="T421" s="47" t="n"/>
      <c r="U421" s="47" t="n"/>
      <c r="V421" s="47" t="n"/>
      <c r="W421" s="47" t="n"/>
      <c r="X421" s="47" t="n"/>
      <c r="Y421" s="47" t="n"/>
      <c r="Z421" s="47" t="n"/>
    </row>
    <row r="422" ht="15.75" customHeight="1" s="185">
      <c r="A422" s="52" t="n"/>
      <c r="B422" s="46" t="n"/>
      <c r="C422" s="47" t="n"/>
      <c r="D422" s="47" t="n"/>
      <c r="E422" s="35" t="n"/>
      <c r="F422" s="36" t="n"/>
      <c r="G422" s="47" t="n"/>
      <c r="H422" s="47" t="n"/>
      <c r="I422" s="47" t="n"/>
      <c r="J422" s="47" t="n"/>
      <c r="K422" s="47" t="n"/>
      <c r="L422" s="47" t="n"/>
      <c r="M422" s="47" t="n"/>
      <c r="N422" s="47" t="n"/>
      <c r="O422" s="47" t="n"/>
      <c r="P422" s="47" t="n"/>
      <c r="Q422" s="47" t="n"/>
      <c r="R422" s="47" t="n"/>
      <c r="S422" s="47" t="n"/>
      <c r="T422" s="47" t="n"/>
      <c r="U422" s="47" t="n"/>
      <c r="V422" s="47" t="n"/>
      <c r="W422" s="47" t="n"/>
      <c r="X422" s="47" t="n"/>
      <c r="Y422" s="47" t="n"/>
      <c r="Z422" s="47" t="n"/>
    </row>
    <row r="423" ht="15.75" customHeight="1" s="185">
      <c r="A423" s="52" t="n"/>
      <c r="B423" s="46" t="n"/>
      <c r="C423" s="47" t="n"/>
      <c r="D423" s="47" t="n"/>
      <c r="E423" s="35" t="n"/>
      <c r="F423" s="36" t="n"/>
      <c r="G423" s="47" t="n"/>
      <c r="H423" s="47" t="n"/>
      <c r="I423" s="47" t="n"/>
      <c r="J423" s="47" t="n"/>
      <c r="K423" s="47" t="n"/>
      <c r="L423" s="47" t="n"/>
      <c r="M423" s="47" t="n"/>
      <c r="N423" s="47" t="n"/>
      <c r="O423" s="47" t="n"/>
      <c r="P423" s="47" t="n"/>
      <c r="Q423" s="47" t="n"/>
      <c r="R423" s="47" t="n"/>
      <c r="S423" s="47" t="n"/>
      <c r="T423" s="47" t="n"/>
      <c r="U423" s="47" t="n"/>
      <c r="V423" s="47" t="n"/>
      <c r="W423" s="47" t="n"/>
      <c r="X423" s="47" t="n"/>
      <c r="Y423" s="47" t="n"/>
      <c r="Z423" s="47" t="n"/>
    </row>
    <row r="424" ht="15.75" customHeight="1" s="185">
      <c r="A424" s="52" t="n"/>
      <c r="B424" s="46" t="n"/>
      <c r="C424" s="47" t="n"/>
      <c r="D424" s="47" t="n"/>
      <c r="E424" s="35" t="n"/>
      <c r="F424" s="36" t="n"/>
      <c r="G424" s="47" t="n"/>
      <c r="H424" s="47" t="n"/>
      <c r="I424" s="47" t="n"/>
      <c r="J424" s="47" t="n"/>
      <c r="K424" s="47" t="n"/>
      <c r="L424" s="47" t="n"/>
      <c r="M424" s="47" t="n"/>
      <c r="N424" s="47" t="n"/>
      <c r="O424" s="47" t="n"/>
      <c r="P424" s="47" t="n"/>
      <c r="Q424" s="47" t="n"/>
      <c r="R424" s="47" t="n"/>
      <c r="S424" s="47" t="n"/>
      <c r="T424" s="47" t="n"/>
      <c r="U424" s="47" t="n"/>
      <c r="V424" s="47" t="n"/>
      <c r="W424" s="47" t="n"/>
      <c r="X424" s="47" t="n"/>
      <c r="Y424" s="47" t="n"/>
      <c r="Z424" s="47" t="n"/>
    </row>
    <row r="425" ht="15.75" customHeight="1" s="185">
      <c r="A425" s="52" t="n"/>
      <c r="B425" s="46" t="n"/>
      <c r="C425" s="47" t="n"/>
      <c r="D425" s="47" t="n"/>
      <c r="E425" s="35" t="n"/>
      <c r="F425" s="36" t="n"/>
      <c r="G425" s="47" t="n"/>
      <c r="H425" s="47" t="n"/>
      <c r="I425" s="47" t="n"/>
      <c r="J425" s="47" t="n"/>
      <c r="K425" s="47" t="n"/>
      <c r="L425" s="47" t="n"/>
      <c r="M425" s="47" t="n"/>
      <c r="N425" s="47" t="n"/>
      <c r="O425" s="47" t="n"/>
      <c r="P425" s="47" t="n"/>
      <c r="Q425" s="47" t="n"/>
      <c r="R425" s="47" t="n"/>
      <c r="S425" s="47" t="n"/>
      <c r="T425" s="47" t="n"/>
      <c r="U425" s="47" t="n"/>
      <c r="V425" s="47" t="n"/>
      <c r="W425" s="47" t="n"/>
      <c r="X425" s="47" t="n"/>
      <c r="Y425" s="47" t="n"/>
      <c r="Z425" s="47" t="n"/>
    </row>
    <row r="426" ht="15.75" customHeight="1" s="185">
      <c r="A426" s="52" t="n"/>
      <c r="B426" s="46" t="n"/>
      <c r="C426" s="47" t="n"/>
      <c r="D426" s="47" t="n"/>
      <c r="E426" s="35" t="n"/>
      <c r="F426" s="36" t="n"/>
      <c r="G426" s="47" t="n"/>
      <c r="H426" s="47" t="n"/>
      <c r="I426" s="47" t="n"/>
      <c r="J426" s="47" t="n"/>
      <c r="K426" s="47" t="n"/>
      <c r="L426" s="47" t="n"/>
      <c r="M426" s="47" t="n"/>
      <c r="N426" s="47" t="n"/>
      <c r="O426" s="47" t="n"/>
      <c r="P426" s="47" t="n"/>
      <c r="Q426" s="47" t="n"/>
      <c r="R426" s="47" t="n"/>
      <c r="S426" s="47" t="n"/>
      <c r="T426" s="47" t="n"/>
      <c r="U426" s="47" t="n"/>
      <c r="V426" s="47" t="n"/>
      <c r="W426" s="47" t="n"/>
      <c r="X426" s="47" t="n"/>
      <c r="Y426" s="47" t="n"/>
      <c r="Z426" s="47" t="n"/>
    </row>
    <row r="427" ht="15.75" customHeight="1" s="185">
      <c r="A427" s="52" t="n"/>
      <c r="B427" s="46" t="n"/>
      <c r="C427" s="47" t="n"/>
      <c r="D427" s="47" t="n"/>
      <c r="E427" s="35" t="n"/>
      <c r="F427" s="36" t="n"/>
      <c r="G427" s="47" t="n"/>
      <c r="H427" s="47" t="n"/>
      <c r="I427" s="47" t="n"/>
      <c r="J427" s="47" t="n"/>
      <c r="K427" s="47" t="n"/>
      <c r="L427" s="47" t="n"/>
      <c r="M427" s="47" t="n"/>
      <c r="N427" s="47" t="n"/>
      <c r="O427" s="47" t="n"/>
      <c r="P427" s="47" t="n"/>
      <c r="Q427" s="47" t="n"/>
      <c r="R427" s="47" t="n"/>
      <c r="S427" s="47" t="n"/>
      <c r="T427" s="47" t="n"/>
      <c r="U427" s="47" t="n"/>
      <c r="V427" s="47" t="n"/>
      <c r="W427" s="47" t="n"/>
      <c r="X427" s="47" t="n"/>
      <c r="Y427" s="47" t="n"/>
      <c r="Z427" s="47" t="n"/>
    </row>
    <row r="428" ht="15.75" customHeight="1" s="185">
      <c r="A428" s="52" t="n"/>
      <c r="B428" s="46" t="n"/>
      <c r="C428" s="47" t="n"/>
      <c r="D428" s="47" t="n"/>
      <c r="E428" s="35" t="n"/>
      <c r="F428" s="36" t="n"/>
      <c r="G428" s="47" t="n"/>
      <c r="H428" s="47" t="n"/>
      <c r="I428" s="47" t="n"/>
      <c r="J428" s="47" t="n"/>
      <c r="K428" s="47" t="n"/>
      <c r="L428" s="47" t="n"/>
      <c r="M428" s="47" t="n"/>
      <c r="N428" s="47" t="n"/>
      <c r="O428" s="47" t="n"/>
      <c r="P428" s="47" t="n"/>
      <c r="Q428" s="47" t="n"/>
      <c r="R428" s="47" t="n"/>
      <c r="S428" s="47" t="n"/>
      <c r="T428" s="47" t="n"/>
      <c r="U428" s="47" t="n"/>
      <c r="V428" s="47" t="n"/>
      <c r="W428" s="47" t="n"/>
      <c r="X428" s="47" t="n"/>
      <c r="Y428" s="47" t="n"/>
      <c r="Z428" s="47" t="n"/>
    </row>
    <row r="429" ht="15.75" customHeight="1" s="185">
      <c r="A429" s="52" t="n"/>
      <c r="B429" s="46" t="n"/>
      <c r="C429" s="47" t="n"/>
      <c r="D429" s="47" t="n"/>
      <c r="E429" s="35" t="n"/>
      <c r="F429" s="36" t="n"/>
      <c r="G429" s="47" t="n"/>
      <c r="H429" s="47" t="n"/>
      <c r="I429" s="47" t="n"/>
      <c r="J429" s="47" t="n"/>
      <c r="K429" s="47" t="n"/>
      <c r="L429" s="47" t="n"/>
      <c r="M429" s="47" t="n"/>
      <c r="N429" s="47" t="n"/>
      <c r="O429" s="47" t="n"/>
      <c r="P429" s="47" t="n"/>
      <c r="Q429" s="47" t="n"/>
      <c r="R429" s="47" t="n"/>
      <c r="S429" s="47" t="n"/>
      <c r="T429" s="47" t="n"/>
      <c r="U429" s="47" t="n"/>
      <c r="V429" s="47" t="n"/>
      <c r="W429" s="47" t="n"/>
      <c r="X429" s="47" t="n"/>
      <c r="Y429" s="47" t="n"/>
      <c r="Z429" s="47" t="n"/>
    </row>
    <row r="430" ht="15.75" customHeight="1" s="185">
      <c r="A430" s="52" t="n"/>
      <c r="B430" s="46" t="n"/>
      <c r="C430" s="47" t="n"/>
      <c r="D430" s="47" t="n"/>
      <c r="E430" s="35" t="n"/>
      <c r="F430" s="36" t="n"/>
      <c r="G430" s="47" t="n"/>
      <c r="H430" s="47" t="n"/>
      <c r="I430" s="47" t="n"/>
      <c r="J430" s="47" t="n"/>
      <c r="K430" s="47" t="n"/>
      <c r="L430" s="47" t="n"/>
      <c r="M430" s="47" t="n"/>
      <c r="N430" s="47" t="n"/>
      <c r="O430" s="47" t="n"/>
      <c r="P430" s="47" t="n"/>
      <c r="Q430" s="47" t="n"/>
      <c r="R430" s="47" t="n"/>
      <c r="S430" s="47" t="n"/>
      <c r="T430" s="47" t="n"/>
      <c r="U430" s="47" t="n"/>
      <c r="V430" s="47" t="n"/>
      <c r="W430" s="47" t="n"/>
      <c r="X430" s="47" t="n"/>
      <c r="Y430" s="47" t="n"/>
      <c r="Z430" s="47" t="n"/>
    </row>
    <row r="431" ht="15.75" customHeight="1" s="185">
      <c r="A431" s="52" t="n"/>
      <c r="B431" s="46" t="n"/>
      <c r="C431" s="47" t="n"/>
      <c r="D431" s="47" t="n"/>
      <c r="E431" s="35" t="n"/>
      <c r="F431" s="36" t="n"/>
      <c r="G431" s="47" t="n"/>
      <c r="H431" s="47" t="n"/>
      <c r="I431" s="47" t="n"/>
      <c r="J431" s="47" t="n"/>
      <c r="K431" s="47" t="n"/>
      <c r="L431" s="47" t="n"/>
      <c r="M431" s="47" t="n"/>
      <c r="N431" s="47" t="n"/>
      <c r="O431" s="47" t="n"/>
      <c r="P431" s="47" t="n"/>
      <c r="Q431" s="47" t="n"/>
      <c r="R431" s="47" t="n"/>
      <c r="S431" s="47" t="n"/>
      <c r="T431" s="47" t="n"/>
      <c r="U431" s="47" t="n"/>
      <c r="V431" s="47" t="n"/>
      <c r="W431" s="47" t="n"/>
      <c r="X431" s="47" t="n"/>
      <c r="Y431" s="47" t="n"/>
      <c r="Z431" s="47" t="n"/>
    </row>
    <row r="432" ht="15.75" customHeight="1" s="185">
      <c r="A432" s="52" t="n"/>
      <c r="B432" s="46" t="n"/>
      <c r="C432" s="47" t="n"/>
      <c r="D432" s="47" t="n"/>
      <c r="E432" s="35" t="n"/>
      <c r="F432" s="36" t="n"/>
      <c r="G432" s="47" t="n"/>
      <c r="H432" s="47" t="n"/>
      <c r="I432" s="47" t="n"/>
      <c r="J432" s="47" t="n"/>
      <c r="K432" s="47" t="n"/>
      <c r="L432" s="47" t="n"/>
      <c r="M432" s="47" t="n"/>
      <c r="N432" s="47" t="n"/>
      <c r="O432" s="47" t="n"/>
      <c r="P432" s="47" t="n"/>
      <c r="Q432" s="47" t="n"/>
      <c r="R432" s="47" t="n"/>
      <c r="S432" s="47" t="n"/>
      <c r="T432" s="47" t="n"/>
      <c r="U432" s="47" t="n"/>
      <c r="V432" s="47" t="n"/>
      <c r="W432" s="47" t="n"/>
      <c r="X432" s="47" t="n"/>
      <c r="Y432" s="47" t="n"/>
      <c r="Z432" s="47" t="n"/>
    </row>
    <row r="433" ht="15.75" customHeight="1" s="185">
      <c r="A433" s="52" t="n"/>
      <c r="B433" s="46" t="n"/>
      <c r="C433" s="47" t="n"/>
      <c r="D433" s="47" t="n"/>
      <c r="E433" s="35" t="n"/>
      <c r="F433" s="36" t="n"/>
      <c r="G433" s="47" t="n"/>
      <c r="H433" s="47" t="n"/>
      <c r="I433" s="47" t="n"/>
      <c r="J433" s="47" t="n"/>
      <c r="K433" s="47" t="n"/>
      <c r="L433" s="47" t="n"/>
      <c r="M433" s="47" t="n"/>
      <c r="N433" s="47" t="n"/>
      <c r="O433" s="47" t="n"/>
      <c r="P433" s="47" t="n"/>
      <c r="Q433" s="47" t="n"/>
      <c r="R433" s="47" t="n"/>
      <c r="S433" s="47" t="n"/>
      <c r="T433" s="47" t="n"/>
      <c r="U433" s="47" t="n"/>
      <c r="V433" s="47" t="n"/>
      <c r="W433" s="47" t="n"/>
      <c r="X433" s="47" t="n"/>
      <c r="Y433" s="47" t="n"/>
      <c r="Z433" s="47" t="n"/>
    </row>
    <row r="434" ht="15.75" customHeight="1" s="185">
      <c r="A434" s="52" t="n"/>
      <c r="B434" s="46" t="n"/>
      <c r="C434" s="47" t="n"/>
      <c r="D434" s="47" t="n"/>
      <c r="E434" s="35" t="n"/>
      <c r="F434" s="36" t="n"/>
      <c r="G434" s="47" t="n"/>
      <c r="H434" s="47" t="n"/>
      <c r="I434" s="47" t="n"/>
      <c r="J434" s="47" t="n"/>
      <c r="K434" s="47" t="n"/>
      <c r="L434" s="47" t="n"/>
      <c r="M434" s="47" t="n"/>
      <c r="N434" s="47" t="n"/>
      <c r="O434" s="47" t="n"/>
      <c r="P434" s="47" t="n"/>
      <c r="Q434" s="47" t="n"/>
      <c r="R434" s="47" t="n"/>
      <c r="S434" s="47" t="n"/>
      <c r="T434" s="47" t="n"/>
      <c r="U434" s="47" t="n"/>
      <c r="V434" s="47" t="n"/>
      <c r="W434" s="47" t="n"/>
      <c r="X434" s="47" t="n"/>
      <c r="Y434" s="47" t="n"/>
      <c r="Z434" s="47" t="n"/>
    </row>
    <row r="435" ht="15.75" customHeight="1" s="185">
      <c r="A435" s="52" t="n"/>
      <c r="B435" s="46" t="n"/>
      <c r="C435" s="47" t="n"/>
      <c r="D435" s="47" t="n"/>
      <c r="E435" s="35" t="n"/>
      <c r="F435" s="36" t="n"/>
      <c r="G435" s="47" t="n"/>
      <c r="H435" s="47" t="n"/>
      <c r="I435" s="47" t="n"/>
      <c r="J435" s="47" t="n"/>
      <c r="K435" s="47" t="n"/>
      <c r="L435" s="47" t="n"/>
      <c r="M435" s="47" t="n"/>
      <c r="N435" s="47" t="n"/>
      <c r="O435" s="47" t="n"/>
      <c r="P435" s="47" t="n"/>
      <c r="Q435" s="47" t="n"/>
      <c r="R435" s="47" t="n"/>
      <c r="S435" s="47" t="n"/>
      <c r="T435" s="47" t="n"/>
      <c r="U435" s="47" t="n"/>
      <c r="V435" s="47" t="n"/>
      <c r="W435" s="47" t="n"/>
      <c r="X435" s="47" t="n"/>
      <c r="Y435" s="47" t="n"/>
      <c r="Z435" s="47" t="n"/>
    </row>
    <row r="436" ht="15.75" customHeight="1" s="185">
      <c r="A436" s="52" t="n"/>
      <c r="B436" s="46" t="n"/>
      <c r="C436" s="47" t="n"/>
      <c r="D436" s="47" t="n"/>
      <c r="E436" s="35" t="n"/>
      <c r="F436" s="36" t="n"/>
      <c r="G436" s="47" t="n"/>
      <c r="H436" s="47" t="n"/>
      <c r="I436" s="47" t="n"/>
      <c r="J436" s="47" t="n"/>
      <c r="K436" s="47" t="n"/>
      <c r="L436" s="47" t="n"/>
      <c r="M436" s="47" t="n"/>
      <c r="N436" s="47" t="n"/>
      <c r="O436" s="47" t="n"/>
      <c r="P436" s="47" t="n"/>
      <c r="Q436" s="47" t="n"/>
      <c r="R436" s="47" t="n"/>
      <c r="S436" s="47" t="n"/>
      <c r="T436" s="47" t="n"/>
      <c r="U436" s="47" t="n"/>
      <c r="V436" s="47" t="n"/>
      <c r="W436" s="47" t="n"/>
      <c r="X436" s="47" t="n"/>
      <c r="Y436" s="47" t="n"/>
      <c r="Z436" s="47" t="n"/>
    </row>
    <row r="437" ht="15.75" customHeight="1" s="185">
      <c r="A437" s="52" t="n"/>
      <c r="B437" s="46" t="n"/>
      <c r="C437" s="47" t="n"/>
      <c r="D437" s="47" t="n"/>
      <c r="E437" s="35" t="n"/>
      <c r="F437" s="36" t="n"/>
      <c r="G437" s="47" t="n"/>
      <c r="H437" s="47" t="n"/>
      <c r="I437" s="47" t="n"/>
      <c r="J437" s="47" t="n"/>
      <c r="K437" s="47" t="n"/>
      <c r="L437" s="47" t="n"/>
      <c r="M437" s="47" t="n"/>
      <c r="N437" s="47" t="n"/>
      <c r="O437" s="47" t="n"/>
      <c r="P437" s="47" t="n"/>
      <c r="Q437" s="47" t="n"/>
      <c r="R437" s="47" t="n"/>
      <c r="S437" s="47" t="n"/>
      <c r="T437" s="47" t="n"/>
      <c r="U437" s="47" t="n"/>
      <c r="V437" s="47" t="n"/>
      <c r="W437" s="47" t="n"/>
      <c r="X437" s="47" t="n"/>
      <c r="Y437" s="47" t="n"/>
      <c r="Z437" s="47" t="n"/>
    </row>
    <row r="438" ht="15.75" customHeight="1" s="185">
      <c r="A438" s="52" t="n"/>
      <c r="B438" s="46" t="n"/>
      <c r="C438" s="47" t="n"/>
      <c r="D438" s="47" t="n"/>
      <c r="E438" s="35" t="n"/>
      <c r="F438" s="36" t="n"/>
      <c r="G438" s="47" t="n"/>
      <c r="H438" s="47" t="n"/>
      <c r="I438" s="47" t="n"/>
      <c r="J438" s="47" t="n"/>
      <c r="K438" s="47" t="n"/>
      <c r="L438" s="47" t="n"/>
      <c r="M438" s="47" t="n"/>
      <c r="N438" s="47" t="n"/>
      <c r="O438" s="47" t="n"/>
      <c r="P438" s="47" t="n"/>
      <c r="Q438" s="47" t="n"/>
      <c r="R438" s="47" t="n"/>
      <c r="S438" s="47" t="n"/>
      <c r="T438" s="47" t="n"/>
      <c r="U438" s="47" t="n"/>
      <c r="V438" s="47" t="n"/>
      <c r="W438" s="47" t="n"/>
      <c r="X438" s="47" t="n"/>
      <c r="Y438" s="47" t="n"/>
      <c r="Z438" s="47" t="n"/>
    </row>
    <row r="439" ht="15.75" customHeight="1" s="185">
      <c r="A439" s="52" t="n"/>
      <c r="B439" s="46" t="n"/>
      <c r="C439" s="47" t="n"/>
      <c r="D439" s="47" t="n"/>
      <c r="E439" s="35" t="n"/>
      <c r="F439" s="36" t="n"/>
      <c r="G439" s="47" t="n"/>
      <c r="H439" s="47" t="n"/>
      <c r="I439" s="47" t="n"/>
      <c r="J439" s="47" t="n"/>
      <c r="K439" s="47" t="n"/>
      <c r="L439" s="47" t="n"/>
      <c r="M439" s="47" t="n"/>
      <c r="N439" s="47" t="n"/>
      <c r="O439" s="47" t="n"/>
      <c r="P439" s="47" t="n"/>
      <c r="Q439" s="47" t="n"/>
      <c r="R439" s="47" t="n"/>
      <c r="S439" s="47" t="n"/>
      <c r="T439" s="47" t="n"/>
      <c r="U439" s="47" t="n"/>
      <c r="V439" s="47" t="n"/>
      <c r="W439" s="47" t="n"/>
      <c r="X439" s="47" t="n"/>
      <c r="Y439" s="47" t="n"/>
      <c r="Z439" s="47" t="n"/>
    </row>
    <row r="440" ht="15.75" customHeight="1" s="185">
      <c r="A440" s="52" t="n"/>
      <c r="B440" s="46" t="n"/>
      <c r="C440" s="47" t="n"/>
      <c r="D440" s="47" t="n"/>
      <c r="E440" s="35" t="n"/>
      <c r="F440" s="36" t="n"/>
      <c r="G440" s="47" t="n"/>
      <c r="H440" s="47" t="n"/>
      <c r="I440" s="47" t="n"/>
      <c r="J440" s="47" t="n"/>
      <c r="K440" s="47" t="n"/>
      <c r="L440" s="47" t="n"/>
      <c r="M440" s="47" t="n"/>
      <c r="N440" s="47" t="n"/>
      <c r="O440" s="47" t="n"/>
      <c r="P440" s="47" t="n"/>
      <c r="Q440" s="47" t="n"/>
      <c r="R440" s="47" t="n"/>
      <c r="S440" s="47" t="n"/>
      <c r="T440" s="47" t="n"/>
      <c r="U440" s="47" t="n"/>
      <c r="V440" s="47" t="n"/>
      <c r="W440" s="47" t="n"/>
      <c r="X440" s="47" t="n"/>
      <c r="Y440" s="47" t="n"/>
      <c r="Z440" s="47" t="n"/>
    </row>
    <row r="441" ht="15.75" customHeight="1" s="185">
      <c r="A441" s="52" t="n"/>
      <c r="B441" s="46" t="n"/>
      <c r="C441" s="47" t="n"/>
      <c r="D441" s="47" t="n"/>
      <c r="E441" s="35" t="n"/>
      <c r="F441" s="36" t="n"/>
      <c r="G441" s="47" t="n"/>
      <c r="H441" s="47" t="n"/>
      <c r="I441" s="47" t="n"/>
      <c r="J441" s="47" t="n"/>
      <c r="K441" s="47" t="n"/>
      <c r="L441" s="47" t="n"/>
      <c r="M441" s="47" t="n"/>
      <c r="N441" s="47" t="n"/>
      <c r="O441" s="47" t="n"/>
      <c r="P441" s="47" t="n"/>
      <c r="Q441" s="47" t="n"/>
      <c r="R441" s="47" t="n"/>
      <c r="S441" s="47" t="n"/>
      <c r="T441" s="47" t="n"/>
      <c r="U441" s="47" t="n"/>
      <c r="V441" s="47" t="n"/>
      <c r="W441" s="47" t="n"/>
      <c r="X441" s="47" t="n"/>
      <c r="Y441" s="47" t="n"/>
      <c r="Z441" s="47" t="n"/>
    </row>
    <row r="442" ht="15.75" customHeight="1" s="185">
      <c r="A442" s="52" t="n"/>
      <c r="B442" s="46" t="n"/>
      <c r="C442" s="47" t="n"/>
      <c r="D442" s="47" t="n"/>
      <c r="E442" s="35" t="n"/>
      <c r="F442" s="36" t="n"/>
      <c r="G442" s="47" t="n"/>
      <c r="H442" s="47" t="n"/>
      <c r="I442" s="47" t="n"/>
      <c r="J442" s="47" t="n"/>
      <c r="K442" s="47" t="n"/>
      <c r="L442" s="47" t="n"/>
      <c r="M442" s="47" t="n"/>
      <c r="N442" s="47" t="n"/>
      <c r="O442" s="47" t="n"/>
      <c r="P442" s="47" t="n"/>
      <c r="Q442" s="47" t="n"/>
      <c r="R442" s="47" t="n"/>
      <c r="S442" s="47" t="n"/>
      <c r="T442" s="47" t="n"/>
      <c r="U442" s="47" t="n"/>
      <c r="V442" s="47" t="n"/>
      <c r="W442" s="47" t="n"/>
      <c r="X442" s="47" t="n"/>
      <c r="Y442" s="47" t="n"/>
      <c r="Z442" s="47" t="n"/>
    </row>
    <row r="443" ht="15.75" customHeight="1" s="185">
      <c r="A443" s="52" t="n"/>
      <c r="B443" s="46" t="n"/>
      <c r="C443" s="47" t="n"/>
      <c r="D443" s="47" t="n"/>
      <c r="E443" s="35" t="n"/>
      <c r="F443" s="36" t="n"/>
      <c r="G443" s="47" t="n"/>
      <c r="H443" s="47" t="n"/>
      <c r="I443" s="47" t="n"/>
      <c r="J443" s="47" t="n"/>
      <c r="K443" s="47" t="n"/>
      <c r="L443" s="47" t="n"/>
      <c r="M443" s="47" t="n"/>
      <c r="N443" s="47" t="n"/>
      <c r="O443" s="47" t="n"/>
      <c r="P443" s="47" t="n"/>
      <c r="Q443" s="47" t="n"/>
      <c r="R443" s="47" t="n"/>
      <c r="S443" s="47" t="n"/>
      <c r="T443" s="47" t="n"/>
      <c r="U443" s="47" t="n"/>
      <c r="V443" s="47" t="n"/>
      <c r="W443" s="47" t="n"/>
      <c r="X443" s="47" t="n"/>
      <c r="Y443" s="47" t="n"/>
      <c r="Z443" s="47" t="n"/>
    </row>
    <row r="444" ht="15.75" customHeight="1" s="185">
      <c r="A444" s="52" t="n"/>
      <c r="B444" s="46" t="n"/>
      <c r="C444" s="47" t="n"/>
      <c r="D444" s="47" t="n"/>
      <c r="E444" s="35" t="n"/>
      <c r="F444" s="36" t="n"/>
      <c r="G444" s="47" t="n"/>
      <c r="H444" s="47" t="n"/>
      <c r="I444" s="47" t="n"/>
      <c r="J444" s="47" t="n"/>
      <c r="K444" s="47" t="n"/>
      <c r="L444" s="47" t="n"/>
      <c r="M444" s="47" t="n"/>
      <c r="N444" s="47" t="n"/>
      <c r="O444" s="47" t="n"/>
      <c r="P444" s="47" t="n"/>
      <c r="Q444" s="47" t="n"/>
      <c r="R444" s="47" t="n"/>
      <c r="S444" s="47" t="n"/>
      <c r="T444" s="47" t="n"/>
      <c r="U444" s="47" t="n"/>
      <c r="V444" s="47" t="n"/>
      <c r="W444" s="47" t="n"/>
      <c r="X444" s="47" t="n"/>
      <c r="Y444" s="47" t="n"/>
      <c r="Z444" s="47" t="n"/>
    </row>
    <row r="445" ht="15.75" customHeight="1" s="185">
      <c r="A445" s="52" t="n"/>
      <c r="B445" s="46" t="n"/>
      <c r="C445" s="47" t="n"/>
      <c r="D445" s="47" t="n"/>
      <c r="E445" s="35" t="n"/>
      <c r="F445" s="36" t="n"/>
      <c r="G445" s="47" t="n"/>
      <c r="H445" s="47" t="n"/>
      <c r="I445" s="47" t="n"/>
      <c r="J445" s="47" t="n"/>
      <c r="K445" s="47" t="n"/>
      <c r="L445" s="47" t="n"/>
      <c r="M445" s="47" t="n"/>
      <c r="N445" s="47" t="n"/>
      <c r="O445" s="47" t="n"/>
      <c r="P445" s="47" t="n"/>
      <c r="Q445" s="47" t="n"/>
      <c r="R445" s="47" t="n"/>
      <c r="S445" s="47" t="n"/>
      <c r="T445" s="47" t="n"/>
      <c r="U445" s="47" t="n"/>
      <c r="V445" s="47" t="n"/>
      <c r="W445" s="47" t="n"/>
      <c r="X445" s="47" t="n"/>
      <c r="Y445" s="47" t="n"/>
      <c r="Z445" s="47" t="n"/>
    </row>
    <row r="446" ht="15.75" customHeight="1" s="185">
      <c r="A446" s="52" t="n"/>
      <c r="B446" s="46" t="n"/>
      <c r="C446" s="47" t="n"/>
      <c r="D446" s="47" t="n"/>
      <c r="E446" s="35" t="n"/>
      <c r="F446" s="36" t="n"/>
      <c r="G446" s="47" t="n"/>
      <c r="H446" s="47" t="n"/>
      <c r="I446" s="47" t="n"/>
      <c r="J446" s="47" t="n"/>
      <c r="K446" s="47" t="n"/>
      <c r="L446" s="47" t="n"/>
      <c r="M446" s="47" t="n"/>
      <c r="N446" s="47" t="n"/>
      <c r="O446" s="47" t="n"/>
      <c r="P446" s="47" t="n"/>
      <c r="Q446" s="47" t="n"/>
      <c r="R446" s="47" t="n"/>
      <c r="S446" s="47" t="n"/>
      <c r="T446" s="47" t="n"/>
      <c r="U446" s="47" t="n"/>
      <c r="V446" s="47" t="n"/>
      <c r="W446" s="47" t="n"/>
      <c r="X446" s="47" t="n"/>
      <c r="Y446" s="47" t="n"/>
      <c r="Z446" s="47" t="n"/>
    </row>
    <row r="447" ht="15.75" customHeight="1" s="185">
      <c r="A447" s="52" t="n"/>
      <c r="B447" s="46" t="n"/>
      <c r="C447" s="47" t="n"/>
      <c r="D447" s="47" t="n"/>
      <c r="E447" s="35" t="n"/>
      <c r="F447" s="36" t="n"/>
      <c r="G447" s="47" t="n"/>
      <c r="H447" s="47" t="n"/>
      <c r="I447" s="47" t="n"/>
      <c r="J447" s="47" t="n"/>
      <c r="K447" s="47" t="n"/>
      <c r="L447" s="47" t="n"/>
      <c r="M447" s="47" t="n"/>
      <c r="N447" s="47" t="n"/>
      <c r="O447" s="47" t="n"/>
      <c r="P447" s="47" t="n"/>
      <c r="Q447" s="47" t="n"/>
      <c r="R447" s="47" t="n"/>
      <c r="S447" s="47" t="n"/>
      <c r="T447" s="47" t="n"/>
      <c r="U447" s="47" t="n"/>
      <c r="V447" s="47" t="n"/>
      <c r="W447" s="47" t="n"/>
      <c r="X447" s="47" t="n"/>
      <c r="Y447" s="47" t="n"/>
      <c r="Z447" s="47" t="n"/>
    </row>
    <row r="448" ht="15.75" customHeight="1" s="185">
      <c r="A448" s="52" t="n"/>
      <c r="B448" s="46" t="n"/>
      <c r="C448" s="47" t="n"/>
      <c r="D448" s="47" t="n"/>
      <c r="E448" s="35" t="n"/>
      <c r="F448" s="36" t="n"/>
      <c r="G448" s="47" t="n"/>
      <c r="H448" s="47" t="n"/>
      <c r="I448" s="47" t="n"/>
      <c r="J448" s="47" t="n"/>
      <c r="K448" s="47" t="n"/>
      <c r="L448" s="47" t="n"/>
      <c r="M448" s="47" t="n"/>
      <c r="N448" s="47" t="n"/>
      <c r="O448" s="47" t="n"/>
      <c r="P448" s="47" t="n"/>
      <c r="Q448" s="47" t="n"/>
      <c r="R448" s="47" t="n"/>
      <c r="S448" s="47" t="n"/>
      <c r="T448" s="47" t="n"/>
      <c r="U448" s="47" t="n"/>
      <c r="V448" s="47" t="n"/>
      <c r="W448" s="47" t="n"/>
      <c r="X448" s="47" t="n"/>
      <c r="Y448" s="47" t="n"/>
      <c r="Z448" s="47" t="n"/>
    </row>
    <row r="449" ht="15.75" customHeight="1" s="185">
      <c r="A449" s="52" t="n"/>
      <c r="B449" s="46" t="n"/>
      <c r="C449" s="47" t="n"/>
      <c r="D449" s="47" t="n"/>
      <c r="E449" s="35" t="n"/>
      <c r="F449" s="36" t="n"/>
      <c r="G449" s="47" t="n"/>
      <c r="H449" s="47" t="n"/>
      <c r="I449" s="47" t="n"/>
      <c r="J449" s="47" t="n"/>
      <c r="K449" s="47" t="n"/>
      <c r="L449" s="47" t="n"/>
      <c r="M449" s="47" t="n"/>
      <c r="N449" s="47" t="n"/>
      <c r="O449" s="47" t="n"/>
      <c r="P449" s="47" t="n"/>
      <c r="Q449" s="47" t="n"/>
      <c r="R449" s="47" t="n"/>
      <c r="S449" s="47" t="n"/>
      <c r="T449" s="47" t="n"/>
      <c r="U449" s="47" t="n"/>
      <c r="V449" s="47" t="n"/>
      <c r="W449" s="47" t="n"/>
      <c r="X449" s="47" t="n"/>
      <c r="Y449" s="47" t="n"/>
      <c r="Z449" s="47" t="n"/>
    </row>
    <row r="450" ht="15.75" customHeight="1" s="185">
      <c r="A450" s="52" t="n"/>
      <c r="B450" s="46" t="n"/>
      <c r="C450" s="47" t="n"/>
      <c r="D450" s="47" t="n"/>
      <c r="E450" s="35" t="n"/>
      <c r="F450" s="36" t="n"/>
      <c r="G450" s="47" t="n"/>
      <c r="H450" s="47" t="n"/>
      <c r="I450" s="47" t="n"/>
      <c r="J450" s="47" t="n"/>
      <c r="K450" s="47" t="n"/>
      <c r="L450" s="47" t="n"/>
      <c r="M450" s="47" t="n"/>
      <c r="N450" s="47" t="n"/>
      <c r="O450" s="47" t="n"/>
      <c r="P450" s="47" t="n"/>
      <c r="Q450" s="47" t="n"/>
      <c r="R450" s="47" t="n"/>
      <c r="S450" s="47" t="n"/>
      <c r="T450" s="47" t="n"/>
      <c r="U450" s="47" t="n"/>
      <c r="V450" s="47" t="n"/>
      <c r="W450" s="47" t="n"/>
      <c r="X450" s="47" t="n"/>
      <c r="Y450" s="47" t="n"/>
      <c r="Z450" s="47" t="n"/>
    </row>
    <row r="451" ht="15.75" customHeight="1" s="185">
      <c r="A451" s="52" t="n"/>
      <c r="B451" s="46" t="n"/>
      <c r="C451" s="47" t="n"/>
      <c r="D451" s="47" t="n"/>
      <c r="E451" s="35" t="n"/>
      <c r="F451" s="36" t="n"/>
      <c r="G451" s="47" t="n"/>
      <c r="H451" s="47" t="n"/>
      <c r="I451" s="47" t="n"/>
      <c r="J451" s="47" t="n"/>
      <c r="K451" s="47" t="n"/>
      <c r="L451" s="47" t="n"/>
      <c r="M451" s="47" t="n"/>
      <c r="N451" s="47" t="n"/>
      <c r="O451" s="47" t="n"/>
      <c r="P451" s="47" t="n"/>
      <c r="Q451" s="47" t="n"/>
      <c r="R451" s="47" t="n"/>
      <c r="S451" s="47" t="n"/>
      <c r="T451" s="47" t="n"/>
      <c r="U451" s="47" t="n"/>
      <c r="V451" s="47" t="n"/>
      <c r="W451" s="47" t="n"/>
      <c r="X451" s="47" t="n"/>
      <c r="Y451" s="47" t="n"/>
      <c r="Z451" s="47" t="n"/>
    </row>
    <row r="452" ht="15.75" customHeight="1" s="185">
      <c r="A452" s="52" t="n"/>
      <c r="B452" s="46" t="n"/>
      <c r="C452" s="47" t="n"/>
      <c r="D452" s="47" t="n"/>
      <c r="E452" s="35" t="n"/>
      <c r="F452" s="36" t="n"/>
      <c r="G452" s="47" t="n"/>
      <c r="H452" s="47" t="n"/>
      <c r="I452" s="47" t="n"/>
      <c r="J452" s="47" t="n"/>
      <c r="K452" s="47" t="n"/>
      <c r="L452" s="47" t="n"/>
      <c r="M452" s="47" t="n"/>
      <c r="N452" s="47" t="n"/>
      <c r="O452" s="47" t="n"/>
      <c r="P452" s="47" t="n"/>
      <c r="Q452" s="47" t="n"/>
      <c r="R452" s="47" t="n"/>
      <c r="S452" s="47" t="n"/>
      <c r="T452" s="47" t="n"/>
      <c r="U452" s="47" t="n"/>
      <c r="V452" s="47" t="n"/>
      <c r="W452" s="47" t="n"/>
      <c r="X452" s="47" t="n"/>
      <c r="Y452" s="47" t="n"/>
      <c r="Z452" s="47" t="n"/>
    </row>
    <row r="453" ht="15.75" customHeight="1" s="185">
      <c r="A453" s="52" t="n"/>
      <c r="B453" s="46" t="n"/>
      <c r="C453" s="47" t="n"/>
      <c r="D453" s="47" t="n"/>
      <c r="E453" s="35" t="n"/>
      <c r="F453" s="36" t="n"/>
      <c r="G453" s="47" t="n"/>
      <c r="H453" s="47" t="n"/>
      <c r="I453" s="47" t="n"/>
      <c r="J453" s="47" t="n"/>
      <c r="K453" s="47" t="n"/>
      <c r="L453" s="47" t="n"/>
      <c r="M453" s="47" t="n"/>
      <c r="N453" s="47" t="n"/>
      <c r="O453" s="47" t="n"/>
      <c r="P453" s="47" t="n"/>
      <c r="Q453" s="47" t="n"/>
      <c r="R453" s="47" t="n"/>
      <c r="S453" s="47" t="n"/>
      <c r="T453" s="47" t="n"/>
      <c r="U453" s="47" t="n"/>
      <c r="V453" s="47" t="n"/>
      <c r="W453" s="47" t="n"/>
      <c r="X453" s="47" t="n"/>
      <c r="Y453" s="47" t="n"/>
      <c r="Z453" s="47" t="n"/>
    </row>
    <row r="454" ht="15.75" customHeight="1" s="185">
      <c r="A454" s="52" t="n"/>
      <c r="B454" s="46" t="n"/>
      <c r="C454" s="47" t="n"/>
      <c r="D454" s="47" t="n"/>
      <c r="E454" s="35" t="n"/>
      <c r="F454" s="36" t="n"/>
      <c r="G454" s="47" t="n"/>
      <c r="H454" s="47" t="n"/>
      <c r="I454" s="47" t="n"/>
      <c r="J454" s="47" t="n"/>
      <c r="K454" s="47" t="n"/>
      <c r="L454" s="47" t="n"/>
      <c r="M454" s="47" t="n"/>
      <c r="N454" s="47" t="n"/>
      <c r="O454" s="47" t="n"/>
      <c r="P454" s="47" t="n"/>
      <c r="Q454" s="47" t="n"/>
      <c r="R454" s="47" t="n"/>
      <c r="S454" s="47" t="n"/>
      <c r="T454" s="47" t="n"/>
      <c r="U454" s="47" t="n"/>
      <c r="V454" s="47" t="n"/>
      <c r="W454" s="47" t="n"/>
      <c r="X454" s="47" t="n"/>
      <c r="Y454" s="47" t="n"/>
      <c r="Z454" s="47" t="n"/>
    </row>
    <row r="455" ht="15.75" customHeight="1" s="185">
      <c r="A455" s="52" t="n"/>
      <c r="B455" s="46" t="n"/>
      <c r="C455" s="47" t="n"/>
      <c r="D455" s="47" t="n"/>
      <c r="E455" s="35" t="n"/>
      <c r="F455" s="36" t="n"/>
      <c r="G455" s="47" t="n"/>
      <c r="H455" s="47" t="n"/>
      <c r="I455" s="47" t="n"/>
      <c r="J455" s="47" t="n"/>
      <c r="K455" s="47" t="n"/>
      <c r="L455" s="47" t="n"/>
      <c r="M455" s="47" t="n"/>
      <c r="N455" s="47" t="n"/>
      <c r="O455" s="47" t="n"/>
      <c r="P455" s="47" t="n"/>
      <c r="Q455" s="47" t="n"/>
      <c r="R455" s="47" t="n"/>
      <c r="S455" s="47" t="n"/>
      <c r="T455" s="47" t="n"/>
      <c r="U455" s="47" t="n"/>
      <c r="V455" s="47" t="n"/>
      <c r="W455" s="47" t="n"/>
      <c r="X455" s="47" t="n"/>
      <c r="Y455" s="47" t="n"/>
      <c r="Z455" s="47" t="n"/>
    </row>
    <row r="456" ht="15.75" customHeight="1" s="185">
      <c r="A456" s="52" t="n"/>
      <c r="B456" s="46" t="n"/>
      <c r="C456" s="47" t="n"/>
      <c r="D456" s="47" t="n"/>
      <c r="E456" s="35" t="n"/>
      <c r="F456" s="36" t="n"/>
      <c r="G456" s="47" t="n"/>
      <c r="H456" s="47" t="n"/>
      <c r="I456" s="47" t="n"/>
      <c r="J456" s="47" t="n"/>
      <c r="K456" s="47" t="n"/>
      <c r="L456" s="47" t="n"/>
      <c r="M456" s="47" t="n"/>
      <c r="N456" s="47" t="n"/>
      <c r="O456" s="47" t="n"/>
      <c r="P456" s="47" t="n"/>
      <c r="Q456" s="47" t="n"/>
      <c r="R456" s="47" t="n"/>
      <c r="S456" s="47" t="n"/>
      <c r="T456" s="47" t="n"/>
      <c r="U456" s="47" t="n"/>
      <c r="V456" s="47" t="n"/>
      <c r="W456" s="47" t="n"/>
      <c r="X456" s="47" t="n"/>
      <c r="Y456" s="47" t="n"/>
      <c r="Z456" s="47" t="n"/>
    </row>
    <row r="457" ht="15.75" customHeight="1" s="185">
      <c r="A457" s="52" t="n"/>
      <c r="B457" s="46" t="n"/>
      <c r="C457" s="47" t="n"/>
      <c r="D457" s="47" t="n"/>
      <c r="E457" s="35" t="n"/>
      <c r="F457" s="36" t="n"/>
      <c r="G457" s="47" t="n"/>
      <c r="H457" s="47" t="n"/>
      <c r="I457" s="47" t="n"/>
      <c r="J457" s="47" t="n"/>
      <c r="K457" s="47" t="n"/>
      <c r="L457" s="47" t="n"/>
      <c r="M457" s="47" t="n"/>
      <c r="N457" s="47" t="n"/>
      <c r="O457" s="47" t="n"/>
      <c r="P457" s="47" t="n"/>
      <c r="Q457" s="47" t="n"/>
      <c r="R457" s="47" t="n"/>
      <c r="S457" s="47" t="n"/>
      <c r="T457" s="47" t="n"/>
      <c r="U457" s="47" t="n"/>
      <c r="V457" s="47" t="n"/>
      <c r="W457" s="47" t="n"/>
      <c r="X457" s="47" t="n"/>
      <c r="Y457" s="47" t="n"/>
      <c r="Z457" s="47" t="n"/>
    </row>
    <row r="458" ht="15.75" customHeight="1" s="185">
      <c r="A458" s="52" t="n"/>
      <c r="B458" s="46" t="n"/>
      <c r="C458" s="47" t="n"/>
      <c r="D458" s="47" t="n"/>
      <c r="E458" s="35" t="n"/>
      <c r="F458" s="36" t="n"/>
      <c r="G458" s="47" t="n"/>
      <c r="H458" s="47" t="n"/>
      <c r="I458" s="47" t="n"/>
      <c r="J458" s="47" t="n"/>
      <c r="K458" s="47" t="n"/>
      <c r="L458" s="47" t="n"/>
      <c r="M458" s="47" t="n"/>
      <c r="N458" s="47" t="n"/>
      <c r="O458" s="47" t="n"/>
      <c r="P458" s="47" t="n"/>
      <c r="Q458" s="47" t="n"/>
      <c r="R458" s="47" t="n"/>
      <c r="S458" s="47" t="n"/>
      <c r="T458" s="47" t="n"/>
      <c r="U458" s="47" t="n"/>
      <c r="V458" s="47" t="n"/>
      <c r="W458" s="47" t="n"/>
      <c r="X458" s="47" t="n"/>
      <c r="Y458" s="47" t="n"/>
      <c r="Z458" s="47" t="n"/>
    </row>
    <row r="459" ht="15.75" customHeight="1" s="185">
      <c r="A459" s="52" t="n"/>
      <c r="B459" s="46" t="n"/>
      <c r="C459" s="47" t="n"/>
      <c r="D459" s="47" t="n"/>
      <c r="E459" s="35" t="n"/>
      <c r="F459" s="36" t="n"/>
      <c r="G459" s="47" t="n"/>
      <c r="H459" s="47" t="n"/>
      <c r="I459" s="47" t="n"/>
      <c r="J459" s="47" t="n"/>
      <c r="K459" s="47" t="n"/>
      <c r="L459" s="47" t="n"/>
      <c r="M459" s="47" t="n"/>
      <c r="N459" s="47" t="n"/>
      <c r="O459" s="47" t="n"/>
      <c r="P459" s="47" t="n"/>
      <c r="Q459" s="47" t="n"/>
      <c r="R459" s="47" t="n"/>
      <c r="S459" s="47" t="n"/>
      <c r="T459" s="47" t="n"/>
      <c r="U459" s="47" t="n"/>
      <c r="V459" s="47" t="n"/>
      <c r="W459" s="47" t="n"/>
      <c r="X459" s="47" t="n"/>
      <c r="Y459" s="47" t="n"/>
      <c r="Z459" s="47" t="n"/>
    </row>
    <row r="460" ht="15.75" customHeight="1" s="185">
      <c r="A460" s="52" t="n"/>
      <c r="B460" s="46" t="n"/>
      <c r="C460" s="47" t="n"/>
      <c r="D460" s="47" t="n"/>
      <c r="E460" s="35" t="n"/>
      <c r="F460" s="36" t="n"/>
      <c r="G460" s="47" t="n"/>
      <c r="H460" s="47" t="n"/>
      <c r="I460" s="47" t="n"/>
      <c r="J460" s="47" t="n"/>
      <c r="K460" s="47" t="n"/>
      <c r="L460" s="47" t="n"/>
      <c r="M460" s="47" t="n"/>
      <c r="N460" s="47" t="n"/>
      <c r="O460" s="47" t="n"/>
      <c r="P460" s="47" t="n"/>
      <c r="Q460" s="47" t="n"/>
      <c r="R460" s="47" t="n"/>
      <c r="S460" s="47" t="n"/>
      <c r="T460" s="47" t="n"/>
      <c r="U460" s="47" t="n"/>
      <c r="V460" s="47" t="n"/>
      <c r="W460" s="47" t="n"/>
      <c r="X460" s="47" t="n"/>
      <c r="Y460" s="47" t="n"/>
      <c r="Z460" s="47" t="n"/>
    </row>
    <row r="461" ht="15.75" customHeight="1" s="185">
      <c r="A461" s="52" t="n"/>
      <c r="B461" s="46" t="n"/>
      <c r="C461" s="47" t="n"/>
      <c r="D461" s="47" t="n"/>
      <c r="E461" s="35" t="n"/>
      <c r="F461" s="36" t="n"/>
      <c r="G461" s="47" t="n"/>
      <c r="H461" s="47" t="n"/>
      <c r="I461" s="47" t="n"/>
      <c r="J461" s="47" t="n"/>
      <c r="K461" s="47" t="n"/>
      <c r="L461" s="47" t="n"/>
      <c r="M461" s="47" t="n"/>
      <c r="N461" s="47" t="n"/>
      <c r="O461" s="47" t="n"/>
      <c r="P461" s="47" t="n"/>
      <c r="Q461" s="47" t="n"/>
      <c r="R461" s="47" t="n"/>
      <c r="S461" s="47" t="n"/>
      <c r="T461" s="47" t="n"/>
      <c r="U461" s="47" t="n"/>
      <c r="V461" s="47" t="n"/>
      <c r="W461" s="47" t="n"/>
      <c r="X461" s="47" t="n"/>
      <c r="Y461" s="47" t="n"/>
      <c r="Z461" s="47" t="n"/>
    </row>
    <row r="462" ht="15.75" customHeight="1" s="185">
      <c r="A462" s="52" t="n"/>
      <c r="B462" s="46" t="n"/>
      <c r="C462" s="47" t="n"/>
      <c r="D462" s="47" t="n"/>
      <c r="E462" s="35" t="n"/>
      <c r="F462" s="36" t="n"/>
      <c r="G462" s="47" t="n"/>
      <c r="H462" s="47" t="n"/>
      <c r="I462" s="47" t="n"/>
      <c r="J462" s="47" t="n"/>
      <c r="K462" s="47" t="n"/>
      <c r="L462" s="47" t="n"/>
      <c r="M462" s="47" t="n"/>
      <c r="N462" s="47" t="n"/>
      <c r="O462" s="47" t="n"/>
      <c r="P462" s="47" t="n"/>
      <c r="Q462" s="47" t="n"/>
      <c r="R462" s="47" t="n"/>
      <c r="S462" s="47" t="n"/>
      <c r="T462" s="47" t="n"/>
      <c r="U462" s="47" t="n"/>
      <c r="V462" s="47" t="n"/>
      <c r="W462" s="47" t="n"/>
      <c r="X462" s="47" t="n"/>
      <c r="Y462" s="47" t="n"/>
      <c r="Z462" s="47" t="n"/>
    </row>
    <row r="463" ht="15.75" customHeight="1" s="185">
      <c r="A463" s="52" t="n"/>
      <c r="B463" s="46" t="n"/>
      <c r="C463" s="47" t="n"/>
      <c r="D463" s="47" t="n"/>
      <c r="E463" s="35" t="n"/>
      <c r="F463" s="36" t="n"/>
      <c r="G463" s="47" t="n"/>
      <c r="H463" s="47" t="n"/>
      <c r="I463" s="47" t="n"/>
      <c r="J463" s="47" t="n"/>
      <c r="K463" s="47" t="n"/>
      <c r="L463" s="47" t="n"/>
      <c r="M463" s="47" t="n"/>
      <c r="N463" s="47" t="n"/>
      <c r="O463" s="47" t="n"/>
      <c r="P463" s="47" t="n"/>
      <c r="Q463" s="47" t="n"/>
      <c r="R463" s="47" t="n"/>
      <c r="S463" s="47" t="n"/>
      <c r="T463" s="47" t="n"/>
      <c r="U463" s="47" t="n"/>
      <c r="V463" s="47" t="n"/>
      <c r="W463" s="47" t="n"/>
      <c r="X463" s="47" t="n"/>
      <c r="Y463" s="47" t="n"/>
      <c r="Z463" s="47" t="n"/>
    </row>
    <row r="464" ht="15.75" customHeight="1" s="185">
      <c r="A464" s="52" t="n"/>
      <c r="B464" s="46" t="n"/>
      <c r="C464" s="47" t="n"/>
      <c r="D464" s="47" t="n"/>
      <c r="E464" s="35" t="n"/>
      <c r="F464" s="36" t="n"/>
      <c r="G464" s="47" t="n"/>
      <c r="H464" s="47" t="n"/>
      <c r="I464" s="47" t="n"/>
      <c r="J464" s="47" t="n"/>
      <c r="K464" s="47" t="n"/>
      <c r="L464" s="47" t="n"/>
      <c r="M464" s="47" t="n"/>
      <c r="N464" s="47" t="n"/>
      <c r="O464" s="47" t="n"/>
      <c r="P464" s="47" t="n"/>
      <c r="Q464" s="47" t="n"/>
      <c r="R464" s="47" t="n"/>
      <c r="S464" s="47" t="n"/>
      <c r="T464" s="47" t="n"/>
      <c r="U464" s="47" t="n"/>
      <c r="V464" s="47" t="n"/>
      <c r="W464" s="47" t="n"/>
      <c r="X464" s="47" t="n"/>
      <c r="Y464" s="47" t="n"/>
      <c r="Z464" s="47" t="n"/>
    </row>
    <row r="465" ht="15.75" customHeight="1" s="185">
      <c r="A465" s="52" t="n"/>
      <c r="B465" s="46" t="n"/>
      <c r="C465" s="47" t="n"/>
      <c r="D465" s="47" t="n"/>
      <c r="E465" s="35" t="n"/>
      <c r="F465" s="36" t="n"/>
      <c r="G465" s="47" t="n"/>
      <c r="H465" s="47" t="n"/>
      <c r="I465" s="47" t="n"/>
      <c r="J465" s="47" t="n"/>
      <c r="K465" s="47" t="n"/>
      <c r="L465" s="47" t="n"/>
      <c r="M465" s="47" t="n"/>
      <c r="N465" s="47" t="n"/>
      <c r="O465" s="47" t="n"/>
      <c r="P465" s="47" t="n"/>
      <c r="Q465" s="47" t="n"/>
      <c r="R465" s="47" t="n"/>
      <c r="S465" s="47" t="n"/>
      <c r="T465" s="47" t="n"/>
      <c r="U465" s="47" t="n"/>
      <c r="V465" s="47" t="n"/>
      <c r="W465" s="47" t="n"/>
      <c r="X465" s="47" t="n"/>
      <c r="Y465" s="47" t="n"/>
      <c r="Z465" s="47" t="n"/>
    </row>
    <row r="466" ht="15.75" customHeight="1" s="185">
      <c r="A466" s="52" t="n"/>
      <c r="B466" s="46" t="n"/>
      <c r="C466" s="47" t="n"/>
      <c r="D466" s="47" t="n"/>
      <c r="E466" s="35" t="n"/>
      <c r="F466" s="36" t="n"/>
      <c r="G466" s="47" t="n"/>
      <c r="H466" s="47" t="n"/>
      <c r="I466" s="47" t="n"/>
      <c r="J466" s="47" t="n"/>
      <c r="K466" s="47" t="n"/>
      <c r="L466" s="47" t="n"/>
      <c r="M466" s="47" t="n"/>
      <c r="N466" s="47" t="n"/>
      <c r="O466" s="47" t="n"/>
      <c r="P466" s="47" t="n"/>
      <c r="Q466" s="47" t="n"/>
      <c r="R466" s="47" t="n"/>
      <c r="S466" s="47" t="n"/>
      <c r="T466" s="47" t="n"/>
      <c r="U466" s="47" t="n"/>
      <c r="V466" s="47" t="n"/>
      <c r="W466" s="47" t="n"/>
      <c r="X466" s="47" t="n"/>
      <c r="Y466" s="47" t="n"/>
      <c r="Z466" s="47" t="n"/>
    </row>
    <row r="467" ht="15.75" customHeight="1" s="185">
      <c r="A467" s="52" t="n"/>
      <c r="B467" s="46" t="n"/>
      <c r="C467" s="47" t="n"/>
      <c r="D467" s="47" t="n"/>
      <c r="E467" s="35" t="n"/>
      <c r="F467" s="36" t="n"/>
      <c r="G467" s="47" t="n"/>
      <c r="H467" s="47" t="n"/>
      <c r="I467" s="47" t="n"/>
      <c r="J467" s="47" t="n"/>
      <c r="K467" s="47" t="n"/>
      <c r="L467" s="47" t="n"/>
      <c r="M467" s="47" t="n"/>
      <c r="N467" s="47" t="n"/>
      <c r="O467" s="47" t="n"/>
      <c r="P467" s="47" t="n"/>
      <c r="Q467" s="47" t="n"/>
      <c r="R467" s="47" t="n"/>
      <c r="S467" s="47" t="n"/>
      <c r="T467" s="47" t="n"/>
      <c r="U467" s="47" t="n"/>
      <c r="V467" s="47" t="n"/>
      <c r="W467" s="47" t="n"/>
      <c r="X467" s="47" t="n"/>
      <c r="Y467" s="47" t="n"/>
      <c r="Z467" s="47" t="n"/>
    </row>
    <row r="468" ht="15.75" customHeight="1" s="185">
      <c r="A468" s="52" t="n"/>
      <c r="B468" s="46" t="n"/>
      <c r="C468" s="47" t="n"/>
      <c r="D468" s="47" t="n"/>
      <c r="E468" s="35" t="n"/>
      <c r="F468" s="36" t="n"/>
      <c r="G468" s="47" t="n"/>
      <c r="H468" s="47" t="n"/>
      <c r="I468" s="47" t="n"/>
      <c r="J468" s="47" t="n"/>
      <c r="K468" s="47" t="n"/>
      <c r="L468" s="47" t="n"/>
      <c r="M468" s="47" t="n"/>
      <c r="N468" s="47" t="n"/>
      <c r="O468" s="47" t="n"/>
      <c r="P468" s="47" t="n"/>
      <c r="Q468" s="47" t="n"/>
      <c r="R468" s="47" t="n"/>
      <c r="S468" s="47" t="n"/>
      <c r="T468" s="47" t="n"/>
      <c r="U468" s="47" t="n"/>
      <c r="V468" s="47" t="n"/>
      <c r="W468" s="47" t="n"/>
      <c r="X468" s="47" t="n"/>
      <c r="Y468" s="47" t="n"/>
      <c r="Z468" s="47" t="n"/>
    </row>
    <row r="469" ht="15.75" customHeight="1" s="185">
      <c r="A469" s="52" t="n"/>
      <c r="B469" s="46" t="n"/>
      <c r="C469" s="47" t="n"/>
      <c r="D469" s="47" t="n"/>
      <c r="E469" s="35" t="n"/>
      <c r="F469" s="36" t="n"/>
      <c r="G469" s="47" t="n"/>
      <c r="H469" s="47" t="n"/>
      <c r="I469" s="47" t="n"/>
      <c r="J469" s="47" t="n"/>
      <c r="K469" s="47" t="n"/>
      <c r="L469" s="47" t="n"/>
      <c r="M469" s="47" t="n"/>
      <c r="N469" s="47" t="n"/>
      <c r="O469" s="47" t="n"/>
      <c r="P469" s="47" t="n"/>
      <c r="Q469" s="47" t="n"/>
      <c r="R469" s="47" t="n"/>
      <c r="S469" s="47" t="n"/>
      <c r="T469" s="47" t="n"/>
      <c r="U469" s="47" t="n"/>
      <c r="V469" s="47" t="n"/>
      <c r="W469" s="47" t="n"/>
      <c r="X469" s="47" t="n"/>
      <c r="Y469" s="47" t="n"/>
      <c r="Z469" s="47" t="n"/>
    </row>
    <row r="470" ht="15.75" customHeight="1" s="185">
      <c r="A470" s="52" t="n"/>
      <c r="B470" s="46" t="n"/>
      <c r="C470" s="47" t="n"/>
      <c r="D470" s="47" t="n"/>
      <c r="E470" s="35" t="n"/>
      <c r="F470" s="36" t="n"/>
      <c r="G470" s="47" t="n"/>
      <c r="H470" s="47" t="n"/>
      <c r="I470" s="47" t="n"/>
      <c r="J470" s="47" t="n"/>
      <c r="K470" s="47" t="n"/>
      <c r="L470" s="47" t="n"/>
      <c r="M470" s="47" t="n"/>
      <c r="N470" s="47" t="n"/>
      <c r="O470" s="47" t="n"/>
      <c r="P470" s="47" t="n"/>
      <c r="Q470" s="47" t="n"/>
      <c r="R470" s="47" t="n"/>
      <c r="S470" s="47" t="n"/>
      <c r="T470" s="47" t="n"/>
      <c r="U470" s="47" t="n"/>
      <c r="V470" s="47" t="n"/>
      <c r="W470" s="47" t="n"/>
      <c r="X470" s="47" t="n"/>
      <c r="Y470" s="47" t="n"/>
      <c r="Z470" s="47" t="n"/>
    </row>
    <row r="471" ht="15.75" customHeight="1" s="185">
      <c r="A471" s="52" t="n"/>
      <c r="B471" s="46" t="n"/>
      <c r="C471" s="47" t="n"/>
      <c r="D471" s="47" t="n"/>
      <c r="E471" s="35" t="n"/>
      <c r="F471" s="36" t="n"/>
      <c r="G471" s="47" t="n"/>
      <c r="H471" s="47" t="n"/>
      <c r="I471" s="47" t="n"/>
      <c r="J471" s="47" t="n"/>
      <c r="K471" s="47" t="n"/>
      <c r="L471" s="47" t="n"/>
      <c r="M471" s="47" t="n"/>
      <c r="N471" s="47" t="n"/>
      <c r="O471" s="47" t="n"/>
      <c r="P471" s="47" t="n"/>
      <c r="Q471" s="47" t="n"/>
      <c r="R471" s="47" t="n"/>
      <c r="S471" s="47" t="n"/>
      <c r="T471" s="47" t="n"/>
      <c r="U471" s="47" t="n"/>
      <c r="V471" s="47" t="n"/>
      <c r="W471" s="47" t="n"/>
      <c r="X471" s="47" t="n"/>
      <c r="Y471" s="47" t="n"/>
      <c r="Z471" s="47" t="n"/>
    </row>
    <row r="472" ht="15.75" customHeight="1" s="185">
      <c r="A472" s="52" t="n"/>
      <c r="B472" s="46" t="n"/>
      <c r="C472" s="47" t="n"/>
      <c r="D472" s="47" t="n"/>
      <c r="E472" s="35" t="n"/>
      <c r="F472" s="36" t="n"/>
      <c r="G472" s="47" t="n"/>
      <c r="H472" s="47" t="n"/>
      <c r="I472" s="47" t="n"/>
      <c r="J472" s="47" t="n"/>
      <c r="K472" s="47" t="n"/>
      <c r="L472" s="47" t="n"/>
      <c r="M472" s="47" t="n"/>
      <c r="N472" s="47" t="n"/>
      <c r="O472" s="47" t="n"/>
      <c r="P472" s="47" t="n"/>
      <c r="Q472" s="47" t="n"/>
      <c r="R472" s="47" t="n"/>
      <c r="S472" s="47" t="n"/>
      <c r="T472" s="47" t="n"/>
      <c r="U472" s="47" t="n"/>
      <c r="V472" s="47" t="n"/>
      <c r="W472" s="47" t="n"/>
      <c r="X472" s="47" t="n"/>
      <c r="Y472" s="47" t="n"/>
      <c r="Z472" s="47" t="n"/>
    </row>
    <row r="473" ht="15.75" customHeight="1" s="185">
      <c r="A473" s="52" t="n"/>
      <c r="B473" s="46" t="n"/>
      <c r="C473" s="47" t="n"/>
      <c r="D473" s="47" t="n"/>
      <c r="E473" s="35" t="n"/>
      <c r="F473" s="36" t="n"/>
      <c r="G473" s="47" t="n"/>
      <c r="H473" s="47" t="n"/>
      <c r="I473" s="47" t="n"/>
      <c r="J473" s="47" t="n"/>
      <c r="K473" s="47" t="n"/>
      <c r="L473" s="47" t="n"/>
      <c r="M473" s="47" t="n"/>
      <c r="N473" s="47" t="n"/>
      <c r="O473" s="47" t="n"/>
      <c r="P473" s="47" t="n"/>
      <c r="Q473" s="47" t="n"/>
      <c r="R473" s="47" t="n"/>
      <c r="S473" s="47" t="n"/>
      <c r="T473" s="47" t="n"/>
      <c r="U473" s="47" t="n"/>
      <c r="V473" s="47" t="n"/>
      <c r="W473" s="47" t="n"/>
      <c r="X473" s="47" t="n"/>
      <c r="Y473" s="47" t="n"/>
      <c r="Z473" s="47" t="n"/>
    </row>
    <row r="474" ht="15.75" customHeight="1" s="185">
      <c r="A474" s="52" t="n"/>
      <c r="B474" s="46" t="n"/>
      <c r="C474" s="47" t="n"/>
      <c r="D474" s="47" t="n"/>
      <c r="E474" s="35" t="n"/>
      <c r="F474" s="36" t="n"/>
      <c r="G474" s="47" t="n"/>
      <c r="H474" s="47" t="n"/>
      <c r="I474" s="47" t="n"/>
      <c r="J474" s="47" t="n"/>
      <c r="K474" s="47" t="n"/>
      <c r="L474" s="47" t="n"/>
      <c r="M474" s="47" t="n"/>
      <c r="N474" s="47" t="n"/>
      <c r="O474" s="47" t="n"/>
      <c r="P474" s="47" t="n"/>
      <c r="Q474" s="47" t="n"/>
      <c r="R474" s="47" t="n"/>
      <c r="S474" s="47" t="n"/>
      <c r="T474" s="47" t="n"/>
      <c r="U474" s="47" t="n"/>
      <c r="V474" s="47" t="n"/>
      <c r="W474" s="47" t="n"/>
      <c r="X474" s="47" t="n"/>
      <c r="Y474" s="47" t="n"/>
      <c r="Z474" s="47" t="n"/>
    </row>
    <row r="475" ht="15.75" customHeight="1" s="185">
      <c r="A475" s="52" t="n"/>
      <c r="B475" s="46" t="n"/>
      <c r="C475" s="47" t="n"/>
      <c r="D475" s="47" t="n"/>
      <c r="E475" s="35" t="n"/>
      <c r="F475" s="36" t="n"/>
      <c r="G475" s="47" t="n"/>
      <c r="H475" s="47" t="n"/>
      <c r="I475" s="47" t="n"/>
      <c r="J475" s="47" t="n"/>
      <c r="K475" s="47" t="n"/>
      <c r="L475" s="47" t="n"/>
      <c r="M475" s="47" t="n"/>
      <c r="N475" s="47" t="n"/>
      <c r="O475" s="47" t="n"/>
      <c r="P475" s="47" t="n"/>
      <c r="Q475" s="47" t="n"/>
      <c r="R475" s="47" t="n"/>
      <c r="S475" s="47" t="n"/>
      <c r="T475" s="47" t="n"/>
      <c r="U475" s="47" t="n"/>
      <c r="V475" s="47" t="n"/>
      <c r="W475" s="47" t="n"/>
      <c r="X475" s="47" t="n"/>
      <c r="Y475" s="47" t="n"/>
      <c r="Z475" s="47" t="n"/>
    </row>
    <row r="476" ht="15.75" customHeight="1" s="185">
      <c r="A476" s="52" t="n"/>
      <c r="B476" s="46" t="n"/>
      <c r="C476" s="47" t="n"/>
      <c r="D476" s="47" t="n"/>
      <c r="E476" s="35" t="n"/>
      <c r="F476" s="36" t="n"/>
      <c r="G476" s="47" t="n"/>
      <c r="H476" s="47" t="n"/>
      <c r="I476" s="47" t="n"/>
      <c r="J476" s="47" t="n"/>
      <c r="K476" s="47" t="n"/>
      <c r="L476" s="47" t="n"/>
      <c r="M476" s="47" t="n"/>
      <c r="N476" s="47" t="n"/>
      <c r="O476" s="47" t="n"/>
      <c r="P476" s="47" t="n"/>
      <c r="Q476" s="47" t="n"/>
      <c r="R476" s="47" t="n"/>
      <c r="S476" s="47" t="n"/>
      <c r="T476" s="47" t="n"/>
      <c r="U476" s="47" t="n"/>
      <c r="V476" s="47" t="n"/>
      <c r="W476" s="47" t="n"/>
      <c r="X476" s="47" t="n"/>
      <c r="Y476" s="47" t="n"/>
      <c r="Z476" s="47" t="n"/>
    </row>
    <row r="477" ht="15.75" customHeight="1" s="185">
      <c r="A477" s="52" t="n"/>
      <c r="B477" s="46" t="n"/>
      <c r="C477" s="47" t="n"/>
      <c r="D477" s="47" t="n"/>
      <c r="E477" s="35" t="n"/>
      <c r="F477" s="36" t="n"/>
      <c r="G477" s="47" t="n"/>
      <c r="H477" s="47" t="n"/>
      <c r="I477" s="47" t="n"/>
      <c r="J477" s="47" t="n"/>
      <c r="K477" s="47" t="n"/>
      <c r="L477" s="47" t="n"/>
      <c r="M477" s="47" t="n"/>
      <c r="N477" s="47" t="n"/>
      <c r="O477" s="47" t="n"/>
      <c r="P477" s="47" t="n"/>
      <c r="Q477" s="47" t="n"/>
      <c r="R477" s="47" t="n"/>
      <c r="S477" s="47" t="n"/>
      <c r="T477" s="47" t="n"/>
      <c r="U477" s="47" t="n"/>
      <c r="V477" s="47" t="n"/>
      <c r="W477" s="47" t="n"/>
      <c r="X477" s="47" t="n"/>
      <c r="Y477" s="47" t="n"/>
      <c r="Z477" s="47" t="n"/>
    </row>
    <row r="478" ht="15.75" customHeight="1" s="185">
      <c r="A478" s="52" t="n"/>
      <c r="B478" s="46" t="n"/>
      <c r="C478" s="47" t="n"/>
      <c r="D478" s="47" t="n"/>
      <c r="E478" s="35" t="n"/>
      <c r="F478" s="36" t="n"/>
      <c r="G478" s="47" t="n"/>
      <c r="H478" s="47" t="n"/>
      <c r="I478" s="47" t="n"/>
      <c r="J478" s="47" t="n"/>
      <c r="K478" s="47" t="n"/>
      <c r="L478" s="47" t="n"/>
      <c r="M478" s="47" t="n"/>
      <c r="N478" s="47" t="n"/>
      <c r="O478" s="47" t="n"/>
      <c r="P478" s="47" t="n"/>
      <c r="Q478" s="47" t="n"/>
      <c r="R478" s="47" t="n"/>
      <c r="S478" s="47" t="n"/>
      <c r="T478" s="47" t="n"/>
      <c r="U478" s="47" t="n"/>
      <c r="V478" s="47" t="n"/>
      <c r="W478" s="47" t="n"/>
      <c r="X478" s="47" t="n"/>
      <c r="Y478" s="47" t="n"/>
      <c r="Z478" s="47" t="n"/>
    </row>
    <row r="479" ht="15.75" customHeight="1" s="185">
      <c r="A479" s="52" t="n"/>
      <c r="B479" s="46" t="n"/>
      <c r="C479" s="47" t="n"/>
      <c r="D479" s="47" t="n"/>
      <c r="E479" s="35" t="n"/>
      <c r="F479" s="36" t="n"/>
      <c r="G479" s="47" t="n"/>
      <c r="H479" s="47" t="n"/>
      <c r="I479" s="47" t="n"/>
      <c r="J479" s="47" t="n"/>
      <c r="K479" s="47" t="n"/>
      <c r="L479" s="47" t="n"/>
      <c r="M479" s="47" t="n"/>
      <c r="N479" s="47" t="n"/>
      <c r="O479" s="47" t="n"/>
      <c r="P479" s="47" t="n"/>
      <c r="Q479" s="47" t="n"/>
      <c r="R479" s="47" t="n"/>
      <c r="S479" s="47" t="n"/>
      <c r="T479" s="47" t="n"/>
      <c r="U479" s="47" t="n"/>
      <c r="V479" s="47" t="n"/>
      <c r="W479" s="47" t="n"/>
      <c r="X479" s="47" t="n"/>
      <c r="Y479" s="47" t="n"/>
      <c r="Z479" s="47" t="n"/>
    </row>
    <row r="480" ht="15.75" customHeight="1" s="185">
      <c r="A480" s="52" t="n"/>
      <c r="B480" s="46" t="n"/>
      <c r="C480" s="47" t="n"/>
      <c r="D480" s="47" t="n"/>
      <c r="E480" s="35" t="n"/>
      <c r="F480" s="36" t="n"/>
      <c r="G480" s="47" t="n"/>
      <c r="H480" s="47" t="n"/>
      <c r="I480" s="47" t="n"/>
      <c r="J480" s="47" t="n"/>
      <c r="K480" s="47" t="n"/>
      <c r="L480" s="47" t="n"/>
      <c r="M480" s="47" t="n"/>
      <c r="N480" s="47" t="n"/>
      <c r="O480" s="47" t="n"/>
      <c r="P480" s="47" t="n"/>
      <c r="Q480" s="47" t="n"/>
      <c r="R480" s="47" t="n"/>
      <c r="S480" s="47" t="n"/>
      <c r="T480" s="47" t="n"/>
      <c r="U480" s="47" t="n"/>
      <c r="V480" s="47" t="n"/>
      <c r="W480" s="47" t="n"/>
      <c r="X480" s="47" t="n"/>
      <c r="Y480" s="47" t="n"/>
      <c r="Z480" s="47" t="n"/>
    </row>
    <row r="481" ht="15.75" customHeight="1" s="185">
      <c r="A481" s="52" t="n"/>
      <c r="B481" s="46" t="n"/>
      <c r="C481" s="47" t="n"/>
      <c r="D481" s="47" t="n"/>
      <c r="E481" s="35" t="n"/>
      <c r="F481" s="36" t="n"/>
      <c r="G481" s="47" t="n"/>
      <c r="H481" s="47" t="n"/>
      <c r="I481" s="47" t="n"/>
      <c r="J481" s="47" t="n"/>
      <c r="K481" s="47" t="n"/>
      <c r="L481" s="47" t="n"/>
      <c r="M481" s="47" t="n"/>
      <c r="N481" s="47" t="n"/>
      <c r="O481" s="47" t="n"/>
      <c r="P481" s="47" t="n"/>
      <c r="Q481" s="47" t="n"/>
      <c r="R481" s="47" t="n"/>
      <c r="S481" s="47" t="n"/>
      <c r="T481" s="47" t="n"/>
      <c r="U481" s="47" t="n"/>
      <c r="V481" s="47" t="n"/>
      <c r="W481" s="47" t="n"/>
      <c r="X481" s="47" t="n"/>
      <c r="Y481" s="47" t="n"/>
      <c r="Z481" s="47" t="n"/>
    </row>
    <row r="482" ht="15.75" customHeight="1" s="185">
      <c r="A482" s="52" t="n"/>
      <c r="B482" s="46" t="n"/>
      <c r="C482" s="47" t="n"/>
      <c r="D482" s="47" t="n"/>
      <c r="E482" s="35" t="n"/>
      <c r="F482" s="36" t="n"/>
      <c r="G482" s="47" t="n"/>
      <c r="H482" s="47" t="n"/>
      <c r="I482" s="47" t="n"/>
      <c r="J482" s="47" t="n"/>
      <c r="K482" s="47" t="n"/>
      <c r="L482" s="47" t="n"/>
      <c r="M482" s="47" t="n"/>
      <c r="N482" s="47" t="n"/>
      <c r="O482" s="47" t="n"/>
      <c r="P482" s="47" t="n"/>
      <c r="Q482" s="47" t="n"/>
      <c r="R482" s="47" t="n"/>
      <c r="S482" s="47" t="n"/>
      <c r="T482" s="47" t="n"/>
      <c r="U482" s="47" t="n"/>
      <c r="V482" s="47" t="n"/>
      <c r="W482" s="47" t="n"/>
      <c r="X482" s="47" t="n"/>
      <c r="Y482" s="47" t="n"/>
      <c r="Z482" s="47" t="n"/>
    </row>
    <row r="483" ht="15.75" customHeight="1" s="185">
      <c r="A483" s="52" t="n"/>
      <c r="B483" s="46" t="n"/>
      <c r="C483" s="47" t="n"/>
      <c r="D483" s="47" t="n"/>
      <c r="E483" s="35" t="n"/>
      <c r="F483" s="36" t="n"/>
      <c r="G483" s="47" t="n"/>
      <c r="H483" s="47" t="n"/>
      <c r="I483" s="47" t="n"/>
      <c r="J483" s="47" t="n"/>
      <c r="K483" s="47" t="n"/>
      <c r="L483" s="47" t="n"/>
      <c r="M483" s="47" t="n"/>
      <c r="N483" s="47" t="n"/>
      <c r="O483" s="47" t="n"/>
      <c r="P483" s="47" t="n"/>
      <c r="Q483" s="47" t="n"/>
      <c r="R483" s="47" t="n"/>
      <c r="S483" s="47" t="n"/>
      <c r="T483" s="47" t="n"/>
      <c r="U483" s="47" t="n"/>
      <c r="V483" s="47" t="n"/>
      <c r="W483" s="47" t="n"/>
      <c r="X483" s="47" t="n"/>
      <c r="Y483" s="47" t="n"/>
      <c r="Z483" s="47" t="n"/>
    </row>
    <row r="484" ht="15.75" customHeight="1" s="185">
      <c r="A484" s="52" t="n"/>
      <c r="B484" s="46" t="n"/>
      <c r="C484" s="47" t="n"/>
      <c r="D484" s="47" t="n"/>
      <c r="E484" s="35" t="n"/>
      <c r="F484" s="36" t="n"/>
      <c r="G484" s="47" t="n"/>
      <c r="H484" s="47" t="n"/>
      <c r="I484" s="47" t="n"/>
      <c r="J484" s="47" t="n"/>
      <c r="K484" s="47" t="n"/>
      <c r="L484" s="47" t="n"/>
      <c r="M484" s="47" t="n"/>
      <c r="N484" s="47" t="n"/>
      <c r="O484" s="47" t="n"/>
      <c r="P484" s="47" t="n"/>
      <c r="Q484" s="47" t="n"/>
      <c r="R484" s="47" t="n"/>
      <c r="S484" s="47" t="n"/>
      <c r="T484" s="47" t="n"/>
      <c r="U484" s="47" t="n"/>
      <c r="V484" s="47" t="n"/>
      <c r="W484" s="47" t="n"/>
      <c r="X484" s="47" t="n"/>
      <c r="Y484" s="47" t="n"/>
      <c r="Z484" s="47" t="n"/>
    </row>
    <row r="485" ht="15.75" customHeight="1" s="185">
      <c r="A485" s="52" t="n"/>
      <c r="B485" s="46" t="n"/>
      <c r="C485" s="47" t="n"/>
      <c r="D485" s="47" t="n"/>
      <c r="E485" s="35" t="n"/>
      <c r="F485" s="36" t="n"/>
      <c r="G485" s="47" t="n"/>
      <c r="H485" s="47" t="n"/>
      <c r="I485" s="47" t="n"/>
      <c r="J485" s="47" t="n"/>
      <c r="K485" s="47" t="n"/>
      <c r="L485" s="47" t="n"/>
      <c r="M485" s="47" t="n"/>
      <c r="N485" s="47" t="n"/>
      <c r="O485" s="47" t="n"/>
      <c r="P485" s="47" t="n"/>
      <c r="Q485" s="47" t="n"/>
      <c r="R485" s="47" t="n"/>
      <c r="S485" s="47" t="n"/>
      <c r="T485" s="47" t="n"/>
      <c r="U485" s="47" t="n"/>
      <c r="V485" s="47" t="n"/>
      <c r="W485" s="47" t="n"/>
      <c r="X485" s="47" t="n"/>
      <c r="Y485" s="47" t="n"/>
      <c r="Z485" s="47" t="n"/>
    </row>
    <row r="486" ht="15.75" customHeight="1" s="185">
      <c r="A486" s="52" t="n"/>
      <c r="B486" s="46" t="n"/>
      <c r="C486" s="47" t="n"/>
      <c r="D486" s="47" t="n"/>
      <c r="E486" s="35" t="n"/>
      <c r="F486" s="36" t="n"/>
      <c r="G486" s="47" t="n"/>
      <c r="H486" s="47" t="n"/>
      <c r="I486" s="47" t="n"/>
      <c r="J486" s="47" t="n"/>
      <c r="K486" s="47" t="n"/>
      <c r="L486" s="47" t="n"/>
      <c r="M486" s="47" t="n"/>
      <c r="N486" s="47" t="n"/>
      <c r="O486" s="47" t="n"/>
      <c r="P486" s="47" t="n"/>
      <c r="Q486" s="47" t="n"/>
      <c r="R486" s="47" t="n"/>
      <c r="S486" s="47" t="n"/>
      <c r="T486" s="47" t="n"/>
      <c r="U486" s="47" t="n"/>
      <c r="V486" s="47" t="n"/>
      <c r="W486" s="47" t="n"/>
      <c r="X486" s="47" t="n"/>
      <c r="Y486" s="47" t="n"/>
      <c r="Z486" s="47" t="n"/>
    </row>
    <row r="487" ht="15.75" customHeight="1" s="185">
      <c r="A487" s="52" t="n"/>
      <c r="B487" s="46" t="n"/>
      <c r="C487" s="47" t="n"/>
      <c r="D487" s="47" t="n"/>
      <c r="E487" s="35" t="n"/>
      <c r="F487" s="36" t="n"/>
      <c r="G487" s="47" t="n"/>
      <c r="H487" s="47" t="n"/>
      <c r="I487" s="47" t="n"/>
      <c r="J487" s="47" t="n"/>
      <c r="K487" s="47" t="n"/>
      <c r="L487" s="47" t="n"/>
      <c r="M487" s="47" t="n"/>
      <c r="N487" s="47" t="n"/>
      <c r="O487" s="47" t="n"/>
      <c r="P487" s="47" t="n"/>
      <c r="Q487" s="47" t="n"/>
      <c r="R487" s="47" t="n"/>
      <c r="S487" s="47" t="n"/>
      <c r="T487" s="47" t="n"/>
      <c r="U487" s="47" t="n"/>
      <c r="V487" s="47" t="n"/>
      <c r="W487" s="47" t="n"/>
      <c r="X487" s="47" t="n"/>
      <c r="Y487" s="47" t="n"/>
      <c r="Z487" s="47" t="n"/>
    </row>
    <row r="488" ht="15.75" customHeight="1" s="185">
      <c r="A488" s="52" t="n"/>
      <c r="B488" s="46" t="n"/>
      <c r="C488" s="47" t="n"/>
      <c r="D488" s="47" t="n"/>
      <c r="E488" s="35" t="n"/>
      <c r="F488" s="36" t="n"/>
      <c r="G488" s="47" t="n"/>
      <c r="H488" s="47" t="n"/>
      <c r="I488" s="47" t="n"/>
      <c r="J488" s="47" t="n"/>
      <c r="K488" s="47" t="n"/>
      <c r="L488" s="47" t="n"/>
      <c r="M488" s="47" t="n"/>
      <c r="N488" s="47" t="n"/>
      <c r="O488" s="47" t="n"/>
      <c r="P488" s="47" t="n"/>
      <c r="Q488" s="47" t="n"/>
      <c r="R488" s="47" t="n"/>
      <c r="S488" s="47" t="n"/>
      <c r="T488" s="47" t="n"/>
      <c r="U488" s="47" t="n"/>
      <c r="V488" s="47" t="n"/>
      <c r="W488" s="47" t="n"/>
      <c r="X488" s="47" t="n"/>
      <c r="Y488" s="47" t="n"/>
      <c r="Z488" s="47" t="n"/>
    </row>
    <row r="489" ht="15.75" customHeight="1" s="185">
      <c r="A489" s="52" t="n"/>
      <c r="B489" s="46" t="n"/>
      <c r="C489" s="47" t="n"/>
      <c r="D489" s="47" t="n"/>
      <c r="E489" s="35" t="n"/>
      <c r="F489" s="36" t="n"/>
      <c r="G489" s="47" t="n"/>
      <c r="H489" s="47" t="n"/>
      <c r="I489" s="47" t="n"/>
      <c r="J489" s="47" t="n"/>
      <c r="K489" s="47" t="n"/>
      <c r="L489" s="47" t="n"/>
      <c r="M489" s="47" t="n"/>
      <c r="N489" s="47" t="n"/>
      <c r="O489" s="47" t="n"/>
      <c r="P489" s="47" t="n"/>
      <c r="Q489" s="47" t="n"/>
      <c r="R489" s="47" t="n"/>
      <c r="S489" s="47" t="n"/>
      <c r="T489" s="47" t="n"/>
      <c r="U489" s="47" t="n"/>
      <c r="V489" s="47" t="n"/>
      <c r="W489" s="47" t="n"/>
      <c r="X489" s="47" t="n"/>
      <c r="Y489" s="47" t="n"/>
      <c r="Z489" s="47" t="n"/>
    </row>
    <row r="490" ht="15.75" customHeight="1" s="185">
      <c r="A490" s="52" t="n"/>
      <c r="B490" s="46" t="n"/>
      <c r="C490" s="47" t="n"/>
      <c r="D490" s="47" t="n"/>
      <c r="E490" s="35" t="n"/>
      <c r="F490" s="36" t="n"/>
      <c r="G490" s="47" t="n"/>
      <c r="H490" s="47" t="n"/>
      <c r="I490" s="47" t="n"/>
      <c r="J490" s="47" t="n"/>
      <c r="K490" s="47" t="n"/>
      <c r="L490" s="47" t="n"/>
      <c r="M490" s="47" t="n"/>
      <c r="N490" s="47" t="n"/>
      <c r="O490" s="47" t="n"/>
      <c r="P490" s="47" t="n"/>
      <c r="Q490" s="47" t="n"/>
      <c r="R490" s="47" t="n"/>
      <c r="S490" s="47" t="n"/>
      <c r="T490" s="47" t="n"/>
      <c r="U490" s="47" t="n"/>
      <c r="V490" s="47" t="n"/>
      <c r="W490" s="47" t="n"/>
      <c r="X490" s="47" t="n"/>
      <c r="Y490" s="47" t="n"/>
      <c r="Z490" s="47" t="n"/>
    </row>
    <row r="491" ht="15.75" customHeight="1" s="185">
      <c r="A491" s="52" t="n"/>
      <c r="B491" s="46" t="n"/>
      <c r="C491" s="47" t="n"/>
      <c r="D491" s="47" t="n"/>
      <c r="E491" s="35" t="n"/>
      <c r="F491" s="36" t="n"/>
      <c r="G491" s="47" t="n"/>
      <c r="H491" s="47" t="n"/>
      <c r="I491" s="47" t="n"/>
      <c r="J491" s="47" t="n"/>
      <c r="K491" s="47" t="n"/>
      <c r="L491" s="47" t="n"/>
      <c r="M491" s="47" t="n"/>
      <c r="N491" s="47" t="n"/>
      <c r="O491" s="47" t="n"/>
      <c r="P491" s="47" t="n"/>
      <c r="Q491" s="47" t="n"/>
      <c r="R491" s="47" t="n"/>
      <c r="S491" s="47" t="n"/>
      <c r="T491" s="47" t="n"/>
      <c r="U491" s="47" t="n"/>
      <c r="V491" s="47" t="n"/>
      <c r="W491" s="47" t="n"/>
      <c r="X491" s="47" t="n"/>
      <c r="Y491" s="47" t="n"/>
      <c r="Z491" s="47" t="n"/>
    </row>
    <row r="492" ht="15.75" customHeight="1" s="185">
      <c r="A492" s="52" t="n"/>
      <c r="B492" s="46" t="n"/>
      <c r="C492" s="47" t="n"/>
      <c r="D492" s="47" t="n"/>
      <c r="E492" s="35" t="n"/>
      <c r="F492" s="36" t="n"/>
      <c r="G492" s="47" t="n"/>
      <c r="H492" s="47" t="n"/>
      <c r="I492" s="47" t="n"/>
      <c r="J492" s="47" t="n"/>
      <c r="K492" s="47" t="n"/>
      <c r="L492" s="47" t="n"/>
      <c r="M492" s="47" t="n"/>
      <c r="N492" s="47" t="n"/>
      <c r="O492" s="47" t="n"/>
      <c r="P492" s="47" t="n"/>
      <c r="Q492" s="47" t="n"/>
      <c r="R492" s="47" t="n"/>
      <c r="S492" s="47" t="n"/>
      <c r="T492" s="47" t="n"/>
      <c r="U492" s="47" t="n"/>
      <c r="V492" s="47" t="n"/>
      <c r="W492" s="47" t="n"/>
      <c r="X492" s="47" t="n"/>
      <c r="Y492" s="47" t="n"/>
      <c r="Z492" s="47" t="n"/>
    </row>
    <row r="493" ht="15.75" customHeight="1" s="185">
      <c r="A493" s="52" t="n"/>
      <c r="B493" s="46" t="n"/>
      <c r="C493" s="47" t="n"/>
      <c r="D493" s="47" t="n"/>
      <c r="E493" s="35" t="n"/>
      <c r="F493" s="36" t="n"/>
      <c r="G493" s="47" t="n"/>
      <c r="H493" s="47" t="n"/>
      <c r="I493" s="47" t="n"/>
      <c r="J493" s="47" t="n"/>
      <c r="K493" s="47" t="n"/>
      <c r="L493" s="47" t="n"/>
      <c r="M493" s="47" t="n"/>
      <c r="N493" s="47" t="n"/>
      <c r="O493" s="47" t="n"/>
      <c r="P493" s="47" t="n"/>
      <c r="Q493" s="47" t="n"/>
      <c r="R493" s="47" t="n"/>
      <c r="S493" s="47" t="n"/>
      <c r="T493" s="47" t="n"/>
      <c r="U493" s="47" t="n"/>
      <c r="V493" s="47" t="n"/>
      <c r="W493" s="47" t="n"/>
      <c r="X493" s="47" t="n"/>
      <c r="Y493" s="47" t="n"/>
      <c r="Z493" s="47" t="n"/>
    </row>
    <row r="494" ht="15.75" customHeight="1" s="185">
      <c r="A494" s="52" t="n"/>
      <c r="B494" s="46" t="n"/>
      <c r="C494" s="47" t="n"/>
      <c r="D494" s="47" t="n"/>
      <c r="E494" s="35" t="n"/>
      <c r="F494" s="36" t="n"/>
      <c r="G494" s="47" t="n"/>
      <c r="H494" s="47" t="n"/>
      <c r="I494" s="47" t="n"/>
      <c r="J494" s="47" t="n"/>
      <c r="K494" s="47" t="n"/>
      <c r="L494" s="47" t="n"/>
      <c r="M494" s="47" t="n"/>
      <c r="N494" s="47" t="n"/>
      <c r="O494" s="47" t="n"/>
      <c r="P494" s="47" t="n"/>
      <c r="Q494" s="47" t="n"/>
      <c r="R494" s="47" t="n"/>
      <c r="S494" s="47" t="n"/>
      <c r="T494" s="47" t="n"/>
      <c r="U494" s="47" t="n"/>
      <c r="V494" s="47" t="n"/>
      <c r="W494" s="47" t="n"/>
      <c r="X494" s="47" t="n"/>
      <c r="Y494" s="47" t="n"/>
      <c r="Z494" s="47" t="n"/>
    </row>
    <row r="495" ht="15.75" customHeight="1" s="185">
      <c r="A495" s="52" t="n"/>
      <c r="B495" s="46" t="n"/>
      <c r="C495" s="47" t="n"/>
      <c r="D495" s="47" t="n"/>
      <c r="E495" s="35" t="n"/>
      <c r="F495" s="36" t="n"/>
      <c r="G495" s="47" t="n"/>
      <c r="H495" s="47" t="n"/>
      <c r="I495" s="47" t="n"/>
      <c r="J495" s="47" t="n"/>
      <c r="K495" s="47" t="n"/>
      <c r="L495" s="47" t="n"/>
      <c r="M495" s="47" t="n"/>
      <c r="N495" s="47" t="n"/>
      <c r="O495" s="47" t="n"/>
      <c r="P495" s="47" t="n"/>
      <c r="Q495" s="47" t="n"/>
      <c r="R495" s="47" t="n"/>
      <c r="S495" s="47" t="n"/>
      <c r="T495" s="47" t="n"/>
      <c r="U495" s="47" t="n"/>
      <c r="V495" s="47" t="n"/>
      <c r="W495" s="47" t="n"/>
      <c r="X495" s="47" t="n"/>
      <c r="Y495" s="47" t="n"/>
      <c r="Z495" s="47" t="n"/>
    </row>
    <row r="496">
      <c r="A496" s="55" t="n"/>
      <c r="B496" s="46" t="n"/>
      <c r="C496" s="47" t="n"/>
      <c r="D496" s="47" t="n"/>
      <c r="E496" s="47" t="n"/>
      <c r="F496" s="47" t="n"/>
      <c r="G496" s="47" t="n"/>
      <c r="H496" s="47" t="n"/>
      <c r="I496" s="47" t="n"/>
      <c r="J496" s="47" t="n"/>
      <c r="K496" s="47" t="n"/>
      <c r="L496" s="47" t="n"/>
      <c r="M496" s="47" t="n"/>
      <c r="N496" s="47" t="n"/>
      <c r="O496" s="47" t="n"/>
      <c r="P496" s="47" t="n"/>
      <c r="Q496" s="47" t="n"/>
      <c r="R496" s="47" t="n"/>
      <c r="S496" s="47" t="n"/>
      <c r="T496" s="47" t="n"/>
      <c r="U496" s="47" t="n"/>
      <c r="V496" s="47" t="n"/>
      <c r="W496" s="47" t="n"/>
      <c r="X496" s="47" t="n"/>
      <c r="Y496" s="47" t="n"/>
      <c r="Z496" s="47" t="n"/>
    </row>
    <row r="497">
      <c r="A497" s="55" t="n"/>
      <c r="B497" s="46" t="n"/>
      <c r="C497" s="47" t="n"/>
      <c r="D497" s="47" t="n"/>
      <c r="E497" s="47" t="n"/>
      <c r="F497" s="47" t="n"/>
      <c r="G497" s="47" t="n"/>
      <c r="H497" s="47" t="n"/>
      <c r="I497" s="47" t="n"/>
      <c r="J497" s="47" t="n"/>
      <c r="K497" s="47" t="n"/>
      <c r="L497" s="47" t="n"/>
      <c r="M497" s="47" t="n"/>
      <c r="N497" s="47" t="n"/>
      <c r="O497" s="47" t="n"/>
      <c r="P497" s="47" t="n"/>
      <c r="Q497" s="47" t="n"/>
      <c r="R497" s="47" t="n"/>
      <c r="S497" s="47" t="n"/>
      <c r="T497" s="47" t="n"/>
      <c r="U497" s="47" t="n"/>
      <c r="V497" s="47" t="n"/>
      <c r="W497" s="47" t="n"/>
      <c r="X497" s="47" t="n"/>
      <c r="Y497" s="47" t="n"/>
      <c r="Z497" s="47" t="n"/>
    </row>
    <row r="498">
      <c r="A498" s="55" t="n"/>
      <c r="B498" s="46" t="n"/>
      <c r="C498" s="47" t="n"/>
      <c r="D498" s="47" t="n"/>
      <c r="E498" s="47" t="n"/>
      <c r="F498" s="47" t="n"/>
      <c r="G498" s="47" t="n"/>
      <c r="H498" s="47" t="n"/>
      <c r="I498" s="47" t="n"/>
      <c r="J498" s="47" t="n"/>
      <c r="K498" s="47" t="n"/>
      <c r="L498" s="47" t="n"/>
      <c r="M498" s="47" t="n"/>
      <c r="N498" s="47" t="n"/>
      <c r="O498" s="47" t="n"/>
      <c r="P498" s="47" t="n"/>
      <c r="Q498" s="47" t="n"/>
      <c r="R498" s="47" t="n"/>
      <c r="S498" s="47" t="n"/>
      <c r="T498" s="47" t="n"/>
      <c r="U498" s="47" t="n"/>
      <c r="V498" s="47" t="n"/>
      <c r="W498" s="47" t="n"/>
      <c r="X498" s="47" t="n"/>
      <c r="Y498" s="47" t="n"/>
      <c r="Z498" s="47" t="n"/>
    </row>
    <row r="499">
      <c r="A499" s="55" t="n"/>
      <c r="B499" s="46" t="n"/>
      <c r="C499" s="47" t="n"/>
      <c r="D499" s="47" t="n"/>
      <c r="E499" s="47" t="n"/>
      <c r="F499" s="47" t="n"/>
      <c r="G499" s="47" t="n"/>
      <c r="H499" s="47" t="n"/>
      <c r="I499" s="47" t="n"/>
      <c r="J499" s="47" t="n"/>
      <c r="K499" s="47" t="n"/>
      <c r="L499" s="47" t="n"/>
      <c r="M499" s="47" t="n"/>
      <c r="N499" s="47" t="n"/>
      <c r="O499" s="47" t="n"/>
      <c r="P499" s="47" t="n"/>
      <c r="Q499" s="47" t="n"/>
      <c r="R499" s="47" t="n"/>
      <c r="S499" s="47" t="n"/>
      <c r="T499" s="47" t="n"/>
      <c r="U499" s="47" t="n"/>
      <c r="V499" s="47" t="n"/>
      <c r="W499" s="47" t="n"/>
      <c r="X499" s="47" t="n"/>
      <c r="Y499" s="47" t="n"/>
      <c r="Z499" s="47" t="n"/>
    </row>
    <row r="500">
      <c r="A500" s="55" t="n"/>
      <c r="B500" s="46" t="n"/>
      <c r="C500" s="47" t="n"/>
      <c r="D500" s="47" t="n"/>
      <c r="E500" s="47" t="n"/>
      <c r="F500" s="47" t="n"/>
      <c r="G500" s="47" t="n"/>
      <c r="H500" s="47" t="n"/>
      <c r="I500" s="47" t="n"/>
      <c r="J500" s="47" t="n"/>
      <c r="K500" s="47" t="n"/>
      <c r="L500" s="47" t="n"/>
      <c r="M500" s="47" t="n"/>
      <c r="N500" s="47" t="n"/>
      <c r="O500" s="47" t="n"/>
      <c r="P500" s="47" t="n"/>
      <c r="Q500" s="47" t="n"/>
      <c r="R500" s="47" t="n"/>
      <c r="S500" s="47" t="n"/>
      <c r="T500" s="47" t="n"/>
      <c r="U500" s="47" t="n"/>
      <c r="V500" s="47" t="n"/>
      <c r="W500" s="47" t="n"/>
      <c r="X500" s="47" t="n"/>
      <c r="Y500" s="47" t="n"/>
      <c r="Z500" s="47" t="n"/>
    </row>
    <row r="501">
      <c r="A501" s="55" t="n"/>
      <c r="B501" s="46" t="n"/>
      <c r="C501" s="47" t="n"/>
      <c r="D501" s="47" t="n"/>
      <c r="E501" s="47" t="n"/>
      <c r="F501" s="47" t="n"/>
      <c r="G501" s="47" t="n"/>
      <c r="H501" s="47" t="n"/>
      <c r="I501" s="47" t="n"/>
      <c r="J501" s="47" t="n"/>
      <c r="K501" s="47" t="n"/>
      <c r="L501" s="47" t="n"/>
      <c r="M501" s="47" t="n"/>
      <c r="N501" s="47" t="n"/>
      <c r="O501" s="47" t="n"/>
      <c r="P501" s="47" t="n"/>
      <c r="Q501" s="47" t="n"/>
      <c r="R501" s="47" t="n"/>
      <c r="S501" s="47" t="n"/>
      <c r="T501" s="47" t="n"/>
      <c r="U501" s="47" t="n"/>
      <c r="V501" s="47" t="n"/>
      <c r="W501" s="47" t="n"/>
      <c r="X501" s="47" t="n"/>
      <c r="Y501" s="47" t="n"/>
      <c r="Z501" s="47" t="n"/>
    </row>
    <row r="502">
      <c r="A502" s="55" t="n"/>
      <c r="B502" s="46" t="n"/>
      <c r="C502" s="47" t="n"/>
      <c r="D502" s="47" t="n"/>
      <c r="E502" s="47" t="n"/>
      <c r="F502" s="47" t="n"/>
      <c r="G502" s="47" t="n"/>
      <c r="H502" s="47" t="n"/>
      <c r="I502" s="47" t="n"/>
      <c r="J502" s="47" t="n"/>
      <c r="K502" s="47" t="n"/>
      <c r="L502" s="47" t="n"/>
      <c r="M502" s="47" t="n"/>
      <c r="N502" s="47" t="n"/>
      <c r="O502" s="47" t="n"/>
      <c r="P502" s="47" t="n"/>
      <c r="Q502" s="47" t="n"/>
      <c r="R502" s="47" t="n"/>
      <c r="S502" s="47" t="n"/>
      <c r="T502" s="47" t="n"/>
      <c r="U502" s="47" t="n"/>
      <c r="V502" s="47" t="n"/>
      <c r="W502" s="47" t="n"/>
      <c r="X502" s="47" t="n"/>
      <c r="Y502" s="47" t="n"/>
      <c r="Z502" s="47" t="n"/>
    </row>
    <row r="503">
      <c r="A503" s="55" t="n"/>
      <c r="B503" s="46" t="n"/>
      <c r="C503" s="47" t="n"/>
      <c r="D503" s="47" t="n"/>
      <c r="E503" s="47" t="n"/>
      <c r="F503" s="47" t="n"/>
      <c r="G503" s="47" t="n"/>
      <c r="H503" s="47" t="n"/>
      <c r="I503" s="47" t="n"/>
      <c r="J503" s="47" t="n"/>
      <c r="K503" s="47" t="n"/>
      <c r="L503" s="47" t="n"/>
      <c r="M503" s="47" t="n"/>
      <c r="N503" s="47" t="n"/>
      <c r="O503" s="47" t="n"/>
      <c r="P503" s="47" t="n"/>
      <c r="Q503" s="47" t="n"/>
      <c r="R503" s="47" t="n"/>
      <c r="S503" s="47" t="n"/>
      <c r="T503" s="47" t="n"/>
      <c r="U503" s="47" t="n"/>
      <c r="V503" s="47" t="n"/>
      <c r="W503" s="47" t="n"/>
      <c r="X503" s="47" t="n"/>
      <c r="Y503" s="47" t="n"/>
      <c r="Z503" s="47" t="n"/>
    </row>
    <row r="504">
      <c r="A504" s="55" t="n"/>
      <c r="B504" s="46" t="n"/>
      <c r="C504" s="47" t="n"/>
      <c r="D504" s="47" t="n"/>
      <c r="E504" s="47" t="n"/>
      <c r="F504" s="47" t="n"/>
      <c r="G504" s="47" t="n"/>
      <c r="H504" s="47" t="n"/>
      <c r="I504" s="47" t="n"/>
      <c r="J504" s="47" t="n"/>
      <c r="K504" s="47" t="n"/>
      <c r="L504" s="47" t="n"/>
      <c r="M504" s="47" t="n"/>
      <c r="N504" s="47" t="n"/>
      <c r="O504" s="47" t="n"/>
      <c r="P504" s="47" t="n"/>
      <c r="Q504" s="47" t="n"/>
      <c r="R504" s="47" t="n"/>
      <c r="S504" s="47" t="n"/>
      <c r="T504" s="47" t="n"/>
      <c r="U504" s="47" t="n"/>
      <c r="V504" s="47" t="n"/>
      <c r="W504" s="47" t="n"/>
      <c r="X504" s="47" t="n"/>
      <c r="Y504" s="47" t="n"/>
      <c r="Z504" s="47" t="n"/>
    </row>
    <row r="505">
      <c r="A505" s="55" t="n"/>
      <c r="B505" s="46" t="n"/>
      <c r="C505" s="47" t="n"/>
      <c r="D505" s="47" t="n"/>
      <c r="E505" s="47" t="n"/>
      <c r="F505" s="47" t="n"/>
      <c r="G505" s="47" t="n"/>
      <c r="H505" s="47" t="n"/>
      <c r="I505" s="47" t="n"/>
      <c r="J505" s="47" t="n"/>
      <c r="K505" s="47" t="n"/>
      <c r="L505" s="47" t="n"/>
      <c r="M505" s="47" t="n"/>
      <c r="N505" s="47" t="n"/>
      <c r="O505" s="47" t="n"/>
      <c r="P505" s="47" t="n"/>
      <c r="Q505" s="47" t="n"/>
      <c r="R505" s="47" t="n"/>
      <c r="S505" s="47" t="n"/>
      <c r="T505" s="47" t="n"/>
      <c r="U505" s="47" t="n"/>
      <c r="V505" s="47" t="n"/>
      <c r="W505" s="47" t="n"/>
      <c r="X505" s="47" t="n"/>
      <c r="Y505" s="47" t="n"/>
      <c r="Z505" s="47" t="n"/>
    </row>
    <row r="506">
      <c r="A506" s="55" t="n"/>
      <c r="B506" s="46" t="n"/>
      <c r="C506" s="47" t="n"/>
      <c r="D506" s="47" t="n"/>
      <c r="E506" s="47" t="n"/>
      <c r="F506" s="47" t="n"/>
      <c r="G506" s="47" t="n"/>
      <c r="H506" s="47" t="n"/>
      <c r="I506" s="47" t="n"/>
      <c r="J506" s="47" t="n"/>
      <c r="K506" s="47" t="n"/>
      <c r="L506" s="47" t="n"/>
      <c r="M506" s="47" t="n"/>
      <c r="N506" s="47" t="n"/>
      <c r="O506" s="47" t="n"/>
      <c r="P506" s="47" t="n"/>
      <c r="Q506" s="47" t="n"/>
      <c r="R506" s="47" t="n"/>
      <c r="S506" s="47" t="n"/>
      <c r="T506" s="47" t="n"/>
      <c r="U506" s="47" t="n"/>
      <c r="V506" s="47" t="n"/>
      <c r="W506" s="47" t="n"/>
      <c r="X506" s="47" t="n"/>
      <c r="Y506" s="47" t="n"/>
      <c r="Z506" s="47" t="n"/>
    </row>
    <row r="507">
      <c r="A507" s="55" t="n"/>
      <c r="B507" s="46" t="n"/>
      <c r="C507" s="47" t="n"/>
      <c r="D507" s="47" t="n"/>
      <c r="E507" s="47" t="n"/>
      <c r="F507" s="47" t="n"/>
      <c r="G507" s="47" t="n"/>
      <c r="H507" s="47" t="n"/>
      <c r="I507" s="47" t="n"/>
      <c r="J507" s="47" t="n"/>
      <c r="K507" s="47" t="n"/>
      <c r="L507" s="47" t="n"/>
      <c r="M507" s="47" t="n"/>
      <c r="N507" s="47" t="n"/>
      <c r="O507" s="47" t="n"/>
      <c r="P507" s="47" t="n"/>
      <c r="Q507" s="47" t="n"/>
      <c r="R507" s="47" t="n"/>
      <c r="S507" s="47" t="n"/>
      <c r="T507" s="47" t="n"/>
      <c r="U507" s="47" t="n"/>
      <c r="V507" s="47" t="n"/>
      <c r="W507" s="47" t="n"/>
      <c r="X507" s="47" t="n"/>
      <c r="Y507" s="47" t="n"/>
      <c r="Z507" s="47" t="n"/>
    </row>
    <row r="508">
      <c r="A508" s="55" t="n"/>
      <c r="B508" s="46" t="n"/>
      <c r="C508" s="47" t="n"/>
      <c r="D508" s="47" t="n"/>
      <c r="E508" s="47" t="n"/>
      <c r="F508" s="47" t="n"/>
      <c r="G508" s="47" t="n"/>
      <c r="H508" s="47" t="n"/>
      <c r="I508" s="47" t="n"/>
      <c r="J508" s="47" t="n"/>
      <c r="K508" s="47" t="n"/>
      <c r="L508" s="47" t="n"/>
      <c r="M508" s="47" t="n"/>
      <c r="N508" s="47" t="n"/>
      <c r="O508" s="47" t="n"/>
      <c r="P508" s="47" t="n"/>
      <c r="Q508" s="47" t="n"/>
      <c r="R508" s="47" t="n"/>
      <c r="S508" s="47" t="n"/>
      <c r="T508" s="47" t="n"/>
      <c r="U508" s="47" t="n"/>
      <c r="V508" s="47" t="n"/>
      <c r="W508" s="47" t="n"/>
      <c r="X508" s="47" t="n"/>
      <c r="Y508" s="47" t="n"/>
      <c r="Z508" s="47" t="n"/>
    </row>
    <row r="509">
      <c r="A509" s="55" t="n"/>
      <c r="B509" s="46" t="n"/>
      <c r="C509" s="47" t="n"/>
      <c r="D509" s="47" t="n"/>
      <c r="E509" s="47" t="n"/>
      <c r="F509" s="47" t="n"/>
      <c r="G509" s="47" t="n"/>
      <c r="H509" s="47" t="n"/>
      <c r="I509" s="47" t="n"/>
      <c r="J509" s="47" t="n"/>
      <c r="K509" s="47" t="n"/>
      <c r="L509" s="47" t="n"/>
      <c r="M509" s="47" t="n"/>
      <c r="N509" s="47" t="n"/>
      <c r="O509" s="47" t="n"/>
      <c r="P509" s="47" t="n"/>
      <c r="Q509" s="47" t="n"/>
      <c r="R509" s="47" t="n"/>
      <c r="S509" s="47" t="n"/>
      <c r="T509" s="47" t="n"/>
      <c r="U509" s="47" t="n"/>
      <c r="V509" s="47" t="n"/>
      <c r="W509" s="47" t="n"/>
      <c r="X509" s="47" t="n"/>
      <c r="Y509" s="47" t="n"/>
      <c r="Z509" s="47" t="n"/>
    </row>
    <row r="510">
      <c r="A510" s="55" t="n"/>
      <c r="B510" s="46" t="n"/>
      <c r="C510" s="47" t="n"/>
      <c r="D510" s="47" t="n"/>
      <c r="E510" s="47" t="n"/>
      <c r="F510" s="47" t="n"/>
      <c r="G510" s="47" t="n"/>
      <c r="H510" s="47" t="n"/>
      <c r="I510" s="47" t="n"/>
      <c r="J510" s="47" t="n"/>
      <c r="K510" s="47" t="n"/>
      <c r="L510" s="47" t="n"/>
      <c r="M510" s="47" t="n"/>
      <c r="N510" s="47" t="n"/>
      <c r="O510" s="47" t="n"/>
      <c r="P510" s="47" t="n"/>
      <c r="Q510" s="47" t="n"/>
      <c r="R510" s="47" t="n"/>
      <c r="S510" s="47" t="n"/>
      <c r="T510" s="47" t="n"/>
      <c r="U510" s="47" t="n"/>
      <c r="V510" s="47" t="n"/>
      <c r="W510" s="47" t="n"/>
      <c r="X510" s="47" t="n"/>
      <c r="Y510" s="47" t="n"/>
      <c r="Z510" s="47" t="n"/>
    </row>
    <row r="511">
      <c r="A511" s="55" t="n"/>
      <c r="B511" s="46" t="n"/>
      <c r="C511" s="47" t="n"/>
      <c r="D511" s="47" t="n"/>
      <c r="E511" s="47" t="n"/>
      <c r="F511" s="47" t="n"/>
      <c r="G511" s="47" t="n"/>
      <c r="H511" s="47" t="n"/>
      <c r="I511" s="47" t="n"/>
      <c r="J511" s="47" t="n"/>
      <c r="K511" s="47" t="n"/>
      <c r="L511" s="47" t="n"/>
      <c r="M511" s="47" t="n"/>
      <c r="N511" s="47" t="n"/>
      <c r="O511" s="47" t="n"/>
      <c r="P511" s="47" t="n"/>
      <c r="Q511" s="47" t="n"/>
      <c r="R511" s="47" t="n"/>
      <c r="S511" s="47" t="n"/>
      <c r="T511" s="47" t="n"/>
      <c r="U511" s="47" t="n"/>
      <c r="V511" s="47" t="n"/>
      <c r="W511" s="47" t="n"/>
      <c r="X511" s="47" t="n"/>
      <c r="Y511" s="47" t="n"/>
      <c r="Z511" s="47" t="n"/>
    </row>
    <row r="512">
      <c r="A512" s="55" t="n"/>
      <c r="B512" s="46" t="n"/>
      <c r="C512" s="47" t="n"/>
      <c r="D512" s="47" t="n"/>
      <c r="E512" s="47" t="n"/>
      <c r="F512" s="47" t="n"/>
      <c r="G512" s="47" t="n"/>
      <c r="H512" s="47" t="n"/>
      <c r="I512" s="47" t="n"/>
      <c r="J512" s="47" t="n"/>
      <c r="K512" s="47" t="n"/>
      <c r="L512" s="47" t="n"/>
      <c r="M512" s="47" t="n"/>
      <c r="N512" s="47" t="n"/>
      <c r="O512" s="47" t="n"/>
      <c r="P512" s="47" t="n"/>
      <c r="Q512" s="47" t="n"/>
      <c r="R512" s="47" t="n"/>
      <c r="S512" s="47" t="n"/>
      <c r="T512" s="47" t="n"/>
      <c r="U512" s="47" t="n"/>
      <c r="V512" s="47" t="n"/>
      <c r="W512" s="47" t="n"/>
      <c r="X512" s="47" t="n"/>
      <c r="Y512" s="47" t="n"/>
      <c r="Z512" s="47" t="n"/>
    </row>
    <row r="513">
      <c r="A513" s="55" t="n"/>
      <c r="B513" s="46" t="n"/>
      <c r="C513" s="47" t="n"/>
      <c r="D513" s="47" t="n"/>
      <c r="E513" s="47" t="n"/>
      <c r="F513" s="47" t="n"/>
      <c r="G513" s="47" t="n"/>
      <c r="H513" s="47" t="n"/>
      <c r="I513" s="47" t="n"/>
      <c r="J513" s="47" t="n"/>
      <c r="K513" s="47" t="n"/>
      <c r="L513" s="47" t="n"/>
      <c r="M513" s="47" t="n"/>
      <c r="N513" s="47" t="n"/>
      <c r="O513" s="47" t="n"/>
      <c r="P513" s="47" t="n"/>
      <c r="Q513" s="47" t="n"/>
      <c r="R513" s="47" t="n"/>
      <c r="S513" s="47" t="n"/>
      <c r="T513" s="47" t="n"/>
      <c r="U513" s="47" t="n"/>
      <c r="V513" s="47" t="n"/>
      <c r="W513" s="47" t="n"/>
      <c r="X513" s="47" t="n"/>
      <c r="Y513" s="47" t="n"/>
      <c r="Z513" s="47" t="n"/>
    </row>
    <row r="514">
      <c r="A514" s="55" t="n"/>
      <c r="B514" s="46" t="n"/>
      <c r="C514" s="47" t="n"/>
      <c r="D514" s="47" t="n"/>
      <c r="E514" s="47" t="n"/>
      <c r="F514" s="47" t="n"/>
      <c r="G514" s="47" t="n"/>
      <c r="H514" s="47" t="n"/>
      <c r="I514" s="47" t="n"/>
      <c r="J514" s="47" t="n"/>
      <c r="K514" s="47" t="n"/>
      <c r="L514" s="47" t="n"/>
      <c r="M514" s="47" t="n"/>
      <c r="N514" s="47" t="n"/>
      <c r="O514" s="47" t="n"/>
      <c r="P514" s="47" t="n"/>
      <c r="Q514" s="47" t="n"/>
      <c r="R514" s="47" t="n"/>
      <c r="S514" s="47" t="n"/>
      <c r="T514" s="47" t="n"/>
      <c r="U514" s="47" t="n"/>
      <c r="V514" s="47" t="n"/>
      <c r="W514" s="47" t="n"/>
      <c r="X514" s="47" t="n"/>
      <c r="Y514" s="47" t="n"/>
      <c r="Z514" s="47" t="n"/>
    </row>
    <row r="515">
      <c r="A515" s="55" t="n"/>
      <c r="B515" s="46" t="n"/>
      <c r="C515" s="47" t="n"/>
      <c r="D515" s="47" t="n"/>
      <c r="E515" s="47" t="n"/>
      <c r="F515" s="47" t="n"/>
      <c r="G515" s="47" t="n"/>
      <c r="H515" s="47" t="n"/>
      <c r="I515" s="47" t="n"/>
      <c r="J515" s="47" t="n"/>
      <c r="K515" s="47" t="n"/>
      <c r="L515" s="47" t="n"/>
      <c r="M515" s="47" t="n"/>
      <c r="N515" s="47" t="n"/>
      <c r="O515" s="47" t="n"/>
      <c r="P515" s="47" t="n"/>
      <c r="Q515" s="47" t="n"/>
      <c r="R515" s="47" t="n"/>
      <c r="S515" s="47" t="n"/>
      <c r="T515" s="47" t="n"/>
      <c r="U515" s="47" t="n"/>
      <c r="V515" s="47" t="n"/>
      <c r="W515" s="47" t="n"/>
      <c r="X515" s="47" t="n"/>
      <c r="Y515" s="47" t="n"/>
      <c r="Z515" s="47" t="n"/>
    </row>
    <row r="516">
      <c r="A516" s="55" t="n"/>
      <c r="B516" s="46" t="n"/>
      <c r="C516" s="47" t="n"/>
      <c r="D516" s="47" t="n"/>
      <c r="E516" s="47" t="n"/>
      <c r="F516" s="47" t="n"/>
      <c r="G516" s="47" t="n"/>
      <c r="H516" s="47" t="n"/>
      <c r="I516" s="47" t="n"/>
      <c r="J516" s="47" t="n"/>
      <c r="K516" s="47" t="n"/>
      <c r="L516" s="47" t="n"/>
      <c r="M516" s="47" t="n"/>
      <c r="N516" s="47" t="n"/>
      <c r="O516" s="47" t="n"/>
      <c r="P516" s="47" t="n"/>
      <c r="Q516" s="47" t="n"/>
      <c r="R516" s="47" t="n"/>
      <c r="S516" s="47" t="n"/>
      <c r="T516" s="47" t="n"/>
      <c r="U516" s="47" t="n"/>
      <c r="V516" s="47" t="n"/>
      <c r="W516" s="47" t="n"/>
      <c r="X516" s="47" t="n"/>
      <c r="Y516" s="47" t="n"/>
      <c r="Z516" s="47" t="n"/>
    </row>
    <row r="517">
      <c r="A517" s="55" t="n"/>
      <c r="B517" s="46" t="n"/>
      <c r="C517" s="47" t="n"/>
      <c r="D517" s="47" t="n"/>
      <c r="E517" s="47" t="n"/>
      <c r="F517" s="47" t="n"/>
      <c r="G517" s="47" t="n"/>
      <c r="H517" s="47" t="n"/>
      <c r="I517" s="47" t="n"/>
      <c r="J517" s="47" t="n"/>
      <c r="K517" s="47" t="n"/>
      <c r="L517" s="47" t="n"/>
      <c r="M517" s="47" t="n"/>
      <c r="N517" s="47" t="n"/>
      <c r="O517" s="47" t="n"/>
      <c r="P517" s="47" t="n"/>
      <c r="Q517" s="47" t="n"/>
      <c r="R517" s="47" t="n"/>
      <c r="S517" s="47" t="n"/>
      <c r="T517" s="47" t="n"/>
      <c r="U517" s="47" t="n"/>
      <c r="V517" s="47" t="n"/>
      <c r="W517" s="47" t="n"/>
      <c r="X517" s="47" t="n"/>
      <c r="Y517" s="47" t="n"/>
      <c r="Z517" s="47" t="n"/>
    </row>
    <row r="518">
      <c r="A518" s="55" t="n"/>
      <c r="B518" s="46" t="n"/>
      <c r="C518" s="47" t="n"/>
      <c r="D518" s="47" t="n"/>
      <c r="E518" s="47" t="n"/>
      <c r="F518" s="47" t="n"/>
      <c r="G518" s="47" t="n"/>
      <c r="H518" s="47" t="n"/>
      <c r="I518" s="47" t="n"/>
      <c r="J518" s="47" t="n"/>
      <c r="K518" s="47" t="n"/>
      <c r="L518" s="47" t="n"/>
      <c r="M518" s="47" t="n"/>
      <c r="N518" s="47" t="n"/>
      <c r="O518" s="47" t="n"/>
      <c r="P518" s="47" t="n"/>
      <c r="Q518" s="47" t="n"/>
      <c r="R518" s="47" t="n"/>
      <c r="S518" s="47" t="n"/>
      <c r="T518" s="47" t="n"/>
      <c r="U518" s="47" t="n"/>
      <c r="V518" s="47" t="n"/>
      <c r="W518" s="47" t="n"/>
      <c r="X518" s="47" t="n"/>
      <c r="Y518" s="47" t="n"/>
      <c r="Z518" s="47" t="n"/>
    </row>
    <row r="519">
      <c r="A519" s="55" t="n"/>
      <c r="B519" s="46" t="n"/>
      <c r="C519" s="47" t="n"/>
      <c r="D519" s="47" t="n"/>
      <c r="E519" s="47" t="n"/>
      <c r="F519" s="47" t="n"/>
      <c r="G519" s="47" t="n"/>
      <c r="H519" s="47" t="n"/>
      <c r="I519" s="47" t="n"/>
      <c r="J519" s="47" t="n"/>
      <c r="K519" s="47" t="n"/>
      <c r="L519" s="47" t="n"/>
      <c r="M519" s="47" t="n"/>
      <c r="N519" s="47" t="n"/>
      <c r="O519" s="47" t="n"/>
      <c r="P519" s="47" t="n"/>
      <c r="Q519" s="47" t="n"/>
      <c r="R519" s="47" t="n"/>
      <c r="S519" s="47" t="n"/>
      <c r="T519" s="47" t="n"/>
      <c r="U519" s="47" t="n"/>
      <c r="V519" s="47" t="n"/>
      <c r="W519" s="47" t="n"/>
      <c r="X519" s="47" t="n"/>
      <c r="Y519" s="47" t="n"/>
      <c r="Z519" s="47" t="n"/>
    </row>
    <row r="520">
      <c r="A520" s="55" t="n"/>
      <c r="B520" s="46" t="n"/>
      <c r="C520" s="47" t="n"/>
      <c r="D520" s="47" t="n"/>
      <c r="E520" s="47" t="n"/>
      <c r="F520" s="47" t="n"/>
      <c r="G520" s="47" t="n"/>
      <c r="H520" s="47" t="n"/>
      <c r="I520" s="47" t="n"/>
      <c r="J520" s="47" t="n"/>
      <c r="K520" s="47" t="n"/>
      <c r="L520" s="47" t="n"/>
      <c r="M520" s="47" t="n"/>
      <c r="N520" s="47" t="n"/>
      <c r="O520" s="47" t="n"/>
      <c r="P520" s="47" t="n"/>
      <c r="Q520" s="47" t="n"/>
      <c r="R520" s="47" t="n"/>
      <c r="S520" s="47" t="n"/>
      <c r="T520" s="47" t="n"/>
      <c r="U520" s="47" t="n"/>
      <c r="V520" s="47" t="n"/>
      <c r="W520" s="47" t="n"/>
      <c r="X520" s="47" t="n"/>
      <c r="Y520" s="47" t="n"/>
      <c r="Z520" s="47" t="n"/>
    </row>
    <row r="521">
      <c r="A521" s="55" t="n"/>
      <c r="B521" s="46" t="n"/>
      <c r="C521" s="47" t="n"/>
      <c r="D521" s="47" t="n"/>
      <c r="E521" s="47" t="n"/>
      <c r="F521" s="47" t="n"/>
      <c r="G521" s="47" t="n"/>
      <c r="H521" s="47" t="n"/>
      <c r="I521" s="47" t="n"/>
      <c r="J521" s="47" t="n"/>
      <c r="K521" s="47" t="n"/>
      <c r="L521" s="47" t="n"/>
      <c r="M521" s="47" t="n"/>
      <c r="N521" s="47" t="n"/>
      <c r="O521" s="47" t="n"/>
      <c r="P521" s="47" t="n"/>
      <c r="Q521" s="47" t="n"/>
      <c r="R521" s="47" t="n"/>
      <c r="S521" s="47" t="n"/>
      <c r="T521" s="47" t="n"/>
      <c r="U521" s="47" t="n"/>
      <c r="V521" s="47" t="n"/>
      <c r="W521" s="47" t="n"/>
      <c r="X521" s="47" t="n"/>
      <c r="Y521" s="47" t="n"/>
      <c r="Z521" s="47" t="n"/>
    </row>
    <row r="522">
      <c r="A522" s="55" t="n"/>
      <c r="B522" s="46" t="n"/>
      <c r="C522" s="47" t="n"/>
      <c r="D522" s="47" t="n"/>
      <c r="E522" s="47" t="n"/>
      <c r="F522" s="47" t="n"/>
      <c r="G522" s="47" t="n"/>
      <c r="H522" s="47" t="n"/>
      <c r="I522" s="47" t="n"/>
      <c r="J522" s="47" t="n"/>
      <c r="K522" s="47" t="n"/>
      <c r="L522" s="47" t="n"/>
      <c r="M522" s="47" t="n"/>
      <c r="N522" s="47" t="n"/>
      <c r="O522" s="47" t="n"/>
      <c r="P522" s="47" t="n"/>
      <c r="Q522" s="47" t="n"/>
      <c r="R522" s="47" t="n"/>
      <c r="S522" s="47" t="n"/>
      <c r="T522" s="47" t="n"/>
      <c r="U522" s="47" t="n"/>
      <c r="V522" s="47" t="n"/>
      <c r="W522" s="47" t="n"/>
      <c r="X522" s="47" t="n"/>
      <c r="Y522" s="47" t="n"/>
      <c r="Z522" s="47" t="n"/>
    </row>
    <row r="523">
      <c r="A523" s="55" t="n"/>
      <c r="B523" s="46" t="n"/>
      <c r="C523" s="47" t="n"/>
      <c r="D523" s="47" t="n"/>
      <c r="E523" s="47" t="n"/>
      <c r="F523" s="47" t="n"/>
      <c r="G523" s="47" t="n"/>
      <c r="H523" s="47" t="n"/>
      <c r="I523" s="47" t="n"/>
      <c r="J523" s="47" t="n"/>
      <c r="K523" s="47" t="n"/>
      <c r="L523" s="47" t="n"/>
      <c r="M523" s="47" t="n"/>
      <c r="N523" s="47" t="n"/>
      <c r="O523" s="47" t="n"/>
      <c r="P523" s="47" t="n"/>
      <c r="Q523" s="47" t="n"/>
      <c r="R523" s="47" t="n"/>
      <c r="S523" s="47" t="n"/>
      <c r="T523" s="47" t="n"/>
      <c r="U523" s="47" t="n"/>
      <c r="V523" s="47" t="n"/>
      <c r="W523" s="47" t="n"/>
      <c r="X523" s="47" t="n"/>
      <c r="Y523" s="47" t="n"/>
      <c r="Z523" s="47" t="n"/>
    </row>
    <row r="524">
      <c r="A524" s="55" t="n"/>
      <c r="B524" s="46" t="n"/>
      <c r="C524" s="47" t="n"/>
      <c r="D524" s="47" t="n"/>
      <c r="E524" s="47" t="n"/>
      <c r="F524" s="47" t="n"/>
      <c r="G524" s="47" t="n"/>
      <c r="H524" s="47" t="n"/>
      <c r="I524" s="47" t="n"/>
      <c r="J524" s="47" t="n"/>
      <c r="K524" s="47" t="n"/>
      <c r="L524" s="47" t="n"/>
      <c r="M524" s="47" t="n"/>
      <c r="N524" s="47" t="n"/>
      <c r="O524" s="47" t="n"/>
      <c r="P524" s="47" t="n"/>
      <c r="Q524" s="47" t="n"/>
      <c r="R524" s="47" t="n"/>
      <c r="S524" s="47" t="n"/>
      <c r="T524" s="47" t="n"/>
      <c r="U524" s="47" t="n"/>
      <c r="V524" s="47" t="n"/>
      <c r="W524" s="47" t="n"/>
      <c r="X524" s="47" t="n"/>
      <c r="Y524" s="47" t="n"/>
      <c r="Z524" s="47" t="n"/>
    </row>
    <row r="525">
      <c r="A525" s="55" t="n"/>
      <c r="B525" s="46" t="n"/>
      <c r="C525" s="47" t="n"/>
      <c r="D525" s="47" t="n"/>
      <c r="E525" s="47" t="n"/>
      <c r="F525" s="47" t="n"/>
      <c r="G525" s="47" t="n"/>
      <c r="H525" s="47" t="n"/>
      <c r="I525" s="47" t="n"/>
      <c r="J525" s="47" t="n"/>
      <c r="K525" s="47" t="n"/>
      <c r="L525" s="47" t="n"/>
      <c r="M525" s="47" t="n"/>
      <c r="N525" s="47" t="n"/>
      <c r="O525" s="47" t="n"/>
      <c r="P525" s="47" t="n"/>
      <c r="Q525" s="47" t="n"/>
      <c r="R525" s="47" t="n"/>
      <c r="S525" s="47" t="n"/>
      <c r="T525" s="47" t="n"/>
      <c r="U525" s="47" t="n"/>
      <c r="V525" s="47" t="n"/>
      <c r="W525" s="47" t="n"/>
      <c r="X525" s="47" t="n"/>
      <c r="Y525" s="47" t="n"/>
      <c r="Z525" s="47" t="n"/>
    </row>
    <row r="526">
      <c r="A526" s="55" t="n"/>
      <c r="B526" s="46" t="n"/>
      <c r="C526" s="47" t="n"/>
      <c r="D526" s="47" t="n"/>
      <c r="E526" s="47" t="n"/>
      <c r="F526" s="47" t="n"/>
      <c r="G526" s="47" t="n"/>
      <c r="H526" s="47" t="n"/>
      <c r="I526" s="47" t="n"/>
      <c r="J526" s="47" t="n"/>
      <c r="K526" s="47" t="n"/>
      <c r="L526" s="47" t="n"/>
      <c r="M526" s="47" t="n"/>
      <c r="N526" s="47" t="n"/>
      <c r="O526" s="47" t="n"/>
      <c r="P526" s="47" t="n"/>
      <c r="Q526" s="47" t="n"/>
      <c r="R526" s="47" t="n"/>
      <c r="S526" s="47" t="n"/>
      <c r="T526" s="47" t="n"/>
      <c r="U526" s="47" t="n"/>
      <c r="V526" s="47" t="n"/>
      <c r="W526" s="47" t="n"/>
      <c r="X526" s="47" t="n"/>
      <c r="Y526" s="47" t="n"/>
      <c r="Z526" s="47" t="n"/>
    </row>
    <row r="527">
      <c r="A527" s="55" t="n"/>
      <c r="B527" s="46" t="n"/>
      <c r="C527" s="47" t="n"/>
      <c r="D527" s="47" t="n"/>
      <c r="E527" s="47" t="n"/>
      <c r="F527" s="47" t="n"/>
      <c r="G527" s="47" t="n"/>
      <c r="H527" s="47" t="n"/>
      <c r="I527" s="47" t="n"/>
      <c r="J527" s="47" t="n"/>
      <c r="K527" s="47" t="n"/>
      <c r="L527" s="47" t="n"/>
      <c r="M527" s="47" t="n"/>
      <c r="N527" s="47" t="n"/>
      <c r="O527" s="47" t="n"/>
      <c r="P527" s="47" t="n"/>
      <c r="Q527" s="47" t="n"/>
      <c r="R527" s="47" t="n"/>
      <c r="S527" s="47" t="n"/>
      <c r="T527" s="47" t="n"/>
      <c r="U527" s="47" t="n"/>
      <c r="V527" s="47" t="n"/>
      <c r="W527" s="47" t="n"/>
      <c r="X527" s="47" t="n"/>
      <c r="Y527" s="47" t="n"/>
      <c r="Z527" s="47" t="n"/>
    </row>
    <row r="528">
      <c r="A528" s="55" t="n"/>
      <c r="B528" s="46" t="n"/>
      <c r="C528" s="47" t="n"/>
      <c r="D528" s="47" t="n"/>
      <c r="E528" s="47" t="n"/>
      <c r="F528" s="47" t="n"/>
      <c r="G528" s="47" t="n"/>
      <c r="H528" s="47" t="n"/>
      <c r="I528" s="47" t="n"/>
      <c r="J528" s="47" t="n"/>
      <c r="K528" s="47" t="n"/>
      <c r="L528" s="47" t="n"/>
      <c r="M528" s="47" t="n"/>
      <c r="N528" s="47" t="n"/>
      <c r="O528" s="47" t="n"/>
      <c r="P528" s="47" t="n"/>
      <c r="Q528" s="47" t="n"/>
      <c r="R528" s="47" t="n"/>
      <c r="S528" s="47" t="n"/>
      <c r="T528" s="47" t="n"/>
      <c r="U528" s="47" t="n"/>
      <c r="V528" s="47" t="n"/>
      <c r="W528" s="47" t="n"/>
      <c r="X528" s="47" t="n"/>
      <c r="Y528" s="47" t="n"/>
      <c r="Z528" s="47" t="n"/>
    </row>
    <row r="529">
      <c r="A529" s="55" t="n"/>
      <c r="B529" s="46" t="n"/>
      <c r="C529" s="47" t="n"/>
      <c r="D529" s="47" t="n"/>
      <c r="E529" s="47" t="n"/>
      <c r="F529" s="47" t="n"/>
      <c r="G529" s="47" t="n"/>
      <c r="H529" s="47" t="n"/>
      <c r="I529" s="47" t="n"/>
      <c r="J529" s="47" t="n"/>
      <c r="K529" s="47" t="n"/>
      <c r="L529" s="47" t="n"/>
      <c r="M529" s="47" t="n"/>
      <c r="N529" s="47" t="n"/>
      <c r="O529" s="47" t="n"/>
      <c r="P529" s="47" t="n"/>
      <c r="Q529" s="47" t="n"/>
      <c r="R529" s="47" t="n"/>
      <c r="S529" s="47" t="n"/>
      <c r="T529" s="47" t="n"/>
      <c r="U529" s="47" t="n"/>
      <c r="V529" s="47" t="n"/>
      <c r="W529" s="47" t="n"/>
      <c r="X529" s="47" t="n"/>
      <c r="Y529" s="47" t="n"/>
      <c r="Z529" s="47" t="n"/>
    </row>
    <row r="530">
      <c r="A530" s="55" t="n"/>
      <c r="B530" s="46" t="n"/>
      <c r="C530" s="47" t="n"/>
      <c r="D530" s="47" t="n"/>
      <c r="E530" s="47" t="n"/>
      <c r="F530" s="47" t="n"/>
      <c r="G530" s="47" t="n"/>
      <c r="H530" s="47" t="n"/>
      <c r="I530" s="47" t="n"/>
      <c r="J530" s="47" t="n"/>
      <c r="K530" s="47" t="n"/>
      <c r="L530" s="47" t="n"/>
      <c r="M530" s="47" t="n"/>
      <c r="N530" s="47" t="n"/>
      <c r="O530" s="47" t="n"/>
      <c r="P530" s="47" t="n"/>
      <c r="Q530" s="47" t="n"/>
      <c r="R530" s="47" t="n"/>
      <c r="S530" s="47" t="n"/>
      <c r="T530" s="47" t="n"/>
      <c r="U530" s="47" t="n"/>
      <c r="V530" s="47" t="n"/>
      <c r="W530" s="47" t="n"/>
      <c r="X530" s="47" t="n"/>
      <c r="Y530" s="47" t="n"/>
      <c r="Z530" s="47" t="n"/>
    </row>
    <row r="531">
      <c r="A531" s="55" t="n"/>
      <c r="B531" s="46" t="n"/>
      <c r="C531" s="47" t="n"/>
      <c r="D531" s="47" t="n"/>
      <c r="E531" s="47" t="n"/>
      <c r="F531" s="47" t="n"/>
      <c r="G531" s="47" t="n"/>
      <c r="H531" s="47" t="n"/>
      <c r="I531" s="47" t="n"/>
      <c r="J531" s="47" t="n"/>
      <c r="K531" s="47" t="n"/>
      <c r="L531" s="47" t="n"/>
      <c r="M531" s="47" t="n"/>
      <c r="N531" s="47" t="n"/>
      <c r="O531" s="47" t="n"/>
      <c r="P531" s="47" t="n"/>
      <c r="Q531" s="47" t="n"/>
      <c r="R531" s="47" t="n"/>
      <c r="S531" s="47" t="n"/>
      <c r="T531" s="47" t="n"/>
      <c r="U531" s="47" t="n"/>
      <c r="V531" s="47" t="n"/>
      <c r="W531" s="47" t="n"/>
      <c r="X531" s="47" t="n"/>
      <c r="Y531" s="47" t="n"/>
      <c r="Z531" s="47" t="n"/>
    </row>
    <row r="532">
      <c r="A532" s="55" t="n"/>
      <c r="B532" s="46" t="n"/>
      <c r="C532" s="47" t="n"/>
      <c r="D532" s="47" t="n"/>
      <c r="E532" s="47" t="n"/>
      <c r="F532" s="47" t="n"/>
      <c r="G532" s="47" t="n"/>
      <c r="H532" s="47" t="n"/>
      <c r="I532" s="47" t="n"/>
      <c r="J532" s="47" t="n"/>
      <c r="K532" s="47" t="n"/>
      <c r="L532" s="47" t="n"/>
      <c r="M532" s="47" t="n"/>
      <c r="N532" s="47" t="n"/>
      <c r="O532" s="47" t="n"/>
      <c r="P532" s="47" t="n"/>
      <c r="Q532" s="47" t="n"/>
      <c r="R532" s="47" t="n"/>
      <c r="S532" s="47" t="n"/>
      <c r="T532" s="47" t="n"/>
      <c r="U532" s="47" t="n"/>
      <c r="V532" s="47" t="n"/>
      <c r="W532" s="47" t="n"/>
      <c r="X532" s="47" t="n"/>
      <c r="Y532" s="47" t="n"/>
      <c r="Z532" s="47" t="n"/>
    </row>
    <row r="533">
      <c r="A533" s="55" t="n"/>
      <c r="B533" s="46" t="n"/>
      <c r="C533" s="47" t="n"/>
      <c r="D533" s="47" t="n"/>
      <c r="E533" s="47" t="n"/>
      <c r="F533" s="47" t="n"/>
      <c r="G533" s="47" t="n"/>
      <c r="H533" s="47" t="n"/>
      <c r="I533" s="47" t="n"/>
      <c r="J533" s="47" t="n"/>
      <c r="K533" s="47" t="n"/>
      <c r="L533" s="47" t="n"/>
      <c r="M533" s="47" t="n"/>
      <c r="N533" s="47" t="n"/>
      <c r="O533" s="47" t="n"/>
      <c r="P533" s="47" t="n"/>
      <c r="Q533" s="47" t="n"/>
      <c r="R533" s="47" t="n"/>
      <c r="S533" s="47" t="n"/>
      <c r="T533" s="47" t="n"/>
      <c r="U533" s="47" t="n"/>
      <c r="V533" s="47" t="n"/>
      <c r="W533" s="47" t="n"/>
      <c r="X533" s="47" t="n"/>
      <c r="Y533" s="47" t="n"/>
      <c r="Z533" s="47" t="n"/>
    </row>
    <row r="534">
      <c r="A534" s="55" t="n"/>
      <c r="B534" s="46" t="n"/>
      <c r="C534" s="47" t="n"/>
      <c r="D534" s="47" t="n"/>
      <c r="E534" s="47" t="n"/>
      <c r="F534" s="47" t="n"/>
      <c r="G534" s="47" t="n"/>
      <c r="H534" s="47" t="n"/>
      <c r="I534" s="47" t="n"/>
      <c r="J534" s="47" t="n"/>
      <c r="K534" s="47" t="n"/>
      <c r="L534" s="47" t="n"/>
      <c r="M534" s="47" t="n"/>
      <c r="N534" s="47" t="n"/>
      <c r="O534" s="47" t="n"/>
      <c r="P534" s="47" t="n"/>
      <c r="Q534" s="47" t="n"/>
      <c r="R534" s="47" t="n"/>
      <c r="S534" s="47" t="n"/>
      <c r="T534" s="47" t="n"/>
      <c r="U534" s="47" t="n"/>
      <c r="V534" s="47" t="n"/>
      <c r="W534" s="47" t="n"/>
      <c r="X534" s="47" t="n"/>
      <c r="Y534" s="47" t="n"/>
      <c r="Z534" s="47" t="n"/>
    </row>
    <row r="535">
      <c r="A535" s="55" t="n"/>
      <c r="B535" s="46" t="n"/>
      <c r="C535" s="47" t="n"/>
      <c r="D535" s="47" t="n"/>
      <c r="E535" s="47" t="n"/>
      <c r="F535" s="47" t="n"/>
      <c r="G535" s="47" t="n"/>
      <c r="H535" s="47" t="n"/>
      <c r="I535" s="47" t="n"/>
      <c r="J535" s="47" t="n"/>
      <c r="K535" s="47" t="n"/>
      <c r="L535" s="47" t="n"/>
      <c r="M535" s="47" t="n"/>
      <c r="N535" s="47" t="n"/>
      <c r="O535" s="47" t="n"/>
      <c r="P535" s="47" t="n"/>
      <c r="Q535" s="47" t="n"/>
      <c r="R535" s="47" t="n"/>
      <c r="S535" s="47" t="n"/>
      <c r="T535" s="47" t="n"/>
      <c r="U535" s="47" t="n"/>
      <c r="V535" s="47" t="n"/>
      <c r="W535" s="47" t="n"/>
      <c r="X535" s="47" t="n"/>
      <c r="Y535" s="47" t="n"/>
      <c r="Z535" s="47" t="n"/>
    </row>
    <row r="536">
      <c r="A536" s="55" t="n"/>
      <c r="B536" s="46" t="n"/>
      <c r="C536" s="47" t="n"/>
      <c r="D536" s="47" t="n"/>
      <c r="E536" s="47" t="n"/>
      <c r="F536" s="47" t="n"/>
      <c r="G536" s="47" t="n"/>
      <c r="H536" s="47" t="n"/>
      <c r="I536" s="47" t="n"/>
      <c r="J536" s="47" t="n"/>
      <c r="K536" s="47" t="n"/>
      <c r="L536" s="47" t="n"/>
      <c r="M536" s="47" t="n"/>
      <c r="N536" s="47" t="n"/>
      <c r="O536" s="47" t="n"/>
      <c r="P536" s="47" t="n"/>
      <c r="Q536" s="47" t="n"/>
      <c r="R536" s="47" t="n"/>
      <c r="S536" s="47" t="n"/>
      <c r="T536" s="47" t="n"/>
      <c r="U536" s="47" t="n"/>
      <c r="V536" s="47" t="n"/>
      <c r="W536" s="47" t="n"/>
      <c r="X536" s="47" t="n"/>
      <c r="Y536" s="47" t="n"/>
      <c r="Z536" s="47" t="n"/>
    </row>
    <row r="537">
      <c r="A537" s="55" t="n"/>
      <c r="B537" s="46" t="n"/>
      <c r="C537" s="47" t="n"/>
      <c r="D537" s="47" t="n"/>
      <c r="E537" s="47" t="n"/>
      <c r="F537" s="47" t="n"/>
      <c r="G537" s="47" t="n"/>
      <c r="H537" s="47" t="n"/>
      <c r="I537" s="47" t="n"/>
      <c r="J537" s="47" t="n"/>
      <c r="K537" s="47" t="n"/>
      <c r="L537" s="47" t="n"/>
      <c r="M537" s="47" t="n"/>
      <c r="N537" s="47" t="n"/>
      <c r="O537" s="47" t="n"/>
      <c r="P537" s="47" t="n"/>
      <c r="Q537" s="47" t="n"/>
      <c r="R537" s="47" t="n"/>
      <c r="S537" s="47" t="n"/>
      <c r="T537" s="47" t="n"/>
      <c r="U537" s="47" t="n"/>
      <c r="V537" s="47" t="n"/>
      <c r="W537" s="47" t="n"/>
      <c r="X537" s="47" t="n"/>
      <c r="Y537" s="47" t="n"/>
      <c r="Z537" s="47" t="n"/>
    </row>
    <row r="538">
      <c r="A538" s="55" t="n"/>
      <c r="B538" s="46" t="n"/>
      <c r="C538" s="47" t="n"/>
      <c r="D538" s="47" t="n"/>
      <c r="E538" s="47" t="n"/>
      <c r="F538" s="47" t="n"/>
      <c r="G538" s="47" t="n"/>
      <c r="H538" s="47" t="n"/>
      <c r="I538" s="47" t="n"/>
      <c r="J538" s="47" t="n"/>
      <c r="K538" s="47" t="n"/>
      <c r="L538" s="47" t="n"/>
      <c r="M538" s="47" t="n"/>
      <c r="N538" s="47" t="n"/>
      <c r="O538" s="47" t="n"/>
      <c r="P538" s="47" t="n"/>
      <c r="Q538" s="47" t="n"/>
      <c r="R538" s="47" t="n"/>
      <c r="S538" s="47" t="n"/>
      <c r="T538" s="47" t="n"/>
      <c r="U538" s="47" t="n"/>
      <c r="V538" s="47" t="n"/>
      <c r="W538" s="47" t="n"/>
      <c r="X538" s="47" t="n"/>
      <c r="Y538" s="47" t="n"/>
      <c r="Z538" s="47" t="n"/>
    </row>
    <row r="539">
      <c r="A539" s="55" t="n"/>
      <c r="B539" s="46" t="n"/>
      <c r="C539" s="47" t="n"/>
      <c r="D539" s="47" t="n"/>
      <c r="E539" s="47" t="n"/>
      <c r="F539" s="47" t="n"/>
      <c r="G539" s="47" t="n"/>
      <c r="H539" s="47" t="n"/>
      <c r="I539" s="47" t="n"/>
      <c r="J539" s="47" t="n"/>
      <c r="K539" s="47" t="n"/>
      <c r="L539" s="47" t="n"/>
      <c r="M539" s="47" t="n"/>
      <c r="N539" s="47" t="n"/>
      <c r="O539" s="47" t="n"/>
      <c r="P539" s="47" t="n"/>
      <c r="Q539" s="47" t="n"/>
      <c r="R539" s="47" t="n"/>
      <c r="S539" s="47" t="n"/>
      <c r="T539" s="47" t="n"/>
      <c r="U539" s="47" t="n"/>
      <c r="V539" s="47" t="n"/>
      <c r="W539" s="47" t="n"/>
      <c r="X539" s="47" t="n"/>
      <c r="Y539" s="47" t="n"/>
      <c r="Z539" s="47" t="n"/>
    </row>
    <row r="540">
      <c r="A540" s="55" t="n"/>
      <c r="B540" s="46" t="n"/>
      <c r="C540" s="47" t="n"/>
      <c r="D540" s="47" t="n"/>
      <c r="E540" s="47" t="n"/>
      <c r="F540" s="47" t="n"/>
      <c r="G540" s="47" t="n"/>
      <c r="H540" s="47" t="n"/>
      <c r="I540" s="47" t="n"/>
      <c r="J540" s="47" t="n"/>
      <c r="K540" s="47" t="n"/>
      <c r="L540" s="47" t="n"/>
      <c r="M540" s="47" t="n"/>
      <c r="N540" s="47" t="n"/>
      <c r="O540" s="47" t="n"/>
      <c r="P540" s="47" t="n"/>
      <c r="Q540" s="47" t="n"/>
      <c r="R540" s="47" t="n"/>
      <c r="S540" s="47" t="n"/>
      <c r="T540" s="47" t="n"/>
      <c r="U540" s="47" t="n"/>
      <c r="V540" s="47" t="n"/>
      <c r="W540" s="47" t="n"/>
      <c r="X540" s="47" t="n"/>
      <c r="Y540" s="47" t="n"/>
      <c r="Z540" s="47" t="n"/>
    </row>
    <row r="541">
      <c r="A541" s="55" t="n"/>
      <c r="B541" s="46" t="n"/>
      <c r="C541" s="47" t="n"/>
      <c r="D541" s="47" t="n"/>
      <c r="E541" s="47" t="n"/>
      <c r="F541" s="47" t="n"/>
      <c r="G541" s="47" t="n"/>
      <c r="H541" s="47" t="n"/>
      <c r="I541" s="47" t="n"/>
      <c r="J541" s="47" t="n"/>
      <c r="K541" s="47" t="n"/>
      <c r="L541" s="47" t="n"/>
      <c r="M541" s="47" t="n"/>
      <c r="N541" s="47" t="n"/>
      <c r="O541" s="47" t="n"/>
      <c r="P541" s="47" t="n"/>
      <c r="Q541" s="47" t="n"/>
      <c r="R541" s="47" t="n"/>
      <c r="S541" s="47" t="n"/>
      <c r="T541" s="47" t="n"/>
      <c r="U541" s="47" t="n"/>
      <c r="V541" s="47" t="n"/>
      <c r="W541" s="47" t="n"/>
      <c r="X541" s="47" t="n"/>
      <c r="Y541" s="47" t="n"/>
      <c r="Z541" s="47" t="n"/>
    </row>
    <row r="542">
      <c r="A542" s="55" t="n"/>
      <c r="B542" s="46" t="n"/>
      <c r="C542" s="47" t="n"/>
      <c r="D542" s="47" t="n"/>
      <c r="E542" s="47" t="n"/>
      <c r="F542" s="47" t="n"/>
      <c r="G542" s="47" t="n"/>
      <c r="H542" s="47" t="n"/>
      <c r="I542" s="47" t="n"/>
      <c r="J542" s="47" t="n"/>
      <c r="K542" s="47" t="n"/>
      <c r="L542" s="47" t="n"/>
      <c r="M542" s="47" t="n"/>
      <c r="N542" s="47" t="n"/>
      <c r="O542" s="47" t="n"/>
      <c r="P542" s="47" t="n"/>
      <c r="Q542" s="47" t="n"/>
      <c r="R542" s="47" t="n"/>
      <c r="S542" s="47" t="n"/>
      <c r="T542" s="47" t="n"/>
      <c r="U542" s="47" t="n"/>
      <c r="V542" s="47" t="n"/>
      <c r="W542" s="47" t="n"/>
      <c r="X542" s="47" t="n"/>
      <c r="Y542" s="47" t="n"/>
      <c r="Z542" s="47" t="n"/>
    </row>
    <row r="543">
      <c r="A543" s="55" t="n"/>
      <c r="B543" s="46" t="n"/>
      <c r="C543" s="47" t="n"/>
      <c r="D543" s="47" t="n"/>
      <c r="E543" s="47" t="n"/>
      <c r="F543" s="47" t="n"/>
      <c r="G543" s="47" t="n"/>
      <c r="H543" s="47" t="n"/>
      <c r="I543" s="47" t="n"/>
      <c r="J543" s="47" t="n"/>
      <c r="K543" s="47" t="n"/>
      <c r="L543" s="47" t="n"/>
      <c r="M543" s="47" t="n"/>
      <c r="N543" s="47" t="n"/>
      <c r="O543" s="47" t="n"/>
      <c r="P543" s="47" t="n"/>
      <c r="Q543" s="47" t="n"/>
      <c r="R543" s="47" t="n"/>
      <c r="S543" s="47" t="n"/>
      <c r="T543" s="47" t="n"/>
      <c r="U543" s="47" t="n"/>
      <c r="V543" s="47" t="n"/>
      <c r="W543" s="47" t="n"/>
      <c r="X543" s="47" t="n"/>
      <c r="Y543" s="47" t="n"/>
      <c r="Z543" s="47" t="n"/>
    </row>
    <row r="544">
      <c r="A544" s="55" t="n"/>
      <c r="B544" s="46" t="n"/>
      <c r="C544" s="47" t="n"/>
      <c r="D544" s="47" t="n"/>
      <c r="E544" s="47" t="n"/>
      <c r="F544" s="47" t="n"/>
      <c r="G544" s="47" t="n"/>
      <c r="H544" s="47" t="n"/>
      <c r="I544" s="47" t="n"/>
      <c r="J544" s="47" t="n"/>
      <c r="K544" s="47" t="n"/>
      <c r="L544" s="47" t="n"/>
      <c r="M544" s="47" t="n"/>
      <c r="N544" s="47" t="n"/>
      <c r="O544" s="47" t="n"/>
      <c r="P544" s="47" t="n"/>
      <c r="Q544" s="47" t="n"/>
      <c r="R544" s="47" t="n"/>
      <c r="S544" s="47" t="n"/>
      <c r="T544" s="47" t="n"/>
      <c r="U544" s="47" t="n"/>
      <c r="V544" s="47" t="n"/>
      <c r="W544" s="47" t="n"/>
      <c r="X544" s="47" t="n"/>
      <c r="Y544" s="47" t="n"/>
      <c r="Z544" s="47" t="n"/>
    </row>
    <row r="545">
      <c r="A545" s="55" t="n"/>
      <c r="B545" s="46" t="n"/>
      <c r="C545" s="47" t="n"/>
      <c r="D545" s="47" t="n"/>
      <c r="E545" s="47" t="n"/>
      <c r="F545" s="47" t="n"/>
      <c r="G545" s="47" t="n"/>
      <c r="H545" s="47" t="n"/>
      <c r="I545" s="47" t="n"/>
      <c r="J545" s="47" t="n"/>
      <c r="K545" s="47" t="n"/>
      <c r="L545" s="47" t="n"/>
      <c r="M545" s="47" t="n"/>
      <c r="N545" s="47" t="n"/>
      <c r="O545" s="47" t="n"/>
      <c r="P545" s="47" t="n"/>
      <c r="Q545" s="47" t="n"/>
      <c r="R545" s="47" t="n"/>
      <c r="S545" s="47" t="n"/>
      <c r="T545" s="47" t="n"/>
      <c r="U545" s="47" t="n"/>
      <c r="V545" s="47" t="n"/>
      <c r="W545" s="47" t="n"/>
      <c r="X545" s="47" t="n"/>
      <c r="Y545" s="47" t="n"/>
      <c r="Z545" s="47" t="n"/>
    </row>
    <row r="546">
      <c r="A546" s="55" t="n"/>
      <c r="B546" s="46" t="n"/>
      <c r="C546" s="47" t="n"/>
      <c r="D546" s="47" t="n"/>
      <c r="E546" s="47" t="n"/>
      <c r="F546" s="47" t="n"/>
      <c r="G546" s="47" t="n"/>
      <c r="H546" s="47" t="n"/>
      <c r="I546" s="47" t="n"/>
      <c r="J546" s="47" t="n"/>
      <c r="K546" s="47" t="n"/>
      <c r="L546" s="47" t="n"/>
      <c r="M546" s="47" t="n"/>
      <c r="N546" s="47" t="n"/>
      <c r="O546" s="47" t="n"/>
      <c r="P546" s="47" t="n"/>
      <c r="Q546" s="47" t="n"/>
      <c r="R546" s="47" t="n"/>
      <c r="S546" s="47" t="n"/>
      <c r="T546" s="47" t="n"/>
      <c r="U546" s="47" t="n"/>
      <c r="V546" s="47" t="n"/>
      <c r="W546" s="47" t="n"/>
      <c r="X546" s="47" t="n"/>
      <c r="Y546" s="47" t="n"/>
      <c r="Z546" s="47" t="n"/>
    </row>
    <row r="547">
      <c r="A547" s="55" t="n"/>
      <c r="B547" s="46" t="n"/>
      <c r="C547" s="47" t="n"/>
      <c r="D547" s="47" t="n"/>
      <c r="E547" s="47" t="n"/>
      <c r="F547" s="47" t="n"/>
      <c r="G547" s="47" t="n"/>
      <c r="H547" s="47" t="n"/>
      <c r="I547" s="47" t="n"/>
      <c r="J547" s="47" t="n"/>
      <c r="K547" s="47" t="n"/>
      <c r="L547" s="47" t="n"/>
      <c r="M547" s="47" t="n"/>
      <c r="N547" s="47" t="n"/>
      <c r="O547" s="47" t="n"/>
      <c r="P547" s="47" t="n"/>
      <c r="Q547" s="47" t="n"/>
      <c r="R547" s="47" t="n"/>
      <c r="S547" s="47" t="n"/>
      <c r="T547" s="47" t="n"/>
      <c r="U547" s="47" t="n"/>
      <c r="V547" s="47" t="n"/>
      <c r="W547" s="47" t="n"/>
      <c r="X547" s="47" t="n"/>
      <c r="Y547" s="47" t="n"/>
      <c r="Z547" s="47" t="n"/>
    </row>
    <row r="548">
      <c r="A548" s="55" t="n"/>
      <c r="B548" s="46" t="n"/>
      <c r="C548" s="47" t="n"/>
      <c r="D548" s="47" t="n"/>
      <c r="E548" s="47" t="n"/>
      <c r="F548" s="47" t="n"/>
      <c r="G548" s="47" t="n"/>
      <c r="H548" s="47" t="n"/>
      <c r="I548" s="47" t="n"/>
      <c r="J548" s="47" t="n"/>
      <c r="K548" s="47" t="n"/>
      <c r="L548" s="47" t="n"/>
      <c r="M548" s="47" t="n"/>
      <c r="N548" s="47" t="n"/>
      <c r="O548" s="47" t="n"/>
      <c r="P548" s="47" t="n"/>
      <c r="Q548" s="47" t="n"/>
      <c r="R548" s="47" t="n"/>
      <c r="S548" s="47" t="n"/>
      <c r="T548" s="47" t="n"/>
      <c r="U548" s="47" t="n"/>
      <c r="V548" s="47" t="n"/>
      <c r="W548" s="47" t="n"/>
      <c r="X548" s="47" t="n"/>
      <c r="Y548" s="47" t="n"/>
      <c r="Z548" s="47" t="n"/>
    </row>
    <row r="549">
      <c r="A549" s="55" t="n"/>
      <c r="B549" s="46" t="n"/>
      <c r="C549" s="47" t="n"/>
      <c r="D549" s="47" t="n"/>
      <c r="E549" s="47" t="n"/>
      <c r="F549" s="47" t="n"/>
      <c r="G549" s="47" t="n"/>
      <c r="H549" s="47" t="n"/>
      <c r="I549" s="47" t="n"/>
      <c r="J549" s="47" t="n"/>
      <c r="K549" s="47" t="n"/>
      <c r="L549" s="47" t="n"/>
      <c r="M549" s="47" t="n"/>
      <c r="N549" s="47" t="n"/>
      <c r="O549" s="47" t="n"/>
      <c r="P549" s="47" t="n"/>
      <c r="Q549" s="47" t="n"/>
      <c r="R549" s="47" t="n"/>
      <c r="S549" s="47" t="n"/>
      <c r="T549" s="47" t="n"/>
      <c r="U549" s="47" t="n"/>
      <c r="V549" s="47" t="n"/>
      <c r="W549" s="47" t="n"/>
      <c r="X549" s="47" t="n"/>
      <c r="Y549" s="47" t="n"/>
      <c r="Z549" s="47" t="n"/>
    </row>
    <row r="550">
      <c r="A550" s="55" t="n"/>
      <c r="B550" s="46" t="n"/>
      <c r="C550" s="47" t="n"/>
      <c r="D550" s="47" t="n"/>
      <c r="E550" s="47" t="n"/>
      <c r="F550" s="47" t="n"/>
      <c r="G550" s="47" t="n"/>
      <c r="H550" s="47" t="n"/>
      <c r="I550" s="47" t="n"/>
      <c r="J550" s="47" t="n"/>
      <c r="K550" s="47" t="n"/>
      <c r="L550" s="47" t="n"/>
      <c r="M550" s="47" t="n"/>
      <c r="N550" s="47" t="n"/>
      <c r="O550" s="47" t="n"/>
      <c r="P550" s="47" t="n"/>
      <c r="Q550" s="47" t="n"/>
      <c r="R550" s="47" t="n"/>
      <c r="S550" s="47" t="n"/>
      <c r="T550" s="47" t="n"/>
      <c r="U550" s="47" t="n"/>
      <c r="V550" s="47" t="n"/>
      <c r="W550" s="47" t="n"/>
      <c r="X550" s="47" t="n"/>
      <c r="Y550" s="47" t="n"/>
      <c r="Z550" s="47" t="n"/>
    </row>
    <row r="551">
      <c r="A551" s="55" t="n"/>
      <c r="B551" s="46" t="n"/>
      <c r="C551" s="47" t="n"/>
      <c r="D551" s="47" t="n"/>
      <c r="E551" s="47" t="n"/>
      <c r="F551" s="47" t="n"/>
      <c r="G551" s="47" t="n"/>
      <c r="H551" s="47" t="n"/>
      <c r="I551" s="47" t="n"/>
      <c r="J551" s="47" t="n"/>
      <c r="K551" s="47" t="n"/>
      <c r="L551" s="47" t="n"/>
      <c r="M551" s="47" t="n"/>
      <c r="N551" s="47" t="n"/>
      <c r="O551" s="47" t="n"/>
      <c r="P551" s="47" t="n"/>
      <c r="Q551" s="47" t="n"/>
      <c r="R551" s="47" t="n"/>
      <c r="S551" s="47" t="n"/>
      <c r="T551" s="47" t="n"/>
      <c r="U551" s="47" t="n"/>
      <c r="V551" s="47" t="n"/>
      <c r="W551" s="47" t="n"/>
      <c r="X551" s="47" t="n"/>
      <c r="Y551" s="47" t="n"/>
      <c r="Z551" s="47" t="n"/>
    </row>
    <row r="552">
      <c r="A552" s="55" t="n"/>
      <c r="B552" s="46" t="n"/>
      <c r="C552" s="47" t="n"/>
      <c r="D552" s="47" t="n"/>
      <c r="E552" s="47" t="n"/>
      <c r="F552" s="47" t="n"/>
      <c r="G552" s="47" t="n"/>
      <c r="H552" s="47" t="n"/>
      <c r="I552" s="47" t="n"/>
      <c r="J552" s="47" t="n"/>
      <c r="K552" s="47" t="n"/>
      <c r="L552" s="47" t="n"/>
      <c r="M552" s="47" t="n"/>
      <c r="N552" s="47" t="n"/>
      <c r="O552" s="47" t="n"/>
      <c r="P552" s="47" t="n"/>
      <c r="Q552" s="47" t="n"/>
      <c r="R552" s="47" t="n"/>
      <c r="S552" s="47" t="n"/>
      <c r="T552" s="47" t="n"/>
      <c r="U552" s="47" t="n"/>
      <c r="V552" s="47" t="n"/>
      <c r="W552" s="47" t="n"/>
      <c r="X552" s="47" t="n"/>
      <c r="Y552" s="47" t="n"/>
      <c r="Z552" s="47" t="n"/>
    </row>
    <row r="553">
      <c r="A553" s="55" t="n"/>
      <c r="B553" s="46" t="n"/>
      <c r="C553" s="47" t="n"/>
      <c r="D553" s="47" t="n"/>
      <c r="E553" s="47" t="n"/>
      <c r="F553" s="47" t="n"/>
      <c r="G553" s="47" t="n"/>
      <c r="H553" s="47" t="n"/>
      <c r="I553" s="47" t="n"/>
      <c r="J553" s="47" t="n"/>
      <c r="K553" s="47" t="n"/>
      <c r="L553" s="47" t="n"/>
      <c r="M553" s="47" t="n"/>
      <c r="N553" s="47" t="n"/>
      <c r="O553" s="47" t="n"/>
      <c r="P553" s="47" t="n"/>
      <c r="Q553" s="47" t="n"/>
      <c r="R553" s="47" t="n"/>
      <c r="S553" s="47" t="n"/>
      <c r="T553" s="47" t="n"/>
      <c r="U553" s="47" t="n"/>
      <c r="V553" s="47" t="n"/>
      <c r="W553" s="47" t="n"/>
      <c r="X553" s="47" t="n"/>
      <c r="Y553" s="47" t="n"/>
      <c r="Z553" s="47" t="n"/>
    </row>
    <row r="554">
      <c r="A554" s="55" t="n"/>
      <c r="B554" s="46" t="n"/>
      <c r="C554" s="47" t="n"/>
      <c r="D554" s="47" t="n"/>
      <c r="E554" s="47" t="n"/>
      <c r="F554" s="47" t="n"/>
      <c r="G554" s="47" t="n"/>
      <c r="H554" s="47" t="n"/>
      <c r="I554" s="47" t="n"/>
      <c r="J554" s="47" t="n"/>
      <c r="K554" s="47" t="n"/>
      <c r="L554" s="47" t="n"/>
      <c r="M554" s="47" t="n"/>
      <c r="N554" s="47" t="n"/>
      <c r="O554" s="47" t="n"/>
      <c r="P554" s="47" t="n"/>
      <c r="Q554" s="47" t="n"/>
      <c r="R554" s="47" t="n"/>
      <c r="S554" s="47" t="n"/>
      <c r="T554" s="47" t="n"/>
      <c r="U554" s="47" t="n"/>
      <c r="V554" s="47" t="n"/>
      <c r="W554" s="47" t="n"/>
      <c r="X554" s="47" t="n"/>
      <c r="Y554" s="47" t="n"/>
      <c r="Z554" s="47" t="n"/>
    </row>
    <row r="555">
      <c r="A555" s="55" t="n"/>
      <c r="B555" s="46" t="n"/>
      <c r="C555" s="47" t="n"/>
      <c r="D555" s="47" t="n"/>
      <c r="E555" s="47" t="n"/>
      <c r="F555" s="47" t="n"/>
      <c r="G555" s="47" t="n"/>
      <c r="H555" s="47" t="n"/>
      <c r="I555" s="47" t="n"/>
      <c r="J555" s="47" t="n"/>
      <c r="K555" s="47" t="n"/>
      <c r="L555" s="47" t="n"/>
      <c r="M555" s="47" t="n"/>
      <c r="N555" s="47" t="n"/>
      <c r="O555" s="47" t="n"/>
      <c r="P555" s="47" t="n"/>
      <c r="Q555" s="47" t="n"/>
      <c r="R555" s="47" t="n"/>
      <c r="S555" s="47" t="n"/>
      <c r="T555" s="47" t="n"/>
      <c r="U555" s="47" t="n"/>
      <c r="V555" s="47" t="n"/>
      <c r="W555" s="47" t="n"/>
      <c r="X555" s="47" t="n"/>
      <c r="Y555" s="47" t="n"/>
      <c r="Z555" s="47" t="n"/>
    </row>
    <row r="556">
      <c r="A556" s="55" t="n"/>
      <c r="B556" s="46" t="n"/>
      <c r="C556" s="47" t="n"/>
      <c r="D556" s="47" t="n"/>
      <c r="E556" s="47" t="n"/>
      <c r="F556" s="47" t="n"/>
      <c r="G556" s="47" t="n"/>
      <c r="H556" s="47" t="n"/>
      <c r="I556" s="47" t="n"/>
      <c r="J556" s="47" t="n"/>
      <c r="K556" s="47" t="n"/>
      <c r="L556" s="47" t="n"/>
      <c r="M556" s="47" t="n"/>
      <c r="N556" s="47" t="n"/>
      <c r="O556" s="47" t="n"/>
      <c r="P556" s="47" t="n"/>
      <c r="Q556" s="47" t="n"/>
      <c r="R556" s="47" t="n"/>
      <c r="S556" s="47" t="n"/>
      <c r="T556" s="47" t="n"/>
      <c r="U556" s="47" t="n"/>
      <c r="V556" s="47" t="n"/>
      <c r="W556" s="47" t="n"/>
      <c r="X556" s="47" t="n"/>
      <c r="Y556" s="47" t="n"/>
      <c r="Z556" s="47" t="n"/>
    </row>
    <row r="557">
      <c r="A557" s="55" t="n"/>
      <c r="B557" s="46" t="n"/>
      <c r="C557" s="47" t="n"/>
      <c r="D557" s="47" t="n"/>
      <c r="E557" s="47" t="n"/>
      <c r="F557" s="47" t="n"/>
      <c r="G557" s="47" t="n"/>
      <c r="H557" s="47" t="n"/>
      <c r="I557" s="47" t="n"/>
      <c r="J557" s="47" t="n"/>
      <c r="K557" s="47" t="n"/>
      <c r="L557" s="47" t="n"/>
      <c r="M557" s="47" t="n"/>
      <c r="N557" s="47" t="n"/>
      <c r="O557" s="47" t="n"/>
      <c r="P557" s="47" t="n"/>
      <c r="Q557" s="47" t="n"/>
      <c r="R557" s="47" t="n"/>
      <c r="S557" s="47" t="n"/>
      <c r="T557" s="47" t="n"/>
      <c r="U557" s="47" t="n"/>
      <c r="V557" s="47" t="n"/>
      <c r="W557" s="47" t="n"/>
      <c r="X557" s="47" t="n"/>
      <c r="Y557" s="47" t="n"/>
      <c r="Z557" s="47" t="n"/>
    </row>
    <row r="558">
      <c r="A558" s="55" t="n"/>
      <c r="B558" s="46" t="n"/>
      <c r="C558" s="47" t="n"/>
      <c r="D558" s="47" t="n"/>
      <c r="E558" s="47" t="n"/>
      <c r="F558" s="47" t="n"/>
      <c r="G558" s="47" t="n"/>
      <c r="H558" s="47" t="n"/>
      <c r="I558" s="47" t="n"/>
      <c r="J558" s="47" t="n"/>
      <c r="K558" s="47" t="n"/>
      <c r="L558" s="47" t="n"/>
      <c r="M558" s="47" t="n"/>
      <c r="N558" s="47" t="n"/>
      <c r="O558" s="47" t="n"/>
      <c r="P558" s="47" t="n"/>
      <c r="Q558" s="47" t="n"/>
      <c r="R558" s="47" t="n"/>
      <c r="S558" s="47" t="n"/>
      <c r="T558" s="47" t="n"/>
      <c r="U558" s="47" t="n"/>
      <c r="V558" s="47" t="n"/>
      <c r="W558" s="47" t="n"/>
      <c r="X558" s="47" t="n"/>
      <c r="Y558" s="47" t="n"/>
      <c r="Z558" s="47" t="n"/>
    </row>
    <row r="559">
      <c r="A559" s="55" t="n"/>
      <c r="B559" s="46" t="n"/>
      <c r="C559" s="47" t="n"/>
      <c r="D559" s="47" t="n"/>
      <c r="E559" s="47" t="n"/>
      <c r="F559" s="47" t="n"/>
      <c r="G559" s="47" t="n"/>
      <c r="H559" s="47" t="n"/>
      <c r="I559" s="47" t="n"/>
      <c r="J559" s="47" t="n"/>
      <c r="K559" s="47" t="n"/>
      <c r="L559" s="47" t="n"/>
      <c r="M559" s="47" t="n"/>
      <c r="N559" s="47" t="n"/>
      <c r="O559" s="47" t="n"/>
      <c r="P559" s="47" t="n"/>
      <c r="Q559" s="47" t="n"/>
      <c r="R559" s="47" t="n"/>
      <c r="S559" s="47" t="n"/>
      <c r="T559" s="47" t="n"/>
      <c r="U559" s="47" t="n"/>
      <c r="V559" s="47" t="n"/>
      <c r="W559" s="47" t="n"/>
      <c r="X559" s="47" t="n"/>
      <c r="Y559" s="47" t="n"/>
      <c r="Z559" s="47" t="n"/>
    </row>
    <row r="560">
      <c r="A560" s="55" t="n"/>
      <c r="B560" s="46" t="n"/>
      <c r="C560" s="47" t="n"/>
      <c r="D560" s="47" t="n"/>
      <c r="E560" s="47" t="n"/>
      <c r="F560" s="47" t="n"/>
      <c r="G560" s="47" t="n"/>
      <c r="H560" s="47" t="n"/>
      <c r="I560" s="47" t="n"/>
      <c r="J560" s="47" t="n"/>
      <c r="K560" s="47" t="n"/>
      <c r="L560" s="47" t="n"/>
      <c r="M560" s="47" t="n"/>
      <c r="N560" s="47" t="n"/>
      <c r="O560" s="47" t="n"/>
      <c r="P560" s="47" t="n"/>
      <c r="Q560" s="47" t="n"/>
      <c r="R560" s="47" t="n"/>
      <c r="S560" s="47" t="n"/>
      <c r="T560" s="47" t="n"/>
      <c r="U560" s="47" t="n"/>
      <c r="V560" s="47" t="n"/>
      <c r="W560" s="47" t="n"/>
      <c r="X560" s="47" t="n"/>
      <c r="Y560" s="47" t="n"/>
      <c r="Z560" s="47" t="n"/>
    </row>
    <row r="561">
      <c r="A561" s="55" t="n"/>
      <c r="B561" s="46" t="n"/>
      <c r="C561" s="47" t="n"/>
      <c r="D561" s="47" t="n"/>
      <c r="E561" s="47" t="n"/>
      <c r="F561" s="47" t="n"/>
      <c r="G561" s="47" t="n"/>
      <c r="H561" s="47" t="n"/>
      <c r="I561" s="47" t="n"/>
      <c r="J561" s="47" t="n"/>
      <c r="K561" s="47" t="n"/>
      <c r="L561" s="47" t="n"/>
      <c r="M561" s="47" t="n"/>
      <c r="N561" s="47" t="n"/>
      <c r="O561" s="47" t="n"/>
      <c r="P561" s="47" t="n"/>
      <c r="Q561" s="47" t="n"/>
      <c r="R561" s="47" t="n"/>
      <c r="S561" s="47" t="n"/>
      <c r="T561" s="47" t="n"/>
      <c r="U561" s="47" t="n"/>
      <c r="V561" s="47" t="n"/>
      <c r="W561" s="47" t="n"/>
      <c r="X561" s="47" t="n"/>
      <c r="Y561" s="47" t="n"/>
      <c r="Z561" s="47" t="n"/>
    </row>
    <row r="562">
      <c r="A562" s="55" t="n"/>
      <c r="B562" s="46" t="n"/>
      <c r="C562" s="47" t="n"/>
      <c r="D562" s="47" t="n"/>
      <c r="E562" s="47" t="n"/>
      <c r="F562" s="47" t="n"/>
      <c r="G562" s="47" t="n"/>
      <c r="H562" s="47" t="n"/>
      <c r="I562" s="47" t="n"/>
      <c r="J562" s="47" t="n"/>
      <c r="K562" s="47" t="n"/>
      <c r="L562" s="47" t="n"/>
      <c r="M562" s="47" t="n"/>
      <c r="N562" s="47" t="n"/>
      <c r="O562" s="47" t="n"/>
      <c r="P562" s="47" t="n"/>
      <c r="Q562" s="47" t="n"/>
      <c r="R562" s="47" t="n"/>
      <c r="S562" s="47" t="n"/>
      <c r="T562" s="47" t="n"/>
      <c r="U562" s="47" t="n"/>
      <c r="V562" s="47" t="n"/>
      <c r="W562" s="47" t="n"/>
      <c r="X562" s="47" t="n"/>
      <c r="Y562" s="47" t="n"/>
      <c r="Z562" s="47" t="n"/>
    </row>
    <row r="563">
      <c r="A563" s="55" t="n"/>
      <c r="B563" s="46" t="n"/>
      <c r="C563" s="47" t="n"/>
      <c r="D563" s="47" t="n"/>
      <c r="E563" s="47" t="n"/>
      <c r="F563" s="47" t="n"/>
      <c r="G563" s="47" t="n"/>
      <c r="H563" s="47" t="n"/>
      <c r="I563" s="47" t="n"/>
      <c r="J563" s="47" t="n"/>
      <c r="K563" s="47" t="n"/>
      <c r="L563" s="47" t="n"/>
      <c r="M563" s="47" t="n"/>
      <c r="N563" s="47" t="n"/>
      <c r="O563" s="47" t="n"/>
      <c r="P563" s="47" t="n"/>
      <c r="Q563" s="47" t="n"/>
      <c r="R563" s="47" t="n"/>
      <c r="S563" s="47" t="n"/>
      <c r="T563" s="47" t="n"/>
      <c r="U563" s="47" t="n"/>
      <c r="V563" s="47" t="n"/>
      <c r="W563" s="47" t="n"/>
      <c r="X563" s="47" t="n"/>
      <c r="Y563" s="47" t="n"/>
      <c r="Z563" s="47" t="n"/>
    </row>
    <row r="564">
      <c r="A564" s="55" t="n"/>
      <c r="B564" s="46" t="n"/>
      <c r="C564" s="47" t="n"/>
      <c r="D564" s="47" t="n"/>
      <c r="E564" s="47" t="n"/>
      <c r="F564" s="47" t="n"/>
      <c r="G564" s="47" t="n"/>
      <c r="H564" s="47" t="n"/>
      <c r="I564" s="47" t="n"/>
      <c r="J564" s="47" t="n"/>
      <c r="K564" s="47" t="n"/>
      <c r="L564" s="47" t="n"/>
      <c r="M564" s="47" t="n"/>
      <c r="N564" s="47" t="n"/>
      <c r="O564" s="47" t="n"/>
      <c r="P564" s="47" t="n"/>
      <c r="Q564" s="47" t="n"/>
      <c r="R564" s="47" t="n"/>
      <c r="S564" s="47" t="n"/>
      <c r="T564" s="47" t="n"/>
      <c r="U564" s="47" t="n"/>
      <c r="V564" s="47" t="n"/>
      <c r="W564" s="47" t="n"/>
      <c r="X564" s="47" t="n"/>
      <c r="Y564" s="47" t="n"/>
      <c r="Z564" s="47" t="n"/>
    </row>
    <row r="565">
      <c r="A565" s="55" t="n"/>
      <c r="B565" s="46" t="n"/>
      <c r="C565" s="47" t="n"/>
      <c r="D565" s="47" t="n"/>
      <c r="E565" s="47" t="n"/>
      <c r="F565" s="47" t="n"/>
      <c r="G565" s="47" t="n"/>
      <c r="H565" s="47" t="n"/>
      <c r="I565" s="47" t="n"/>
      <c r="J565" s="47" t="n"/>
      <c r="K565" s="47" t="n"/>
      <c r="L565" s="47" t="n"/>
      <c r="M565" s="47" t="n"/>
      <c r="N565" s="47" t="n"/>
      <c r="O565" s="47" t="n"/>
      <c r="P565" s="47" t="n"/>
      <c r="Q565" s="47" t="n"/>
      <c r="R565" s="47" t="n"/>
      <c r="S565" s="47" t="n"/>
      <c r="T565" s="47" t="n"/>
      <c r="U565" s="47" t="n"/>
      <c r="V565" s="47" t="n"/>
      <c r="W565" s="47" t="n"/>
      <c r="X565" s="47" t="n"/>
      <c r="Y565" s="47" t="n"/>
      <c r="Z565" s="47" t="n"/>
    </row>
    <row r="566">
      <c r="A566" s="55" t="n"/>
      <c r="B566" s="46" t="n"/>
      <c r="C566" s="47" t="n"/>
      <c r="D566" s="47" t="n"/>
      <c r="E566" s="47" t="n"/>
      <c r="F566" s="47" t="n"/>
      <c r="G566" s="47" t="n"/>
      <c r="H566" s="47" t="n"/>
      <c r="I566" s="47" t="n"/>
      <c r="J566" s="47" t="n"/>
      <c r="K566" s="47" t="n"/>
      <c r="L566" s="47" t="n"/>
      <c r="M566" s="47" t="n"/>
      <c r="N566" s="47" t="n"/>
      <c r="O566" s="47" t="n"/>
      <c r="P566" s="47" t="n"/>
      <c r="Q566" s="47" t="n"/>
      <c r="R566" s="47" t="n"/>
      <c r="S566" s="47" t="n"/>
      <c r="T566" s="47" t="n"/>
      <c r="U566" s="47" t="n"/>
      <c r="V566" s="47" t="n"/>
      <c r="W566" s="47" t="n"/>
      <c r="X566" s="47" t="n"/>
      <c r="Y566" s="47" t="n"/>
      <c r="Z566" s="47" t="n"/>
    </row>
    <row r="567">
      <c r="A567" s="55" t="n"/>
      <c r="B567" s="46" t="n"/>
      <c r="C567" s="47" t="n"/>
      <c r="D567" s="47" t="n"/>
      <c r="E567" s="47" t="n"/>
      <c r="F567" s="47" t="n"/>
      <c r="G567" s="47" t="n"/>
      <c r="H567" s="47" t="n"/>
      <c r="I567" s="47" t="n"/>
      <c r="J567" s="47" t="n"/>
      <c r="K567" s="47" t="n"/>
      <c r="L567" s="47" t="n"/>
      <c r="M567" s="47" t="n"/>
      <c r="N567" s="47" t="n"/>
      <c r="O567" s="47" t="n"/>
      <c r="P567" s="47" t="n"/>
      <c r="Q567" s="47" t="n"/>
      <c r="R567" s="47" t="n"/>
      <c r="S567" s="47" t="n"/>
      <c r="T567" s="47" t="n"/>
      <c r="U567" s="47" t="n"/>
      <c r="V567" s="47" t="n"/>
      <c r="W567" s="47" t="n"/>
      <c r="X567" s="47" t="n"/>
      <c r="Y567" s="47" t="n"/>
      <c r="Z567" s="47" t="n"/>
    </row>
    <row r="568">
      <c r="A568" s="55" t="n"/>
      <c r="B568" s="46" t="n"/>
      <c r="C568" s="47" t="n"/>
      <c r="D568" s="47" t="n"/>
      <c r="E568" s="47" t="n"/>
      <c r="F568" s="47" t="n"/>
      <c r="G568" s="47" t="n"/>
      <c r="H568" s="47" t="n"/>
      <c r="I568" s="47" t="n"/>
      <c r="J568" s="47" t="n"/>
      <c r="K568" s="47" t="n"/>
      <c r="L568" s="47" t="n"/>
      <c r="M568" s="47" t="n"/>
      <c r="N568" s="47" t="n"/>
      <c r="O568" s="47" t="n"/>
      <c r="P568" s="47" t="n"/>
      <c r="Q568" s="47" t="n"/>
      <c r="R568" s="47" t="n"/>
      <c r="S568" s="47" t="n"/>
      <c r="T568" s="47" t="n"/>
      <c r="U568" s="47" t="n"/>
      <c r="V568" s="47" t="n"/>
      <c r="W568" s="47" t="n"/>
      <c r="X568" s="47" t="n"/>
      <c r="Y568" s="47" t="n"/>
      <c r="Z568" s="47" t="n"/>
    </row>
    <row r="569">
      <c r="A569" s="55" t="n"/>
      <c r="B569" s="46" t="n"/>
      <c r="C569" s="47" t="n"/>
      <c r="D569" s="47" t="n"/>
      <c r="E569" s="47" t="n"/>
      <c r="F569" s="47" t="n"/>
      <c r="G569" s="47" t="n"/>
      <c r="H569" s="47" t="n"/>
      <c r="I569" s="47" t="n"/>
      <c r="J569" s="47" t="n"/>
      <c r="K569" s="47" t="n"/>
      <c r="L569" s="47" t="n"/>
      <c r="M569" s="47" t="n"/>
      <c r="N569" s="47" t="n"/>
      <c r="O569" s="47" t="n"/>
      <c r="P569" s="47" t="n"/>
      <c r="Q569" s="47" t="n"/>
      <c r="R569" s="47" t="n"/>
      <c r="S569" s="47" t="n"/>
      <c r="T569" s="47" t="n"/>
      <c r="U569" s="47" t="n"/>
      <c r="V569" s="47" t="n"/>
      <c r="W569" s="47" t="n"/>
      <c r="X569" s="47" t="n"/>
      <c r="Y569" s="47" t="n"/>
      <c r="Z569" s="47" t="n"/>
    </row>
    <row r="570">
      <c r="A570" s="55" t="n"/>
      <c r="B570" s="46" t="n"/>
      <c r="C570" s="47" t="n"/>
      <c r="D570" s="47" t="n"/>
      <c r="E570" s="47" t="n"/>
      <c r="F570" s="47" t="n"/>
      <c r="G570" s="47" t="n"/>
      <c r="H570" s="47" t="n"/>
      <c r="I570" s="47" t="n"/>
      <c r="J570" s="47" t="n"/>
      <c r="K570" s="47" t="n"/>
      <c r="L570" s="47" t="n"/>
      <c r="M570" s="47" t="n"/>
      <c r="N570" s="47" t="n"/>
      <c r="O570" s="47" t="n"/>
      <c r="P570" s="47" t="n"/>
      <c r="Q570" s="47" t="n"/>
      <c r="R570" s="47" t="n"/>
      <c r="S570" s="47" t="n"/>
      <c r="T570" s="47" t="n"/>
      <c r="U570" s="47" t="n"/>
      <c r="V570" s="47" t="n"/>
      <c r="W570" s="47" t="n"/>
      <c r="X570" s="47" t="n"/>
      <c r="Y570" s="47" t="n"/>
      <c r="Z570" s="47" t="n"/>
    </row>
    <row r="571">
      <c r="A571" s="55" t="n"/>
      <c r="B571" s="46" t="n"/>
      <c r="C571" s="47" t="n"/>
      <c r="D571" s="47" t="n"/>
      <c r="E571" s="47" t="n"/>
      <c r="F571" s="47" t="n"/>
      <c r="G571" s="47" t="n"/>
      <c r="H571" s="47" t="n"/>
      <c r="I571" s="47" t="n"/>
      <c r="J571" s="47" t="n"/>
      <c r="K571" s="47" t="n"/>
      <c r="L571" s="47" t="n"/>
      <c r="M571" s="47" t="n"/>
      <c r="N571" s="47" t="n"/>
      <c r="O571" s="47" t="n"/>
      <c r="P571" s="47" t="n"/>
      <c r="Q571" s="47" t="n"/>
      <c r="R571" s="47" t="n"/>
      <c r="S571" s="47" t="n"/>
      <c r="T571" s="47" t="n"/>
      <c r="U571" s="47" t="n"/>
      <c r="V571" s="47" t="n"/>
      <c r="W571" s="47" t="n"/>
      <c r="X571" s="47" t="n"/>
      <c r="Y571" s="47" t="n"/>
      <c r="Z571" s="47" t="n"/>
    </row>
    <row r="572">
      <c r="A572" s="55" t="n"/>
      <c r="B572" s="46" t="n"/>
      <c r="C572" s="47" t="n"/>
      <c r="D572" s="47" t="n"/>
      <c r="E572" s="47" t="n"/>
      <c r="F572" s="47" t="n"/>
      <c r="G572" s="47" t="n"/>
      <c r="H572" s="47" t="n"/>
      <c r="I572" s="47" t="n"/>
      <c r="J572" s="47" t="n"/>
      <c r="K572" s="47" t="n"/>
      <c r="L572" s="47" t="n"/>
      <c r="M572" s="47" t="n"/>
      <c r="N572" s="47" t="n"/>
      <c r="O572" s="47" t="n"/>
      <c r="P572" s="47" t="n"/>
      <c r="Q572" s="47" t="n"/>
      <c r="R572" s="47" t="n"/>
      <c r="S572" s="47" t="n"/>
      <c r="T572" s="47" t="n"/>
      <c r="U572" s="47" t="n"/>
      <c r="V572" s="47" t="n"/>
      <c r="W572" s="47" t="n"/>
      <c r="X572" s="47" t="n"/>
      <c r="Y572" s="47" t="n"/>
      <c r="Z572" s="47" t="n"/>
    </row>
    <row r="573">
      <c r="A573" s="55" t="n"/>
      <c r="B573" s="46" t="n"/>
      <c r="C573" s="47" t="n"/>
      <c r="D573" s="47" t="n"/>
      <c r="E573" s="47" t="n"/>
      <c r="F573" s="47" t="n"/>
      <c r="G573" s="47" t="n"/>
      <c r="H573" s="47" t="n"/>
      <c r="I573" s="47" t="n"/>
      <c r="J573" s="47" t="n"/>
      <c r="K573" s="47" t="n"/>
      <c r="L573" s="47" t="n"/>
      <c r="M573" s="47" t="n"/>
      <c r="N573" s="47" t="n"/>
      <c r="O573" s="47" t="n"/>
      <c r="P573" s="47" t="n"/>
      <c r="Q573" s="47" t="n"/>
      <c r="R573" s="47" t="n"/>
      <c r="S573" s="47" t="n"/>
      <c r="T573" s="47" t="n"/>
      <c r="U573" s="47" t="n"/>
      <c r="V573" s="47" t="n"/>
      <c r="W573" s="47" t="n"/>
      <c r="X573" s="47" t="n"/>
      <c r="Y573" s="47" t="n"/>
      <c r="Z573" s="47" t="n"/>
    </row>
    <row r="574">
      <c r="A574" s="55" t="n"/>
      <c r="B574" s="46" t="n"/>
      <c r="C574" s="47" t="n"/>
      <c r="D574" s="47" t="n"/>
      <c r="E574" s="47" t="n"/>
      <c r="F574" s="47" t="n"/>
      <c r="G574" s="47" t="n"/>
      <c r="H574" s="47" t="n"/>
      <c r="I574" s="47" t="n"/>
      <c r="J574" s="47" t="n"/>
      <c r="K574" s="47" t="n"/>
      <c r="L574" s="47" t="n"/>
      <c r="M574" s="47" t="n"/>
      <c r="N574" s="47" t="n"/>
      <c r="O574" s="47" t="n"/>
      <c r="P574" s="47" t="n"/>
      <c r="Q574" s="47" t="n"/>
      <c r="R574" s="47" t="n"/>
      <c r="S574" s="47" t="n"/>
      <c r="T574" s="47" t="n"/>
      <c r="U574" s="47" t="n"/>
      <c r="V574" s="47" t="n"/>
      <c r="W574" s="47" t="n"/>
      <c r="X574" s="47" t="n"/>
      <c r="Y574" s="47" t="n"/>
      <c r="Z574" s="47" t="n"/>
    </row>
    <row r="575">
      <c r="A575" s="55" t="n"/>
      <c r="B575" s="46" t="n"/>
      <c r="C575" s="47" t="n"/>
      <c r="D575" s="47" t="n"/>
      <c r="E575" s="47" t="n"/>
      <c r="F575" s="47" t="n"/>
      <c r="G575" s="47" t="n"/>
      <c r="H575" s="47" t="n"/>
      <c r="I575" s="47" t="n"/>
      <c r="J575" s="47" t="n"/>
      <c r="K575" s="47" t="n"/>
      <c r="L575" s="47" t="n"/>
      <c r="M575" s="47" t="n"/>
      <c r="N575" s="47" t="n"/>
      <c r="O575" s="47" t="n"/>
      <c r="P575" s="47" t="n"/>
      <c r="Q575" s="47" t="n"/>
      <c r="R575" s="47" t="n"/>
      <c r="S575" s="47" t="n"/>
      <c r="T575" s="47" t="n"/>
      <c r="U575" s="47" t="n"/>
      <c r="V575" s="47" t="n"/>
      <c r="W575" s="47" t="n"/>
      <c r="X575" s="47" t="n"/>
      <c r="Y575" s="47" t="n"/>
      <c r="Z575" s="47" t="n"/>
    </row>
    <row r="576">
      <c r="A576" s="55" t="n"/>
      <c r="B576" s="46" t="n"/>
      <c r="C576" s="47" t="n"/>
      <c r="D576" s="47" t="n"/>
      <c r="E576" s="47" t="n"/>
      <c r="F576" s="47" t="n"/>
      <c r="G576" s="47" t="n"/>
      <c r="H576" s="47" t="n"/>
      <c r="I576" s="47" t="n"/>
      <c r="J576" s="47" t="n"/>
      <c r="K576" s="47" t="n"/>
      <c r="L576" s="47" t="n"/>
      <c r="M576" s="47" t="n"/>
      <c r="N576" s="47" t="n"/>
      <c r="O576" s="47" t="n"/>
      <c r="P576" s="47" t="n"/>
      <c r="Q576" s="47" t="n"/>
      <c r="R576" s="47" t="n"/>
      <c r="S576" s="47" t="n"/>
      <c r="T576" s="47" t="n"/>
      <c r="U576" s="47" t="n"/>
      <c r="V576" s="47" t="n"/>
      <c r="W576" s="47" t="n"/>
      <c r="X576" s="47" t="n"/>
      <c r="Y576" s="47" t="n"/>
      <c r="Z576" s="47" t="n"/>
    </row>
    <row r="577">
      <c r="A577" s="55" t="n"/>
      <c r="B577" s="46" t="n"/>
      <c r="C577" s="47" t="n"/>
      <c r="D577" s="47" t="n"/>
      <c r="E577" s="47" t="n"/>
      <c r="F577" s="47" t="n"/>
      <c r="G577" s="47" t="n"/>
      <c r="H577" s="47" t="n"/>
      <c r="I577" s="47" t="n"/>
      <c r="J577" s="47" t="n"/>
      <c r="K577" s="47" t="n"/>
      <c r="L577" s="47" t="n"/>
      <c r="M577" s="47" t="n"/>
      <c r="N577" s="47" t="n"/>
      <c r="O577" s="47" t="n"/>
      <c r="P577" s="47" t="n"/>
      <c r="Q577" s="47" t="n"/>
      <c r="R577" s="47" t="n"/>
      <c r="S577" s="47" t="n"/>
      <c r="T577" s="47" t="n"/>
      <c r="U577" s="47" t="n"/>
      <c r="V577" s="47" t="n"/>
      <c r="W577" s="47" t="n"/>
      <c r="X577" s="47" t="n"/>
      <c r="Y577" s="47" t="n"/>
      <c r="Z577" s="47" t="n"/>
    </row>
    <row r="578">
      <c r="A578" s="55" t="n"/>
      <c r="B578" s="46" t="n"/>
      <c r="C578" s="47" t="n"/>
      <c r="D578" s="47" t="n"/>
      <c r="E578" s="47" t="n"/>
      <c r="F578" s="47" t="n"/>
      <c r="G578" s="47" t="n"/>
      <c r="H578" s="47" t="n"/>
      <c r="I578" s="47" t="n"/>
      <c r="J578" s="47" t="n"/>
      <c r="K578" s="47" t="n"/>
      <c r="L578" s="47" t="n"/>
      <c r="M578" s="47" t="n"/>
      <c r="N578" s="47" t="n"/>
      <c r="O578" s="47" t="n"/>
      <c r="P578" s="47" t="n"/>
      <c r="Q578" s="47" t="n"/>
      <c r="R578" s="47" t="n"/>
      <c r="S578" s="47" t="n"/>
      <c r="T578" s="47" t="n"/>
      <c r="U578" s="47" t="n"/>
      <c r="V578" s="47" t="n"/>
      <c r="W578" s="47" t="n"/>
      <c r="X578" s="47" t="n"/>
      <c r="Y578" s="47" t="n"/>
      <c r="Z578" s="47" t="n"/>
    </row>
    <row r="579">
      <c r="A579" s="55" t="n"/>
      <c r="B579" s="46" t="n"/>
      <c r="C579" s="47" t="n"/>
      <c r="D579" s="47" t="n"/>
      <c r="E579" s="47" t="n"/>
      <c r="F579" s="47" t="n"/>
      <c r="G579" s="47" t="n"/>
      <c r="H579" s="47" t="n"/>
      <c r="I579" s="47" t="n"/>
      <c r="J579" s="47" t="n"/>
      <c r="K579" s="47" t="n"/>
      <c r="L579" s="47" t="n"/>
      <c r="M579" s="47" t="n"/>
      <c r="N579" s="47" t="n"/>
      <c r="O579" s="47" t="n"/>
      <c r="P579" s="47" t="n"/>
      <c r="Q579" s="47" t="n"/>
      <c r="R579" s="47" t="n"/>
      <c r="S579" s="47" t="n"/>
      <c r="T579" s="47" t="n"/>
      <c r="U579" s="47" t="n"/>
      <c r="V579" s="47" t="n"/>
      <c r="W579" s="47" t="n"/>
      <c r="X579" s="47" t="n"/>
      <c r="Y579" s="47" t="n"/>
      <c r="Z579" s="47" t="n"/>
    </row>
    <row r="580">
      <c r="A580" s="55" t="n"/>
      <c r="B580" s="46" t="n"/>
      <c r="C580" s="47" t="n"/>
      <c r="D580" s="47" t="n"/>
      <c r="E580" s="47" t="n"/>
      <c r="F580" s="47" t="n"/>
      <c r="G580" s="47" t="n"/>
      <c r="H580" s="47" t="n"/>
      <c r="I580" s="47" t="n"/>
      <c r="J580" s="47" t="n"/>
      <c r="K580" s="47" t="n"/>
      <c r="L580" s="47" t="n"/>
      <c r="M580" s="47" t="n"/>
      <c r="N580" s="47" t="n"/>
      <c r="O580" s="47" t="n"/>
      <c r="P580" s="47" t="n"/>
      <c r="Q580" s="47" t="n"/>
      <c r="R580" s="47" t="n"/>
      <c r="S580" s="47" t="n"/>
      <c r="T580" s="47" t="n"/>
      <c r="U580" s="47" t="n"/>
      <c r="V580" s="47" t="n"/>
      <c r="W580" s="47" t="n"/>
      <c r="X580" s="47" t="n"/>
      <c r="Y580" s="47" t="n"/>
      <c r="Z580" s="47" t="n"/>
    </row>
    <row r="581">
      <c r="A581" s="55" t="n"/>
      <c r="B581" s="46" t="n"/>
      <c r="C581" s="47" t="n"/>
      <c r="D581" s="47" t="n"/>
      <c r="E581" s="47" t="n"/>
      <c r="F581" s="47" t="n"/>
      <c r="G581" s="47" t="n"/>
      <c r="H581" s="47" t="n"/>
      <c r="I581" s="47" t="n"/>
      <c r="J581" s="47" t="n"/>
      <c r="K581" s="47" t="n"/>
      <c r="L581" s="47" t="n"/>
      <c r="M581" s="47" t="n"/>
      <c r="N581" s="47" t="n"/>
      <c r="O581" s="47" t="n"/>
      <c r="P581" s="47" t="n"/>
      <c r="Q581" s="47" t="n"/>
      <c r="R581" s="47" t="n"/>
      <c r="S581" s="47" t="n"/>
      <c r="T581" s="47" t="n"/>
      <c r="U581" s="47" t="n"/>
      <c r="V581" s="47" t="n"/>
      <c r="W581" s="47" t="n"/>
      <c r="X581" s="47" t="n"/>
      <c r="Y581" s="47" t="n"/>
      <c r="Z581" s="47" t="n"/>
    </row>
    <row r="582">
      <c r="A582" s="55" t="n"/>
      <c r="B582" s="46" t="n"/>
      <c r="C582" s="47" t="n"/>
      <c r="D582" s="47" t="n"/>
      <c r="E582" s="47" t="n"/>
      <c r="F582" s="47" t="n"/>
      <c r="G582" s="47" t="n"/>
      <c r="H582" s="47" t="n"/>
      <c r="I582" s="47" t="n"/>
      <c r="J582" s="47" t="n"/>
      <c r="K582" s="47" t="n"/>
      <c r="L582" s="47" t="n"/>
      <c r="M582" s="47" t="n"/>
      <c r="N582" s="47" t="n"/>
      <c r="O582" s="47" t="n"/>
      <c r="P582" s="47" t="n"/>
      <c r="Q582" s="47" t="n"/>
      <c r="R582" s="47" t="n"/>
      <c r="S582" s="47" t="n"/>
      <c r="T582" s="47" t="n"/>
      <c r="U582" s="47" t="n"/>
      <c r="V582" s="47" t="n"/>
      <c r="W582" s="47" t="n"/>
      <c r="X582" s="47" t="n"/>
      <c r="Y582" s="47" t="n"/>
      <c r="Z582" s="47" t="n"/>
    </row>
    <row r="583">
      <c r="A583" s="55" t="n"/>
      <c r="B583" s="46" t="n"/>
      <c r="C583" s="47" t="n"/>
      <c r="D583" s="47" t="n"/>
      <c r="E583" s="47" t="n"/>
      <c r="F583" s="47" t="n"/>
      <c r="G583" s="47" t="n"/>
      <c r="H583" s="47" t="n"/>
      <c r="I583" s="47" t="n"/>
      <c r="J583" s="47" t="n"/>
      <c r="K583" s="47" t="n"/>
      <c r="L583" s="47" t="n"/>
      <c r="M583" s="47" t="n"/>
      <c r="N583" s="47" t="n"/>
      <c r="O583" s="47" t="n"/>
      <c r="P583" s="47" t="n"/>
      <c r="Q583" s="47" t="n"/>
      <c r="R583" s="47" t="n"/>
      <c r="S583" s="47" t="n"/>
      <c r="T583" s="47" t="n"/>
      <c r="U583" s="47" t="n"/>
      <c r="V583" s="47" t="n"/>
      <c r="W583" s="47" t="n"/>
      <c r="X583" s="47" t="n"/>
      <c r="Y583" s="47" t="n"/>
      <c r="Z583" s="47" t="n"/>
    </row>
    <row r="584">
      <c r="A584" s="55" t="n"/>
      <c r="B584" s="46" t="n"/>
      <c r="C584" s="47" t="n"/>
      <c r="D584" s="47" t="n"/>
      <c r="E584" s="47" t="n"/>
      <c r="F584" s="47" t="n"/>
      <c r="G584" s="47" t="n"/>
      <c r="H584" s="47" t="n"/>
      <c r="I584" s="47" t="n"/>
      <c r="J584" s="47" t="n"/>
      <c r="K584" s="47" t="n"/>
      <c r="L584" s="47" t="n"/>
      <c r="M584" s="47" t="n"/>
      <c r="N584" s="47" t="n"/>
      <c r="O584" s="47" t="n"/>
      <c r="P584" s="47" t="n"/>
      <c r="Q584" s="47" t="n"/>
      <c r="R584" s="47" t="n"/>
      <c r="S584" s="47" t="n"/>
      <c r="T584" s="47" t="n"/>
      <c r="U584" s="47" t="n"/>
      <c r="V584" s="47" t="n"/>
      <c r="W584" s="47" t="n"/>
      <c r="X584" s="47" t="n"/>
      <c r="Y584" s="47" t="n"/>
      <c r="Z584" s="47" t="n"/>
    </row>
    <row r="585">
      <c r="A585" s="55" t="n"/>
      <c r="B585" s="46" t="n"/>
      <c r="C585" s="47" t="n"/>
      <c r="D585" s="47" t="n"/>
      <c r="E585" s="47" t="n"/>
      <c r="F585" s="47" t="n"/>
      <c r="G585" s="47" t="n"/>
      <c r="H585" s="47" t="n"/>
      <c r="I585" s="47" t="n"/>
      <c r="J585" s="47" t="n"/>
      <c r="K585" s="47" t="n"/>
      <c r="L585" s="47" t="n"/>
      <c r="M585" s="47" t="n"/>
      <c r="N585" s="47" t="n"/>
      <c r="O585" s="47" t="n"/>
      <c r="P585" s="47" t="n"/>
      <c r="Q585" s="47" t="n"/>
      <c r="R585" s="47" t="n"/>
      <c r="S585" s="47" t="n"/>
      <c r="T585" s="47" t="n"/>
      <c r="U585" s="47" t="n"/>
      <c r="V585" s="47" t="n"/>
      <c r="W585" s="47" t="n"/>
      <c r="X585" s="47" t="n"/>
      <c r="Y585" s="47" t="n"/>
      <c r="Z585" s="47" t="n"/>
    </row>
    <row r="586">
      <c r="A586" s="55" t="n"/>
      <c r="B586" s="46" t="n"/>
      <c r="C586" s="47" t="n"/>
      <c r="D586" s="47" t="n"/>
      <c r="E586" s="47" t="n"/>
      <c r="F586" s="47" t="n"/>
      <c r="G586" s="47" t="n"/>
      <c r="H586" s="47" t="n"/>
      <c r="I586" s="47" t="n"/>
      <c r="J586" s="47" t="n"/>
      <c r="K586" s="47" t="n"/>
      <c r="L586" s="47" t="n"/>
      <c r="M586" s="47" t="n"/>
      <c r="N586" s="47" t="n"/>
      <c r="O586" s="47" t="n"/>
      <c r="P586" s="47" t="n"/>
      <c r="Q586" s="47" t="n"/>
      <c r="R586" s="47" t="n"/>
      <c r="S586" s="47" t="n"/>
      <c r="T586" s="47" t="n"/>
      <c r="U586" s="47" t="n"/>
      <c r="V586" s="47" t="n"/>
      <c r="W586" s="47" t="n"/>
      <c r="X586" s="47" t="n"/>
      <c r="Y586" s="47" t="n"/>
      <c r="Z586" s="47" t="n"/>
    </row>
    <row r="587">
      <c r="A587" s="55" t="n"/>
      <c r="B587" s="46" t="n"/>
      <c r="C587" s="47" t="n"/>
      <c r="D587" s="47" t="n"/>
      <c r="E587" s="47" t="n"/>
      <c r="F587" s="47" t="n"/>
      <c r="G587" s="47" t="n"/>
      <c r="H587" s="47" t="n"/>
      <c r="I587" s="47" t="n"/>
      <c r="J587" s="47" t="n"/>
      <c r="K587" s="47" t="n"/>
      <c r="L587" s="47" t="n"/>
      <c r="M587" s="47" t="n"/>
      <c r="N587" s="47" t="n"/>
      <c r="O587" s="47" t="n"/>
      <c r="P587" s="47" t="n"/>
      <c r="Q587" s="47" t="n"/>
      <c r="R587" s="47" t="n"/>
      <c r="S587" s="47" t="n"/>
      <c r="T587" s="47" t="n"/>
      <c r="U587" s="47" t="n"/>
      <c r="V587" s="47" t="n"/>
      <c r="W587" s="47" t="n"/>
      <c r="X587" s="47" t="n"/>
      <c r="Y587" s="47" t="n"/>
      <c r="Z587" s="47" t="n"/>
    </row>
    <row r="588">
      <c r="A588" s="55" t="n"/>
      <c r="B588" s="46" t="n"/>
      <c r="C588" s="47" t="n"/>
      <c r="D588" s="47" t="n"/>
      <c r="E588" s="47" t="n"/>
      <c r="F588" s="47" t="n"/>
      <c r="G588" s="47" t="n"/>
      <c r="H588" s="47" t="n"/>
      <c r="I588" s="47" t="n"/>
      <c r="J588" s="47" t="n"/>
      <c r="K588" s="47" t="n"/>
      <c r="L588" s="47" t="n"/>
      <c r="M588" s="47" t="n"/>
      <c r="N588" s="47" t="n"/>
      <c r="O588" s="47" t="n"/>
      <c r="P588" s="47" t="n"/>
      <c r="Q588" s="47" t="n"/>
      <c r="R588" s="47" t="n"/>
      <c r="S588" s="47" t="n"/>
      <c r="T588" s="47" t="n"/>
      <c r="U588" s="47" t="n"/>
      <c r="V588" s="47" t="n"/>
      <c r="W588" s="47" t="n"/>
      <c r="X588" s="47" t="n"/>
      <c r="Y588" s="47" t="n"/>
      <c r="Z588" s="47" t="n"/>
    </row>
    <row r="589">
      <c r="A589" s="55" t="n"/>
      <c r="B589" s="46" t="n"/>
      <c r="C589" s="47" t="n"/>
      <c r="D589" s="47" t="n"/>
      <c r="E589" s="47" t="n"/>
      <c r="F589" s="47" t="n"/>
      <c r="G589" s="47" t="n"/>
      <c r="H589" s="47" t="n"/>
      <c r="I589" s="47" t="n"/>
      <c r="J589" s="47" t="n"/>
      <c r="K589" s="47" t="n"/>
      <c r="L589" s="47" t="n"/>
      <c r="M589" s="47" t="n"/>
      <c r="N589" s="47" t="n"/>
      <c r="O589" s="47" t="n"/>
      <c r="P589" s="47" t="n"/>
      <c r="Q589" s="47" t="n"/>
      <c r="R589" s="47" t="n"/>
      <c r="S589" s="47" t="n"/>
      <c r="T589" s="47" t="n"/>
      <c r="U589" s="47" t="n"/>
      <c r="V589" s="47" t="n"/>
      <c r="W589" s="47" t="n"/>
      <c r="X589" s="47" t="n"/>
      <c r="Y589" s="47" t="n"/>
      <c r="Z589" s="47" t="n"/>
    </row>
    <row r="590">
      <c r="A590" s="55" t="n"/>
      <c r="B590" s="46" t="n"/>
      <c r="C590" s="47" t="n"/>
      <c r="D590" s="47" t="n"/>
      <c r="E590" s="47" t="n"/>
      <c r="F590" s="47" t="n"/>
      <c r="G590" s="47" t="n"/>
      <c r="H590" s="47" t="n"/>
      <c r="I590" s="47" t="n"/>
      <c r="J590" s="47" t="n"/>
      <c r="K590" s="47" t="n"/>
      <c r="L590" s="47" t="n"/>
      <c r="M590" s="47" t="n"/>
      <c r="N590" s="47" t="n"/>
      <c r="O590" s="47" t="n"/>
      <c r="P590" s="47" t="n"/>
      <c r="Q590" s="47" t="n"/>
      <c r="R590" s="47" t="n"/>
      <c r="S590" s="47" t="n"/>
      <c r="T590" s="47" t="n"/>
      <c r="U590" s="47" t="n"/>
      <c r="V590" s="47" t="n"/>
      <c r="W590" s="47" t="n"/>
      <c r="X590" s="47" t="n"/>
      <c r="Y590" s="47" t="n"/>
      <c r="Z590" s="47" t="n"/>
    </row>
    <row r="591">
      <c r="A591" s="55" t="n"/>
      <c r="B591" s="46" t="n"/>
      <c r="C591" s="47" t="n"/>
      <c r="D591" s="47" t="n"/>
      <c r="E591" s="47" t="n"/>
      <c r="F591" s="47" t="n"/>
      <c r="G591" s="47" t="n"/>
      <c r="H591" s="47" t="n"/>
      <c r="I591" s="47" t="n"/>
      <c r="J591" s="47" t="n"/>
      <c r="K591" s="47" t="n"/>
      <c r="L591" s="47" t="n"/>
      <c r="M591" s="47" t="n"/>
      <c r="N591" s="47" t="n"/>
      <c r="O591" s="47" t="n"/>
      <c r="P591" s="47" t="n"/>
      <c r="Q591" s="47" t="n"/>
      <c r="R591" s="47" t="n"/>
      <c r="S591" s="47" t="n"/>
      <c r="T591" s="47" t="n"/>
      <c r="U591" s="47" t="n"/>
      <c r="V591" s="47" t="n"/>
      <c r="W591" s="47" t="n"/>
      <c r="X591" s="47" t="n"/>
      <c r="Y591" s="47" t="n"/>
      <c r="Z591" s="47" t="n"/>
    </row>
    <row r="592">
      <c r="A592" s="55" t="n"/>
      <c r="B592" s="46" t="n"/>
      <c r="C592" s="47" t="n"/>
      <c r="D592" s="47" t="n"/>
      <c r="E592" s="47" t="n"/>
      <c r="F592" s="47" t="n"/>
      <c r="G592" s="47" t="n"/>
      <c r="H592" s="47" t="n"/>
      <c r="I592" s="47" t="n"/>
      <c r="J592" s="47" t="n"/>
      <c r="K592" s="47" t="n"/>
      <c r="L592" s="47" t="n"/>
      <c r="M592" s="47" t="n"/>
      <c r="N592" s="47" t="n"/>
      <c r="O592" s="47" t="n"/>
      <c r="P592" s="47" t="n"/>
      <c r="Q592" s="47" t="n"/>
      <c r="R592" s="47" t="n"/>
      <c r="S592" s="47" t="n"/>
      <c r="T592" s="47" t="n"/>
      <c r="U592" s="47" t="n"/>
      <c r="V592" s="47" t="n"/>
      <c r="W592" s="47" t="n"/>
      <c r="X592" s="47" t="n"/>
      <c r="Y592" s="47" t="n"/>
      <c r="Z592" s="47" t="n"/>
    </row>
    <row r="593">
      <c r="A593" s="55" t="n"/>
      <c r="B593" s="46" t="n"/>
      <c r="C593" s="47" t="n"/>
      <c r="D593" s="47" t="n"/>
      <c r="E593" s="47" t="n"/>
      <c r="F593" s="47" t="n"/>
      <c r="G593" s="47" t="n"/>
      <c r="H593" s="47" t="n"/>
      <c r="I593" s="47" t="n"/>
      <c r="J593" s="47" t="n"/>
      <c r="K593" s="47" t="n"/>
      <c r="L593" s="47" t="n"/>
      <c r="M593" s="47" t="n"/>
      <c r="N593" s="47" t="n"/>
      <c r="O593" s="47" t="n"/>
      <c r="P593" s="47" t="n"/>
      <c r="Q593" s="47" t="n"/>
      <c r="R593" s="47" t="n"/>
      <c r="S593" s="47" t="n"/>
      <c r="T593" s="47" t="n"/>
      <c r="U593" s="47" t="n"/>
      <c r="V593" s="47" t="n"/>
      <c r="W593" s="47" t="n"/>
      <c r="X593" s="47" t="n"/>
      <c r="Y593" s="47" t="n"/>
      <c r="Z593" s="47" t="n"/>
    </row>
    <row r="594">
      <c r="A594" s="55" t="n"/>
      <c r="B594" s="46" t="n"/>
      <c r="C594" s="47" t="n"/>
      <c r="D594" s="47" t="n"/>
      <c r="E594" s="47" t="n"/>
      <c r="F594" s="47" t="n"/>
      <c r="G594" s="47" t="n"/>
      <c r="H594" s="47" t="n"/>
      <c r="I594" s="47" t="n"/>
      <c r="J594" s="47" t="n"/>
      <c r="K594" s="47" t="n"/>
      <c r="L594" s="47" t="n"/>
      <c r="M594" s="47" t="n"/>
      <c r="N594" s="47" t="n"/>
      <c r="O594" s="47" t="n"/>
      <c r="P594" s="47" t="n"/>
      <c r="Q594" s="47" t="n"/>
      <c r="R594" s="47" t="n"/>
      <c r="S594" s="47" t="n"/>
      <c r="T594" s="47" t="n"/>
      <c r="U594" s="47" t="n"/>
      <c r="V594" s="47" t="n"/>
      <c r="W594" s="47" t="n"/>
      <c r="X594" s="47" t="n"/>
      <c r="Y594" s="47" t="n"/>
      <c r="Z594" s="47" t="n"/>
    </row>
    <row r="595">
      <c r="A595" s="55" t="n"/>
      <c r="B595" s="46" t="n"/>
      <c r="C595" s="47" t="n"/>
      <c r="D595" s="47" t="n"/>
      <c r="E595" s="47" t="n"/>
      <c r="F595" s="47" t="n"/>
      <c r="G595" s="47" t="n"/>
      <c r="H595" s="47" t="n"/>
      <c r="I595" s="47" t="n"/>
      <c r="J595" s="47" t="n"/>
      <c r="K595" s="47" t="n"/>
      <c r="L595" s="47" t="n"/>
      <c r="M595" s="47" t="n"/>
      <c r="N595" s="47" t="n"/>
      <c r="O595" s="47" t="n"/>
      <c r="P595" s="47" t="n"/>
      <c r="Q595" s="47" t="n"/>
      <c r="R595" s="47" t="n"/>
      <c r="S595" s="47" t="n"/>
      <c r="T595" s="47" t="n"/>
      <c r="U595" s="47" t="n"/>
      <c r="V595" s="47" t="n"/>
      <c r="W595" s="47" t="n"/>
      <c r="X595" s="47" t="n"/>
      <c r="Y595" s="47" t="n"/>
      <c r="Z595" s="47" t="n"/>
    </row>
    <row r="596">
      <c r="A596" s="55" t="n"/>
      <c r="B596" s="46" t="n"/>
      <c r="C596" s="47" t="n"/>
      <c r="D596" s="47" t="n"/>
      <c r="E596" s="47" t="n"/>
      <c r="F596" s="47" t="n"/>
      <c r="G596" s="47" t="n"/>
      <c r="H596" s="47" t="n"/>
      <c r="I596" s="47" t="n"/>
      <c r="J596" s="47" t="n"/>
      <c r="K596" s="47" t="n"/>
      <c r="L596" s="47" t="n"/>
      <c r="M596" s="47" t="n"/>
      <c r="N596" s="47" t="n"/>
      <c r="O596" s="47" t="n"/>
      <c r="P596" s="47" t="n"/>
      <c r="Q596" s="47" t="n"/>
      <c r="R596" s="47" t="n"/>
      <c r="S596" s="47" t="n"/>
      <c r="T596" s="47" t="n"/>
      <c r="U596" s="47" t="n"/>
      <c r="V596" s="47" t="n"/>
      <c r="W596" s="47" t="n"/>
      <c r="X596" s="47" t="n"/>
      <c r="Y596" s="47" t="n"/>
      <c r="Z596" s="47" t="n"/>
    </row>
    <row r="597">
      <c r="A597" s="55" t="n"/>
      <c r="B597" s="46" t="n"/>
      <c r="C597" s="47" t="n"/>
      <c r="D597" s="47" t="n"/>
      <c r="E597" s="47" t="n"/>
      <c r="F597" s="47" t="n"/>
      <c r="G597" s="47" t="n"/>
      <c r="H597" s="47" t="n"/>
      <c r="I597" s="47" t="n"/>
      <c r="J597" s="47" t="n"/>
      <c r="K597" s="47" t="n"/>
      <c r="L597" s="47" t="n"/>
      <c r="M597" s="47" t="n"/>
      <c r="N597" s="47" t="n"/>
      <c r="O597" s="47" t="n"/>
      <c r="P597" s="47" t="n"/>
      <c r="Q597" s="47" t="n"/>
      <c r="R597" s="47" t="n"/>
      <c r="S597" s="47" t="n"/>
      <c r="T597" s="47" t="n"/>
      <c r="U597" s="47" t="n"/>
      <c r="V597" s="47" t="n"/>
      <c r="W597" s="47" t="n"/>
      <c r="X597" s="47" t="n"/>
      <c r="Y597" s="47" t="n"/>
      <c r="Z597" s="47" t="n"/>
    </row>
    <row r="598">
      <c r="A598" s="55" t="n"/>
      <c r="B598" s="46" t="n"/>
      <c r="C598" s="47" t="n"/>
      <c r="D598" s="47" t="n"/>
      <c r="E598" s="47" t="n"/>
      <c r="F598" s="47" t="n"/>
      <c r="G598" s="47" t="n"/>
      <c r="H598" s="47" t="n"/>
      <c r="I598" s="47" t="n"/>
      <c r="J598" s="47" t="n"/>
      <c r="K598" s="47" t="n"/>
      <c r="L598" s="47" t="n"/>
      <c r="M598" s="47" t="n"/>
      <c r="N598" s="47" t="n"/>
      <c r="O598" s="47" t="n"/>
      <c r="P598" s="47" t="n"/>
      <c r="Q598" s="47" t="n"/>
      <c r="R598" s="47" t="n"/>
      <c r="S598" s="47" t="n"/>
      <c r="T598" s="47" t="n"/>
      <c r="U598" s="47" t="n"/>
      <c r="V598" s="47" t="n"/>
      <c r="W598" s="47" t="n"/>
      <c r="X598" s="47" t="n"/>
      <c r="Y598" s="47" t="n"/>
      <c r="Z598" s="47" t="n"/>
    </row>
    <row r="599">
      <c r="A599" s="55" t="n"/>
      <c r="B599" s="46" t="n"/>
      <c r="C599" s="47" t="n"/>
      <c r="D599" s="47" t="n"/>
      <c r="E599" s="47" t="n"/>
      <c r="F599" s="47" t="n"/>
      <c r="G599" s="47" t="n"/>
      <c r="H599" s="47" t="n"/>
      <c r="I599" s="47" t="n"/>
      <c r="J599" s="47" t="n"/>
      <c r="K599" s="47" t="n"/>
      <c r="L599" s="47" t="n"/>
      <c r="M599" s="47" t="n"/>
      <c r="N599" s="47" t="n"/>
      <c r="O599" s="47" t="n"/>
      <c r="P599" s="47" t="n"/>
      <c r="Q599" s="47" t="n"/>
      <c r="R599" s="47" t="n"/>
      <c r="S599" s="47" t="n"/>
      <c r="T599" s="47" t="n"/>
      <c r="U599" s="47" t="n"/>
      <c r="V599" s="47" t="n"/>
      <c r="W599" s="47" t="n"/>
      <c r="X599" s="47" t="n"/>
      <c r="Y599" s="47" t="n"/>
      <c r="Z599" s="47" t="n"/>
    </row>
    <row r="600">
      <c r="A600" s="55" t="n"/>
      <c r="B600" s="46" t="n"/>
      <c r="C600" s="47" t="n"/>
      <c r="D600" s="47" t="n"/>
      <c r="E600" s="47" t="n"/>
      <c r="F600" s="47" t="n"/>
      <c r="G600" s="47" t="n"/>
      <c r="H600" s="47" t="n"/>
      <c r="I600" s="47" t="n"/>
      <c r="J600" s="47" t="n"/>
      <c r="K600" s="47" t="n"/>
      <c r="L600" s="47" t="n"/>
      <c r="M600" s="47" t="n"/>
      <c r="N600" s="47" t="n"/>
      <c r="O600" s="47" t="n"/>
      <c r="P600" s="47" t="n"/>
      <c r="Q600" s="47" t="n"/>
      <c r="R600" s="47" t="n"/>
      <c r="S600" s="47" t="n"/>
      <c r="T600" s="47" t="n"/>
      <c r="U600" s="47" t="n"/>
      <c r="V600" s="47" t="n"/>
      <c r="W600" s="47" t="n"/>
      <c r="X600" s="47" t="n"/>
      <c r="Y600" s="47" t="n"/>
      <c r="Z600" s="47" t="n"/>
    </row>
    <row r="601">
      <c r="A601" s="55" t="n"/>
      <c r="B601" s="46" t="n"/>
      <c r="C601" s="47" t="n"/>
      <c r="D601" s="47" t="n"/>
      <c r="E601" s="47" t="n"/>
      <c r="F601" s="47" t="n"/>
      <c r="G601" s="47" t="n"/>
      <c r="H601" s="47" t="n"/>
      <c r="I601" s="47" t="n"/>
      <c r="J601" s="47" t="n"/>
      <c r="K601" s="47" t="n"/>
      <c r="L601" s="47" t="n"/>
      <c r="M601" s="47" t="n"/>
      <c r="N601" s="47" t="n"/>
      <c r="O601" s="47" t="n"/>
      <c r="P601" s="47" t="n"/>
      <c r="Q601" s="47" t="n"/>
      <c r="R601" s="47" t="n"/>
      <c r="S601" s="47" t="n"/>
      <c r="T601" s="47" t="n"/>
      <c r="U601" s="47" t="n"/>
      <c r="V601" s="47" t="n"/>
      <c r="W601" s="47" t="n"/>
      <c r="X601" s="47" t="n"/>
      <c r="Y601" s="47" t="n"/>
      <c r="Z601" s="47" t="n"/>
    </row>
    <row r="602">
      <c r="A602" s="55" t="n"/>
      <c r="B602" s="46" t="n"/>
      <c r="C602" s="47" t="n"/>
      <c r="D602" s="47" t="n"/>
      <c r="E602" s="47" t="n"/>
      <c r="F602" s="47" t="n"/>
      <c r="G602" s="47" t="n"/>
      <c r="H602" s="47" t="n"/>
      <c r="I602" s="47" t="n"/>
      <c r="J602" s="47" t="n"/>
      <c r="K602" s="47" t="n"/>
      <c r="L602" s="47" t="n"/>
      <c r="M602" s="47" t="n"/>
      <c r="N602" s="47" t="n"/>
      <c r="O602" s="47" t="n"/>
      <c r="P602" s="47" t="n"/>
      <c r="Q602" s="47" t="n"/>
      <c r="R602" s="47" t="n"/>
      <c r="S602" s="47" t="n"/>
      <c r="T602" s="47" t="n"/>
      <c r="U602" s="47" t="n"/>
      <c r="V602" s="47" t="n"/>
      <c r="W602" s="47" t="n"/>
      <c r="X602" s="47" t="n"/>
      <c r="Y602" s="47" t="n"/>
      <c r="Z602" s="47" t="n"/>
    </row>
    <row r="603">
      <c r="A603" s="55" t="n"/>
      <c r="B603" s="46" t="n"/>
      <c r="C603" s="47" t="n"/>
      <c r="D603" s="47" t="n"/>
      <c r="E603" s="47" t="n"/>
      <c r="F603" s="47" t="n"/>
      <c r="G603" s="47" t="n"/>
      <c r="H603" s="47" t="n"/>
      <c r="I603" s="47" t="n"/>
      <c r="J603" s="47" t="n"/>
      <c r="K603" s="47" t="n"/>
      <c r="L603" s="47" t="n"/>
      <c r="M603" s="47" t="n"/>
      <c r="N603" s="47" t="n"/>
      <c r="O603" s="47" t="n"/>
      <c r="P603" s="47" t="n"/>
      <c r="Q603" s="47" t="n"/>
      <c r="R603" s="47" t="n"/>
      <c r="S603" s="47" t="n"/>
      <c r="T603" s="47" t="n"/>
      <c r="U603" s="47" t="n"/>
      <c r="V603" s="47" t="n"/>
      <c r="W603" s="47" t="n"/>
      <c r="X603" s="47" t="n"/>
      <c r="Y603" s="47" t="n"/>
      <c r="Z603" s="47" t="n"/>
    </row>
    <row r="604">
      <c r="A604" s="55" t="n"/>
      <c r="B604" s="46" t="n"/>
      <c r="C604" s="47" t="n"/>
      <c r="D604" s="47" t="n"/>
      <c r="E604" s="47" t="n"/>
      <c r="F604" s="47" t="n"/>
      <c r="G604" s="47" t="n"/>
      <c r="H604" s="47" t="n"/>
      <c r="I604" s="47" t="n"/>
      <c r="J604" s="47" t="n"/>
      <c r="K604" s="47" t="n"/>
      <c r="L604" s="47" t="n"/>
      <c r="M604" s="47" t="n"/>
      <c r="N604" s="47" t="n"/>
      <c r="O604" s="47" t="n"/>
      <c r="P604" s="47" t="n"/>
      <c r="Q604" s="47" t="n"/>
      <c r="R604" s="47" t="n"/>
      <c r="S604" s="47" t="n"/>
      <c r="T604" s="47" t="n"/>
      <c r="U604" s="47" t="n"/>
      <c r="V604" s="47" t="n"/>
      <c r="W604" s="47" t="n"/>
      <c r="X604" s="47" t="n"/>
      <c r="Y604" s="47" t="n"/>
      <c r="Z604" s="47" t="n"/>
    </row>
    <row r="605">
      <c r="A605" s="55" t="n"/>
      <c r="B605" s="46" t="n"/>
      <c r="C605" s="47" t="n"/>
      <c r="D605" s="47" t="n"/>
      <c r="E605" s="47" t="n"/>
      <c r="F605" s="47" t="n"/>
      <c r="G605" s="47" t="n"/>
      <c r="H605" s="47" t="n"/>
      <c r="I605" s="47" t="n"/>
      <c r="J605" s="47" t="n"/>
      <c r="K605" s="47" t="n"/>
      <c r="L605" s="47" t="n"/>
      <c r="M605" s="47" t="n"/>
      <c r="N605" s="47" t="n"/>
      <c r="O605" s="47" t="n"/>
      <c r="P605" s="47" t="n"/>
      <c r="Q605" s="47" t="n"/>
      <c r="R605" s="47" t="n"/>
      <c r="S605" s="47" t="n"/>
      <c r="T605" s="47" t="n"/>
      <c r="U605" s="47" t="n"/>
      <c r="V605" s="47" t="n"/>
      <c r="W605" s="47" t="n"/>
      <c r="X605" s="47" t="n"/>
      <c r="Y605" s="47" t="n"/>
      <c r="Z605" s="47" t="n"/>
    </row>
    <row r="606">
      <c r="A606" s="55" t="n"/>
      <c r="B606" s="46" t="n"/>
      <c r="C606" s="47" t="n"/>
      <c r="D606" s="47" t="n"/>
      <c r="E606" s="47" t="n"/>
      <c r="F606" s="47" t="n"/>
      <c r="G606" s="47" t="n"/>
      <c r="H606" s="47" t="n"/>
      <c r="I606" s="47" t="n"/>
      <c r="J606" s="47" t="n"/>
      <c r="K606" s="47" t="n"/>
      <c r="L606" s="47" t="n"/>
      <c r="M606" s="47" t="n"/>
      <c r="N606" s="47" t="n"/>
      <c r="O606" s="47" t="n"/>
      <c r="P606" s="47" t="n"/>
      <c r="Q606" s="47" t="n"/>
      <c r="R606" s="47" t="n"/>
      <c r="S606" s="47" t="n"/>
      <c r="T606" s="47" t="n"/>
      <c r="U606" s="47" t="n"/>
      <c r="V606" s="47" t="n"/>
      <c r="W606" s="47" t="n"/>
      <c r="X606" s="47" t="n"/>
      <c r="Y606" s="47" t="n"/>
      <c r="Z606" s="47" t="n"/>
    </row>
    <row r="607">
      <c r="A607" s="55" t="n"/>
      <c r="B607" s="46" t="n"/>
      <c r="C607" s="47" t="n"/>
      <c r="D607" s="47" t="n"/>
      <c r="E607" s="47" t="n"/>
      <c r="F607" s="47" t="n"/>
      <c r="G607" s="47" t="n"/>
      <c r="H607" s="47" t="n"/>
      <c r="I607" s="47" t="n"/>
      <c r="J607" s="47" t="n"/>
      <c r="K607" s="47" t="n"/>
      <c r="L607" s="47" t="n"/>
      <c r="M607" s="47" t="n"/>
      <c r="N607" s="47" t="n"/>
      <c r="O607" s="47" t="n"/>
      <c r="P607" s="47" t="n"/>
      <c r="Q607" s="47" t="n"/>
      <c r="R607" s="47" t="n"/>
      <c r="S607" s="47" t="n"/>
      <c r="T607" s="47" t="n"/>
      <c r="U607" s="47" t="n"/>
      <c r="V607" s="47" t="n"/>
      <c r="W607" s="47" t="n"/>
      <c r="X607" s="47" t="n"/>
      <c r="Y607" s="47" t="n"/>
      <c r="Z607" s="47" t="n"/>
    </row>
    <row r="608">
      <c r="A608" s="55" t="n"/>
      <c r="B608" s="46" t="n"/>
      <c r="C608" s="47" t="n"/>
      <c r="D608" s="47" t="n"/>
      <c r="E608" s="47" t="n"/>
      <c r="F608" s="47" t="n"/>
      <c r="G608" s="47" t="n"/>
      <c r="H608" s="47" t="n"/>
      <c r="I608" s="47" t="n"/>
      <c r="J608" s="47" t="n"/>
      <c r="K608" s="47" t="n"/>
      <c r="L608" s="47" t="n"/>
      <c r="M608" s="47" t="n"/>
      <c r="N608" s="47" t="n"/>
      <c r="O608" s="47" t="n"/>
      <c r="P608" s="47" t="n"/>
      <c r="Q608" s="47" t="n"/>
      <c r="R608" s="47" t="n"/>
      <c r="S608" s="47" t="n"/>
      <c r="T608" s="47" t="n"/>
      <c r="U608" s="47" t="n"/>
      <c r="V608" s="47" t="n"/>
      <c r="W608" s="47" t="n"/>
      <c r="X608" s="47" t="n"/>
      <c r="Y608" s="47" t="n"/>
      <c r="Z608" s="47" t="n"/>
    </row>
    <row r="609">
      <c r="A609" s="55" t="n"/>
      <c r="B609" s="46" t="n"/>
      <c r="C609" s="47" t="n"/>
      <c r="D609" s="47" t="n"/>
      <c r="E609" s="47" t="n"/>
      <c r="F609" s="47" t="n"/>
      <c r="G609" s="47" t="n"/>
      <c r="H609" s="47" t="n"/>
      <c r="I609" s="47" t="n"/>
      <c r="J609" s="47" t="n"/>
      <c r="K609" s="47" t="n"/>
      <c r="L609" s="47" t="n"/>
      <c r="M609" s="47" t="n"/>
      <c r="N609" s="47" t="n"/>
      <c r="O609" s="47" t="n"/>
      <c r="P609" s="47" t="n"/>
      <c r="Q609" s="47" t="n"/>
      <c r="R609" s="47" t="n"/>
      <c r="S609" s="47" t="n"/>
      <c r="T609" s="47" t="n"/>
      <c r="U609" s="47" t="n"/>
      <c r="V609" s="47" t="n"/>
      <c r="W609" s="47" t="n"/>
      <c r="X609" s="47" t="n"/>
      <c r="Y609" s="47" t="n"/>
      <c r="Z609" s="47" t="n"/>
    </row>
    <row r="610">
      <c r="A610" s="55" t="n"/>
      <c r="B610" s="46" t="n"/>
      <c r="C610" s="47" t="n"/>
      <c r="D610" s="47" t="n"/>
      <c r="E610" s="47" t="n"/>
      <c r="F610" s="47" t="n"/>
      <c r="G610" s="47" t="n"/>
      <c r="H610" s="47" t="n"/>
      <c r="I610" s="47" t="n"/>
      <c r="J610" s="47" t="n"/>
      <c r="K610" s="47" t="n"/>
      <c r="L610" s="47" t="n"/>
      <c r="M610" s="47" t="n"/>
      <c r="N610" s="47" t="n"/>
      <c r="O610" s="47" t="n"/>
      <c r="P610" s="47" t="n"/>
      <c r="Q610" s="47" t="n"/>
      <c r="R610" s="47" t="n"/>
      <c r="S610" s="47" t="n"/>
      <c r="T610" s="47" t="n"/>
      <c r="U610" s="47" t="n"/>
      <c r="V610" s="47" t="n"/>
      <c r="W610" s="47" t="n"/>
      <c r="X610" s="47" t="n"/>
      <c r="Y610" s="47" t="n"/>
      <c r="Z610" s="47" t="n"/>
    </row>
    <row r="611">
      <c r="A611" s="55" t="n"/>
      <c r="B611" s="46" t="n"/>
      <c r="C611" s="47" t="n"/>
      <c r="D611" s="47" t="n"/>
      <c r="E611" s="47" t="n"/>
      <c r="F611" s="47" t="n"/>
      <c r="G611" s="47" t="n"/>
      <c r="H611" s="47" t="n"/>
      <c r="I611" s="47" t="n"/>
      <c r="J611" s="47" t="n"/>
      <c r="K611" s="47" t="n"/>
      <c r="L611" s="47" t="n"/>
      <c r="M611" s="47" t="n"/>
      <c r="N611" s="47" t="n"/>
      <c r="O611" s="47" t="n"/>
      <c r="P611" s="47" t="n"/>
      <c r="Q611" s="47" t="n"/>
      <c r="R611" s="47" t="n"/>
      <c r="S611" s="47" t="n"/>
      <c r="T611" s="47" t="n"/>
      <c r="U611" s="47" t="n"/>
      <c r="V611" s="47" t="n"/>
      <c r="W611" s="47" t="n"/>
      <c r="X611" s="47" t="n"/>
      <c r="Y611" s="47" t="n"/>
      <c r="Z611" s="47" t="n"/>
    </row>
    <row r="612">
      <c r="A612" s="55" t="n"/>
      <c r="B612" s="46" t="n"/>
      <c r="C612" s="47" t="n"/>
      <c r="D612" s="47" t="n"/>
      <c r="E612" s="47" t="n"/>
      <c r="F612" s="47" t="n"/>
      <c r="G612" s="47" t="n"/>
      <c r="H612" s="47" t="n"/>
      <c r="I612" s="47" t="n"/>
      <c r="J612" s="47" t="n"/>
      <c r="K612" s="47" t="n"/>
      <c r="L612" s="47" t="n"/>
      <c r="M612" s="47" t="n"/>
      <c r="N612" s="47" t="n"/>
      <c r="O612" s="47" t="n"/>
      <c r="P612" s="47" t="n"/>
      <c r="Q612" s="47" t="n"/>
      <c r="R612" s="47" t="n"/>
      <c r="S612" s="47" t="n"/>
      <c r="T612" s="47" t="n"/>
      <c r="U612" s="47" t="n"/>
      <c r="V612" s="47" t="n"/>
      <c r="W612" s="47" t="n"/>
      <c r="X612" s="47" t="n"/>
      <c r="Y612" s="47" t="n"/>
      <c r="Z612" s="47" t="n"/>
    </row>
    <row r="613">
      <c r="A613" s="55" t="n"/>
      <c r="B613" s="46" t="n"/>
      <c r="C613" s="47" t="n"/>
      <c r="D613" s="47" t="n"/>
      <c r="E613" s="47" t="n"/>
      <c r="F613" s="47" t="n"/>
      <c r="G613" s="47" t="n"/>
      <c r="H613" s="47" t="n"/>
      <c r="I613" s="47" t="n"/>
      <c r="J613" s="47" t="n"/>
      <c r="K613" s="47" t="n"/>
      <c r="L613" s="47" t="n"/>
      <c r="M613" s="47" t="n"/>
      <c r="N613" s="47" t="n"/>
      <c r="O613" s="47" t="n"/>
      <c r="P613" s="47" t="n"/>
      <c r="Q613" s="47" t="n"/>
      <c r="R613" s="47" t="n"/>
      <c r="S613" s="47" t="n"/>
      <c r="T613" s="47" t="n"/>
      <c r="U613" s="47" t="n"/>
      <c r="V613" s="47" t="n"/>
      <c r="W613" s="47" t="n"/>
      <c r="X613" s="47" t="n"/>
      <c r="Y613" s="47" t="n"/>
      <c r="Z613" s="47" t="n"/>
    </row>
    <row r="614">
      <c r="A614" s="55" t="n"/>
      <c r="B614" s="46" t="n"/>
      <c r="C614" s="47" t="n"/>
      <c r="D614" s="47" t="n"/>
      <c r="E614" s="47" t="n"/>
      <c r="F614" s="47" t="n"/>
      <c r="G614" s="47" t="n"/>
      <c r="H614" s="47" t="n"/>
      <c r="I614" s="47" t="n"/>
      <c r="J614" s="47" t="n"/>
      <c r="K614" s="47" t="n"/>
      <c r="L614" s="47" t="n"/>
      <c r="M614" s="47" t="n"/>
      <c r="N614" s="47" t="n"/>
      <c r="O614" s="47" t="n"/>
      <c r="P614" s="47" t="n"/>
      <c r="Q614" s="47" t="n"/>
      <c r="R614" s="47" t="n"/>
      <c r="S614" s="47" t="n"/>
      <c r="T614" s="47" t="n"/>
      <c r="U614" s="47" t="n"/>
      <c r="V614" s="47" t="n"/>
      <c r="W614" s="47" t="n"/>
      <c r="X614" s="47" t="n"/>
      <c r="Y614" s="47" t="n"/>
      <c r="Z614" s="47" t="n"/>
    </row>
    <row r="615">
      <c r="A615" s="55" t="n"/>
      <c r="B615" s="46" t="n"/>
      <c r="C615" s="47" t="n"/>
      <c r="D615" s="47" t="n"/>
      <c r="E615" s="47" t="n"/>
      <c r="F615" s="47" t="n"/>
      <c r="G615" s="47" t="n"/>
      <c r="H615" s="47" t="n"/>
      <c r="I615" s="47" t="n"/>
      <c r="J615" s="47" t="n"/>
      <c r="K615" s="47" t="n"/>
      <c r="L615" s="47" t="n"/>
      <c r="M615" s="47" t="n"/>
      <c r="N615" s="47" t="n"/>
      <c r="O615" s="47" t="n"/>
      <c r="P615" s="47" t="n"/>
      <c r="Q615" s="47" t="n"/>
      <c r="R615" s="47" t="n"/>
      <c r="S615" s="47" t="n"/>
      <c r="T615" s="47" t="n"/>
      <c r="U615" s="47" t="n"/>
      <c r="V615" s="47" t="n"/>
      <c r="W615" s="47" t="n"/>
      <c r="X615" s="47" t="n"/>
      <c r="Y615" s="47" t="n"/>
      <c r="Z615" s="47" t="n"/>
    </row>
    <row r="616">
      <c r="A616" s="55" t="n"/>
      <c r="B616" s="46" t="n"/>
      <c r="C616" s="47" t="n"/>
      <c r="D616" s="47" t="n"/>
      <c r="E616" s="47" t="n"/>
      <c r="F616" s="47" t="n"/>
      <c r="G616" s="47" t="n"/>
      <c r="H616" s="47" t="n"/>
      <c r="I616" s="47" t="n"/>
      <c r="J616" s="47" t="n"/>
      <c r="K616" s="47" t="n"/>
      <c r="L616" s="47" t="n"/>
      <c r="M616" s="47" t="n"/>
      <c r="N616" s="47" t="n"/>
      <c r="O616" s="47" t="n"/>
      <c r="P616" s="47" t="n"/>
      <c r="Q616" s="47" t="n"/>
      <c r="R616" s="47" t="n"/>
      <c r="S616" s="47" t="n"/>
      <c r="T616" s="47" t="n"/>
      <c r="U616" s="47" t="n"/>
      <c r="V616" s="47" t="n"/>
      <c r="W616" s="47" t="n"/>
      <c r="X616" s="47" t="n"/>
      <c r="Y616" s="47" t="n"/>
      <c r="Z616" s="47" t="n"/>
    </row>
    <row r="617">
      <c r="A617" s="55" t="n"/>
      <c r="B617" s="46" t="n"/>
      <c r="C617" s="47" t="n"/>
      <c r="D617" s="47" t="n"/>
      <c r="E617" s="47" t="n"/>
      <c r="F617" s="47" t="n"/>
      <c r="G617" s="47" t="n"/>
      <c r="H617" s="47" t="n"/>
      <c r="I617" s="47" t="n"/>
      <c r="J617" s="47" t="n"/>
      <c r="K617" s="47" t="n"/>
      <c r="L617" s="47" t="n"/>
      <c r="M617" s="47" t="n"/>
      <c r="N617" s="47" t="n"/>
      <c r="O617" s="47" t="n"/>
      <c r="P617" s="47" t="n"/>
      <c r="Q617" s="47" t="n"/>
      <c r="R617" s="47" t="n"/>
      <c r="S617" s="47" t="n"/>
      <c r="T617" s="47" t="n"/>
      <c r="U617" s="47" t="n"/>
      <c r="V617" s="47" t="n"/>
      <c r="W617" s="47" t="n"/>
      <c r="X617" s="47" t="n"/>
      <c r="Y617" s="47" t="n"/>
      <c r="Z617" s="47" t="n"/>
    </row>
    <row r="618">
      <c r="A618" s="55" t="n"/>
      <c r="B618" s="46" t="n"/>
      <c r="C618" s="47" t="n"/>
      <c r="D618" s="47" t="n"/>
      <c r="E618" s="47" t="n"/>
      <c r="F618" s="47" t="n"/>
      <c r="G618" s="47" t="n"/>
      <c r="H618" s="47" t="n"/>
      <c r="I618" s="47" t="n"/>
      <c r="J618" s="47" t="n"/>
      <c r="K618" s="47" t="n"/>
      <c r="L618" s="47" t="n"/>
      <c r="M618" s="47" t="n"/>
      <c r="N618" s="47" t="n"/>
      <c r="O618" s="47" t="n"/>
      <c r="P618" s="47" t="n"/>
      <c r="Q618" s="47" t="n"/>
      <c r="R618" s="47" t="n"/>
      <c r="S618" s="47" t="n"/>
      <c r="T618" s="47" t="n"/>
      <c r="U618" s="47" t="n"/>
      <c r="V618" s="47" t="n"/>
      <c r="W618" s="47" t="n"/>
      <c r="X618" s="47" t="n"/>
      <c r="Y618" s="47" t="n"/>
      <c r="Z618" s="47" t="n"/>
    </row>
    <row r="619">
      <c r="A619" s="55" t="n"/>
      <c r="B619" s="46" t="n"/>
      <c r="C619" s="47" t="n"/>
      <c r="D619" s="47" t="n"/>
      <c r="E619" s="47" t="n"/>
      <c r="F619" s="47" t="n"/>
      <c r="G619" s="47" t="n"/>
      <c r="H619" s="47" t="n"/>
      <c r="I619" s="47" t="n"/>
      <c r="J619" s="47" t="n"/>
      <c r="K619" s="47" t="n"/>
      <c r="L619" s="47" t="n"/>
      <c r="M619" s="47" t="n"/>
      <c r="N619" s="47" t="n"/>
      <c r="O619" s="47" t="n"/>
      <c r="P619" s="47" t="n"/>
      <c r="Q619" s="47" t="n"/>
      <c r="R619" s="47" t="n"/>
      <c r="S619" s="47" t="n"/>
      <c r="T619" s="47" t="n"/>
      <c r="U619" s="47" t="n"/>
      <c r="V619" s="47" t="n"/>
      <c r="W619" s="47" t="n"/>
      <c r="X619" s="47" t="n"/>
      <c r="Y619" s="47" t="n"/>
      <c r="Z619" s="47" t="n"/>
    </row>
    <row r="620">
      <c r="A620" s="55" t="n"/>
      <c r="B620" s="46" t="n"/>
      <c r="C620" s="47" t="n"/>
      <c r="D620" s="47" t="n"/>
      <c r="E620" s="47" t="n"/>
      <c r="F620" s="47" t="n"/>
      <c r="G620" s="47" t="n"/>
      <c r="H620" s="47" t="n"/>
      <c r="I620" s="47" t="n"/>
      <c r="J620" s="47" t="n"/>
      <c r="K620" s="47" t="n"/>
      <c r="L620" s="47" t="n"/>
      <c r="M620" s="47" t="n"/>
      <c r="N620" s="47" t="n"/>
      <c r="O620" s="47" t="n"/>
      <c r="P620" s="47" t="n"/>
      <c r="Q620" s="47" t="n"/>
      <c r="R620" s="47" t="n"/>
      <c r="S620" s="47" t="n"/>
      <c r="T620" s="47" t="n"/>
      <c r="U620" s="47" t="n"/>
      <c r="V620" s="47" t="n"/>
      <c r="W620" s="47" t="n"/>
      <c r="X620" s="47" t="n"/>
      <c r="Y620" s="47" t="n"/>
      <c r="Z620" s="47" t="n"/>
    </row>
    <row r="621">
      <c r="A621" s="55" t="n"/>
      <c r="B621" s="46" t="n"/>
      <c r="C621" s="47" t="n"/>
      <c r="D621" s="47" t="n"/>
      <c r="E621" s="47" t="n"/>
      <c r="F621" s="47" t="n"/>
      <c r="G621" s="47" t="n"/>
      <c r="H621" s="47" t="n"/>
      <c r="I621" s="47" t="n"/>
      <c r="J621" s="47" t="n"/>
      <c r="K621" s="47" t="n"/>
      <c r="L621" s="47" t="n"/>
      <c r="M621" s="47" t="n"/>
      <c r="N621" s="47" t="n"/>
      <c r="O621" s="47" t="n"/>
      <c r="P621" s="47" t="n"/>
      <c r="Q621" s="47" t="n"/>
      <c r="R621" s="47" t="n"/>
      <c r="S621" s="47" t="n"/>
      <c r="T621" s="47" t="n"/>
      <c r="U621" s="47" t="n"/>
      <c r="V621" s="47" t="n"/>
      <c r="W621" s="47" t="n"/>
      <c r="X621" s="47" t="n"/>
      <c r="Y621" s="47" t="n"/>
      <c r="Z621" s="47" t="n"/>
    </row>
    <row r="622">
      <c r="A622" s="55" t="n"/>
      <c r="B622" s="46" t="n"/>
      <c r="C622" s="47" t="n"/>
      <c r="D622" s="47" t="n"/>
      <c r="E622" s="47" t="n"/>
      <c r="F622" s="47" t="n"/>
      <c r="G622" s="47" t="n"/>
      <c r="H622" s="47" t="n"/>
      <c r="I622" s="47" t="n"/>
      <c r="J622" s="47" t="n"/>
      <c r="K622" s="47" t="n"/>
      <c r="L622" s="47" t="n"/>
      <c r="M622" s="47" t="n"/>
      <c r="N622" s="47" t="n"/>
      <c r="O622" s="47" t="n"/>
      <c r="P622" s="47" t="n"/>
      <c r="Q622" s="47" t="n"/>
      <c r="R622" s="47" t="n"/>
      <c r="S622" s="47" t="n"/>
      <c r="T622" s="47" t="n"/>
      <c r="U622" s="47" t="n"/>
      <c r="V622" s="47" t="n"/>
      <c r="W622" s="47" t="n"/>
      <c r="X622" s="47" t="n"/>
      <c r="Y622" s="47" t="n"/>
      <c r="Z622" s="47" t="n"/>
    </row>
    <row r="623">
      <c r="A623" s="55" t="n"/>
      <c r="B623" s="46" t="n"/>
      <c r="C623" s="47" t="n"/>
      <c r="D623" s="47" t="n"/>
      <c r="E623" s="47" t="n"/>
      <c r="F623" s="47" t="n"/>
      <c r="G623" s="47" t="n"/>
      <c r="H623" s="47" t="n"/>
      <c r="I623" s="47" t="n"/>
      <c r="J623" s="47" t="n"/>
      <c r="K623" s="47" t="n"/>
      <c r="L623" s="47" t="n"/>
      <c r="M623" s="47" t="n"/>
      <c r="N623" s="47" t="n"/>
      <c r="O623" s="47" t="n"/>
      <c r="P623" s="47" t="n"/>
      <c r="Q623" s="47" t="n"/>
      <c r="R623" s="47" t="n"/>
      <c r="S623" s="47" t="n"/>
      <c r="T623" s="47" t="n"/>
      <c r="U623" s="47" t="n"/>
      <c r="V623" s="47" t="n"/>
      <c r="W623" s="47" t="n"/>
      <c r="X623" s="47" t="n"/>
      <c r="Y623" s="47" t="n"/>
      <c r="Z623" s="47" t="n"/>
    </row>
    <row r="624">
      <c r="A624" s="55" t="n"/>
      <c r="B624" s="46" t="n"/>
      <c r="C624" s="47" t="n"/>
      <c r="D624" s="47" t="n"/>
      <c r="E624" s="47" t="n"/>
      <c r="F624" s="47" t="n"/>
      <c r="G624" s="47" t="n"/>
      <c r="H624" s="47" t="n"/>
      <c r="I624" s="47" t="n"/>
      <c r="J624" s="47" t="n"/>
      <c r="K624" s="47" t="n"/>
      <c r="L624" s="47" t="n"/>
      <c r="M624" s="47" t="n"/>
      <c r="N624" s="47" t="n"/>
      <c r="O624" s="47" t="n"/>
      <c r="P624" s="47" t="n"/>
      <c r="Q624" s="47" t="n"/>
      <c r="R624" s="47" t="n"/>
      <c r="S624" s="47" t="n"/>
      <c r="T624" s="47" t="n"/>
      <c r="U624" s="47" t="n"/>
      <c r="V624" s="47" t="n"/>
      <c r="W624" s="47" t="n"/>
      <c r="X624" s="47" t="n"/>
      <c r="Y624" s="47" t="n"/>
      <c r="Z624" s="47" t="n"/>
    </row>
    <row r="625">
      <c r="A625" s="55" t="n"/>
      <c r="B625" s="46" t="n"/>
      <c r="C625" s="47" t="n"/>
      <c r="D625" s="47" t="n"/>
      <c r="E625" s="47" t="n"/>
      <c r="F625" s="47" t="n"/>
      <c r="G625" s="47" t="n"/>
      <c r="H625" s="47" t="n"/>
      <c r="I625" s="47" t="n"/>
      <c r="J625" s="47" t="n"/>
      <c r="K625" s="47" t="n"/>
      <c r="L625" s="47" t="n"/>
      <c r="M625" s="47" t="n"/>
      <c r="N625" s="47" t="n"/>
      <c r="O625" s="47" t="n"/>
      <c r="P625" s="47" t="n"/>
      <c r="Q625" s="47" t="n"/>
      <c r="R625" s="47" t="n"/>
      <c r="S625" s="47" t="n"/>
      <c r="T625" s="47" t="n"/>
      <c r="U625" s="47" t="n"/>
      <c r="V625" s="47" t="n"/>
      <c r="W625" s="47" t="n"/>
      <c r="X625" s="47" t="n"/>
      <c r="Y625" s="47" t="n"/>
      <c r="Z625" s="47" t="n"/>
    </row>
    <row r="626">
      <c r="A626" s="55" t="n"/>
      <c r="B626" s="46" t="n"/>
      <c r="C626" s="47" t="n"/>
      <c r="D626" s="47" t="n"/>
      <c r="E626" s="47" t="n"/>
      <c r="F626" s="47" t="n"/>
      <c r="G626" s="47" t="n"/>
      <c r="H626" s="47" t="n"/>
      <c r="I626" s="47" t="n"/>
      <c r="J626" s="47" t="n"/>
      <c r="K626" s="47" t="n"/>
      <c r="L626" s="47" t="n"/>
      <c r="M626" s="47" t="n"/>
      <c r="N626" s="47" t="n"/>
      <c r="O626" s="47" t="n"/>
      <c r="P626" s="47" t="n"/>
      <c r="Q626" s="47" t="n"/>
      <c r="R626" s="47" t="n"/>
      <c r="S626" s="47" t="n"/>
      <c r="T626" s="47" t="n"/>
      <c r="U626" s="47" t="n"/>
      <c r="V626" s="47" t="n"/>
      <c r="W626" s="47" t="n"/>
      <c r="X626" s="47" t="n"/>
      <c r="Y626" s="47" t="n"/>
      <c r="Z626" s="47" t="n"/>
    </row>
    <row r="627">
      <c r="A627" s="55" t="n"/>
      <c r="B627" s="46" t="n"/>
      <c r="C627" s="47" t="n"/>
      <c r="D627" s="47" t="n"/>
      <c r="E627" s="47" t="n"/>
      <c r="F627" s="47" t="n"/>
      <c r="G627" s="47" t="n"/>
      <c r="H627" s="47" t="n"/>
      <c r="I627" s="47" t="n"/>
      <c r="J627" s="47" t="n"/>
      <c r="K627" s="47" t="n"/>
      <c r="L627" s="47" t="n"/>
      <c r="M627" s="47" t="n"/>
      <c r="N627" s="47" t="n"/>
      <c r="O627" s="47" t="n"/>
      <c r="P627" s="47" t="n"/>
      <c r="Q627" s="47" t="n"/>
      <c r="R627" s="47" t="n"/>
      <c r="S627" s="47" t="n"/>
      <c r="T627" s="47" t="n"/>
      <c r="U627" s="47" t="n"/>
      <c r="V627" s="47" t="n"/>
      <c r="W627" s="47" t="n"/>
      <c r="X627" s="47" t="n"/>
      <c r="Y627" s="47" t="n"/>
      <c r="Z627" s="47" t="n"/>
    </row>
    <row r="628">
      <c r="A628" s="55" t="n"/>
      <c r="B628" s="46" t="n"/>
      <c r="C628" s="47" t="n"/>
      <c r="D628" s="47" t="n"/>
      <c r="E628" s="47" t="n"/>
      <c r="F628" s="47" t="n"/>
      <c r="G628" s="47" t="n"/>
      <c r="H628" s="47" t="n"/>
      <c r="I628" s="47" t="n"/>
      <c r="J628" s="47" t="n"/>
      <c r="K628" s="47" t="n"/>
      <c r="L628" s="47" t="n"/>
      <c r="M628" s="47" t="n"/>
      <c r="N628" s="47" t="n"/>
      <c r="O628" s="47" t="n"/>
      <c r="P628" s="47" t="n"/>
      <c r="Q628" s="47" t="n"/>
      <c r="R628" s="47" t="n"/>
      <c r="S628" s="47" t="n"/>
      <c r="T628" s="47" t="n"/>
      <c r="U628" s="47" t="n"/>
      <c r="V628" s="47" t="n"/>
      <c r="W628" s="47" t="n"/>
      <c r="X628" s="47" t="n"/>
      <c r="Y628" s="47" t="n"/>
      <c r="Z628" s="47" t="n"/>
    </row>
    <row r="629">
      <c r="A629" s="55" t="n"/>
      <c r="B629" s="46" t="n"/>
      <c r="C629" s="47" t="n"/>
      <c r="D629" s="47" t="n"/>
      <c r="E629" s="47" t="n"/>
      <c r="F629" s="47" t="n"/>
      <c r="G629" s="47" t="n"/>
      <c r="H629" s="47" t="n"/>
      <c r="I629" s="47" t="n"/>
      <c r="J629" s="47" t="n"/>
      <c r="K629" s="47" t="n"/>
      <c r="L629" s="47" t="n"/>
      <c r="M629" s="47" t="n"/>
      <c r="N629" s="47" t="n"/>
      <c r="O629" s="47" t="n"/>
      <c r="P629" s="47" t="n"/>
      <c r="Q629" s="47" t="n"/>
      <c r="R629" s="47" t="n"/>
      <c r="S629" s="47" t="n"/>
      <c r="T629" s="47" t="n"/>
      <c r="U629" s="47" t="n"/>
      <c r="V629" s="47" t="n"/>
      <c r="W629" s="47" t="n"/>
      <c r="X629" s="47" t="n"/>
      <c r="Y629" s="47" t="n"/>
      <c r="Z629" s="47" t="n"/>
    </row>
    <row r="630">
      <c r="A630" s="55" t="n"/>
      <c r="B630" s="46" t="n"/>
      <c r="C630" s="47" t="n"/>
      <c r="D630" s="47" t="n"/>
      <c r="E630" s="47" t="n"/>
      <c r="F630" s="47" t="n"/>
      <c r="G630" s="47" t="n"/>
      <c r="H630" s="47" t="n"/>
      <c r="I630" s="47" t="n"/>
      <c r="J630" s="47" t="n"/>
      <c r="K630" s="47" t="n"/>
      <c r="L630" s="47" t="n"/>
      <c r="M630" s="47" t="n"/>
      <c r="N630" s="47" t="n"/>
      <c r="O630" s="47" t="n"/>
      <c r="P630" s="47" t="n"/>
      <c r="Q630" s="47" t="n"/>
      <c r="R630" s="47" t="n"/>
      <c r="S630" s="47" t="n"/>
      <c r="T630" s="47" t="n"/>
      <c r="U630" s="47" t="n"/>
      <c r="V630" s="47" t="n"/>
      <c r="W630" s="47" t="n"/>
      <c r="X630" s="47" t="n"/>
      <c r="Y630" s="47" t="n"/>
      <c r="Z630" s="47" t="n"/>
    </row>
    <row r="631">
      <c r="A631" s="55" t="n"/>
      <c r="B631" s="46" t="n"/>
      <c r="C631" s="47" t="n"/>
      <c r="D631" s="47" t="n"/>
      <c r="E631" s="47" t="n"/>
      <c r="F631" s="47" t="n"/>
      <c r="G631" s="47" t="n"/>
      <c r="H631" s="47" t="n"/>
      <c r="I631" s="47" t="n"/>
      <c r="J631" s="47" t="n"/>
      <c r="K631" s="47" t="n"/>
      <c r="L631" s="47" t="n"/>
      <c r="M631" s="47" t="n"/>
      <c r="N631" s="47" t="n"/>
      <c r="O631" s="47" t="n"/>
      <c r="P631" s="47" t="n"/>
      <c r="Q631" s="47" t="n"/>
      <c r="R631" s="47" t="n"/>
      <c r="S631" s="47" t="n"/>
      <c r="T631" s="47" t="n"/>
      <c r="U631" s="47" t="n"/>
      <c r="V631" s="47" t="n"/>
      <c r="W631" s="47" t="n"/>
      <c r="X631" s="47" t="n"/>
      <c r="Y631" s="47" t="n"/>
      <c r="Z631" s="47" t="n"/>
    </row>
    <row r="632">
      <c r="A632" s="55" t="n"/>
      <c r="B632" s="46" t="n"/>
      <c r="C632" s="47" t="n"/>
      <c r="D632" s="47" t="n"/>
      <c r="E632" s="47" t="n"/>
      <c r="F632" s="47" t="n"/>
      <c r="G632" s="47" t="n"/>
      <c r="H632" s="47" t="n"/>
      <c r="I632" s="47" t="n"/>
      <c r="J632" s="47" t="n"/>
      <c r="K632" s="47" t="n"/>
      <c r="L632" s="47" t="n"/>
      <c r="M632" s="47" t="n"/>
      <c r="N632" s="47" t="n"/>
      <c r="O632" s="47" t="n"/>
      <c r="P632" s="47" t="n"/>
      <c r="Q632" s="47" t="n"/>
      <c r="R632" s="47" t="n"/>
      <c r="S632" s="47" t="n"/>
      <c r="T632" s="47" t="n"/>
      <c r="U632" s="47" t="n"/>
      <c r="V632" s="47" t="n"/>
      <c r="W632" s="47" t="n"/>
      <c r="X632" s="47" t="n"/>
      <c r="Y632" s="47" t="n"/>
      <c r="Z632" s="47" t="n"/>
    </row>
    <row r="633">
      <c r="A633" s="55" t="n"/>
      <c r="B633" s="46" t="n"/>
      <c r="C633" s="47" t="n"/>
      <c r="D633" s="47" t="n"/>
      <c r="E633" s="47" t="n"/>
      <c r="F633" s="47" t="n"/>
      <c r="G633" s="47" t="n"/>
      <c r="H633" s="47" t="n"/>
      <c r="I633" s="47" t="n"/>
      <c r="J633" s="47" t="n"/>
      <c r="K633" s="47" t="n"/>
      <c r="L633" s="47" t="n"/>
      <c r="M633" s="47" t="n"/>
      <c r="N633" s="47" t="n"/>
      <c r="O633" s="47" t="n"/>
      <c r="P633" s="47" t="n"/>
      <c r="Q633" s="47" t="n"/>
      <c r="R633" s="47" t="n"/>
      <c r="S633" s="47" t="n"/>
      <c r="T633" s="47" t="n"/>
      <c r="U633" s="47" t="n"/>
      <c r="V633" s="47" t="n"/>
      <c r="W633" s="47" t="n"/>
      <c r="X633" s="47" t="n"/>
      <c r="Y633" s="47" t="n"/>
      <c r="Z633" s="47" t="n"/>
    </row>
    <row r="634">
      <c r="A634" s="55" t="n"/>
      <c r="B634" s="46" t="n"/>
      <c r="C634" s="47" t="n"/>
      <c r="D634" s="47" t="n"/>
      <c r="E634" s="47" t="n"/>
      <c r="F634" s="47" t="n"/>
      <c r="G634" s="47" t="n"/>
      <c r="H634" s="47" t="n"/>
      <c r="I634" s="47" t="n"/>
      <c r="J634" s="47" t="n"/>
      <c r="K634" s="47" t="n"/>
      <c r="L634" s="47" t="n"/>
      <c r="M634" s="47" t="n"/>
      <c r="N634" s="47" t="n"/>
      <c r="O634" s="47" t="n"/>
      <c r="P634" s="47" t="n"/>
      <c r="Q634" s="47" t="n"/>
      <c r="R634" s="47" t="n"/>
      <c r="S634" s="47" t="n"/>
      <c r="T634" s="47" t="n"/>
      <c r="U634" s="47" t="n"/>
      <c r="V634" s="47" t="n"/>
      <c r="W634" s="47" t="n"/>
      <c r="X634" s="47" t="n"/>
      <c r="Y634" s="47" t="n"/>
      <c r="Z634" s="47" t="n"/>
    </row>
    <row r="635">
      <c r="A635" s="55" t="n"/>
      <c r="B635" s="46" t="n"/>
      <c r="C635" s="47" t="n"/>
      <c r="D635" s="47" t="n"/>
      <c r="E635" s="47" t="n"/>
      <c r="F635" s="47" t="n"/>
      <c r="G635" s="47" t="n"/>
      <c r="H635" s="47" t="n"/>
      <c r="I635" s="47" t="n"/>
      <c r="J635" s="47" t="n"/>
      <c r="K635" s="47" t="n"/>
      <c r="L635" s="47" t="n"/>
      <c r="M635" s="47" t="n"/>
      <c r="N635" s="47" t="n"/>
      <c r="O635" s="47" t="n"/>
      <c r="P635" s="47" t="n"/>
      <c r="Q635" s="47" t="n"/>
      <c r="R635" s="47" t="n"/>
      <c r="S635" s="47" t="n"/>
      <c r="T635" s="47" t="n"/>
      <c r="U635" s="47" t="n"/>
      <c r="V635" s="47" t="n"/>
      <c r="W635" s="47" t="n"/>
      <c r="X635" s="47" t="n"/>
      <c r="Y635" s="47" t="n"/>
      <c r="Z635" s="47" t="n"/>
    </row>
    <row r="636">
      <c r="A636" s="55" t="n"/>
      <c r="B636" s="46" t="n"/>
      <c r="C636" s="47" t="n"/>
      <c r="D636" s="47" t="n"/>
      <c r="E636" s="47" t="n"/>
      <c r="F636" s="47" t="n"/>
      <c r="G636" s="47" t="n"/>
      <c r="H636" s="47" t="n"/>
      <c r="I636" s="47" t="n"/>
      <c r="J636" s="47" t="n"/>
      <c r="K636" s="47" t="n"/>
      <c r="L636" s="47" t="n"/>
      <c r="M636" s="47" t="n"/>
      <c r="N636" s="47" t="n"/>
      <c r="O636" s="47" t="n"/>
      <c r="P636" s="47" t="n"/>
      <c r="Q636" s="47" t="n"/>
      <c r="R636" s="47" t="n"/>
      <c r="S636" s="47" t="n"/>
      <c r="T636" s="47" t="n"/>
      <c r="U636" s="47" t="n"/>
      <c r="V636" s="47" t="n"/>
      <c r="W636" s="47" t="n"/>
      <c r="X636" s="47" t="n"/>
      <c r="Y636" s="47" t="n"/>
      <c r="Z636" s="47" t="n"/>
    </row>
    <row r="637">
      <c r="A637" s="55" t="n"/>
      <c r="B637" s="46" t="n"/>
      <c r="C637" s="47" t="n"/>
      <c r="D637" s="47" t="n"/>
      <c r="E637" s="47" t="n"/>
      <c r="F637" s="47" t="n"/>
      <c r="G637" s="47" t="n"/>
      <c r="H637" s="47" t="n"/>
      <c r="I637" s="47" t="n"/>
      <c r="J637" s="47" t="n"/>
      <c r="K637" s="47" t="n"/>
      <c r="L637" s="47" t="n"/>
      <c r="M637" s="47" t="n"/>
      <c r="N637" s="47" t="n"/>
      <c r="O637" s="47" t="n"/>
      <c r="P637" s="47" t="n"/>
      <c r="Q637" s="47" t="n"/>
      <c r="R637" s="47" t="n"/>
      <c r="S637" s="47" t="n"/>
      <c r="T637" s="47" t="n"/>
      <c r="U637" s="47" t="n"/>
      <c r="V637" s="47" t="n"/>
      <c r="W637" s="47" t="n"/>
      <c r="X637" s="47" t="n"/>
      <c r="Y637" s="47" t="n"/>
      <c r="Z637" s="47" t="n"/>
    </row>
    <row r="638">
      <c r="A638" s="55" t="n"/>
      <c r="B638" s="46" t="n"/>
      <c r="C638" s="47" t="n"/>
      <c r="D638" s="47" t="n"/>
      <c r="E638" s="47" t="n"/>
      <c r="F638" s="47" t="n"/>
      <c r="G638" s="47" t="n"/>
      <c r="H638" s="47" t="n"/>
      <c r="I638" s="47" t="n"/>
      <c r="J638" s="47" t="n"/>
      <c r="K638" s="47" t="n"/>
      <c r="L638" s="47" t="n"/>
      <c r="M638" s="47" t="n"/>
      <c r="N638" s="47" t="n"/>
      <c r="O638" s="47" t="n"/>
      <c r="P638" s="47" t="n"/>
      <c r="Q638" s="47" t="n"/>
      <c r="R638" s="47" t="n"/>
      <c r="S638" s="47" t="n"/>
      <c r="T638" s="47" t="n"/>
      <c r="U638" s="47" t="n"/>
      <c r="V638" s="47" t="n"/>
      <c r="W638" s="47" t="n"/>
      <c r="X638" s="47" t="n"/>
      <c r="Y638" s="47" t="n"/>
      <c r="Z638" s="47" t="n"/>
    </row>
    <row r="639">
      <c r="A639" s="55" t="n"/>
      <c r="B639" s="46" t="n"/>
      <c r="C639" s="47" t="n"/>
      <c r="D639" s="47" t="n"/>
      <c r="E639" s="47" t="n"/>
      <c r="F639" s="47" t="n"/>
      <c r="G639" s="47" t="n"/>
      <c r="H639" s="47" t="n"/>
      <c r="I639" s="47" t="n"/>
      <c r="J639" s="47" t="n"/>
      <c r="K639" s="47" t="n"/>
      <c r="L639" s="47" t="n"/>
      <c r="M639" s="47" t="n"/>
      <c r="N639" s="47" t="n"/>
      <c r="O639" s="47" t="n"/>
      <c r="P639" s="47" t="n"/>
      <c r="Q639" s="47" t="n"/>
      <c r="R639" s="47" t="n"/>
      <c r="S639" s="47" t="n"/>
      <c r="T639" s="47" t="n"/>
      <c r="U639" s="47" t="n"/>
      <c r="V639" s="47" t="n"/>
      <c r="W639" s="47" t="n"/>
      <c r="X639" s="47" t="n"/>
      <c r="Y639" s="47" t="n"/>
      <c r="Z639" s="47" t="n"/>
    </row>
    <row r="640">
      <c r="A640" s="55" t="n"/>
      <c r="B640" s="46" t="n"/>
      <c r="C640" s="47" t="n"/>
      <c r="D640" s="47" t="n"/>
      <c r="E640" s="47" t="n"/>
      <c r="F640" s="47" t="n"/>
      <c r="G640" s="47" t="n"/>
      <c r="H640" s="47" t="n"/>
      <c r="I640" s="47" t="n"/>
      <c r="J640" s="47" t="n"/>
      <c r="K640" s="47" t="n"/>
      <c r="L640" s="47" t="n"/>
      <c r="M640" s="47" t="n"/>
      <c r="N640" s="47" t="n"/>
      <c r="O640" s="47" t="n"/>
      <c r="P640" s="47" t="n"/>
      <c r="Q640" s="47" t="n"/>
      <c r="R640" s="47" t="n"/>
      <c r="S640" s="47" t="n"/>
      <c r="T640" s="47" t="n"/>
      <c r="U640" s="47" t="n"/>
      <c r="V640" s="47" t="n"/>
      <c r="W640" s="47" t="n"/>
      <c r="X640" s="47" t="n"/>
      <c r="Y640" s="47" t="n"/>
      <c r="Z640" s="47" t="n"/>
    </row>
    <row r="641">
      <c r="A641" s="55" t="n"/>
      <c r="B641" s="46" t="n"/>
      <c r="C641" s="47" t="n"/>
      <c r="D641" s="47" t="n"/>
      <c r="E641" s="47" t="n"/>
      <c r="F641" s="47" t="n"/>
      <c r="G641" s="47" t="n"/>
      <c r="H641" s="47" t="n"/>
      <c r="I641" s="47" t="n"/>
      <c r="J641" s="47" t="n"/>
      <c r="K641" s="47" t="n"/>
      <c r="L641" s="47" t="n"/>
      <c r="M641" s="47" t="n"/>
      <c r="N641" s="47" t="n"/>
      <c r="O641" s="47" t="n"/>
      <c r="P641" s="47" t="n"/>
      <c r="Q641" s="47" t="n"/>
      <c r="R641" s="47" t="n"/>
      <c r="S641" s="47" t="n"/>
      <c r="T641" s="47" t="n"/>
      <c r="U641" s="47" t="n"/>
      <c r="V641" s="47" t="n"/>
      <c r="W641" s="47" t="n"/>
      <c r="X641" s="47" t="n"/>
      <c r="Y641" s="47" t="n"/>
      <c r="Z641" s="47" t="n"/>
    </row>
    <row r="642">
      <c r="A642" s="55" t="n"/>
      <c r="B642" s="46" t="n"/>
      <c r="C642" s="47" t="n"/>
      <c r="D642" s="47" t="n"/>
      <c r="E642" s="47" t="n"/>
      <c r="F642" s="47" t="n"/>
      <c r="G642" s="47" t="n"/>
      <c r="H642" s="47" t="n"/>
      <c r="I642" s="47" t="n"/>
      <c r="J642" s="47" t="n"/>
      <c r="K642" s="47" t="n"/>
      <c r="L642" s="47" t="n"/>
      <c r="M642" s="47" t="n"/>
      <c r="N642" s="47" t="n"/>
      <c r="O642" s="47" t="n"/>
      <c r="P642" s="47" t="n"/>
      <c r="Q642" s="47" t="n"/>
      <c r="R642" s="47" t="n"/>
      <c r="S642" s="47" t="n"/>
      <c r="T642" s="47" t="n"/>
      <c r="U642" s="47" t="n"/>
      <c r="V642" s="47" t="n"/>
      <c r="W642" s="47" t="n"/>
      <c r="X642" s="47" t="n"/>
      <c r="Y642" s="47" t="n"/>
      <c r="Z642" s="47" t="n"/>
    </row>
    <row r="643">
      <c r="A643" s="55" t="n"/>
      <c r="B643" s="46" t="n"/>
      <c r="C643" s="47" t="n"/>
      <c r="D643" s="47" t="n"/>
      <c r="E643" s="47" t="n"/>
      <c r="F643" s="47" t="n"/>
      <c r="G643" s="47" t="n"/>
      <c r="H643" s="47" t="n"/>
      <c r="I643" s="47" t="n"/>
      <c r="J643" s="47" t="n"/>
      <c r="K643" s="47" t="n"/>
      <c r="L643" s="47" t="n"/>
      <c r="M643" s="47" t="n"/>
      <c r="N643" s="47" t="n"/>
      <c r="O643" s="47" t="n"/>
      <c r="P643" s="47" t="n"/>
      <c r="Q643" s="47" t="n"/>
      <c r="R643" s="47" t="n"/>
      <c r="S643" s="47" t="n"/>
      <c r="T643" s="47" t="n"/>
      <c r="U643" s="47" t="n"/>
      <c r="V643" s="47" t="n"/>
      <c r="W643" s="47" t="n"/>
      <c r="X643" s="47" t="n"/>
      <c r="Y643" s="47" t="n"/>
      <c r="Z643" s="47" t="n"/>
    </row>
    <row r="644">
      <c r="A644" s="55" t="n"/>
      <c r="B644" s="46" t="n"/>
      <c r="C644" s="47" t="n"/>
      <c r="D644" s="47" t="n"/>
      <c r="E644" s="47" t="n"/>
      <c r="F644" s="47" t="n"/>
      <c r="G644" s="47" t="n"/>
      <c r="H644" s="47" t="n"/>
      <c r="I644" s="47" t="n"/>
      <c r="J644" s="47" t="n"/>
      <c r="K644" s="47" t="n"/>
      <c r="L644" s="47" t="n"/>
      <c r="M644" s="47" t="n"/>
      <c r="N644" s="47" t="n"/>
      <c r="O644" s="47" t="n"/>
      <c r="P644" s="47" t="n"/>
      <c r="Q644" s="47" t="n"/>
      <c r="R644" s="47" t="n"/>
      <c r="S644" s="47" t="n"/>
      <c r="T644" s="47" t="n"/>
      <c r="U644" s="47" t="n"/>
      <c r="V644" s="47" t="n"/>
      <c r="W644" s="47" t="n"/>
      <c r="X644" s="47" t="n"/>
      <c r="Y644" s="47" t="n"/>
      <c r="Z644" s="47" t="n"/>
    </row>
    <row r="645">
      <c r="A645" s="55" t="n"/>
      <c r="B645" s="46" t="n"/>
      <c r="C645" s="47" t="n"/>
      <c r="D645" s="47" t="n"/>
      <c r="E645" s="47" t="n"/>
      <c r="F645" s="47" t="n"/>
      <c r="G645" s="47" t="n"/>
      <c r="H645" s="47" t="n"/>
      <c r="I645" s="47" t="n"/>
      <c r="J645" s="47" t="n"/>
      <c r="K645" s="47" t="n"/>
      <c r="L645" s="47" t="n"/>
      <c r="M645" s="47" t="n"/>
      <c r="N645" s="47" t="n"/>
      <c r="O645" s="47" t="n"/>
      <c r="P645" s="47" t="n"/>
      <c r="Q645" s="47" t="n"/>
      <c r="R645" s="47" t="n"/>
      <c r="S645" s="47" t="n"/>
      <c r="T645" s="47" t="n"/>
      <c r="U645" s="47" t="n"/>
      <c r="V645" s="47" t="n"/>
      <c r="W645" s="47" t="n"/>
      <c r="X645" s="47" t="n"/>
      <c r="Y645" s="47" t="n"/>
      <c r="Z645" s="47" t="n"/>
    </row>
    <row r="646">
      <c r="A646" s="55" t="n"/>
      <c r="B646" s="46" t="n"/>
      <c r="C646" s="47" t="n"/>
      <c r="D646" s="47" t="n"/>
      <c r="E646" s="47" t="n"/>
      <c r="F646" s="47" t="n"/>
      <c r="G646" s="47" t="n"/>
      <c r="H646" s="47" t="n"/>
      <c r="I646" s="47" t="n"/>
      <c r="J646" s="47" t="n"/>
      <c r="K646" s="47" t="n"/>
      <c r="L646" s="47" t="n"/>
      <c r="M646" s="47" t="n"/>
      <c r="N646" s="47" t="n"/>
      <c r="O646" s="47" t="n"/>
      <c r="P646" s="47" t="n"/>
      <c r="Q646" s="47" t="n"/>
      <c r="R646" s="47" t="n"/>
      <c r="S646" s="47" t="n"/>
      <c r="T646" s="47" t="n"/>
      <c r="U646" s="47" t="n"/>
      <c r="V646" s="47" t="n"/>
      <c r="W646" s="47" t="n"/>
      <c r="X646" s="47" t="n"/>
      <c r="Y646" s="47" t="n"/>
      <c r="Z646" s="47" t="n"/>
    </row>
    <row r="647">
      <c r="A647" s="55" t="n"/>
      <c r="B647" s="46" t="n"/>
      <c r="C647" s="47" t="n"/>
      <c r="D647" s="47" t="n"/>
      <c r="E647" s="47" t="n"/>
      <c r="F647" s="47" t="n"/>
      <c r="G647" s="47" t="n"/>
      <c r="H647" s="47" t="n"/>
      <c r="I647" s="47" t="n"/>
      <c r="J647" s="47" t="n"/>
      <c r="K647" s="47" t="n"/>
      <c r="L647" s="47" t="n"/>
      <c r="M647" s="47" t="n"/>
      <c r="N647" s="47" t="n"/>
      <c r="O647" s="47" t="n"/>
      <c r="P647" s="47" t="n"/>
      <c r="Q647" s="47" t="n"/>
      <c r="R647" s="47" t="n"/>
      <c r="S647" s="47" t="n"/>
      <c r="T647" s="47" t="n"/>
      <c r="U647" s="47" t="n"/>
      <c r="V647" s="47" t="n"/>
      <c r="W647" s="47" t="n"/>
      <c r="X647" s="47" t="n"/>
      <c r="Y647" s="47" t="n"/>
      <c r="Z647" s="47" t="n"/>
    </row>
    <row r="648">
      <c r="A648" s="55" t="n"/>
      <c r="B648" s="46" t="n"/>
      <c r="C648" s="47" t="n"/>
      <c r="D648" s="47" t="n"/>
      <c r="E648" s="47" t="n"/>
      <c r="F648" s="47" t="n"/>
      <c r="G648" s="47" t="n"/>
      <c r="H648" s="47" t="n"/>
      <c r="I648" s="47" t="n"/>
      <c r="J648" s="47" t="n"/>
      <c r="K648" s="47" t="n"/>
      <c r="L648" s="47" t="n"/>
      <c r="M648" s="47" t="n"/>
      <c r="N648" s="47" t="n"/>
      <c r="O648" s="47" t="n"/>
      <c r="P648" s="47" t="n"/>
      <c r="Q648" s="47" t="n"/>
      <c r="R648" s="47" t="n"/>
      <c r="S648" s="47" t="n"/>
      <c r="T648" s="47" t="n"/>
      <c r="U648" s="47" t="n"/>
      <c r="V648" s="47" t="n"/>
      <c r="W648" s="47" t="n"/>
      <c r="X648" s="47" t="n"/>
      <c r="Y648" s="47" t="n"/>
      <c r="Z648" s="47" t="n"/>
    </row>
    <row r="649">
      <c r="A649" s="55" t="n"/>
      <c r="B649" s="46" t="n"/>
      <c r="C649" s="47" t="n"/>
      <c r="D649" s="47" t="n"/>
      <c r="E649" s="47" t="n"/>
      <c r="F649" s="47" t="n"/>
      <c r="G649" s="47" t="n"/>
      <c r="H649" s="47" t="n"/>
      <c r="I649" s="47" t="n"/>
      <c r="J649" s="47" t="n"/>
      <c r="K649" s="47" t="n"/>
      <c r="L649" s="47" t="n"/>
      <c r="M649" s="47" t="n"/>
      <c r="N649" s="47" t="n"/>
      <c r="O649" s="47" t="n"/>
      <c r="P649" s="47" t="n"/>
      <c r="Q649" s="47" t="n"/>
      <c r="R649" s="47" t="n"/>
      <c r="S649" s="47" t="n"/>
      <c r="T649" s="47" t="n"/>
      <c r="U649" s="47" t="n"/>
      <c r="V649" s="47" t="n"/>
      <c r="W649" s="47" t="n"/>
      <c r="X649" s="47" t="n"/>
      <c r="Y649" s="47" t="n"/>
      <c r="Z649" s="47" t="n"/>
    </row>
    <row r="650">
      <c r="A650" s="55" t="n"/>
      <c r="B650" s="46" t="n"/>
      <c r="C650" s="47" t="n"/>
      <c r="D650" s="47" t="n"/>
      <c r="E650" s="47" t="n"/>
      <c r="F650" s="47" t="n"/>
      <c r="G650" s="47" t="n"/>
      <c r="H650" s="47" t="n"/>
      <c r="I650" s="47" t="n"/>
      <c r="J650" s="47" t="n"/>
      <c r="K650" s="47" t="n"/>
      <c r="L650" s="47" t="n"/>
      <c r="M650" s="47" t="n"/>
      <c r="N650" s="47" t="n"/>
      <c r="O650" s="47" t="n"/>
      <c r="P650" s="47" t="n"/>
      <c r="Q650" s="47" t="n"/>
      <c r="R650" s="47" t="n"/>
      <c r="S650" s="47" t="n"/>
      <c r="T650" s="47" t="n"/>
      <c r="U650" s="47" t="n"/>
      <c r="V650" s="47" t="n"/>
      <c r="W650" s="47" t="n"/>
      <c r="X650" s="47" t="n"/>
      <c r="Y650" s="47" t="n"/>
      <c r="Z650" s="47" t="n"/>
    </row>
    <row r="651">
      <c r="A651" s="55" t="n"/>
      <c r="B651" s="46" t="n"/>
      <c r="C651" s="47" t="n"/>
      <c r="D651" s="47" t="n"/>
      <c r="E651" s="47" t="n"/>
      <c r="F651" s="47" t="n"/>
      <c r="G651" s="47" t="n"/>
      <c r="H651" s="47" t="n"/>
      <c r="I651" s="47" t="n"/>
      <c r="J651" s="47" t="n"/>
      <c r="K651" s="47" t="n"/>
      <c r="L651" s="47" t="n"/>
      <c r="M651" s="47" t="n"/>
      <c r="N651" s="47" t="n"/>
      <c r="O651" s="47" t="n"/>
      <c r="P651" s="47" t="n"/>
      <c r="Q651" s="47" t="n"/>
      <c r="R651" s="47" t="n"/>
      <c r="S651" s="47" t="n"/>
      <c r="T651" s="47" t="n"/>
      <c r="U651" s="47" t="n"/>
      <c r="V651" s="47" t="n"/>
      <c r="W651" s="47" t="n"/>
      <c r="X651" s="47" t="n"/>
      <c r="Y651" s="47" t="n"/>
      <c r="Z651" s="47" t="n"/>
    </row>
    <row r="652">
      <c r="A652" s="55" t="n"/>
      <c r="B652" s="46" t="n"/>
      <c r="C652" s="47" t="n"/>
      <c r="D652" s="47" t="n"/>
      <c r="E652" s="47" t="n"/>
      <c r="F652" s="47" t="n"/>
      <c r="G652" s="47" t="n"/>
      <c r="H652" s="47" t="n"/>
      <c r="I652" s="47" t="n"/>
      <c r="J652" s="47" t="n"/>
      <c r="K652" s="47" t="n"/>
      <c r="L652" s="47" t="n"/>
      <c r="M652" s="47" t="n"/>
      <c r="N652" s="47" t="n"/>
      <c r="O652" s="47" t="n"/>
      <c r="P652" s="47" t="n"/>
      <c r="Q652" s="47" t="n"/>
      <c r="R652" s="47" t="n"/>
      <c r="S652" s="47" t="n"/>
      <c r="T652" s="47" t="n"/>
      <c r="U652" s="47" t="n"/>
      <c r="V652" s="47" t="n"/>
      <c r="W652" s="47" t="n"/>
      <c r="X652" s="47" t="n"/>
      <c r="Y652" s="47" t="n"/>
      <c r="Z652" s="47" t="n"/>
    </row>
    <row r="653">
      <c r="A653" s="55" t="n"/>
      <c r="B653" s="46" t="n"/>
      <c r="C653" s="47" t="n"/>
      <c r="D653" s="47" t="n"/>
      <c r="E653" s="47" t="n"/>
      <c r="F653" s="47" t="n"/>
      <c r="G653" s="47" t="n"/>
      <c r="H653" s="47" t="n"/>
      <c r="I653" s="47" t="n"/>
      <c r="J653" s="47" t="n"/>
      <c r="K653" s="47" t="n"/>
      <c r="L653" s="47" t="n"/>
      <c r="M653" s="47" t="n"/>
      <c r="N653" s="47" t="n"/>
      <c r="O653" s="47" t="n"/>
      <c r="P653" s="47" t="n"/>
      <c r="Q653" s="47" t="n"/>
      <c r="R653" s="47" t="n"/>
      <c r="S653" s="47" t="n"/>
      <c r="T653" s="47" t="n"/>
      <c r="U653" s="47" t="n"/>
      <c r="V653" s="47" t="n"/>
      <c r="W653" s="47" t="n"/>
      <c r="X653" s="47" t="n"/>
      <c r="Y653" s="47" t="n"/>
      <c r="Z653" s="47" t="n"/>
    </row>
    <row r="654">
      <c r="A654" s="55" t="n"/>
      <c r="B654" s="46" t="n"/>
      <c r="C654" s="47" t="n"/>
      <c r="D654" s="47" t="n"/>
      <c r="E654" s="47" t="n"/>
      <c r="F654" s="47" t="n"/>
      <c r="G654" s="47" t="n"/>
      <c r="H654" s="47" t="n"/>
      <c r="I654" s="47" t="n"/>
      <c r="J654" s="47" t="n"/>
      <c r="K654" s="47" t="n"/>
      <c r="L654" s="47" t="n"/>
      <c r="M654" s="47" t="n"/>
      <c r="N654" s="47" t="n"/>
      <c r="O654" s="47" t="n"/>
      <c r="P654" s="47" t="n"/>
      <c r="Q654" s="47" t="n"/>
      <c r="R654" s="47" t="n"/>
      <c r="S654" s="47" t="n"/>
      <c r="T654" s="47" t="n"/>
      <c r="U654" s="47" t="n"/>
      <c r="V654" s="47" t="n"/>
      <c r="W654" s="47" t="n"/>
      <c r="X654" s="47" t="n"/>
      <c r="Y654" s="47" t="n"/>
      <c r="Z654" s="47" t="n"/>
    </row>
    <row r="655">
      <c r="A655" s="55" t="n"/>
      <c r="B655" s="46" t="n"/>
      <c r="C655" s="47" t="n"/>
      <c r="D655" s="47" t="n"/>
      <c r="E655" s="47" t="n"/>
      <c r="F655" s="47" t="n"/>
      <c r="G655" s="47" t="n"/>
      <c r="H655" s="47" t="n"/>
      <c r="I655" s="47" t="n"/>
      <c r="J655" s="47" t="n"/>
      <c r="K655" s="47" t="n"/>
      <c r="L655" s="47" t="n"/>
      <c r="M655" s="47" t="n"/>
      <c r="N655" s="47" t="n"/>
      <c r="O655" s="47" t="n"/>
      <c r="P655" s="47" t="n"/>
      <c r="Q655" s="47" t="n"/>
      <c r="R655" s="47" t="n"/>
      <c r="S655" s="47" t="n"/>
      <c r="T655" s="47" t="n"/>
      <c r="U655" s="47" t="n"/>
      <c r="V655" s="47" t="n"/>
      <c r="W655" s="47" t="n"/>
      <c r="X655" s="47" t="n"/>
      <c r="Y655" s="47" t="n"/>
      <c r="Z655" s="47" t="n"/>
    </row>
    <row r="656">
      <c r="A656" s="55" t="n"/>
      <c r="B656" s="46" t="n"/>
      <c r="C656" s="47" t="n"/>
      <c r="D656" s="47" t="n"/>
      <c r="E656" s="47" t="n"/>
      <c r="F656" s="47" t="n"/>
      <c r="G656" s="47" t="n"/>
      <c r="H656" s="47" t="n"/>
      <c r="I656" s="47" t="n"/>
      <c r="J656" s="47" t="n"/>
      <c r="K656" s="47" t="n"/>
      <c r="L656" s="47" t="n"/>
      <c r="M656" s="47" t="n"/>
      <c r="N656" s="47" t="n"/>
      <c r="O656" s="47" t="n"/>
      <c r="P656" s="47" t="n"/>
      <c r="Q656" s="47" t="n"/>
      <c r="R656" s="47" t="n"/>
      <c r="S656" s="47" t="n"/>
      <c r="T656" s="47" t="n"/>
      <c r="U656" s="47" t="n"/>
      <c r="V656" s="47" t="n"/>
      <c r="W656" s="47" t="n"/>
      <c r="X656" s="47" t="n"/>
      <c r="Y656" s="47" t="n"/>
      <c r="Z656" s="47" t="n"/>
    </row>
    <row r="657">
      <c r="A657" s="55" t="n"/>
      <c r="B657" s="46" t="n"/>
      <c r="C657" s="47" t="n"/>
      <c r="D657" s="47" t="n"/>
      <c r="E657" s="47" t="n"/>
      <c r="F657" s="47" t="n"/>
      <c r="G657" s="47" t="n"/>
      <c r="H657" s="47" t="n"/>
      <c r="I657" s="47" t="n"/>
      <c r="J657" s="47" t="n"/>
      <c r="K657" s="47" t="n"/>
      <c r="L657" s="47" t="n"/>
      <c r="M657" s="47" t="n"/>
      <c r="N657" s="47" t="n"/>
      <c r="O657" s="47" t="n"/>
      <c r="P657" s="47" t="n"/>
      <c r="Q657" s="47" t="n"/>
      <c r="R657" s="47" t="n"/>
      <c r="S657" s="47" t="n"/>
      <c r="T657" s="47" t="n"/>
      <c r="U657" s="47" t="n"/>
      <c r="V657" s="47" t="n"/>
      <c r="W657" s="47" t="n"/>
      <c r="X657" s="47" t="n"/>
      <c r="Y657" s="47" t="n"/>
      <c r="Z657" s="47" t="n"/>
    </row>
    <row r="658">
      <c r="A658" s="55" t="n"/>
      <c r="B658" s="46" t="n"/>
      <c r="C658" s="47" t="n"/>
      <c r="D658" s="47" t="n"/>
      <c r="E658" s="47" t="n"/>
      <c r="F658" s="47" t="n"/>
      <c r="G658" s="47" t="n"/>
      <c r="H658" s="47" t="n"/>
      <c r="I658" s="47" t="n"/>
      <c r="J658" s="47" t="n"/>
      <c r="K658" s="47" t="n"/>
      <c r="L658" s="47" t="n"/>
      <c r="M658" s="47" t="n"/>
      <c r="N658" s="47" t="n"/>
      <c r="O658" s="47" t="n"/>
      <c r="P658" s="47" t="n"/>
      <c r="Q658" s="47" t="n"/>
      <c r="R658" s="47" t="n"/>
      <c r="S658" s="47" t="n"/>
      <c r="T658" s="47" t="n"/>
      <c r="U658" s="47" t="n"/>
      <c r="V658" s="47" t="n"/>
      <c r="W658" s="47" t="n"/>
      <c r="X658" s="47" t="n"/>
      <c r="Y658" s="47" t="n"/>
      <c r="Z658" s="47" t="n"/>
    </row>
    <row r="659">
      <c r="A659" s="55" t="n"/>
      <c r="B659" s="46" t="n"/>
      <c r="C659" s="47" t="n"/>
      <c r="D659" s="47" t="n"/>
      <c r="E659" s="47" t="n"/>
      <c r="F659" s="47" t="n"/>
      <c r="G659" s="47" t="n"/>
      <c r="H659" s="47" t="n"/>
      <c r="I659" s="47" t="n"/>
      <c r="J659" s="47" t="n"/>
      <c r="K659" s="47" t="n"/>
      <c r="L659" s="47" t="n"/>
      <c r="M659" s="47" t="n"/>
      <c r="N659" s="47" t="n"/>
      <c r="O659" s="47" t="n"/>
      <c r="P659" s="47" t="n"/>
      <c r="Q659" s="47" t="n"/>
      <c r="R659" s="47" t="n"/>
      <c r="S659" s="47" t="n"/>
      <c r="T659" s="47" t="n"/>
      <c r="U659" s="47" t="n"/>
      <c r="V659" s="47" t="n"/>
      <c r="W659" s="47" t="n"/>
      <c r="X659" s="47" t="n"/>
      <c r="Y659" s="47" t="n"/>
      <c r="Z659" s="47" t="n"/>
    </row>
    <row r="660">
      <c r="A660" s="55" t="n"/>
      <c r="B660" s="46" t="n"/>
      <c r="C660" s="47" t="n"/>
      <c r="D660" s="47" t="n"/>
      <c r="E660" s="47" t="n"/>
      <c r="F660" s="47" t="n"/>
      <c r="G660" s="47" t="n"/>
      <c r="H660" s="47" t="n"/>
      <c r="I660" s="47" t="n"/>
      <c r="J660" s="47" t="n"/>
      <c r="K660" s="47" t="n"/>
      <c r="L660" s="47" t="n"/>
      <c r="M660" s="47" t="n"/>
      <c r="N660" s="47" t="n"/>
      <c r="O660" s="47" t="n"/>
      <c r="P660" s="47" t="n"/>
      <c r="Q660" s="47" t="n"/>
      <c r="R660" s="47" t="n"/>
      <c r="S660" s="47" t="n"/>
      <c r="T660" s="47" t="n"/>
      <c r="U660" s="47" t="n"/>
      <c r="V660" s="47" t="n"/>
      <c r="W660" s="47" t="n"/>
      <c r="X660" s="47" t="n"/>
      <c r="Y660" s="47" t="n"/>
      <c r="Z660" s="47" t="n"/>
    </row>
    <row r="661">
      <c r="A661" s="55" t="n"/>
      <c r="B661" s="46" t="n"/>
      <c r="C661" s="47" t="n"/>
      <c r="D661" s="47" t="n"/>
      <c r="E661" s="47" t="n"/>
      <c r="F661" s="47" t="n"/>
      <c r="G661" s="47" t="n"/>
      <c r="H661" s="47" t="n"/>
      <c r="I661" s="47" t="n"/>
      <c r="J661" s="47" t="n"/>
      <c r="K661" s="47" t="n"/>
      <c r="L661" s="47" t="n"/>
      <c r="M661" s="47" t="n"/>
      <c r="N661" s="47" t="n"/>
      <c r="O661" s="47" t="n"/>
      <c r="P661" s="47" t="n"/>
      <c r="Q661" s="47" t="n"/>
      <c r="R661" s="47" t="n"/>
      <c r="S661" s="47" t="n"/>
      <c r="T661" s="47" t="n"/>
      <c r="U661" s="47" t="n"/>
      <c r="V661" s="47" t="n"/>
      <c r="W661" s="47" t="n"/>
      <c r="X661" s="47" t="n"/>
      <c r="Y661" s="47" t="n"/>
      <c r="Z661" s="47" t="n"/>
    </row>
    <row r="662">
      <c r="A662" s="55" t="n"/>
      <c r="B662" s="46" t="n"/>
      <c r="C662" s="47" t="n"/>
      <c r="D662" s="47" t="n"/>
      <c r="E662" s="47" t="n"/>
      <c r="F662" s="47" t="n"/>
      <c r="G662" s="47" t="n"/>
      <c r="H662" s="47" t="n"/>
      <c r="I662" s="47" t="n"/>
      <c r="J662" s="47" t="n"/>
      <c r="K662" s="47" t="n"/>
      <c r="L662" s="47" t="n"/>
      <c r="M662" s="47" t="n"/>
      <c r="N662" s="47" t="n"/>
      <c r="O662" s="47" t="n"/>
      <c r="P662" s="47" t="n"/>
      <c r="Q662" s="47" t="n"/>
      <c r="R662" s="47" t="n"/>
      <c r="S662" s="47" t="n"/>
      <c r="T662" s="47" t="n"/>
      <c r="U662" s="47" t="n"/>
      <c r="V662" s="47" t="n"/>
      <c r="W662" s="47" t="n"/>
      <c r="X662" s="47" t="n"/>
      <c r="Y662" s="47" t="n"/>
      <c r="Z662" s="47" t="n"/>
    </row>
    <row r="663">
      <c r="A663" s="55" t="n"/>
      <c r="B663" s="46" t="n"/>
      <c r="C663" s="47" t="n"/>
      <c r="D663" s="47" t="n"/>
      <c r="E663" s="47" t="n"/>
      <c r="F663" s="47" t="n"/>
      <c r="G663" s="47" t="n"/>
      <c r="H663" s="47" t="n"/>
      <c r="I663" s="47" t="n"/>
      <c r="J663" s="47" t="n"/>
      <c r="K663" s="47" t="n"/>
      <c r="L663" s="47" t="n"/>
      <c r="M663" s="47" t="n"/>
      <c r="N663" s="47" t="n"/>
      <c r="O663" s="47" t="n"/>
      <c r="P663" s="47" t="n"/>
      <c r="Q663" s="47" t="n"/>
      <c r="R663" s="47" t="n"/>
      <c r="S663" s="47" t="n"/>
      <c r="T663" s="47" t="n"/>
      <c r="U663" s="47" t="n"/>
      <c r="V663" s="47" t="n"/>
      <c r="W663" s="47" t="n"/>
      <c r="X663" s="47" t="n"/>
      <c r="Y663" s="47" t="n"/>
      <c r="Z663" s="47" t="n"/>
    </row>
    <row r="664">
      <c r="A664" s="55" t="n"/>
      <c r="B664" s="46" t="n"/>
      <c r="C664" s="47" t="n"/>
      <c r="D664" s="47" t="n"/>
      <c r="E664" s="47" t="n"/>
      <c r="F664" s="47" t="n"/>
      <c r="G664" s="47" t="n"/>
      <c r="H664" s="47" t="n"/>
      <c r="I664" s="47" t="n"/>
      <c r="J664" s="47" t="n"/>
      <c r="K664" s="47" t="n"/>
      <c r="L664" s="47" t="n"/>
      <c r="M664" s="47" t="n"/>
      <c r="N664" s="47" t="n"/>
      <c r="O664" s="47" t="n"/>
      <c r="P664" s="47" t="n"/>
      <c r="Q664" s="47" t="n"/>
      <c r="R664" s="47" t="n"/>
      <c r="S664" s="47" t="n"/>
      <c r="T664" s="47" t="n"/>
      <c r="U664" s="47" t="n"/>
      <c r="V664" s="47" t="n"/>
      <c r="W664" s="47" t="n"/>
      <c r="X664" s="47" t="n"/>
      <c r="Y664" s="47" t="n"/>
      <c r="Z664" s="47" t="n"/>
    </row>
    <row r="665">
      <c r="A665" s="55" t="n"/>
      <c r="B665" s="46" t="n"/>
      <c r="C665" s="47" t="n"/>
      <c r="D665" s="47" t="n"/>
      <c r="E665" s="47" t="n"/>
      <c r="F665" s="47" t="n"/>
      <c r="G665" s="47" t="n"/>
      <c r="H665" s="47" t="n"/>
      <c r="I665" s="47" t="n"/>
      <c r="J665" s="47" t="n"/>
      <c r="K665" s="47" t="n"/>
      <c r="L665" s="47" t="n"/>
      <c r="M665" s="47" t="n"/>
      <c r="N665" s="47" t="n"/>
      <c r="O665" s="47" t="n"/>
      <c r="P665" s="47" t="n"/>
      <c r="Q665" s="47" t="n"/>
      <c r="R665" s="47" t="n"/>
      <c r="S665" s="47" t="n"/>
      <c r="T665" s="47" t="n"/>
      <c r="U665" s="47" t="n"/>
      <c r="V665" s="47" t="n"/>
      <c r="W665" s="47" t="n"/>
      <c r="X665" s="47" t="n"/>
      <c r="Y665" s="47" t="n"/>
      <c r="Z665" s="47" t="n"/>
    </row>
    <row r="666">
      <c r="A666" s="55" t="n"/>
      <c r="B666" s="46" t="n"/>
      <c r="C666" s="47" t="n"/>
      <c r="D666" s="47" t="n"/>
      <c r="E666" s="47" t="n"/>
      <c r="F666" s="47" t="n"/>
      <c r="G666" s="47" t="n"/>
      <c r="H666" s="47" t="n"/>
      <c r="I666" s="47" t="n"/>
      <c r="J666" s="47" t="n"/>
      <c r="K666" s="47" t="n"/>
      <c r="L666" s="47" t="n"/>
      <c r="M666" s="47" t="n"/>
      <c r="N666" s="47" t="n"/>
      <c r="O666" s="47" t="n"/>
      <c r="P666" s="47" t="n"/>
      <c r="Q666" s="47" t="n"/>
      <c r="R666" s="47" t="n"/>
      <c r="S666" s="47" t="n"/>
      <c r="T666" s="47" t="n"/>
      <c r="U666" s="47" t="n"/>
      <c r="V666" s="47" t="n"/>
      <c r="W666" s="47" t="n"/>
      <c r="X666" s="47" t="n"/>
      <c r="Y666" s="47" t="n"/>
      <c r="Z666" s="47" t="n"/>
    </row>
    <row r="667">
      <c r="A667" s="55" t="n"/>
      <c r="B667" s="46" t="n"/>
      <c r="C667" s="47" t="n"/>
      <c r="D667" s="47" t="n"/>
      <c r="E667" s="47" t="n"/>
      <c r="F667" s="47" t="n"/>
      <c r="G667" s="47" t="n"/>
      <c r="H667" s="47" t="n"/>
      <c r="I667" s="47" t="n"/>
      <c r="J667" s="47" t="n"/>
      <c r="K667" s="47" t="n"/>
      <c r="L667" s="47" t="n"/>
      <c r="M667" s="47" t="n"/>
      <c r="N667" s="47" t="n"/>
      <c r="O667" s="47" t="n"/>
      <c r="P667" s="47" t="n"/>
      <c r="Q667" s="47" t="n"/>
      <c r="R667" s="47" t="n"/>
      <c r="S667" s="47" t="n"/>
      <c r="T667" s="47" t="n"/>
      <c r="U667" s="47" t="n"/>
      <c r="V667" s="47" t="n"/>
      <c r="W667" s="47" t="n"/>
      <c r="X667" s="47" t="n"/>
      <c r="Y667" s="47" t="n"/>
      <c r="Z667" s="47" t="n"/>
    </row>
    <row r="668">
      <c r="A668" s="55" t="n"/>
      <c r="B668" s="46" t="n"/>
      <c r="C668" s="47" t="n"/>
      <c r="D668" s="47" t="n"/>
      <c r="E668" s="47" t="n"/>
      <c r="F668" s="47" t="n"/>
      <c r="G668" s="47" t="n"/>
      <c r="H668" s="47" t="n"/>
      <c r="I668" s="47" t="n"/>
      <c r="J668" s="47" t="n"/>
      <c r="K668" s="47" t="n"/>
      <c r="L668" s="47" t="n"/>
      <c r="M668" s="47" t="n"/>
      <c r="N668" s="47" t="n"/>
      <c r="O668" s="47" t="n"/>
      <c r="P668" s="47" t="n"/>
      <c r="Q668" s="47" t="n"/>
      <c r="R668" s="47" t="n"/>
      <c r="S668" s="47" t="n"/>
      <c r="T668" s="47" t="n"/>
      <c r="U668" s="47" t="n"/>
      <c r="V668" s="47" t="n"/>
      <c r="W668" s="47" t="n"/>
      <c r="X668" s="47" t="n"/>
      <c r="Y668" s="47" t="n"/>
      <c r="Z668" s="47" t="n"/>
    </row>
    <row r="669">
      <c r="A669" s="55" t="n"/>
      <c r="B669" s="46" t="n"/>
      <c r="C669" s="47" t="n"/>
      <c r="D669" s="47" t="n"/>
      <c r="E669" s="47" t="n"/>
      <c r="F669" s="47" t="n"/>
      <c r="G669" s="47" t="n"/>
      <c r="H669" s="47" t="n"/>
      <c r="I669" s="47" t="n"/>
      <c r="J669" s="47" t="n"/>
      <c r="K669" s="47" t="n"/>
      <c r="L669" s="47" t="n"/>
      <c r="M669" s="47" t="n"/>
      <c r="N669" s="47" t="n"/>
      <c r="O669" s="47" t="n"/>
      <c r="P669" s="47" t="n"/>
      <c r="Q669" s="47" t="n"/>
      <c r="R669" s="47" t="n"/>
      <c r="S669" s="47" t="n"/>
      <c r="T669" s="47" t="n"/>
      <c r="U669" s="47" t="n"/>
      <c r="V669" s="47" t="n"/>
      <c r="W669" s="47" t="n"/>
      <c r="X669" s="47" t="n"/>
      <c r="Y669" s="47" t="n"/>
      <c r="Z669" s="47" t="n"/>
    </row>
    <row r="670">
      <c r="A670" s="55" t="n"/>
      <c r="B670" s="46" t="n"/>
      <c r="C670" s="47" t="n"/>
      <c r="D670" s="47" t="n"/>
      <c r="E670" s="47" t="n"/>
      <c r="F670" s="47" t="n"/>
      <c r="G670" s="47" t="n"/>
      <c r="H670" s="47" t="n"/>
      <c r="I670" s="47" t="n"/>
      <c r="J670" s="47" t="n"/>
      <c r="K670" s="47" t="n"/>
      <c r="L670" s="47" t="n"/>
      <c r="M670" s="47" t="n"/>
      <c r="N670" s="47" t="n"/>
      <c r="O670" s="47" t="n"/>
      <c r="P670" s="47" t="n"/>
      <c r="Q670" s="47" t="n"/>
      <c r="R670" s="47" t="n"/>
      <c r="S670" s="47" t="n"/>
      <c r="T670" s="47" t="n"/>
      <c r="U670" s="47" t="n"/>
      <c r="V670" s="47" t="n"/>
      <c r="W670" s="47" t="n"/>
      <c r="X670" s="47" t="n"/>
      <c r="Y670" s="47" t="n"/>
      <c r="Z670" s="47" t="n"/>
    </row>
    <row r="671">
      <c r="A671" s="55" t="n"/>
      <c r="B671" s="46" t="n"/>
      <c r="C671" s="47" t="n"/>
      <c r="D671" s="47" t="n"/>
      <c r="E671" s="47" t="n"/>
      <c r="F671" s="47" t="n"/>
      <c r="G671" s="47" t="n"/>
      <c r="H671" s="47" t="n"/>
      <c r="I671" s="47" t="n"/>
      <c r="J671" s="47" t="n"/>
      <c r="K671" s="47" t="n"/>
      <c r="L671" s="47" t="n"/>
      <c r="M671" s="47" t="n"/>
      <c r="N671" s="47" t="n"/>
      <c r="O671" s="47" t="n"/>
      <c r="P671" s="47" t="n"/>
      <c r="Q671" s="47" t="n"/>
      <c r="R671" s="47" t="n"/>
      <c r="S671" s="47" t="n"/>
      <c r="T671" s="47" t="n"/>
      <c r="U671" s="47" t="n"/>
      <c r="V671" s="47" t="n"/>
      <c r="W671" s="47" t="n"/>
      <c r="X671" s="47" t="n"/>
      <c r="Y671" s="47" t="n"/>
      <c r="Z671" s="47" t="n"/>
    </row>
    <row r="672">
      <c r="A672" s="55" t="n"/>
      <c r="B672" s="46" t="n"/>
      <c r="C672" s="47" t="n"/>
      <c r="D672" s="47" t="n"/>
      <c r="E672" s="47" t="n"/>
      <c r="F672" s="47" t="n"/>
      <c r="G672" s="47" t="n"/>
      <c r="H672" s="47" t="n"/>
      <c r="I672" s="47" t="n"/>
      <c r="J672" s="47" t="n"/>
      <c r="K672" s="47" t="n"/>
      <c r="L672" s="47" t="n"/>
      <c r="M672" s="47" t="n"/>
      <c r="N672" s="47" t="n"/>
      <c r="O672" s="47" t="n"/>
      <c r="P672" s="47" t="n"/>
      <c r="Q672" s="47" t="n"/>
      <c r="R672" s="47" t="n"/>
      <c r="S672" s="47" t="n"/>
      <c r="T672" s="47" t="n"/>
      <c r="U672" s="47" t="n"/>
      <c r="V672" s="47" t="n"/>
      <c r="W672" s="47" t="n"/>
      <c r="X672" s="47" t="n"/>
      <c r="Y672" s="47" t="n"/>
      <c r="Z672" s="47" t="n"/>
    </row>
    <row r="673">
      <c r="A673" s="55" t="n"/>
      <c r="B673" s="46" t="n"/>
      <c r="C673" s="47" t="n"/>
      <c r="D673" s="47" t="n"/>
      <c r="E673" s="47" t="n"/>
      <c r="F673" s="47" t="n"/>
      <c r="G673" s="47" t="n"/>
      <c r="H673" s="47" t="n"/>
      <c r="I673" s="47" t="n"/>
      <c r="J673" s="47" t="n"/>
      <c r="K673" s="47" t="n"/>
      <c r="L673" s="47" t="n"/>
      <c r="M673" s="47" t="n"/>
      <c r="N673" s="47" t="n"/>
      <c r="O673" s="47" t="n"/>
      <c r="P673" s="47" t="n"/>
      <c r="Q673" s="47" t="n"/>
      <c r="R673" s="47" t="n"/>
      <c r="S673" s="47" t="n"/>
      <c r="T673" s="47" t="n"/>
      <c r="U673" s="47" t="n"/>
      <c r="V673" s="47" t="n"/>
      <c r="W673" s="47" t="n"/>
      <c r="X673" s="47" t="n"/>
      <c r="Y673" s="47" t="n"/>
      <c r="Z673" s="47" t="n"/>
    </row>
    <row r="674">
      <c r="A674" s="55" t="n"/>
      <c r="B674" s="46" t="n"/>
      <c r="C674" s="47" t="n"/>
      <c r="D674" s="47" t="n"/>
      <c r="E674" s="47" t="n"/>
      <c r="F674" s="47" t="n"/>
      <c r="G674" s="47" t="n"/>
      <c r="H674" s="47" t="n"/>
      <c r="I674" s="47" t="n"/>
      <c r="J674" s="47" t="n"/>
      <c r="K674" s="47" t="n"/>
      <c r="L674" s="47" t="n"/>
      <c r="M674" s="47" t="n"/>
      <c r="N674" s="47" t="n"/>
      <c r="O674" s="47" t="n"/>
      <c r="P674" s="47" t="n"/>
      <c r="Q674" s="47" t="n"/>
      <c r="R674" s="47" t="n"/>
      <c r="S674" s="47" t="n"/>
      <c r="T674" s="47" t="n"/>
      <c r="U674" s="47" t="n"/>
      <c r="V674" s="47" t="n"/>
      <c r="W674" s="47" t="n"/>
      <c r="X674" s="47" t="n"/>
      <c r="Y674" s="47" t="n"/>
      <c r="Z674" s="47" t="n"/>
    </row>
    <row r="675">
      <c r="A675" s="55" t="n"/>
      <c r="B675" s="46" t="n"/>
      <c r="C675" s="47" t="n"/>
      <c r="D675" s="47" t="n"/>
      <c r="E675" s="47" t="n"/>
      <c r="F675" s="47" t="n"/>
      <c r="G675" s="47" t="n"/>
      <c r="H675" s="47" t="n"/>
      <c r="I675" s="47" t="n"/>
      <c r="J675" s="47" t="n"/>
      <c r="K675" s="47" t="n"/>
      <c r="L675" s="47" t="n"/>
      <c r="M675" s="47" t="n"/>
      <c r="N675" s="47" t="n"/>
      <c r="O675" s="47" t="n"/>
      <c r="P675" s="47" t="n"/>
      <c r="Q675" s="47" t="n"/>
      <c r="R675" s="47" t="n"/>
      <c r="S675" s="47" t="n"/>
      <c r="T675" s="47" t="n"/>
      <c r="U675" s="47" t="n"/>
      <c r="V675" s="47" t="n"/>
      <c r="W675" s="47" t="n"/>
      <c r="X675" s="47" t="n"/>
      <c r="Y675" s="47" t="n"/>
      <c r="Z675" s="47" t="n"/>
    </row>
    <row r="676">
      <c r="A676" s="55" t="n"/>
      <c r="B676" s="46" t="n"/>
      <c r="C676" s="47" t="n"/>
      <c r="D676" s="47" t="n"/>
      <c r="E676" s="47" t="n"/>
      <c r="F676" s="47" t="n"/>
      <c r="G676" s="47" t="n"/>
      <c r="H676" s="47" t="n"/>
      <c r="I676" s="47" t="n"/>
      <c r="J676" s="47" t="n"/>
      <c r="K676" s="47" t="n"/>
      <c r="L676" s="47" t="n"/>
      <c r="M676" s="47" t="n"/>
      <c r="N676" s="47" t="n"/>
      <c r="O676" s="47" t="n"/>
      <c r="P676" s="47" t="n"/>
      <c r="Q676" s="47" t="n"/>
      <c r="R676" s="47" t="n"/>
      <c r="S676" s="47" t="n"/>
      <c r="T676" s="47" t="n"/>
      <c r="U676" s="47" t="n"/>
      <c r="V676" s="47" t="n"/>
      <c r="W676" s="47" t="n"/>
      <c r="X676" s="47" t="n"/>
      <c r="Y676" s="47" t="n"/>
      <c r="Z676" s="47" t="n"/>
    </row>
    <row r="677">
      <c r="A677" s="55" t="n"/>
      <c r="B677" s="46" t="n"/>
      <c r="C677" s="47" t="n"/>
      <c r="D677" s="47" t="n"/>
      <c r="E677" s="47" t="n"/>
      <c r="F677" s="47" t="n"/>
      <c r="G677" s="47" t="n"/>
      <c r="H677" s="47" t="n"/>
      <c r="I677" s="47" t="n"/>
      <c r="J677" s="47" t="n"/>
      <c r="K677" s="47" t="n"/>
      <c r="L677" s="47" t="n"/>
      <c r="M677" s="47" t="n"/>
      <c r="N677" s="47" t="n"/>
      <c r="O677" s="47" t="n"/>
      <c r="P677" s="47" t="n"/>
      <c r="Q677" s="47" t="n"/>
      <c r="R677" s="47" t="n"/>
      <c r="S677" s="47" t="n"/>
      <c r="T677" s="47" t="n"/>
      <c r="U677" s="47" t="n"/>
      <c r="V677" s="47" t="n"/>
      <c r="W677" s="47" t="n"/>
      <c r="X677" s="47" t="n"/>
      <c r="Y677" s="47" t="n"/>
      <c r="Z677" s="47" t="n"/>
    </row>
    <row r="678">
      <c r="A678" s="55" t="n"/>
      <c r="B678" s="46" t="n"/>
      <c r="C678" s="47" t="n"/>
      <c r="D678" s="47" t="n"/>
      <c r="E678" s="47" t="n"/>
      <c r="F678" s="47" t="n"/>
      <c r="G678" s="47" t="n"/>
      <c r="H678" s="47" t="n"/>
      <c r="I678" s="47" t="n"/>
      <c r="J678" s="47" t="n"/>
      <c r="K678" s="47" t="n"/>
      <c r="L678" s="47" t="n"/>
      <c r="M678" s="47" t="n"/>
      <c r="N678" s="47" t="n"/>
      <c r="O678" s="47" t="n"/>
      <c r="P678" s="47" t="n"/>
      <c r="Q678" s="47" t="n"/>
      <c r="R678" s="47" t="n"/>
      <c r="S678" s="47" t="n"/>
      <c r="T678" s="47" t="n"/>
      <c r="U678" s="47" t="n"/>
      <c r="V678" s="47" t="n"/>
      <c r="W678" s="47" t="n"/>
      <c r="X678" s="47" t="n"/>
      <c r="Y678" s="47" t="n"/>
      <c r="Z678" s="47" t="n"/>
    </row>
    <row r="679">
      <c r="A679" s="55" t="n"/>
      <c r="B679" s="46" t="n"/>
      <c r="C679" s="47" t="n"/>
      <c r="D679" s="47" t="n"/>
      <c r="E679" s="47" t="n"/>
      <c r="F679" s="47" t="n"/>
      <c r="G679" s="47" t="n"/>
      <c r="H679" s="47" t="n"/>
      <c r="I679" s="47" t="n"/>
      <c r="J679" s="47" t="n"/>
      <c r="K679" s="47" t="n"/>
      <c r="L679" s="47" t="n"/>
      <c r="M679" s="47" t="n"/>
      <c r="N679" s="47" t="n"/>
      <c r="O679" s="47" t="n"/>
      <c r="P679" s="47" t="n"/>
      <c r="Q679" s="47" t="n"/>
      <c r="R679" s="47" t="n"/>
      <c r="S679" s="47" t="n"/>
      <c r="T679" s="47" t="n"/>
      <c r="U679" s="47" t="n"/>
      <c r="V679" s="47" t="n"/>
      <c r="W679" s="47" t="n"/>
      <c r="X679" s="47" t="n"/>
      <c r="Y679" s="47" t="n"/>
      <c r="Z679" s="47" t="n"/>
    </row>
    <row r="680">
      <c r="A680" s="55" t="n"/>
      <c r="B680" s="46" t="n"/>
      <c r="C680" s="47" t="n"/>
      <c r="D680" s="47" t="n"/>
      <c r="E680" s="47" t="n"/>
      <c r="F680" s="47" t="n"/>
      <c r="G680" s="47" t="n"/>
      <c r="H680" s="47" t="n"/>
      <c r="I680" s="47" t="n"/>
      <c r="J680" s="47" t="n"/>
      <c r="K680" s="47" t="n"/>
      <c r="L680" s="47" t="n"/>
      <c r="M680" s="47" t="n"/>
      <c r="N680" s="47" t="n"/>
      <c r="O680" s="47" t="n"/>
      <c r="P680" s="47" t="n"/>
      <c r="Q680" s="47" t="n"/>
      <c r="R680" s="47" t="n"/>
      <c r="S680" s="47" t="n"/>
      <c r="T680" s="47" t="n"/>
      <c r="U680" s="47" t="n"/>
      <c r="V680" s="47" t="n"/>
      <c r="W680" s="47" t="n"/>
      <c r="X680" s="47" t="n"/>
      <c r="Y680" s="47" t="n"/>
      <c r="Z680" s="47" t="n"/>
    </row>
    <row r="681">
      <c r="A681" s="55" t="n"/>
      <c r="B681" s="46" t="n"/>
      <c r="C681" s="47" t="n"/>
      <c r="D681" s="47" t="n"/>
      <c r="E681" s="47" t="n"/>
      <c r="F681" s="47" t="n"/>
      <c r="G681" s="47" t="n"/>
      <c r="H681" s="47" t="n"/>
      <c r="I681" s="47" t="n"/>
      <c r="J681" s="47" t="n"/>
      <c r="K681" s="47" t="n"/>
      <c r="L681" s="47" t="n"/>
      <c r="M681" s="47" t="n"/>
      <c r="N681" s="47" t="n"/>
      <c r="O681" s="47" t="n"/>
      <c r="P681" s="47" t="n"/>
      <c r="Q681" s="47" t="n"/>
      <c r="R681" s="47" t="n"/>
      <c r="S681" s="47" t="n"/>
      <c r="T681" s="47" t="n"/>
      <c r="U681" s="47" t="n"/>
      <c r="V681" s="47" t="n"/>
      <c r="W681" s="47" t="n"/>
      <c r="X681" s="47" t="n"/>
      <c r="Y681" s="47" t="n"/>
      <c r="Z681" s="47" t="n"/>
    </row>
    <row r="682">
      <c r="A682" s="55" t="n"/>
      <c r="B682" s="46" t="n"/>
      <c r="C682" s="47" t="n"/>
      <c r="D682" s="47" t="n"/>
      <c r="E682" s="47" t="n"/>
      <c r="F682" s="47" t="n"/>
      <c r="G682" s="47" t="n"/>
      <c r="H682" s="47" t="n"/>
      <c r="I682" s="47" t="n"/>
      <c r="J682" s="47" t="n"/>
      <c r="K682" s="47" t="n"/>
      <c r="L682" s="47" t="n"/>
      <c r="M682" s="47" t="n"/>
      <c r="N682" s="47" t="n"/>
      <c r="O682" s="47" t="n"/>
      <c r="P682" s="47" t="n"/>
      <c r="Q682" s="47" t="n"/>
      <c r="R682" s="47" t="n"/>
      <c r="S682" s="47" t="n"/>
      <c r="T682" s="47" t="n"/>
      <c r="U682" s="47" t="n"/>
      <c r="V682" s="47" t="n"/>
      <c r="W682" s="47" t="n"/>
      <c r="X682" s="47" t="n"/>
      <c r="Y682" s="47" t="n"/>
      <c r="Z682" s="47" t="n"/>
    </row>
    <row r="683">
      <c r="A683" s="55" t="n"/>
      <c r="B683" s="46" t="n"/>
      <c r="C683" s="47" t="n"/>
      <c r="D683" s="47" t="n"/>
      <c r="E683" s="47" t="n"/>
      <c r="F683" s="47" t="n"/>
      <c r="G683" s="47" t="n"/>
      <c r="H683" s="47" t="n"/>
      <c r="I683" s="47" t="n"/>
      <c r="J683" s="47" t="n"/>
      <c r="K683" s="47" t="n"/>
      <c r="L683" s="47" t="n"/>
      <c r="M683" s="47" t="n"/>
      <c r="N683" s="47" t="n"/>
      <c r="O683" s="47" t="n"/>
      <c r="P683" s="47" t="n"/>
      <c r="Q683" s="47" t="n"/>
      <c r="R683" s="47" t="n"/>
      <c r="S683" s="47" t="n"/>
      <c r="T683" s="47" t="n"/>
      <c r="U683" s="47" t="n"/>
      <c r="V683" s="47" t="n"/>
      <c r="W683" s="47" t="n"/>
      <c r="X683" s="47" t="n"/>
      <c r="Y683" s="47" t="n"/>
      <c r="Z683" s="47" t="n"/>
    </row>
    <row r="684">
      <c r="A684" s="55" t="n"/>
      <c r="B684" s="46" t="n"/>
      <c r="C684" s="47" t="n"/>
      <c r="D684" s="47" t="n"/>
      <c r="E684" s="47" t="n"/>
      <c r="F684" s="47" t="n"/>
      <c r="G684" s="47" t="n"/>
      <c r="H684" s="47" t="n"/>
      <c r="I684" s="47" t="n"/>
      <c r="J684" s="47" t="n"/>
      <c r="K684" s="47" t="n"/>
      <c r="L684" s="47" t="n"/>
      <c r="M684" s="47" t="n"/>
      <c r="N684" s="47" t="n"/>
      <c r="O684" s="47" t="n"/>
      <c r="P684" s="47" t="n"/>
      <c r="Q684" s="47" t="n"/>
      <c r="R684" s="47" t="n"/>
      <c r="S684" s="47" t="n"/>
      <c r="T684" s="47" t="n"/>
      <c r="U684" s="47" t="n"/>
      <c r="V684" s="47" t="n"/>
      <c r="W684" s="47" t="n"/>
      <c r="X684" s="47" t="n"/>
      <c r="Y684" s="47" t="n"/>
      <c r="Z684" s="47" t="n"/>
    </row>
    <row r="685">
      <c r="A685" s="55" t="n"/>
      <c r="B685" s="46" t="n"/>
      <c r="C685" s="47" t="n"/>
      <c r="D685" s="47" t="n"/>
      <c r="E685" s="47" t="n"/>
      <c r="F685" s="47" t="n"/>
      <c r="G685" s="47" t="n"/>
      <c r="H685" s="47" t="n"/>
      <c r="I685" s="47" t="n"/>
      <c r="J685" s="47" t="n"/>
      <c r="K685" s="47" t="n"/>
      <c r="L685" s="47" t="n"/>
      <c r="M685" s="47" t="n"/>
      <c r="N685" s="47" t="n"/>
      <c r="O685" s="47" t="n"/>
      <c r="P685" s="47" t="n"/>
      <c r="Q685" s="47" t="n"/>
      <c r="R685" s="47" t="n"/>
      <c r="S685" s="47" t="n"/>
      <c r="T685" s="47" t="n"/>
      <c r="U685" s="47" t="n"/>
      <c r="V685" s="47" t="n"/>
      <c r="W685" s="47" t="n"/>
      <c r="X685" s="47" t="n"/>
      <c r="Y685" s="47" t="n"/>
      <c r="Z685" s="47" t="n"/>
    </row>
    <row r="686">
      <c r="A686" s="55" t="n"/>
      <c r="B686" s="46" t="n"/>
      <c r="C686" s="47" t="n"/>
      <c r="D686" s="47" t="n"/>
      <c r="E686" s="47" t="n"/>
      <c r="F686" s="47" t="n"/>
      <c r="G686" s="47" t="n"/>
      <c r="H686" s="47" t="n"/>
      <c r="I686" s="47" t="n"/>
      <c r="J686" s="47" t="n"/>
      <c r="K686" s="47" t="n"/>
      <c r="L686" s="47" t="n"/>
      <c r="M686" s="47" t="n"/>
      <c r="N686" s="47" t="n"/>
      <c r="O686" s="47" t="n"/>
      <c r="P686" s="47" t="n"/>
      <c r="Q686" s="47" t="n"/>
      <c r="R686" s="47" t="n"/>
      <c r="S686" s="47" t="n"/>
      <c r="T686" s="47" t="n"/>
      <c r="U686" s="47" t="n"/>
      <c r="V686" s="47" t="n"/>
      <c r="W686" s="47" t="n"/>
      <c r="X686" s="47" t="n"/>
      <c r="Y686" s="47" t="n"/>
      <c r="Z686" s="47" t="n"/>
    </row>
    <row r="687">
      <c r="A687" s="55" t="n"/>
      <c r="B687" s="46" t="n"/>
      <c r="C687" s="47" t="n"/>
      <c r="D687" s="47" t="n"/>
      <c r="E687" s="47" t="n"/>
      <c r="F687" s="47" t="n"/>
      <c r="G687" s="47" t="n"/>
      <c r="H687" s="47" t="n"/>
      <c r="I687" s="47" t="n"/>
      <c r="J687" s="47" t="n"/>
      <c r="K687" s="47" t="n"/>
      <c r="L687" s="47" t="n"/>
      <c r="M687" s="47" t="n"/>
      <c r="N687" s="47" t="n"/>
      <c r="O687" s="47" t="n"/>
      <c r="P687" s="47" t="n"/>
      <c r="Q687" s="47" t="n"/>
      <c r="R687" s="47" t="n"/>
      <c r="S687" s="47" t="n"/>
      <c r="T687" s="47" t="n"/>
      <c r="U687" s="47" t="n"/>
      <c r="V687" s="47" t="n"/>
      <c r="W687" s="47" t="n"/>
      <c r="X687" s="47" t="n"/>
      <c r="Y687" s="47" t="n"/>
      <c r="Z687" s="47" t="n"/>
    </row>
    <row r="688">
      <c r="A688" s="55" t="n"/>
      <c r="B688" s="46" t="n"/>
      <c r="C688" s="47" t="n"/>
      <c r="D688" s="47" t="n"/>
      <c r="E688" s="47" t="n"/>
      <c r="F688" s="47" t="n"/>
      <c r="G688" s="47" t="n"/>
      <c r="H688" s="47" t="n"/>
      <c r="I688" s="47" t="n"/>
      <c r="J688" s="47" t="n"/>
      <c r="K688" s="47" t="n"/>
      <c r="L688" s="47" t="n"/>
      <c r="M688" s="47" t="n"/>
      <c r="N688" s="47" t="n"/>
      <c r="O688" s="47" t="n"/>
      <c r="P688" s="47" t="n"/>
      <c r="Q688" s="47" t="n"/>
      <c r="R688" s="47" t="n"/>
      <c r="S688" s="47" t="n"/>
      <c r="T688" s="47" t="n"/>
      <c r="U688" s="47" t="n"/>
      <c r="V688" s="47" t="n"/>
      <c r="W688" s="47" t="n"/>
      <c r="X688" s="47" t="n"/>
      <c r="Y688" s="47" t="n"/>
      <c r="Z688" s="47" t="n"/>
    </row>
    <row r="689">
      <c r="A689" s="55" t="n"/>
      <c r="B689" s="46" t="n"/>
      <c r="C689" s="47" t="n"/>
      <c r="D689" s="47" t="n"/>
      <c r="E689" s="47" t="n"/>
      <c r="F689" s="47" t="n"/>
      <c r="G689" s="47" t="n"/>
      <c r="H689" s="47" t="n"/>
      <c r="I689" s="47" t="n"/>
      <c r="J689" s="47" t="n"/>
      <c r="K689" s="47" t="n"/>
      <c r="L689" s="47" t="n"/>
      <c r="M689" s="47" t="n"/>
      <c r="N689" s="47" t="n"/>
      <c r="O689" s="47" t="n"/>
      <c r="P689" s="47" t="n"/>
      <c r="Q689" s="47" t="n"/>
      <c r="R689" s="47" t="n"/>
      <c r="S689" s="47" t="n"/>
      <c r="T689" s="47" t="n"/>
      <c r="U689" s="47" t="n"/>
      <c r="V689" s="47" t="n"/>
      <c r="W689" s="47" t="n"/>
      <c r="X689" s="47" t="n"/>
      <c r="Y689" s="47" t="n"/>
      <c r="Z689" s="47" t="n"/>
    </row>
    <row r="690">
      <c r="A690" s="55" t="n"/>
      <c r="B690" s="46" t="n"/>
      <c r="C690" s="47" t="n"/>
      <c r="D690" s="47" t="n"/>
      <c r="E690" s="47" t="n"/>
      <c r="F690" s="47" t="n"/>
      <c r="G690" s="47" t="n"/>
      <c r="H690" s="47" t="n"/>
      <c r="I690" s="47" t="n"/>
      <c r="J690" s="47" t="n"/>
      <c r="K690" s="47" t="n"/>
      <c r="L690" s="47" t="n"/>
      <c r="M690" s="47" t="n"/>
      <c r="N690" s="47" t="n"/>
      <c r="O690" s="47" t="n"/>
      <c r="P690" s="47" t="n"/>
      <c r="Q690" s="47" t="n"/>
      <c r="R690" s="47" t="n"/>
      <c r="S690" s="47" t="n"/>
      <c r="T690" s="47" t="n"/>
      <c r="U690" s="47" t="n"/>
      <c r="V690" s="47" t="n"/>
      <c r="W690" s="47" t="n"/>
      <c r="X690" s="47" t="n"/>
      <c r="Y690" s="47" t="n"/>
      <c r="Z690" s="47" t="n"/>
    </row>
    <row r="691">
      <c r="A691" s="55" t="n"/>
      <c r="B691" s="46" t="n"/>
      <c r="C691" s="47" t="n"/>
      <c r="D691" s="47" t="n"/>
      <c r="E691" s="47" t="n"/>
      <c r="F691" s="47" t="n"/>
      <c r="G691" s="47" t="n"/>
      <c r="H691" s="47" t="n"/>
      <c r="I691" s="47" t="n"/>
      <c r="J691" s="47" t="n"/>
      <c r="K691" s="47" t="n"/>
      <c r="L691" s="47" t="n"/>
      <c r="M691" s="47" t="n"/>
      <c r="N691" s="47" t="n"/>
      <c r="O691" s="47" t="n"/>
      <c r="P691" s="47" t="n"/>
      <c r="Q691" s="47" t="n"/>
      <c r="R691" s="47" t="n"/>
      <c r="S691" s="47" t="n"/>
      <c r="T691" s="47" t="n"/>
      <c r="U691" s="47" t="n"/>
      <c r="V691" s="47" t="n"/>
      <c r="W691" s="47" t="n"/>
      <c r="X691" s="47" t="n"/>
      <c r="Y691" s="47" t="n"/>
      <c r="Z691" s="47" t="n"/>
    </row>
    <row r="692">
      <c r="A692" s="55" t="n"/>
      <c r="B692" s="46" t="n"/>
      <c r="C692" s="47" t="n"/>
      <c r="D692" s="47" t="n"/>
      <c r="E692" s="47" t="n"/>
      <c r="F692" s="47" t="n"/>
      <c r="G692" s="47" t="n"/>
      <c r="H692" s="47" t="n"/>
      <c r="I692" s="47" t="n"/>
      <c r="J692" s="47" t="n"/>
      <c r="K692" s="47" t="n"/>
      <c r="L692" s="47" t="n"/>
      <c r="M692" s="47" t="n"/>
      <c r="N692" s="47" t="n"/>
      <c r="O692" s="47" t="n"/>
      <c r="P692" s="47" t="n"/>
      <c r="Q692" s="47" t="n"/>
      <c r="R692" s="47" t="n"/>
      <c r="S692" s="47" t="n"/>
      <c r="T692" s="47" t="n"/>
      <c r="U692" s="47" t="n"/>
      <c r="V692" s="47" t="n"/>
      <c r="W692" s="47" t="n"/>
      <c r="X692" s="47" t="n"/>
      <c r="Y692" s="47" t="n"/>
      <c r="Z692" s="47" t="n"/>
    </row>
    <row r="693">
      <c r="A693" s="55" t="n"/>
      <c r="B693" s="46" t="n"/>
      <c r="C693" s="47" t="n"/>
      <c r="D693" s="47" t="n"/>
      <c r="E693" s="47" t="n"/>
      <c r="F693" s="47" t="n"/>
      <c r="G693" s="47" t="n"/>
      <c r="H693" s="47" t="n"/>
      <c r="I693" s="47" t="n"/>
      <c r="J693" s="47" t="n"/>
      <c r="K693" s="47" t="n"/>
      <c r="L693" s="47" t="n"/>
      <c r="M693" s="47" t="n"/>
      <c r="N693" s="47" t="n"/>
      <c r="O693" s="47" t="n"/>
      <c r="P693" s="47" t="n"/>
      <c r="Q693" s="47" t="n"/>
      <c r="R693" s="47" t="n"/>
      <c r="S693" s="47" t="n"/>
      <c r="T693" s="47" t="n"/>
      <c r="U693" s="47" t="n"/>
      <c r="V693" s="47" t="n"/>
      <c r="W693" s="47" t="n"/>
      <c r="X693" s="47" t="n"/>
      <c r="Y693" s="47" t="n"/>
      <c r="Z693" s="47" t="n"/>
    </row>
    <row r="694">
      <c r="A694" s="55" t="n"/>
      <c r="B694" s="46" t="n"/>
      <c r="C694" s="47" t="n"/>
      <c r="D694" s="47" t="n"/>
      <c r="E694" s="47" t="n"/>
      <c r="F694" s="47" t="n"/>
      <c r="G694" s="47" t="n"/>
      <c r="H694" s="47" t="n"/>
      <c r="I694" s="47" t="n"/>
      <c r="J694" s="47" t="n"/>
      <c r="K694" s="47" t="n"/>
      <c r="L694" s="47" t="n"/>
      <c r="M694" s="47" t="n"/>
      <c r="N694" s="47" t="n"/>
      <c r="O694" s="47" t="n"/>
      <c r="P694" s="47" t="n"/>
      <c r="Q694" s="47" t="n"/>
      <c r="R694" s="47" t="n"/>
      <c r="S694" s="47" t="n"/>
      <c r="T694" s="47" t="n"/>
      <c r="U694" s="47" t="n"/>
      <c r="V694" s="47" t="n"/>
      <c r="W694" s="47" t="n"/>
      <c r="X694" s="47" t="n"/>
      <c r="Y694" s="47" t="n"/>
      <c r="Z694" s="47" t="n"/>
    </row>
    <row r="695">
      <c r="A695" s="55" t="n"/>
      <c r="B695" s="46" t="n"/>
      <c r="C695" s="47" t="n"/>
      <c r="D695" s="47" t="n"/>
      <c r="E695" s="47" t="n"/>
      <c r="F695" s="47" t="n"/>
      <c r="G695" s="47" t="n"/>
      <c r="H695" s="47" t="n"/>
      <c r="I695" s="47" t="n"/>
      <c r="J695" s="47" t="n"/>
      <c r="K695" s="47" t="n"/>
      <c r="L695" s="47" t="n"/>
      <c r="M695" s="47" t="n"/>
      <c r="N695" s="47" t="n"/>
      <c r="O695" s="47" t="n"/>
      <c r="P695" s="47" t="n"/>
      <c r="Q695" s="47" t="n"/>
      <c r="R695" s="47" t="n"/>
      <c r="S695" s="47" t="n"/>
      <c r="T695" s="47" t="n"/>
      <c r="U695" s="47" t="n"/>
      <c r="V695" s="47" t="n"/>
      <c r="W695" s="47" t="n"/>
      <c r="X695" s="47" t="n"/>
      <c r="Y695" s="47" t="n"/>
      <c r="Z695" s="47" t="n"/>
    </row>
    <row r="696">
      <c r="A696" s="55" t="n"/>
      <c r="B696" s="46" t="n"/>
      <c r="C696" s="47" t="n"/>
      <c r="D696" s="47" t="n"/>
      <c r="E696" s="47" t="n"/>
      <c r="F696" s="47" t="n"/>
      <c r="G696" s="47" t="n"/>
      <c r="H696" s="47" t="n"/>
      <c r="I696" s="47" t="n"/>
      <c r="J696" s="47" t="n"/>
      <c r="K696" s="47" t="n"/>
      <c r="L696" s="47" t="n"/>
      <c r="M696" s="47" t="n"/>
      <c r="N696" s="47" t="n"/>
      <c r="O696" s="47" t="n"/>
      <c r="P696" s="47" t="n"/>
      <c r="Q696" s="47" t="n"/>
      <c r="R696" s="47" t="n"/>
      <c r="S696" s="47" t="n"/>
      <c r="T696" s="47" t="n"/>
      <c r="U696" s="47" t="n"/>
      <c r="V696" s="47" t="n"/>
      <c r="W696" s="47" t="n"/>
      <c r="X696" s="47" t="n"/>
      <c r="Y696" s="47" t="n"/>
      <c r="Z696" s="47" t="n"/>
    </row>
    <row r="697">
      <c r="A697" s="55" t="n"/>
      <c r="B697" s="46" t="n"/>
      <c r="C697" s="47" t="n"/>
      <c r="D697" s="47" t="n"/>
      <c r="E697" s="47" t="n"/>
      <c r="F697" s="47" t="n"/>
      <c r="G697" s="47" t="n"/>
      <c r="H697" s="47" t="n"/>
      <c r="I697" s="47" t="n"/>
      <c r="J697" s="47" t="n"/>
      <c r="K697" s="47" t="n"/>
      <c r="L697" s="47" t="n"/>
      <c r="M697" s="47" t="n"/>
      <c r="N697" s="47" t="n"/>
      <c r="O697" s="47" t="n"/>
      <c r="P697" s="47" t="n"/>
      <c r="Q697" s="47" t="n"/>
      <c r="R697" s="47" t="n"/>
      <c r="S697" s="47" t="n"/>
      <c r="T697" s="47" t="n"/>
      <c r="U697" s="47" t="n"/>
      <c r="V697" s="47" t="n"/>
      <c r="W697" s="47" t="n"/>
      <c r="X697" s="47" t="n"/>
      <c r="Y697" s="47" t="n"/>
      <c r="Z697" s="47" t="n"/>
    </row>
    <row r="698">
      <c r="A698" s="55" t="n"/>
      <c r="B698" s="46" t="n"/>
      <c r="C698" s="47" t="n"/>
      <c r="D698" s="47" t="n"/>
      <c r="E698" s="47" t="n"/>
      <c r="F698" s="47" t="n"/>
      <c r="G698" s="47" t="n"/>
      <c r="H698" s="47" t="n"/>
      <c r="I698" s="47" t="n"/>
      <c r="J698" s="47" t="n"/>
      <c r="K698" s="47" t="n"/>
      <c r="L698" s="47" t="n"/>
      <c r="M698" s="47" t="n"/>
      <c r="N698" s="47" t="n"/>
      <c r="O698" s="47" t="n"/>
      <c r="P698" s="47" t="n"/>
      <c r="Q698" s="47" t="n"/>
      <c r="R698" s="47" t="n"/>
      <c r="S698" s="47" t="n"/>
      <c r="T698" s="47" t="n"/>
      <c r="U698" s="47" t="n"/>
      <c r="V698" s="47" t="n"/>
      <c r="W698" s="47" t="n"/>
      <c r="X698" s="47" t="n"/>
      <c r="Y698" s="47" t="n"/>
      <c r="Z698" s="47" t="n"/>
    </row>
    <row r="699">
      <c r="A699" s="55" t="n"/>
      <c r="B699" s="46" t="n"/>
      <c r="C699" s="47" t="n"/>
      <c r="D699" s="47" t="n"/>
      <c r="E699" s="47" t="n"/>
      <c r="F699" s="47" t="n"/>
      <c r="G699" s="47" t="n"/>
      <c r="H699" s="47" t="n"/>
      <c r="I699" s="47" t="n"/>
      <c r="J699" s="47" t="n"/>
      <c r="K699" s="47" t="n"/>
      <c r="L699" s="47" t="n"/>
      <c r="M699" s="47" t="n"/>
      <c r="N699" s="47" t="n"/>
      <c r="O699" s="47" t="n"/>
      <c r="P699" s="47" t="n"/>
      <c r="Q699" s="47" t="n"/>
      <c r="R699" s="47" t="n"/>
      <c r="S699" s="47" t="n"/>
      <c r="T699" s="47" t="n"/>
      <c r="U699" s="47" t="n"/>
      <c r="V699" s="47" t="n"/>
      <c r="W699" s="47" t="n"/>
      <c r="X699" s="47" t="n"/>
      <c r="Y699" s="47" t="n"/>
      <c r="Z699" s="47" t="n"/>
    </row>
    <row r="700">
      <c r="A700" s="55" t="n"/>
      <c r="B700" s="46" t="n"/>
      <c r="C700" s="47" t="n"/>
      <c r="D700" s="47" t="n"/>
      <c r="E700" s="47" t="n"/>
      <c r="F700" s="47" t="n"/>
      <c r="G700" s="47" t="n"/>
      <c r="H700" s="47" t="n"/>
      <c r="I700" s="47" t="n"/>
      <c r="J700" s="47" t="n"/>
      <c r="K700" s="47" t="n"/>
      <c r="L700" s="47" t="n"/>
      <c r="M700" s="47" t="n"/>
      <c r="N700" s="47" t="n"/>
      <c r="O700" s="47" t="n"/>
      <c r="P700" s="47" t="n"/>
      <c r="Q700" s="47" t="n"/>
      <c r="R700" s="47" t="n"/>
      <c r="S700" s="47" t="n"/>
      <c r="T700" s="47" t="n"/>
      <c r="U700" s="47" t="n"/>
      <c r="V700" s="47" t="n"/>
      <c r="W700" s="47" t="n"/>
      <c r="X700" s="47" t="n"/>
      <c r="Y700" s="47" t="n"/>
      <c r="Z700" s="47" t="n"/>
    </row>
    <row r="701">
      <c r="A701" s="55" t="n"/>
      <c r="B701" s="46" t="n"/>
      <c r="C701" s="47" t="n"/>
      <c r="D701" s="47" t="n"/>
      <c r="E701" s="47" t="n"/>
      <c r="F701" s="47" t="n"/>
      <c r="G701" s="47" t="n"/>
      <c r="H701" s="47" t="n"/>
      <c r="I701" s="47" t="n"/>
      <c r="J701" s="47" t="n"/>
      <c r="K701" s="47" t="n"/>
      <c r="L701" s="47" t="n"/>
      <c r="M701" s="47" t="n"/>
      <c r="N701" s="47" t="n"/>
      <c r="O701" s="47" t="n"/>
      <c r="P701" s="47" t="n"/>
      <c r="Q701" s="47" t="n"/>
      <c r="R701" s="47" t="n"/>
      <c r="S701" s="47" t="n"/>
      <c r="T701" s="47" t="n"/>
      <c r="U701" s="47" t="n"/>
      <c r="V701" s="47" t="n"/>
      <c r="W701" s="47" t="n"/>
      <c r="X701" s="47" t="n"/>
      <c r="Y701" s="47" t="n"/>
      <c r="Z701" s="47" t="n"/>
    </row>
    <row r="702">
      <c r="A702" s="55" t="n"/>
      <c r="B702" s="46" t="n"/>
      <c r="C702" s="47" t="n"/>
      <c r="D702" s="47" t="n"/>
      <c r="E702" s="47" t="n"/>
      <c r="F702" s="47" t="n"/>
      <c r="G702" s="47" t="n"/>
      <c r="H702" s="47" t="n"/>
      <c r="I702" s="47" t="n"/>
      <c r="J702" s="47" t="n"/>
      <c r="K702" s="47" t="n"/>
      <c r="L702" s="47" t="n"/>
      <c r="M702" s="47" t="n"/>
      <c r="N702" s="47" t="n"/>
      <c r="O702" s="47" t="n"/>
      <c r="P702" s="47" t="n"/>
      <c r="Q702" s="47" t="n"/>
      <c r="R702" s="47" t="n"/>
      <c r="S702" s="47" t="n"/>
      <c r="T702" s="47" t="n"/>
      <c r="U702" s="47" t="n"/>
      <c r="V702" s="47" t="n"/>
      <c r="W702" s="47" t="n"/>
      <c r="X702" s="47" t="n"/>
      <c r="Y702" s="47" t="n"/>
      <c r="Z702" s="47" t="n"/>
    </row>
    <row r="703">
      <c r="A703" s="55" t="n"/>
      <c r="B703" s="46" t="n"/>
      <c r="C703" s="47" t="n"/>
      <c r="D703" s="47" t="n"/>
      <c r="E703" s="47" t="n"/>
      <c r="F703" s="47" t="n"/>
      <c r="G703" s="47" t="n"/>
      <c r="H703" s="47" t="n"/>
      <c r="I703" s="47" t="n"/>
      <c r="J703" s="47" t="n"/>
      <c r="K703" s="47" t="n"/>
      <c r="L703" s="47" t="n"/>
      <c r="M703" s="47" t="n"/>
      <c r="N703" s="47" t="n"/>
      <c r="O703" s="47" t="n"/>
      <c r="P703" s="47" t="n"/>
      <c r="Q703" s="47" t="n"/>
      <c r="R703" s="47" t="n"/>
      <c r="S703" s="47" t="n"/>
      <c r="T703" s="47" t="n"/>
      <c r="U703" s="47" t="n"/>
      <c r="V703" s="47" t="n"/>
      <c r="W703" s="47" t="n"/>
      <c r="X703" s="47" t="n"/>
      <c r="Y703" s="47" t="n"/>
      <c r="Z703" s="47" t="n"/>
    </row>
    <row r="704">
      <c r="A704" s="55" t="n"/>
      <c r="B704" s="46" t="n"/>
      <c r="C704" s="47" t="n"/>
      <c r="D704" s="47" t="n"/>
      <c r="E704" s="47" t="n"/>
      <c r="F704" s="47" t="n"/>
      <c r="G704" s="47" t="n"/>
      <c r="H704" s="47" t="n"/>
      <c r="I704" s="47" t="n"/>
      <c r="J704" s="47" t="n"/>
      <c r="K704" s="47" t="n"/>
      <c r="L704" s="47" t="n"/>
      <c r="M704" s="47" t="n"/>
      <c r="N704" s="47" t="n"/>
      <c r="O704" s="47" t="n"/>
      <c r="P704" s="47" t="n"/>
      <c r="Q704" s="47" t="n"/>
      <c r="R704" s="47" t="n"/>
      <c r="S704" s="47" t="n"/>
      <c r="T704" s="47" t="n"/>
      <c r="U704" s="47" t="n"/>
      <c r="V704" s="47" t="n"/>
      <c r="W704" s="47" t="n"/>
      <c r="X704" s="47" t="n"/>
      <c r="Y704" s="47" t="n"/>
      <c r="Z704" s="47" t="n"/>
    </row>
    <row r="705">
      <c r="A705" s="55" t="n"/>
      <c r="B705" s="46" t="n"/>
      <c r="C705" s="47" t="n"/>
      <c r="D705" s="47" t="n"/>
      <c r="E705" s="47" t="n"/>
      <c r="F705" s="47" t="n"/>
      <c r="G705" s="47" t="n"/>
      <c r="H705" s="47" t="n"/>
      <c r="I705" s="47" t="n"/>
      <c r="J705" s="47" t="n"/>
      <c r="K705" s="47" t="n"/>
      <c r="L705" s="47" t="n"/>
      <c r="M705" s="47" t="n"/>
      <c r="N705" s="47" t="n"/>
      <c r="O705" s="47" t="n"/>
      <c r="P705" s="47" t="n"/>
      <c r="Q705" s="47" t="n"/>
      <c r="R705" s="47" t="n"/>
      <c r="S705" s="47" t="n"/>
      <c r="T705" s="47" t="n"/>
      <c r="U705" s="47" t="n"/>
      <c r="V705" s="47" t="n"/>
      <c r="W705" s="47" t="n"/>
      <c r="X705" s="47" t="n"/>
      <c r="Y705" s="47" t="n"/>
      <c r="Z705" s="47" t="n"/>
    </row>
    <row r="706">
      <c r="A706" s="55" t="n"/>
      <c r="B706" s="46" t="n"/>
      <c r="C706" s="47" t="n"/>
      <c r="D706" s="47" t="n"/>
      <c r="E706" s="47" t="n"/>
      <c r="F706" s="47" t="n"/>
      <c r="G706" s="47" t="n"/>
      <c r="H706" s="47" t="n"/>
      <c r="I706" s="47" t="n"/>
      <c r="J706" s="47" t="n"/>
      <c r="K706" s="47" t="n"/>
      <c r="L706" s="47" t="n"/>
      <c r="M706" s="47" t="n"/>
      <c r="N706" s="47" t="n"/>
      <c r="O706" s="47" t="n"/>
      <c r="P706" s="47" t="n"/>
      <c r="Q706" s="47" t="n"/>
      <c r="R706" s="47" t="n"/>
      <c r="S706" s="47" t="n"/>
      <c r="T706" s="47" t="n"/>
      <c r="U706" s="47" t="n"/>
      <c r="V706" s="47" t="n"/>
      <c r="W706" s="47" t="n"/>
      <c r="X706" s="47" t="n"/>
      <c r="Y706" s="47" t="n"/>
      <c r="Z706" s="47" t="n"/>
    </row>
    <row r="707">
      <c r="A707" s="55" t="n"/>
      <c r="B707" s="46" t="n"/>
      <c r="C707" s="47" t="n"/>
      <c r="D707" s="47" t="n"/>
      <c r="E707" s="47" t="n"/>
      <c r="F707" s="47" t="n"/>
      <c r="G707" s="47" t="n"/>
      <c r="H707" s="47" t="n"/>
      <c r="I707" s="47" t="n"/>
      <c r="J707" s="47" t="n"/>
      <c r="K707" s="47" t="n"/>
      <c r="L707" s="47" t="n"/>
      <c r="M707" s="47" t="n"/>
      <c r="N707" s="47" t="n"/>
      <c r="O707" s="47" t="n"/>
      <c r="P707" s="47" t="n"/>
      <c r="Q707" s="47" t="n"/>
      <c r="R707" s="47" t="n"/>
      <c r="S707" s="47" t="n"/>
      <c r="T707" s="47" t="n"/>
      <c r="U707" s="47" t="n"/>
      <c r="V707" s="47" t="n"/>
      <c r="W707" s="47" t="n"/>
      <c r="X707" s="47" t="n"/>
      <c r="Y707" s="47" t="n"/>
      <c r="Z707" s="47" t="n"/>
    </row>
    <row r="708">
      <c r="A708" s="55" t="n"/>
      <c r="B708" s="46" t="n"/>
      <c r="C708" s="47" t="n"/>
      <c r="D708" s="47" t="n"/>
      <c r="E708" s="47" t="n"/>
      <c r="F708" s="47" t="n"/>
      <c r="G708" s="47" t="n"/>
      <c r="H708" s="47" t="n"/>
      <c r="I708" s="47" t="n"/>
      <c r="J708" s="47" t="n"/>
      <c r="K708" s="47" t="n"/>
      <c r="L708" s="47" t="n"/>
      <c r="M708" s="47" t="n"/>
      <c r="N708" s="47" t="n"/>
      <c r="O708" s="47" t="n"/>
      <c r="P708" s="47" t="n"/>
      <c r="Q708" s="47" t="n"/>
      <c r="R708" s="47" t="n"/>
      <c r="S708" s="47" t="n"/>
      <c r="T708" s="47" t="n"/>
      <c r="U708" s="47" t="n"/>
      <c r="V708" s="47" t="n"/>
      <c r="W708" s="47" t="n"/>
      <c r="X708" s="47" t="n"/>
      <c r="Y708" s="47" t="n"/>
      <c r="Z708" s="47" t="n"/>
    </row>
    <row r="709">
      <c r="A709" s="55" t="n"/>
      <c r="B709" s="46" t="n"/>
      <c r="C709" s="47" t="n"/>
      <c r="D709" s="47" t="n"/>
      <c r="E709" s="47" t="n"/>
      <c r="F709" s="47" t="n"/>
      <c r="G709" s="47" t="n"/>
      <c r="H709" s="47" t="n"/>
      <c r="I709" s="47" t="n"/>
      <c r="J709" s="47" t="n"/>
      <c r="K709" s="47" t="n"/>
      <c r="L709" s="47" t="n"/>
      <c r="M709" s="47" t="n"/>
      <c r="N709" s="47" t="n"/>
      <c r="O709" s="47" t="n"/>
      <c r="P709" s="47" t="n"/>
      <c r="Q709" s="47" t="n"/>
      <c r="R709" s="47" t="n"/>
      <c r="S709" s="47" t="n"/>
      <c r="T709" s="47" t="n"/>
      <c r="U709" s="47" t="n"/>
      <c r="V709" s="47" t="n"/>
      <c r="W709" s="47" t="n"/>
      <c r="X709" s="47" t="n"/>
      <c r="Y709" s="47" t="n"/>
      <c r="Z709" s="47" t="n"/>
    </row>
    <row r="710">
      <c r="A710" s="55" t="n"/>
      <c r="B710" s="46" t="n"/>
      <c r="C710" s="47" t="n"/>
      <c r="D710" s="47" t="n"/>
      <c r="E710" s="47" t="n"/>
      <c r="F710" s="47" t="n"/>
      <c r="G710" s="47" t="n"/>
      <c r="H710" s="47" t="n"/>
      <c r="I710" s="47" t="n"/>
      <c r="J710" s="47" t="n"/>
      <c r="K710" s="47" t="n"/>
      <c r="L710" s="47" t="n"/>
      <c r="M710" s="47" t="n"/>
      <c r="N710" s="47" t="n"/>
      <c r="O710" s="47" t="n"/>
      <c r="P710" s="47" t="n"/>
      <c r="Q710" s="47" t="n"/>
      <c r="R710" s="47" t="n"/>
      <c r="S710" s="47" t="n"/>
      <c r="T710" s="47" t="n"/>
      <c r="U710" s="47" t="n"/>
      <c r="V710" s="47" t="n"/>
      <c r="W710" s="47" t="n"/>
      <c r="X710" s="47" t="n"/>
      <c r="Y710" s="47" t="n"/>
      <c r="Z710" s="47" t="n"/>
    </row>
    <row r="711">
      <c r="A711" s="55" t="n"/>
      <c r="B711" s="46" t="n"/>
      <c r="C711" s="47" t="n"/>
      <c r="D711" s="47" t="n"/>
      <c r="E711" s="47" t="n"/>
      <c r="F711" s="47" t="n"/>
      <c r="G711" s="47" t="n"/>
      <c r="H711" s="47" t="n"/>
      <c r="I711" s="47" t="n"/>
      <c r="J711" s="47" t="n"/>
      <c r="K711" s="47" t="n"/>
      <c r="L711" s="47" t="n"/>
      <c r="M711" s="47" t="n"/>
      <c r="N711" s="47" t="n"/>
      <c r="O711" s="47" t="n"/>
      <c r="P711" s="47" t="n"/>
      <c r="Q711" s="47" t="n"/>
      <c r="R711" s="47" t="n"/>
      <c r="S711" s="47" t="n"/>
      <c r="T711" s="47" t="n"/>
      <c r="U711" s="47" t="n"/>
      <c r="V711" s="47" t="n"/>
      <c r="W711" s="47" t="n"/>
      <c r="X711" s="47" t="n"/>
      <c r="Y711" s="47" t="n"/>
      <c r="Z711" s="47" t="n"/>
    </row>
    <row r="712">
      <c r="A712" s="55" t="n"/>
      <c r="B712" s="46" t="n"/>
      <c r="C712" s="47" t="n"/>
      <c r="D712" s="47" t="n"/>
      <c r="E712" s="47" t="n"/>
      <c r="F712" s="47" t="n"/>
      <c r="G712" s="47" t="n"/>
      <c r="H712" s="47" t="n"/>
      <c r="I712" s="47" t="n"/>
      <c r="J712" s="47" t="n"/>
      <c r="K712" s="47" t="n"/>
      <c r="L712" s="47" t="n"/>
      <c r="M712" s="47" t="n"/>
      <c r="N712" s="47" t="n"/>
      <c r="O712" s="47" t="n"/>
      <c r="P712" s="47" t="n"/>
      <c r="Q712" s="47" t="n"/>
      <c r="R712" s="47" t="n"/>
      <c r="S712" s="47" t="n"/>
      <c r="T712" s="47" t="n"/>
      <c r="U712" s="47" t="n"/>
      <c r="V712" s="47" t="n"/>
      <c r="W712" s="47" t="n"/>
      <c r="X712" s="47" t="n"/>
      <c r="Y712" s="47" t="n"/>
      <c r="Z712" s="47" t="n"/>
    </row>
    <row r="713">
      <c r="A713" s="55" t="n"/>
      <c r="B713" s="46" t="n"/>
      <c r="C713" s="47" t="n"/>
      <c r="D713" s="47" t="n"/>
      <c r="E713" s="47" t="n"/>
      <c r="F713" s="47" t="n"/>
      <c r="G713" s="47" t="n"/>
      <c r="H713" s="47" t="n"/>
      <c r="I713" s="47" t="n"/>
      <c r="J713" s="47" t="n"/>
      <c r="K713" s="47" t="n"/>
      <c r="L713" s="47" t="n"/>
      <c r="M713" s="47" t="n"/>
      <c r="N713" s="47" t="n"/>
      <c r="O713" s="47" t="n"/>
      <c r="P713" s="47" t="n"/>
      <c r="Q713" s="47" t="n"/>
      <c r="R713" s="47" t="n"/>
      <c r="S713" s="47" t="n"/>
      <c r="T713" s="47" t="n"/>
      <c r="U713" s="47" t="n"/>
      <c r="V713" s="47" t="n"/>
      <c r="W713" s="47" t="n"/>
      <c r="X713" s="47" t="n"/>
      <c r="Y713" s="47" t="n"/>
      <c r="Z713" s="47" t="n"/>
    </row>
    <row r="714">
      <c r="A714" s="55" t="n"/>
      <c r="B714" s="46" t="n"/>
      <c r="C714" s="47" t="n"/>
      <c r="D714" s="47" t="n"/>
      <c r="E714" s="47" t="n"/>
      <c r="F714" s="47" t="n"/>
      <c r="G714" s="47" t="n"/>
      <c r="H714" s="47" t="n"/>
      <c r="I714" s="47" t="n"/>
      <c r="J714" s="47" t="n"/>
      <c r="K714" s="47" t="n"/>
      <c r="L714" s="47" t="n"/>
      <c r="M714" s="47" t="n"/>
      <c r="N714" s="47" t="n"/>
      <c r="O714" s="47" t="n"/>
      <c r="P714" s="47" t="n"/>
      <c r="Q714" s="47" t="n"/>
      <c r="R714" s="47" t="n"/>
      <c r="S714" s="47" t="n"/>
      <c r="T714" s="47" t="n"/>
      <c r="U714" s="47" t="n"/>
      <c r="V714" s="47" t="n"/>
      <c r="W714" s="47" t="n"/>
      <c r="X714" s="47" t="n"/>
      <c r="Y714" s="47" t="n"/>
      <c r="Z714" s="47" t="n"/>
    </row>
    <row r="715">
      <c r="A715" s="55" t="n"/>
      <c r="B715" s="46" t="n"/>
      <c r="C715" s="47" t="n"/>
      <c r="D715" s="47" t="n"/>
      <c r="E715" s="47" t="n"/>
      <c r="F715" s="47" t="n"/>
      <c r="G715" s="47" t="n"/>
      <c r="H715" s="47" t="n"/>
      <c r="I715" s="47" t="n"/>
      <c r="J715" s="47" t="n"/>
      <c r="K715" s="47" t="n"/>
      <c r="L715" s="47" t="n"/>
      <c r="M715" s="47" t="n"/>
      <c r="N715" s="47" t="n"/>
      <c r="O715" s="47" t="n"/>
      <c r="P715" s="47" t="n"/>
      <c r="Q715" s="47" t="n"/>
      <c r="R715" s="47" t="n"/>
      <c r="S715" s="47" t="n"/>
      <c r="T715" s="47" t="n"/>
      <c r="U715" s="47" t="n"/>
      <c r="V715" s="47" t="n"/>
      <c r="W715" s="47" t="n"/>
      <c r="X715" s="47" t="n"/>
      <c r="Y715" s="47" t="n"/>
      <c r="Z715" s="47" t="n"/>
    </row>
    <row r="716">
      <c r="A716" s="55" t="n"/>
      <c r="B716" s="46" t="n"/>
      <c r="C716" s="47" t="n"/>
      <c r="D716" s="47" t="n"/>
      <c r="E716" s="47" t="n"/>
      <c r="F716" s="47" t="n"/>
      <c r="G716" s="47" t="n"/>
      <c r="H716" s="47" t="n"/>
      <c r="I716" s="47" t="n"/>
      <c r="J716" s="47" t="n"/>
      <c r="K716" s="47" t="n"/>
      <c r="L716" s="47" t="n"/>
      <c r="M716" s="47" t="n"/>
      <c r="N716" s="47" t="n"/>
      <c r="O716" s="47" t="n"/>
      <c r="P716" s="47" t="n"/>
      <c r="Q716" s="47" t="n"/>
      <c r="R716" s="47" t="n"/>
      <c r="S716" s="47" t="n"/>
      <c r="T716" s="47" t="n"/>
      <c r="U716" s="47" t="n"/>
      <c r="V716" s="47" t="n"/>
      <c r="W716" s="47" t="n"/>
      <c r="X716" s="47" t="n"/>
      <c r="Y716" s="47" t="n"/>
      <c r="Z716" s="47" t="n"/>
    </row>
    <row r="717">
      <c r="A717" s="47" t="n"/>
      <c r="B717" s="48" t="n"/>
      <c r="C717" s="47" t="n"/>
      <c r="D717" s="47" t="n"/>
      <c r="E717" s="47" t="n"/>
      <c r="F717" s="47" t="n"/>
      <c r="G717" s="47" t="n"/>
      <c r="H717" s="47" t="n"/>
      <c r="I717" s="47" t="n"/>
      <c r="J717" s="47" t="n"/>
      <c r="K717" s="47" t="n"/>
      <c r="L717" s="47" t="n"/>
      <c r="M717" s="47" t="n"/>
      <c r="N717" s="47" t="n"/>
      <c r="O717" s="47" t="n"/>
      <c r="P717" s="47" t="n"/>
      <c r="Q717" s="47" t="n"/>
      <c r="R717" s="47" t="n"/>
      <c r="S717" s="47" t="n"/>
      <c r="T717" s="47" t="n"/>
      <c r="U717" s="47" t="n"/>
      <c r="V717" s="47" t="n"/>
      <c r="W717" s="47" t="n"/>
      <c r="X717" s="47" t="n"/>
      <c r="Y717" s="47" t="n"/>
      <c r="Z717" s="47" t="n"/>
    </row>
    <row r="718">
      <c r="A718" s="47" t="n"/>
      <c r="B718" s="48" t="n"/>
      <c r="C718" s="47" t="n"/>
      <c r="D718" s="47" t="n"/>
      <c r="E718" s="47" t="n"/>
      <c r="F718" s="47" t="n"/>
      <c r="G718" s="47" t="n"/>
      <c r="H718" s="47" t="n"/>
      <c r="I718" s="47" t="n"/>
      <c r="J718" s="47" t="n"/>
      <c r="K718" s="47" t="n"/>
      <c r="L718" s="47" t="n"/>
      <c r="M718" s="47" t="n"/>
      <c r="N718" s="47" t="n"/>
      <c r="O718" s="47" t="n"/>
      <c r="P718" s="47" t="n"/>
      <c r="Q718" s="47" t="n"/>
      <c r="R718" s="47" t="n"/>
      <c r="S718" s="47" t="n"/>
      <c r="T718" s="47" t="n"/>
      <c r="U718" s="47" t="n"/>
      <c r="V718" s="47" t="n"/>
      <c r="W718" s="47" t="n"/>
      <c r="X718" s="47" t="n"/>
      <c r="Y718" s="47" t="n"/>
      <c r="Z718" s="47" t="n"/>
    </row>
    <row r="719">
      <c r="A719" s="47" t="n"/>
      <c r="B719" s="48" t="n"/>
      <c r="C719" s="47" t="n"/>
      <c r="D719" s="47" t="n"/>
      <c r="E719" s="47" t="n"/>
      <c r="F719" s="47" t="n"/>
      <c r="G719" s="47" t="n"/>
      <c r="H719" s="47" t="n"/>
      <c r="I719" s="47" t="n"/>
      <c r="J719" s="47" t="n"/>
      <c r="K719" s="47" t="n"/>
      <c r="L719" s="47" t="n"/>
      <c r="M719" s="47" t="n"/>
      <c r="N719" s="47" t="n"/>
      <c r="O719" s="47" t="n"/>
      <c r="P719" s="47" t="n"/>
      <c r="Q719" s="47" t="n"/>
      <c r="R719" s="47" t="n"/>
      <c r="S719" s="47" t="n"/>
      <c r="T719" s="47" t="n"/>
      <c r="U719" s="47" t="n"/>
      <c r="V719" s="47" t="n"/>
      <c r="W719" s="47" t="n"/>
      <c r="X719" s="47" t="n"/>
      <c r="Y719" s="47" t="n"/>
      <c r="Z719" s="47" t="n"/>
    </row>
    <row r="720">
      <c r="A720" s="47" t="n"/>
      <c r="B720" s="48" t="n"/>
      <c r="C720" s="47" t="n"/>
      <c r="D720" s="47" t="n"/>
      <c r="E720" s="47" t="n"/>
      <c r="F720" s="47" t="n"/>
      <c r="G720" s="47" t="n"/>
      <c r="H720" s="47" t="n"/>
      <c r="I720" s="47" t="n"/>
      <c r="J720" s="47" t="n"/>
      <c r="K720" s="47" t="n"/>
      <c r="L720" s="47" t="n"/>
      <c r="M720" s="47" t="n"/>
      <c r="N720" s="47" t="n"/>
      <c r="O720" s="47" t="n"/>
      <c r="P720" s="47" t="n"/>
      <c r="Q720" s="47" t="n"/>
      <c r="R720" s="47" t="n"/>
      <c r="S720" s="47" t="n"/>
      <c r="T720" s="47" t="n"/>
      <c r="U720" s="47" t="n"/>
      <c r="V720" s="47" t="n"/>
      <c r="W720" s="47" t="n"/>
      <c r="X720" s="47" t="n"/>
      <c r="Y720" s="47" t="n"/>
      <c r="Z720" s="47" t="n"/>
    </row>
    <row r="721">
      <c r="A721" s="47" t="n"/>
      <c r="B721" s="48" t="n"/>
      <c r="C721" s="47" t="n"/>
      <c r="D721" s="47" t="n"/>
      <c r="E721" s="47" t="n"/>
      <c r="F721" s="47" t="n"/>
      <c r="G721" s="47" t="n"/>
      <c r="H721" s="47" t="n"/>
      <c r="I721" s="47" t="n"/>
      <c r="J721" s="47" t="n"/>
      <c r="K721" s="47" t="n"/>
      <c r="L721" s="47" t="n"/>
      <c r="M721" s="47" t="n"/>
      <c r="N721" s="47" t="n"/>
      <c r="O721" s="47" t="n"/>
      <c r="P721" s="47" t="n"/>
      <c r="Q721" s="47" t="n"/>
      <c r="R721" s="47" t="n"/>
      <c r="S721" s="47" t="n"/>
      <c r="T721" s="47" t="n"/>
      <c r="U721" s="47" t="n"/>
      <c r="V721" s="47" t="n"/>
      <c r="W721" s="47" t="n"/>
      <c r="X721" s="47" t="n"/>
      <c r="Y721" s="47" t="n"/>
      <c r="Z721" s="47" t="n"/>
    </row>
    <row r="722">
      <c r="A722" s="47" t="n"/>
      <c r="B722" s="48" t="n"/>
      <c r="C722" s="47" t="n"/>
      <c r="D722" s="47" t="n"/>
      <c r="E722" s="47" t="n"/>
      <c r="F722" s="47" t="n"/>
      <c r="G722" s="47" t="n"/>
      <c r="H722" s="47" t="n"/>
      <c r="I722" s="47" t="n"/>
      <c r="J722" s="47" t="n"/>
      <c r="K722" s="47" t="n"/>
      <c r="L722" s="47" t="n"/>
      <c r="M722" s="47" t="n"/>
      <c r="N722" s="47" t="n"/>
      <c r="O722" s="47" t="n"/>
      <c r="P722" s="47" t="n"/>
      <c r="Q722" s="47" t="n"/>
      <c r="R722" s="47" t="n"/>
      <c r="S722" s="47" t="n"/>
      <c r="T722" s="47" t="n"/>
      <c r="U722" s="47" t="n"/>
      <c r="V722" s="47" t="n"/>
      <c r="W722" s="47" t="n"/>
      <c r="X722" s="47" t="n"/>
      <c r="Y722" s="47" t="n"/>
      <c r="Z722" s="47" t="n"/>
    </row>
    <row r="723">
      <c r="A723" s="47" t="n"/>
      <c r="B723" s="48" t="n"/>
      <c r="C723" s="47" t="n"/>
      <c r="D723" s="47" t="n"/>
      <c r="E723" s="47" t="n"/>
      <c r="F723" s="47" t="n"/>
      <c r="G723" s="47" t="n"/>
      <c r="H723" s="47" t="n"/>
      <c r="I723" s="47" t="n"/>
      <c r="J723" s="47" t="n"/>
      <c r="K723" s="47" t="n"/>
      <c r="L723" s="47" t="n"/>
      <c r="M723" s="47" t="n"/>
      <c r="N723" s="47" t="n"/>
      <c r="O723" s="47" t="n"/>
      <c r="P723" s="47" t="n"/>
      <c r="Q723" s="47" t="n"/>
      <c r="R723" s="47" t="n"/>
      <c r="S723" s="47" t="n"/>
      <c r="T723" s="47" t="n"/>
      <c r="U723" s="47" t="n"/>
      <c r="V723" s="47" t="n"/>
      <c r="W723" s="47" t="n"/>
      <c r="X723" s="47" t="n"/>
      <c r="Y723" s="47" t="n"/>
      <c r="Z723" s="47" t="n"/>
    </row>
    <row r="724">
      <c r="A724" s="47" t="n"/>
      <c r="B724" s="48" t="n"/>
      <c r="C724" s="47" t="n"/>
      <c r="D724" s="47" t="n"/>
      <c r="E724" s="47" t="n"/>
      <c r="F724" s="47" t="n"/>
      <c r="G724" s="47" t="n"/>
      <c r="H724" s="47" t="n"/>
      <c r="I724" s="47" t="n"/>
      <c r="J724" s="47" t="n"/>
      <c r="K724" s="47" t="n"/>
      <c r="L724" s="47" t="n"/>
      <c r="M724" s="47" t="n"/>
      <c r="N724" s="47" t="n"/>
      <c r="O724" s="47" t="n"/>
      <c r="P724" s="47" t="n"/>
      <c r="Q724" s="47" t="n"/>
      <c r="R724" s="47" t="n"/>
      <c r="S724" s="47" t="n"/>
      <c r="T724" s="47" t="n"/>
      <c r="U724" s="47" t="n"/>
      <c r="V724" s="47" t="n"/>
      <c r="W724" s="47" t="n"/>
      <c r="X724" s="47" t="n"/>
      <c r="Y724" s="47" t="n"/>
      <c r="Z724" s="47" t="n"/>
    </row>
    <row r="725">
      <c r="A725" s="47" t="n"/>
      <c r="B725" s="48" t="n"/>
      <c r="C725" s="47" t="n"/>
      <c r="D725" s="47" t="n"/>
      <c r="E725" s="47" t="n"/>
      <c r="F725" s="47" t="n"/>
      <c r="G725" s="47" t="n"/>
      <c r="H725" s="47" t="n"/>
      <c r="I725" s="47" t="n"/>
      <c r="J725" s="47" t="n"/>
      <c r="K725" s="47" t="n"/>
      <c r="L725" s="47" t="n"/>
      <c r="M725" s="47" t="n"/>
      <c r="N725" s="47" t="n"/>
      <c r="O725" s="47" t="n"/>
      <c r="P725" s="47" t="n"/>
      <c r="Q725" s="47" t="n"/>
      <c r="R725" s="47" t="n"/>
      <c r="S725" s="47" t="n"/>
      <c r="T725" s="47" t="n"/>
      <c r="U725" s="47" t="n"/>
      <c r="V725" s="47" t="n"/>
      <c r="W725" s="47" t="n"/>
      <c r="X725" s="47" t="n"/>
      <c r="Y725" s="47" t="n"/>
      <c r="Z725" s="47" t="n"/>
    </row>
    <row r="726">
      <c r="A726" s="47" t="n"/>
      <c r="B726" s="48" t="n"/>
      <c r="C726" s="47" t="n"/>
      <c r="D726" s="47" t="n"/>
      <c r="E726" s="47" t="n"/>
      <c r="F726" s="47" t="n"/>
      <c r="G726" s="47" t="n"/>
      <c r="H726" s="47" t="n"/>
      <c r="I726" s="47" t="n"/>
      <c r="J726" s="47" t="n"/>
      <c r="K726" s="47" t="n"/>
      <c r="L726" s="47" t="n"/>
      <c r="M726" s="47" t="n"/>
      <c r="N726" s="47" t="n"/>
      <c r="O726" s="47" t="n"/>
      <c r="P726" s="47" t="n"/>
      <c r="Q726" s="47" t="n"/>
      <c r="R726" s="47" t="n"/>
      <c r="S726" s="47" t="n"/>
      <c r="T726" s="47" t="n"/>
      <c r="U726" s="47" t="n"/>
      <c r="V726" s="47" t="n"/>
      <c r="W726" s="47" t="n"/>
      <c r="X726" s="47" t="n"/>
      <c r="Y726" s="47" t="n"/>
      <c r="Z726" s="47" t="n"/>
    </row>
    <row r="727">
      <c r="A727" s="47" t="n"/>
      <c r="B727" s="48" t="n"/>
      <c r="C727" s="47" t="n"/>
      <c r="D727" s="47" t="n"/>
      <c r="E727" s="47" t="n"/>
      <c r="F727" s="47" t="n"/>
      <c r="G727" s="47" t="n"/>
      <c r="H727" s="47" t="n"/>
      <c r="I727" s="47" t="n"/>
      <c r="J727" s="47" t="n"/>
      <c r="K727" s="47" t="n"/>
      <c r="L727" s="47" t="n"/>
      <c r="M727" s="47" t="n"/>
      <c r="N727" s="47" t="n"/>
      <c r="O727" s="47" t="n"/>
      <c r="P727" s="47" t="n"/>
      <c r="Q727" s="47" t="n"/>
      <c r="R727" s="47" t="n"/>
      <c r="S727" s="47" t="n"/>
      <c r="T727" s="47" t="n"/>
      <c r="U727" s="47" t="n"/>
      <c r="V727" s="47" t="n"/>
      <c r="W727" s="47" t="n"/>
      <c r="X727" s="47" t="n"/>
      <c r="Y727" s="47" t="n"/>
      <c r="Z727" s="47" t="n"/>
    </row>
    <row r="728">
      <c r="A728" s="47" t="n"/>
      <c r="B728" s="48" t="n"/>
      <c r="C728" s="47" t="n"/>
      <c r="D728" s="47" t="n"/>
      <c r="E728" s="47" t="n"/>
      <c r="F728" s="47" t="n"/>
      <c r="G728" s="47" t="n"/>
      <c r="H728" s="47" t="n"/>
      <c r="I728" s="47" t="n"/>
      <c r="J728" s="47" t="n"/>
      <c r="K728" s="47" t="n"/>
      <c r="L728" s="47" t="n"/>
      <c r="M728" s="47" t="n"/>
      <c r="N728" s="47" t="n"/>
      <c r="O728" s="47" t="n"/>
      <c r="P728" s="47" t="n"/>
      <c r="Q728" s="47" t="n"/>
      <c r="R728" s="47" t="n"/>
      <c r="S728" s="47" t="n"/>
      <c r="T728" s="47" t="n"/>
      <c r="U728" s="47" t="n"/>
      <c r="V728" s="47" t="n"/>
      <c r="W728" s="47" t="n"/>
      <c r="X728" s="47" t="n"/>
      <c r="Y728" s="47" t="n"/>
      <c r="Z728" s="47" t="n"/>
    </row>
    <row r="729">
      <c r="A729" s="47" t="n"/>
      <c r="B729" s="48" t="n"/>
      <c r="C729" s="47" t="n"/>
      <c r="D729" s="47" t="n"/>
      <c r="E729" s="47" t="n"/>
      <c r="F729" s="47" t="n"/>
      <c r="G729" s="47" t="n"/>
      <c r="H729" s="47" t="n"/>
      <c r="I729" s="47" t="n"/>
      <c r="J729" s="47" t="n"/>
      <c r="K729" s="47" t="n"/>
      <c r="L729" s="47" t="n"/>
      <c r="M729" s="47" t="n"/>
      <c r="N729" s="47" t="n"/>
      <c r="O729" s="47" t="n"/>
      <c r="P729" s="47" t="n"/>
      <c r="Q729" s="47" t="n"/>
      <c r="R729" s="47" t="n"/>
      <c r="S729" s="47" t="n"/>
      <c r="T729" s="47" t="n"/>
      <c r="U729" s="47" t="n"/>
      <c r="V729" s="47" t="n"/>
      <c r="W729" s="47" t="n"/>
      <c r="X729" s="47" t="n"/>
      <c r="Y729" s="47" t="n"/>
      <c r="Z729" s="47" t="n"/>
    </row>
    <row r="730">
      <c r="A730" s="47" t="n"/>
      <c r="B730" s="48" t="n"/>
      <c r="C730" s="47" t="n"/>
      <c r="D730" s="47" t="n"/>
      <c r="E730" s="47" t="n"/>
      <c r="F730" s="47" t="n"/>
      <c r="G730" s="47" t="n"/>
      <c r="H730" s="47" t="n"/>
      <c r="I730" s="47" t="n"/>
      <c r="J730" s="47" t="n"/>
      <c r="K730" s="47" t="n"/>
      <c r="L730" s="47" t="n"/>
      <c r="M730" s="47" t="n"/>
      <c r="N730" s="47" t="n"/>
      <c r="O730" s="47" t="n"/>
      <c r="P730" s="47" t="n"/>
      <c r="Q730" s="47" t="n"/>
      <c r="R730" s="47" t="n"/>
      <c r="S730" s="47" t="n"/>
      <c r="T730" s="47" t="n"/>
      <c r="U730" s="47" t="n"/>
      <c r="V730" s="47" t="n"/>
      <c r="W730" s="47" t="n"/>
      <c r="X730" s="47" t="n"/>
      <c r="Y730" s="47" t="n"/>
      <c r="Z730" s="47" t="n"/>
    </row>
    <row r="731">
      <c r="A731" s="47" t="n"/>
      <c r="B731" s="48" t="n"/>
      <c r="C731" s="47" t="n"/>
      <c r="D731" s="47" t="n"/>
      <c r="E731" s="47" t="n"/>
      <c r="F731" s="47" t="n"/>
      <c r="G731" s="47" t="n"/>
      <c r="H731" s="47" t="n"/>
      <c r="I731" s="47" t="n"/>
      <c r="J731" s="47" t="n"/>
      <c r="K731" s="47" t="n"/>
      <c r="L731" s="47" t="n"/>
      <c r="M731" s="47" t="n"/>
      <c r="N731" s="47" t="n"/>
      <c r="O731" s="47" t="n"/>
      <c r="P731" s="47" t="n"/>
      <c r="Q731" s="47" t="n"/>
      <c r="R731" s="47" t="n"/>
      <c r="S731" s="47" t="n"/>
      <c r="T731" s="47" t="n"/>
      <c r="U731" s="47" t="n"/>
      <c r="V731" s="47" t="n"/>
      <c r="W731" s="47" t="n"/>
      <c r="X731" s="47" t="n"/>
      <c r="Y731" s="47" t="n"/>
      <c r="Z731" s="47" t="n"/>
    </row>
    <row r="732">
      <c r="A732" s="47" t="n"/>
      <c r="B732" s="48" t="n"/>
      <c r="C732" s="47" t="n"/>
      <c r="D732" s="47" t="n"/>
      <c r="E732" s="47" t="n"/>
      <c r="F732" s="47" t="n"/>
      <c r="G732" s="47" t="n"/>
      <c r="H732" s="47" t="n"/>
      <c r="I732" s="47" t="n"/>
      <c r="J732" s="47" t="n"/>
      <c r="K732" s="47" t="n"/>
      <c r="L732" s="47" t="n"/>
      <c r="M732" s="47" t="n"/>
      <c r="N732" s="47" t="n"/>
      <c r="O732" s="47" t="n"/>
      <c r="P732" s="47" t="n"/>
      <c r="Q732" s="47" t="n"/>
      <c r="R732" s="47" t="n"/>
      <c r="S732" s="47" t="n"/>
      <c r="T732" s="47" t="n"/>
      <c r="U732" s="47" t="n"/>
      <c r="V732" s="47" t="n"/>
      <c r="W732" s="47" t="n"/>
      <c r="X732" s="47" t="n"/>
      <c r="Y732" s="47" t="n"/>
      <c r="Z732" s="47" t="n"/>
    </row>
    <row r="733">
      <c r="A733" s="47" t="n"/>
      <c r="B733" s="48" t="n"/>
      <c r="C733" s="47" t="n"/>
      <c r="D733" s="47" t="n"/>
      <c r="E733" s="47" t="n"/>
      <c r="F733" s="47" t="n"/>
      <c r="G733" s="47" t="n"/>
      <c r="H733" s="47" t="n"/>
      <c r="I733" s="47" t="n"/>
      <c r="J733" s="47" t="n"/>
      <c r="K733" s="47" t="n"/>
      <c r="L733" s="47" t="n"/>
      <c r="M733" s="47" t="n"/>
      <c r="N733" s="47" t="n"/>
      <c r="O733" s="47" t="n"/>
      <c r="P733" s="47" t="n"/>
      <c r="Q733" s="47" t="n"/>
      <c r="R733" s="47" t="n"/>
      <c r="S733" s="47" t="n"/>
      <c r="T733" s="47" t="n"/>
      <c r="U733" s="47" t="n"/>
      <c r="V733" s="47" t="n"/>
      <c r="W733" s="47" t="n"/>
      <c r="X733" s="47" t="n"/>
      <c r="Y733" s="47" t="n"/>
      <c r="Z733" s="47" t="n"/>
    </row>
    <row r="734">
      <c r="A734" s="47" t="n"/>
      <c r="B734" s="48" t="n"/>
      <c r="C734" s="47" t="n"/>
      <c r="D734" s="47" t="n"/>
      <c r="E734" s="47" t="n"/>
      <c r="F734" s="47" t="n"/>
      <c r="G734" s="47" t="n"/>
      <c r="H734" s="47" t="n"/>
      <c r="I734" s="47" t="n"/>
      <c r="J734" s="47" t="n"/>
      <c r="K734" s="47" t="n"/>
      <c r="L734" s="47" t="n"/>
      <c r="M734" s="47" t="n"/>
      <c r="N734" s="47" t="n"/>
      <c r="O734" s="47" t="n"/>
      <c r="P734" s="47" t="n"/>
      <c r="Q734" s="47" t="n"/>
      <c r="R734" s="47" t="n"/>
      <c r="S734" s="47" t="n"/>
      <c r="T734" s="47" t="n"/>
      <c r="U734" s="47" t="n"/>
      <c r="V734" s="47" t="n"/>
      <c r="W734" s="47" t="n"/>
      <c r="X734" s="47" t="n"/>
      <c r="Y734" s="47" t="n"/>
      <c r="Z734" s="47" t="n"/>
    </row>
    <row r="735">
      <c r="A735" s="47" t="n"/>
      <c r="B735" s="48" t="n"/>
      <c r="C735" s="47" t="n"/>
      <c r="D735" s="47" t="n"/>
      <c r="E735" s="47" t="n"/>
      <c r="F735" s="47" t="n"/>
      <c r="G735" s="47" t="n"/>
      <c r="H735" s="47" t="n"/>
      <c r="I735" s="47" t="n"/>
      <c r="J735" s="47" t="n"/>
      <c r="K735" s="47" t="n"/>
      <c r="L735" s="47" t="n"/>
      <c r="M735" s="47" t="n"/>
      <c r="N735" s="47" t="n"/>
      <c r="O735" s="47" t="n"/>
      <c r="P735" s="47" t="n"/>
      <c r="Q735" s="47" t="n"/>
      <c r="R735" s="47" t="n"/>
      <c r="S735" s="47" t="n"/>
      <c r="T735" s="47" t="n"/>
      <c r="U735" s="47" t="n"/>
      <c r="V735" s="47" t="n"/>
      <c r="W735" s="47" t="n"/>
      <c r="X735" s="47" t="n"/>
      <c r="Y735" s="47" t="n"/>
      <c r="Z735" s="47" t="n"/>
    </row>
    <row r="736">
      <c r="A736" s="47" t="n"/>
      <c r="B736" s="48" t="n"/>
      <c r="C736" s="47" t="n"/>
      <c r="D736" s="47" t="n"/>
      <c r="E736" s="47" t="n"/>
      <c r="F736" s="47" t="n"/>
      <c r="G736" s="47" t="n"/>
      <c r="H736" s="47" t="n"/>
      <c r="I736" s="47" t="n"/>
      <c r="J736" s="47" t="n"/>
      <c r="K736" s="47" t="n"/>
      <c r="L736" s="47" t="n"/>
      <c r="M736" s="47" t="n"/>
      <c r="N736" s="47" t="n"/>
      <c r="O736" s="47" t="n"/>
      <c r="P736" s="47" t="n"/>
      <c r="Q736" s="47" t="n"/>
      <c r="R736" s="47" t="n"/>
      <c r="S736" s="47" t="n"/>
      <c r="T736" s="47" t="n"/>
      <c r="U736" s="47" t="n"/>
      <c r="V736" s="47" t="n"/>
      <c r="W736" s="47" t="n"/>
      <c r="X736" s="47" t="n"/>
      <c r="Y736" s="47" t="n"/>
      <c r="Z736" s="47" t="n"/>
    </row>
    <row r="737">
      <c r="A737" s="47" t="n"/>
      <c r="B737" s="48" t="n"/>
      <c r="C737" s="47" t="n"/>
      <c r="D737" s="47" t="n"/>
      <c r="E737" s="47" t="n"/>
      <c r="F737" s="47" t="n"/>
      <c r="G737" s="47" t="n"/>
      <c r="H737" s="47" t="n"/>
      <c r="I737" s="47" t="n"/>
      <c r="J737" s="47" t="n"/>
      <c r="K737" s="47" t="n"/>
      <c r="L737" s="47" t="n"/>
      <c r="M737" s="47" t="n"/>
      <c r="N737" s="47" t="n"/>
      <c r="O737" s="47" t="n"/>
      <c r="P737" s="47" t="n"/>
      <c r="Q737" s="47" t="n"/>
      <c r="R737" s="47" t="n"/>
      <c r="S737" s="47" t="n"/>
      <c r="T737" s="47" t="n"/>
      <c r="U737" s="47" t="n"/>
      <c r="V737" s="47" t="n"/>
      <c r="W737" s="47" t="n"/>
      <c r="X737" s="47" t="n"/>
      <c r="Y737" s="47" t="n"/>
      <c r="Z737" s="47" t="n"/>
    </row>
    <row r="738">
      <c r="A738" s="47" t="n"/>
      <c r="B738" s="48" t="n"/>
      <c r="C738" s="47" t="n"/>
      <c r="D738" s="47" t="n"/>
      <c r="E738" s="47" t="n"/>
      <c r="F738" s="47" t="n"/>
      <c r="G738" s="47" t="n"/>
      <c r="H738" s="47" t="n"/>
      <c r="I738" s="47" t="n"/>
      <c r="J738" s="47" t="n"/>
      <c r="K738" s="47" t="n"/>
      <c r="L738" s="47" t="n"/>
      <c r="M738" s="47" t="n"/>
      <c r="N738" s="47" t="n"/>
      <c r="O738" s="47" t="n"/>
      <c r="P738" s="47" t="n"/>
      <c r="Q738" s="47" t="n"/>
      <c r="R738" s="47" t="n"/>
      <c r="S738" s="47" t="n"/>
      <c r="T738" s="47" t="n"/>
      <c r="U738" s="47" t="n"/>
      <c r="V738" s="47" t="n"/>
      <c r="W738" s="47" t="n"/>
      <c r="X738" s="47" t="n"/>
      <c r="Y738" s="47" t="n"/>
      <c r="Z738" s="47" t="n"/>
    </row>
    <row r="739">
      <c r="A739" s="47" t="n"/>
      <c r="B739" s="48" t="n"/>
      <c r="C739" s="47" t="n"/>
      <c r="D739" s="47" t="n"/>
      <c r="E739" s="47" t="n"/>
      <c r="F739" s="47" t="n"/>
      <c r="G739" s="47" t="n"/>
      <c r="H739" s="47" t="n"/>
      <c r="I739" s="47" t="n"/>
      <c r="J739" s="47" t="n"/>
      <c r="K739" s="47" t="n"/>
      <c r="L739" s="47" t="n"/>
      <c r="M739" s="47" t="n"/>
      <c r="N739" s="47" t="n"/>
      <c r="O739" s="47" t="n"/>
      <c r="P739" s="47" t="n"/>
      <c r="Q739" s="47" t="n"/>
      <c r="R739" s="47" t="n"/>
      <c r="S739" s="47" t="n"/>
      <c r="T739" s="47" t="n"/>
      <c r="U739" s="47" t="n"/>
      <c r="V739" s="47" t="n"/>
      <c r="W739" s="47" t="n"/>
      <c r="X739" s="47" t="n"/>
      <c r="Y739" s="47" t="n"/>
      <c r="Z739" s="47" t="n"/>
    </row>
    <row r="740">
      <c r="A740" s="47" t="n"/>
      <c r="B740" s="48" t="n"/>
      <c r="C740" s="47" t="n"/>
      <c r="D740" s="47" t="n"/>
      <c r="E740" s="47" t="n"/>
      <c r="F740" s="47" t="n"/>
      <c r="G740" s="47" t="n"/>
      <c r="H740" s="47" t="n"/>
      <c r="I740" s="47" t="n"/>
      <c r="J740" s="47" t="n"/>
      <c r="K740" s="47" t="n"/>
      <c r="L740" s="47" t="n"/>
      <c r="M740" s="47" t="n"/>
      <c r="N740" s="47" t="n"/>
      <c r="O740" s="47" t="n"/>
      <c r="P740" s="47" t="n"/>
      <c r="Q740" s="47" t="n"/>
      <c r="R740" s="47" t="n"/>
      <c r="S740" s="47" t="n"/>
      <c r="T740" s="47" t="n"/>
      <c r="U740" s="47" t="n"/>
      <c r="V740" s="47" t="n"/>
      <c r="W740" s="47" t="n"/>
      <c r="X740" s="47" t="n"/>
      <c r="Y740" s="47" t="n"/>
      <c r="Z740" s="47" t="n"/>
    </row>
    <row r="741">
      <c r="A741" s="47" t="n"/>
      <c r="B741" s="48" t="n"/>
      <c r="C741" s="47" t="n"/>
      <c r="D741" s="47" t="n"/>
      <c r="E741" s="47" t="n"/>
      <c r="F741" s="47" t="n"/>
      <c r="G741" s="47" t="n"/>
      <c r="H741" s="47" t="n"/>
      <c r="I741" s="47" t="n"/>
      <c r="J741" s="47" t="n"/>
      <c r="K741" s="47" t="n"/>
      <c r="L741" s="47" t="n"/>
      <c r="M741" s="47" t="n"/>
      <c r="N741" s="47" t="n"/>
      <c r="O741" s="47" t="n"/>
      <c r="P741" s="47" t="n"/>
      <c r="Q741" s="47" t="n"/>
      <c r="R741" s="47" t="n"/>
      <c r="S741" s="47" t="n"/>
      <c r="T741" s="47" t="n"/>
      <c r="U741" s="47" t="n"/>
      <c r="V741" s="47" t="n"/>
      <c r="W741" s="47" t="n"/>
      <c r="X741" s="47" t="n"/>
      <c r="Y741" s="47" t="n"/>
      <c r="Z741" s="47" t="n"/>
    </row>
    <row r="742">
      <c r="A742" s="47" t="n"/>
      <c r="B742" s="48" t="n"/>
      <c r="C742" s="47" t="n"/>
      <c r="D742" s="47" t="n"/>
      <c r="E742" s="47" t="n"/>
      <c r="F742" s="47" t="n"/>
      <c r="G742" s="47" t="n"/>
      <c r="H742" s="47" t="n"/>
      <c r="I742" s="47" t="n"/>
      <c r="J742" s="47" t="n"/>
      <c r="K742" s="47" t="n"/>
      <c r="L742" s="47" t="n"/>
      <c r="M742" s="47" t="n"/>
      <c r="N742" s="47" t="n"/>
      <c r="O742" s="47" t="n"/>
      <c r="P742" s="47" t="n"/>
      <c r="Q742" s="47" t="n"/>
      <c r="R742" s="47" t="n"/>
      <c r="S742" s="47" t="n"/>
      <c r="T742" s="47" t="n"/>
      <c r="U742" s="47" t="n"/>
      <c r="V742" s="47" t="n"/>
      <c r="W742" s="47" t="n"/>
      <c r="X742" s="47" t="n"/>
      <c r="Y742" s="47" t="n"/>
      <c r="Z742" s="47" t="n"/>
    </row>
    <row r="743">
      <c r="A743" s="47" t="n"/>
      <c r="B743" s="48" t="n"/>
      <c r="C743" s="47" t="n"/>
      <c r="D743" s="47" t="n"/>
      <c r="E743" s="47" t="n"/>
      <c r="F743" s="47" t="n"/>
      <c r="G743" s="47" t="n"/>
      <c r="H743" s="47" t="n"/>
      <c r="I743" s="47" t="n"/>
      <c r="J743" s="47" t="n"/>
      <c r="K743" s="47" t="n"/>
      <c r="L743" s="47" t="n"/>
      <c r="M743" s="47" t="n"/>
      <c r="N743" s="47" t="n"/>
      <c r="O743" s="47" t="n"/>
      <c r="P743" s="47" t="n"/>
      <c r="Q743" s="47" t="n"/>
      <c r="R743" s="47" t="n"/>
      <c r="S743" s="47" t="n"/>
      <c r="T743" s="47" t="n"/>
      <c r="U743" s="47" t="n"/>
      <c r="V743" s="47" t="n"/>
      <c r="W743" s="47" t="n"/>
      <c r="X743" s="47" t="n"/>
      <c r="Y743" s="47" t="n"/>
      <c r="Z743" s="47" t="n"/>
    </row>
    <row r="744">
      <c r="A744" s="47" t="n"/>
      <c r="B744" s="48" t="n"/>
      <c r="C744" s="47" t="n"/>
      <c r="D744" s="47" t="n"/>
      <c r="E744" s="47" t="n"/>
      <c r="F744" s="47" t="n"/>
      <c r="G744" s="47" t="n"/>
      <c r="H744" s="47" t="n"/>
      <c r="I744" s="47" t="n"/>
      <c r="J744" s="47" t="n"/>
      <c r="K744" s="47" t="n"/>
      <c r="L744" s="47" t="n"/>
      <c r="M744" s="47" t="n"/>
      <c r="N744" s="47" t="n"/>
      <c r="O744" s="47" t="n"/>
      <c r="P744" s="47" t="n"/>
      <c r="Q744" s="47" t="n"/>
      <c r="R744" s="47" t="n"/>
      <c r="S744" s="47" t="n"/>
      <c r="T744" s="47" t="n"/>
      <c r="U744" s="47" t="n"/>
      <c r="V744" s="47" t="n"/>
      <c r="W744" s="47" t="n"/>
      <c r="X744" s="47" t="n"/>
      <c r="Y744" s="47" t="n"/>
      <c r="Z744" s="47" t="n"/>
    </row>
    <row r="745">
      <c r="A745" s="47" t="n"/>
      <c r="B745" s="48" t="n"/>
      <c r="C745" s="47" t="n"/>
      <c r="D745" s="47" t="n"/>
      <c r="E745" s="47" t="n"/>
      <c r="F745" s="47" t="n"/>
      <c r="G745" s="47" t="n"/>
      <c r="H745" s="47" t="n"/>
      <c r="I745" s="47" t="n"/>
      <c r="J745" s="47" t="n"/>
      <c r="K745" s="47" t="n"/>
      <c r="L745" s="47" t="n"/>
      <c r="M745" s="47" t="n"/>
      <c r="N745" s="47" t="n"/>
      <c r="O745" s="47" t="n"/>
      <c r="P745" s="47" t="n"/>
      <c r="Q745" s="47" t="n"/>
      <c r="R745" s="47" t="n"/>
      <c r="S745" s="47" t="n"/>
      <c r="T745" s="47" t="n"/>
      <c r="U745" s="47" t="n"/>
      <c r="V745" s="47" t="n"/>
      <c r="W745" s="47" t="n"/>
      <c r="X745" s="47" t="n"/>
      <c r="Y745" s="47" t="n"/>
      <c r="Z745" s="47" t="n"/>
    </row>
    <row r="746">
      <c r="A746" s="47" t="n"/>
      <c r="B746" s="48" t="n"/>
      <c r="C746" s="47" t="n"/>
      <c r="D746" s="47" t="n"/>
      <c r="E746" s="47" t="n"/>
      <c r="F746" s="47" t="n"/>
      <c r="G746" s="47" t="n"/>
      <c r="H746" s="47" t="n"/>
      <c r="I746" s="47" t="n"/>
      <c r="J746" s="47" t="n"/>
      <c r="K746" s="47" t="n"/>
      <c r="L746" s="47" t="n"/>
      <c r="M746" s="47" t="n"/>
      <c r="N746" s="47" t="n"/>
      <c r="O746" s="47" t="n"/>
      <c r="P746" s="47" t="n"/>
      <c r="Q746" s="47" t="n"/>
      <c r="R746" s="47" t="n"/>
      <c r="S746" s="47" t="n"/>
      <c r="T746" s="47" t="n"/>
      <c r="U746" s="47" t="n"/>
      <c r="V746" s="47" t="n"/>
      <c r="W746" s="47" t="n"/>
      <c r="X746" s="47" t="n"/>
      <c r="Y746" s="47" t="n"/>
      <c r="Z746" s="47" t="n"/>
    </row>
    <row r="747">
      <c r="A747" s="47" t="n"/>
      <c r="B747" s="48" t="n"/>
      <c r="C747" s="47" t="n"/>
      <c r="D747" s="47" t="n"/>
      <c r="E747" s="47" t="n"/>
      <c r="F747" s="47" t="n"/>
      <c r="G747" s="47" t="n"/>
      <c r="H747" s="47" t="n"/>
      <c r="I747" s="47" t="n"/>
      <c r="J747" s="47" t="n"/>
      <c r="K747" s="47" t="n"/>
      <c r="L747" s="47" t="n"/>
      <c r="M747" s="47" t="n"/>
      <c r="N747" s="47" t="n"/>
      <c r="O747" s="47" t="n"/>
      <c r="P747" s="47" t="n"/>
      <c r="Q747" s="47" t="n"/>
      <c r="R747" s="47" t="n"/>
      <c r="S747" s="47" t="n"/>
      <c r="T747" s="47" t="n"/>
      <c r="U747" s="47" t="n"/>
      <c r="V747" s="47" t="n"/>
      <c r="W747" s="47" t="n"/>
      <c r="X747" s="47" t="n"/>
      <c r="Y747" s="47" t="n"/>
      <c r="Z747" s="47" t="n"/>
    </row>
    <row r="748">
      <c r="A748" s="47" t="n"/>
      <c r="B748" s="48" t="n"/>
      <c r="C748" s="47" t="n"/>
      <c r="D748" s="47" t="n"/>
      <c r="E748" s="47" t="n"/>
      <c r="F748" s="47" t="n"/>
      <c r="G748" s="47" t="n"/>
      <c r="H748" s="47" t="n"/>
      <c r="I748" s="47" t="n"/>
      <c r="J748" s="47" t="n"/>
      <c r="K748" s="47" t="n"/>
      <c r="L748" s="47" t="n"/>
      <c r="M748" s="47" t="n"/>
      <c r="N748" s="47" t="n"/>
      <c r="O748" s="47" t="n"/>
      <c r="P748" s="47" t="n"/>
      <c r="Q748" s="47" t="n"/>
      <c r="R748" s="47" t="n"/>
      <c r="S748" s="47" t="n"/>
      <c r="T748" s="47" t="n"/>
      <c r="U748" s="47" t="n"/>
      <c r="V748" s="47" t="n"/>
      <c r="W748" s="47" t="n"/>
      <c r="X748" s="47" t="n"/>
      <c r="Y748" s="47" t="n"/>
      <c r="Z748" s="47" t="n"/>
    </row>
    <row r="749">
      <c r="A749" s="47" t="n"/>
      <c r="B749" s="48" t="n"/>
      <c r="C749" s="47" t="n"/>
      <c r="D749" s="47" t="n"/>
      <c r="E749" s="47" t="n"/>
      <c r="F749" s="47" t="n"/>
      <c r="G749" s="47" t="n"/>
      <c r="H749" s="47" t="n"/>
      <c r="I749" s="47" t="n"/>
      <c r="J749" s="47" t="n"/>
      <c r="K749" s="47" t="n"/>
      <c r="L749" s="47" t="n"/>
      <c r="M749" s="47" t="n"/>
      <c r="N749" s="47" t="n"/>
      <c r="O749" s="47" t="n"/>
      <c r="P749" s="47" t="n"/>
      <c r="Q749" s="47" t="n"/>
      <c r="R749" s="47" t="n"/>
      <c r="S749" s="47" t="n"/>
      <c r="T749" s="47" t="n"/>
      <c r="U749" s="47" t="n"/>
      <c r="V749" s="47" t="n"/>
      <c r="W749" s="47" t="n"/>
      <c r="X749" s="47" t="n"/>
      <c r="Y749" s="47" t="n"/>
      <c r="Z749" s="47" t="n"/>
    </row>
    <row r="750">
      <c r="A750" s="47" t="n"/>
      <c r="B750" s="48" t="n"/>
      <c r="C750" s="47" t="n"/>
      <c r="D750" s="47" t="n"/>
      <c r="E750" s="47" t="n"/>
      <c r="F750" s="47" t="n"/>
      <c r="G750" s="47" t="n"/>
      <c r="H750" s="47" t="n"/>
      <c r="I750" s="47" t="n"/>
      <c r="J750" s="47" t="n"/>
      <c r="K750" s="47" t="n"/>
      <c r="L750" s="47" t="n"/>
      <c r="M750" s="47" t="n"/>
      <c r="N750" s="47" t="n"/>
      <c r="O750" s="47" t="n"/>
      <c r="P750" s="47" t="n"/>
      <c r="Q750" s="47" t="n"/>
      <c r="R750" s="47" t="n"/>
      <c r="S750" s="47" t="n"/>
      <c r="T750" s="47" t="n"/>
      <c r="U750" s="47" t="n"/>
      <c r="V750" s="47" t="n"/>
      <c r="W750" s="47" t="n"/>
      <c r="X750" s="47" t="n"/>
      <c r="Y750" s="47" t="n"/>
      <c r="Z750" s="47" t="n"/>
    </row>
    <row r="751">
      <c r="A751" s="47" t="n"/>
      <c r="B751" s="48" t="n"/>
      <c r="C751" s="47" t="n"/>
      <c r="D751" s="47" t="n"/>
      <c r="E751" s="47" t="n"/>
      <c r="F751" s="47" t="n"/>
      <c r="G751" s="47" t="n"/>
      <c r="H751" s="47" t="n"/>
      <c r="I751" s="47" t="n"/>
      <c r="J751" s="47" t="n"/>
      <c r="K751" s="47" t="n"/>
      <c r="L751" s="47" t="n"/>
      <c r="M751" s="47" t="n"/>
      <c r="N751" s="47" t="n"/>
      <c r="O751" s="47" t="n"/>
      <c r="P751" s="47" t="n"/>
      <c r="Q751" s="47" t="n"/>
      <c r="R751" s="47" t="n"/>
      <c r="S751" s="47" t="n"/>
      <c r="T751" s="47" t="n"/>
      <c r="U751" s="47" t="n"/>
      <c r="V751" s="47" t="n"/>
      <c r="W751" s="47" t="n"/>
      <c r="X751" s="47" t="n"/>
      <c r="Y751" s="47" t="n"/>
      <c r="Z751" s="47" t="n"/>
    </row>
    <row r="752">
      <c r="A752" s="47" t="n"/>
      <c r="B752" s="48" t="n"/>
      <c r="C752" s="47" t="n"/>
      <c r="D752" s="47" t="n"/>
      <c r="E752" s="47" t="n"/>
      <c r="F752" s="47" t="n"/>
      <c r="G752" s="47" t="n"/>
      <c r="H752" s="47" t="n"/>
      <c r="I752" s="47" t="n"/>
      <c r="J752" s="47" t="n"/>
      <c r="K752" s="47" t="n"/>
      <c r="L752" s="47" t="n"/>
      <c r="M752" s="47" t="n"/>
      <c r="N752" s="47" t="n"/>
      <c r="O752" s="47" t="n"/>
      <c r="P752" s="47" t="n"/>
      <c r="Q752" s="47" t="n"/>
      <c r="R752" s="47" t="n"/>
      <c r="S752" s="47" t="n"/>
      <c r="T752" s="47" t="n"/>
      <c r="U752" s="47" t="n"/>
      <c r="V752" s="47" t="n"/>
      <c r="W752" s="47" t="n"/>
      <c r="X752" s="47" t="n"/>
      <c r="Y752" s="47" t="n"/>
      <c r="Z752" s="47" t="n"/>
    </row>
    <row r="753">
      <c r="A753" s="47" t="n"/>
      <c r="B753" s="48" t="n"/>
      <c r="C753" s="47" t="n"/>
      <c r="D753" s="47" t="n"/>
      <c r="E753" s="47" t="n"/>
      <c r="F753" s="47" t="n"/>
      <c r="G753" s="47" t="n"/>
      <c r="H753" s="47" t="n"/>
      <c r="I753" s="47" t="n"/>
      <c r="J753" s="47" t="n"/>
      <c r="K753" s="47" t="n"/>
      <c r="L753" s="47" t="n"/>
      <c r="M753" s="47" t="n"/>
      <c r="N753" s="47" t="n"/>
      <c r="O753" s="47" t="n"/>
      <c r="P753" s="47" t="n"/>
      <c r="Q753" s="47" t="n"/>
      <c r="R753" s="47" t="n"/>
      <c r="S753" s="47" t="n"/>
      <c r="T753" s="47" t="n"/>
      <c r="U753" s="47" t="n"/>
      <c r="V753" s="47" t="n"/>
      <c r="W753" s="47" t="n"/>
      <c r="X753" s="47" t="n"/>
      <c r="Y753" s="47" t="n"/>
      <c r="Z753" s="47" t="n"/>
    </row>
    <row r="754">
      <c r="A754" s="47" t="n"/>
      <c r="B754" s="48" t="n"/>
      <c r="C754" s="47" t="n"/>
      <c r="D754" s="47" t="n"/>
      <c r="E754" s="47" t="n"/>
      <c r="F754" s="47" t="n"/>
      <c r="G754" s="47" t="n"/>
      <c r="H754" s="47" t="n"/>
      <c r="I754" s="47" t="n"/>
      <c r="J754" s="47" t="n"/>
      <c r="K754" s="47" t="n"/>
      <c r="L754" s="47" t="n"/>
      <c r="M754" s="47" t="n"/>
      <c r="N754" s="47" t="n"/>
      <c r="O754" s="47" t="n"/>
      <c r="P754" s="47" t="n"/>
      <c r="Q754" s="47" t="n"/>
      <c r="R754" s="47" t="n"/>
      <c r="S754" s="47" t="n"/>
      <c r="T754" s="47" t="n"/>
      <c r="U754" s="47" t="n"/>
      <c r="V754" s="47" t="n"/>
      <c r="W754" s="47" t="n"/>
      <c r="X754" s="47" t="n"/>
      <c r="Y754" s="47" t="n"/>
      <c r="Z754" s="47" t="n"/>
    </row>
    <row r="755">
      <c r="A755" s="47" t="n"/>
      <c r="B755" s="48" t="n"/>
      <c r="C755" s="47" t="n"/>
      <c r="D755" s="47" t="n"/>
      <c r="E755" s="47" t="n"/>
      <c r="F755" s="47" t="n"/>
      <c r="G755" s="47" t="n"/>
      <c r="H755" s="47" t="n"/>
      <c r="I755" s="47" t="n"/>
      <c r="J755" s="47" t="n"/>
      <c r="K755" s="47" t="n"/>
      <c r="L755" s="47" t="n"/>
      <c r="M755" s="47" t="n"/>
      <c r="N755" s="47" t="n"/>
      <c r="O755" s="47" t="n"/>
      <c r="P755" s="47" t="n"/>
      <c r="Q755" s="47" t="n"/>
      <c r="R755" s="47" t="n"/>
      <c r="S755" s="47" t="n"/>
      <c r="T755" s="47" t="n"/>
      <c r="U755" s="47" t="n"/>
      <c r="V755" s="47" t="n"/>
      <c r="W755" s="47" t="n"/>
      <c r="X755" s="47" t="n"/>
      <c r="Y755" s="47" t="n"/>
      <c r="Z755" s="47" t="n"/>
    </row>
    <row r="756">
      <c r="A756" s="47" t="n"/>
      <c r="B756" s="48" t="n"/>
      <c r="C756" s="47" t="n"/>
      <c r="D756" s="47" t="n"/>
      <c r="E756" s="47" t="n"/>
      <c r="F756" s="47" t="n"/>
      <c r="G756" s="47" t="n"/>
      <c r="H756" s="47" t="n"/>
      <c r="I756" s="47" t="n"/>
      <c r="J756" s="47" t="n"/>
      <c r="K756" s="47" t="n"/>
      <c r="L756" s="47" t="n"/>
      <c r="M756" s="47" t="n"/>
      <c r="N756" s="47" t="n"/>
      <c r="O756" s="47" t="n"/>
      <c r="P756" s="47" t="n"/>
      <c r="Q756" s="47" t="n"/>
      <c r="R756" s="47" t="n"/>
      <c r="S756" s="47" t="n"/>
      <c r="T756" s="47" t="n"/>
      <c r="U756" s="47" t="n"/>
      <c r="V756" s="47" t="n"/>
      <c r="W756" s="47" t="n"/>
      <c r="X756" s="47" t="n"/>
      <c r="Y756" s="47" t="n"/>
      <c r="Z756" s="47" t="n"/>
    </row>
    <row r="757">
      <c r="A757" s="47" t="n"/>
      <c r="B757" s="48" t="n"/>
      <c r="C757" s="47" t="n"/>
      <c r="D757" s="47" t="n"/>
      <c r="E757" s="47" t="n"/>
      <c r="F757" s="47" t="n"/>
      <c r="G757" s="47" t="n"/>
      <c r="H757" s="47" t="n"/>
      <c r="I757" s="47" t="n"/>
      <c r="J757" s="47" t="n"/>
      <c r="K757" s="47" t="n"/>
      <c r="L757" s="47" t="n"/>
      <c r="M757" s="47" t="n"/>
      <c r="N757" s="47" t="n"/>
      <c r="O757" s="47" t="n"/>
      <c r="P757" s="47" t="n"/>
      <c r="Q757" s="47" t="n"/>
      <c r="R757" s="47" t="n"/>
      <c r="S757" s="47" t="n"/>
      <c r="T757" s="47" t="n"/>
      <c r="U757" s="47" t="n"/>
      <c r="V757" s="47" t="n"/>
      <c r="W757" s="47" t="n"/>
      <c r="X757" s="47" t="n"/>
      <c r="Y757" s="47" t="n"/>
      <c r="Z757" s="47" t="n"/>
    </row>
    <row r="758">
      <c r="A758" s="47" t="n"/>
      <c r="B758" s="48" t="n"/>
      <c r="C758" s="47" t="n"/>
      <c r="D758" s="47" t="n"/>
      <c r="E758" s="47" t="n"/>
      <c r="F758" s="47" t="n"/>
      <c r="G758" s="47" t="n"/>
      <c r="H758" s="47" t="n"/>
      <c r="I758" s="47" t="n"/>
      <c r="J758" s="47" t="n"/>
      <c r="K758" s="47" t="n"/>
      <c r="L758" s="47" t="n"/>
      <c r="M758" s="47" t="n"/>
      <c r="N758" s="47" t="n"/>
      <c r="O758" s="47" t="n"/>
      <c r="P758" s="47" t="n"/>
      <c r="Q758" s="47" t="n"/>
      <c r="R758" s="47" t="n"/>
      <c r="S758" s="47" t="n"/>
      <c r="T758" s="47" t="n"/>
      <c r="U758" s="47" t="n"/>
      <c r="V758" s="47" t="n"/>
      <c r="W758" s="47" t="n"/>
      <c r="X758" s="47" t="n"/>
      <c r="Y758" s="47" t="n"/>
      <c r="Z758" s="47" t="n"/>
    </row>
    <row r="759">
      <c r="A759" s="47" t="n"/>
      <c r="B759" s="48" t="n"/>
      <c r="C759" s="47" t="n"/>
      <c r="D759" s="47" t="n"/>
      <c r="E759" s="47" t="n"/>
      <c r="F759" s="47" t="n"/>
      <c r="G759" s="47" t="n"/>
      <c r="H759" s="47" t="n"/>
      <c r="I759" s="47" t="n"/>
      <c r="J759" s="47" t="n"/>
      <c r="K759" s="47" t="n"/>
      <c r="L759" s="47" t="n"/>
      <c r="M759" s="47" t="n"/>
      <c r="N759" s="47" t="n"/>
      <c r="O759" s="47" t="n"/>
      <c r="P759" s="47" t="n"/>
      <c r="Q759" s="47" t="n"/>
      <c r="R759" s="47" t="n"/>
      <c r="S759" s="47" t="n"/>
      <c r="T759" s="47" t="n"/>
      <c r="U759" s="47" t="n"/>
      <c r="V759" s="47" t="n"/>
      <c r="W759" s="47" t="n"/>
      <c r="X759" s="47" t="n"/>
      <c r="Y759" s="47" t="n"/>
      <c r="Z759" s="47" t="n"/>
    </row>
    <row r="760">
      <c r="A760" s="47" t="n"/>
      <c r="B760" s="48" t="n"/>
      <c r="C760" s="47" t="n"/>
      <c r="D760" s="47" t="n"/>
      <c r="E760" s="47" t="n"/>
      <c r="F760" s="47" t="n"/>
      <c r="G760" s="47" t="n"/>
      <c r="H760" s="47" t="n"/>
      <c r="I760" s="47" t="n"/>
      <c r="J760" s="47" t="n"/>
      <c r="K760" s="47" t="n"/>
      <c r="L760" s="47" t="n"/>
      <c r="M760" s="47" t="n"/>
      <c r="N760" s="47" t="n"/>
      <c r="O760" s="47" t="n"/>
      <c r="P760" s="47" t="n"/>
      <c r="Q760" s="47" t="n"/>
      <c r="R760" s="47" t="n"/>
      <c r="S760" s="47" t="n"/>
      <c r="T760" s="47" t="n"/>
      <c r="U760" s="47" t="n"/>
      <c r="V760" s="47" t="n"/>
      <c r="W760" s="47" t="n"/>
      <c r="X760" s="47" t="n"/>
      <c r="Y760" s="47" t="n"/>
      <c r="Z760" s="47" t="n"/>
    </row>
    <row r="761">
      <c r="A761" s="47" t="n"/>
      <c r="B761" s="48" t="n"/>
      <c r="C761" s="47" t="n"/>
      <c r="D761" s="47" t="n"/>
      <c r="E761" s="47" t="n"/>
      <c r="F761" s="47" t="n"/>
      <c r="G761" s="47" t="n"/>
      <c r="H761" s="47" t="n"/>
      <c r="I761" s="47" t="n"/>
      <c r="J761" s="47" t="n"/>
      <c r="K761" s="47" t="n"/>
      <c r="L761" s="47" t="n"/>
      <c r="M761" s="47" t="n"/>
      <c r="N761" s="47" t="n"/>
      <c r="O761" s="47" t="n"/>
      <c r="P761" s="47" t="n"/>
      <c r="Q761" s="47" t="n"/>
      <c r="R761" s="47" t="n"/>
      <c r="S761" s="47" t="n"/>
      <c r="T761" s="47" t="n"/>
      <c r="U761" s="47" t="n"/>
      <c r="V761" s="47" t="n"/>
      <c r="W761" s="47" t="n"/>
      <c r="X761" s="47" t="n"/>
      <c r="Y761" s="47" t="n"/>
      <c r="Z761" s="47" t="n"/>
    </row>
    <row r="762">
      <c r="A762" s="47" t="n"/>
      <c r="B762" s="48" t="n"/>
      <c r="C762" s="47" t="n"/>
      <c r="D762" s="47" t="n"/>
      <c r="E762" s="47" t="n"/>
      <c r="F762" s="47" t="n"/>
      <c r="G762" s="47" t="n"/>
      <c r="H762" s="47" t="n"/>
      <c r="I762" s="47" t="n"/>
      <c r="J762" s="47" t="n"/>
      <c r="K762" s="47" t="n"/>
      <c r="L762" s="47" t="n"/>
      <c r="M762" s="47" t="n"/>
      <c r="N762" s="47" t="n"/>
      <c r="O762" s="47" t="n"/>
      <c r="P762" s="47" t="n"/>
      <c r="Q762" s="47" t="n"/>
      <c r="R762" s="47" t="n"/>
      <c r="S762" s="47" t="n"/>
      <c r="T762" s="47" t="n"/>
      <c r="U762" s="47" t="n"/>
      <c r="V762" s="47" t="n"/>
      <c r="W762" s="47" t="n"/>
      <c r="X762" s="47" t="n"/>
      <c r="Y762" s="47" t="n"/>
      <c r="Z762" s="47" t="n"/>
    </row>
    <row r="763">
      <c r="A763" s="47" t="n"/>
      <c r="B763" s="48" t="n"/>
      <c r="C763" s="47" t="n"/>
      <c r="D763" s="47" t="n"/>
      <c r="E763" s="47" t="n"/>
      <c r="F763" s="47" t="n"/>
      <c r="G763" s="47" t="n"/>
      <c r="H763" s="47" t="n"/>
      <c r="I763" s="47" t="n"/>
      <c r="J763" s="47" t="n"/>
      <c r="K763" s="47" t="n"/>
      <c r="L763" s="47" t="n"/>
      <c r="M763" s="47" t="n"/>
      <c r="N763" s="47" t="n"/>
      <c r="O763" s="47" t="n"/>
      <c r="P763" s="47" t="n"/>
      <c r="Q763" s="47" t="n"/>
      <c r="R763" s="47" t="n"/>
      <c r="S763" s="47" t="n"/>
      <c r="T763" s="47" t="n"/>
      <c r="U763" s="47" t="n"/>
      <c r="V763" s="47" t="n"/>
      <c r="W763" s="47" t="n"/>
      <c r="X763" s="47" t="n"/>
      <c r="Y763" s="47" t="n"/>
      <c r="Z763" s="47" t="n"/>
    </row>
    <row r="764">
      <c r="A764" s="47" t="n"/>
      <c r="B764" s="48" t="n"/>
      <c r="C764" s="47" t="n"/>
      <c r="D764" s="47" t="n"/>
      <c r="E764" s="47" t="n"/>
      <c r="F764" s="47" t="n"/>
      <c r="G764" s="47" t="n"/>
      <c r="H764" s="47" t="n"/>
      <c r="I764" s="47" t="n"/>
      <c r="J764" s="47" t="n"/>
      <c r="K764" s="47" t="n"/>
      <c r="L764" s="47" t="n"/>
      <c r="M764" s="47" t="n"/>
      <c r="N764" s="47" t="n"/>
      <c r="O764" s="47" t="n"/>
      <c r="P764" s="47" t="n"/>
      <c r="Q764" s="47" t="n"/>
      <c r="R764" s="47" t="n"/>
      <c r="S764" s="47" t="n"/>
      <c r="T764" s="47" t="n"/>
      <c r="U764" s="47" t="n"/>
      <c r="V764" s="47" t="n"/>
      <c r="W764" s="47" t="n"/>
      <c r="X764" s="47" t="n"/>
      <c r="Y764" s="47" t="n"/>
      <c r="Z764" s="47" t="n"/>
    </row>
    <row r="765">
      <c r="A765" s="47" t="n"/>
      <c r="B765" s="48" t="n"/>
      <c r="C765" s="47" t="n"/>
      <c r="D765" s="47" t="n"/>
      <c r="E765" s="47" t="n"/>
      <c r="F765" s="47" t="n"/>
      <c r="G765" s="47" t="n"/>
      <c r="H765" s="47" t="n"/>
      <c r="I765" s="47" t="n"/>
      <c r="J765" s="47" t="n"/>
      <c r="K765" s="47" t="n"/>
      <c r="L765" s="47" t="n"/>
      <c r="M765" s="47" t="n"/>
      <c r="N765" s="47" t="n"/>
      <c r="O765" s="47" t="n"/>
      <c r="P765" s="47" t="n"/>
      <c r="Q765" s="47" t="n"/>
      <c r="R765" s="47" t="n"/>
      <c r="S765" s="47" t="n"/>
      <c r="T765" s="47" t="n"/>
      <c r="U765" s="47" t="n"/>
      <c r="V765" s="47" t="n"/>
      <c r="W765" s="47" t="n"/>
      <c r="X765" s="47" t="n"/>
      <c r="Y765" s="47" t="n"/>
      <c r="Z765" s="47" t="n"/>
    </row>
    <row r="766">
      <c r="A766" s="47" t="n"/>
      <c r="B766" s="48" t="n"/>
      <c r="C766" s="47" t="n"/>
      <c r="D766" s="47" t="n"/>
      <c r="E766" s="47" t="n"/>
      <c r="F766" s="47" t="n"/>
      <c r="G766" s="47" t="n"/>
      <c r="H766" s="47" t="n"/>
      <c r="I766" s="47" t="n"/>
      <c r="J766" s="47" t="n"/>
      <c r="K766" s="47" t="n"/>
      <c r="L766" s="47" t="n"/>
      <c r="M766" s="47" t="n"/>
      <c r="N766" s="47" t="n"/>
      <c r="O766" s="47" t="n"/>
      <c r="P766" s="47" t="n"/>
      <c r="Q766" s="47" t="n"/>
      <c r="R766" s="47" t="n"/>
      <c r="S766" s="47" t="n"/>
      <c r="T766" s="47" t="n"/>
      <c r="U766" s="47" t="n"/>
      <c r="V766" s="47" t="n"/>
      <c r="W766" s="47" t="n"/>
      <c r="X766" s="47" t="n"/>
      <c r="Y766" s="47" t="n"/>
      <c r="Z766" s="47" t="n"/>
    </row>
    <row r="767">
      <c r="A767" s="47" t="n"/>
      <c r="B767" s="48" t="n"/>
      <c r="C767" s="47" t="n"/>
      <c r="D767" s="47" t="n"/>
      <c r="E767" s="47" t="n"/>
      <c r="F767" s="47" t="n"/>
      <c r="G767" s="47" t="n"/>
      <c r="H767" s="47" t="n"/>
      <c r="I767" s="47" t="n"/>
      <c r="J767" s="47" t="n"/>
      <c r="K767" s="47" t="n"/>
      <c r="L767" s="47" t="n"/>
      <c r="M767" s="47" t="n"/>
      <c r="N767" s="47" t="n"/>
      <c r="O767" s="47" t="n"/>
      <c r="P767" s="47" t="n"/>
      <c r="Q767" s="47" t="n"/>
      <c r="R767" s="47" t="n"/>
      <c r="S767" s="47" t="n"/>
      <c r="T767" s="47" t="n"/>
      <c r="U767" s="47" t="n"/>
      <c r="V767" s="47" t="n"/>
      <c r="W767" s="47" t="n"/>
      <c r="X767" s="47" t="n"/>
      <c r="Y767" s="47" t="n"/>
      <c r="Z767" s="47" t="n"/>
    </row>
    <row r="768">
      <c r="A768" s="47" t="n"/>
      <c r="B768" s="48" t="n"/>
      <c r="C768" s="47" t="n"/>
      <c r="D768" s="47" t="n"/>
      <c r="E768" s="47" t="n"/>
      <c r="F768" s="47" t="n"/>
      <c r="G768" s="47" t="n"/>
      <c r="H768" s="47" t="n"/>
      <c r="I768" s="47" t="n"/>
      <c r="J768" s="47" t="n"/>
      <c r="K768" s="47" t="n"/>
      <c r="L768" s="47" t="n"/>
      <c r="M768" s="47" t="n"/>
      <c r="N768" s="47" t="n"/>
      <c r="O768" s="47" t="n"/>
      <c r="P768" s="47" t="n"/>
      <c r="Q768" s="47" t="n"/>
      <c r="R768" s="47" t="n"/>
      <c r="S768" s="47" t="n"/>
      <c r="T768" s="47" t="n"/>
      <c r="U768" s="47" t="n"/>
      <c r="V768" s="47" t="n"/>
      <c r="W768" s="47" t="n"/>
      <c r="X768" s="47" t="n"/>
      <c r="Y768" s="47" t="n"/>
      <c r="Z768" s="47" t="n"/>
    </row>
    <row r="769">
      <c r="A769" s="47" t="n"/>
      <c r="B769" s="48" t="n"/>
      <c r="C769" s="47" t="n"/>
      <c r="D769" s="47" t="n"/>
      <c r="E769" s="47" t="n"/>
      <c r="F769" s="47" t="n"/>
      <c r="G769" s="47" t="n"/>
      <c r="H769" s="47" t="n"/>
      <c r="I769" s="47" t="n"/>
      <c r="J769" s="47" t="n"/>
      <c r="K769" s="47" t="n"/>
      <c r="L769" s="47" t="n"/>
      <c r="M769" s="47" t="n"/>
      <c r="N769" s="47" t="n"/>
      <c r="O769" s="47" t="n"/>
      <c r="P769" s="47" t="n"/>
      <c r="Q769" s="47" t="n"/>
      <c r="R769" s="47" t="n"/>
      <c r="S769" s="47" t="n"/>
      <c r="T769" s="47" t="n"/>
      <c r="U769" s="47" t="n"/>
      <c r="V769" s="47" t="n"/>
      <c r="W769" s="47" t="n"/>
      <c r="X769" s="47" t="n"/>
      <c r="Y769" s="47" t="n"/>
      <c r="Z769" s="47" t="n"/>
    </row>
    <row r="770">
      <c r="A770" s="47" t="n"/>
      <c r="B770" s="48" t="n"/>
      <c r="C770" s="47" t="n"/>
      <c r="D770" s="47" t="n"/>
      <c r="E770" s="47" t="n"/>
      <c r="F770" s="47" t="n"/>
      <c r="G770" s="47" t="n"/>
      <c r="H770" s="47" t="n"/>
      <c r="I770" s="47" t="n"/>
      <c r="J770" s="47" t="n"/>
      <c r="K770" s="47" t="n"/>
      <c r="L770" s="47" t="n"/>
      <c r="M770" s="47" t="n"/>
      <c r="N770" s="47" t="n"/>
      <c r="O770" s="47" t="n"/>
      <c r="P770" s="47" t="n"/>
      <c r="Q770" s="47" t="n"/>
      <c r="R770" s="47" t="n"/>
      <c r="S770" s="47" t="n"/>
      <c r="T770" s="47" t="n"/>
      <c r="U770" s="47" t="n"/>
      <c r="V770" s="47" t="n"/>
      <c r="W770" s="47" t="n"/>
      <c r="X770" s="47" t="n"/>
      <c r="Y770" s="47" t="n"/>
      <c r="Z770" s="47" t="n"/>
    </row>
    <row r="771">
      <c r="A771" s="47" t="n"/>
      <c r="B771" s="48" t="n"/>
      <c r="C771" s="47" t="n"/>
      <c r="D771" s="47" t="n"/>
      <c r="E771" s="47" t="n"/>
      <c r="F771" s="47" t="n"/>
      <c r="G771" s="47" t="n"/>
      <c r="H771" s="47" t="n"/>
      <c r="I771" s="47" t="n"/>
      <c r="J771" s="47" t="n"/>
      <c r="K771" s="47" t="n"/>
      <c r="L771" s="47" t="n"/>
      <c r="M771" s="47" t="n"/>
      <c r="N771" s="47" t="n"/>
      <c r="O771" s="47" t="n"/>
      <c r="P771" s="47" t="n"/>
      <c r="Q771" s="47" t="n"/>
      <c r="R771" s="47" t="n"/>
      <c r="S771" s="47" t="n"/>
      <c r="T771" s="47" t="n"/>
      <c r="U771" s="47" t="n"/>
      <c r="V771" s="47" t="n"/>
      <c r="W771" s="47" t="n"/>
      <c r="X771" s="47" t="n"/>
      <c r="Y771" s="47" t="n"/>
      <c r="Z771" s="47" t="n"/>
    </row>
    <row r="772">
      <c r="A772" s="47" t="n"/>
      <c r="B772" s="48" t="n"/>
      <c r="C772" s="47" t="n"/>
      <c r="D772" s="47" t="n"/>
      <c r="E772" s="47" t="n"/>
      <c r="F772" s="47" t="n"/>
      <c r="G772" s="47" t="n"/>
      <c r="H772" s="47" t="n"/>
      <c r="I772" s="47" t="n"/>
      <c r="J772" s="47" t="n"/>
      <c r="K772" s="47" t="n"/>
      <c r="L772" s="47" t="n"/>
      <c r="M772" s="47" t="n"/>
      <c r="N772" s="47" t="n"/>
      <c r="O772" s="47" t="n"/>
      <c r="P772" s="47" t="n"/>
      <c r="Q772" s="47" t="n"/>
      <c r="R772" s="47" t="n"/>
      <c r="S772" s="47" t="n"/>
      <c r="T772" s="47" t="n"/>
      <c r="U772" s="47" t="n"/>
      <c r="V772" s="47" t="n"/>
      <c r="W772" s="47" t="n"/>
      <c r="X772" s="47" t="n"/>
      <c r="Y772" s="47" t="n"/>
      <c r="Z772" s="47" t="n"/>
    </row>
    <row r="773">
      <c r="A773" s="47" t="n"/>
      <c r="B773" s="48" t="n"/>
      <c r="C773" s="47" t="n"/>
      <c r="D773" s="47" t="n"/>
      <c r="E773" s="47" t="n"/>
      <c r="F773" s="47" t="n"/>
      <c r="G773" s="47" t="n"/>
      <c r="H773" s="47" t="n"/>
      <c r="I773" s="47" t="n"/>
      <c r="J773" s="47" t="n"/>
      <c r="K773" s="47" t="n"/>
      <c r="L773" s="47" t="n"/>
      <c r="M773" s="47" t="n"/>
      <c r="N773" s="47" t="n"/>
      <c r="O773" s="47" t="n"/>
      <c r="P773" s="47" t="n"/>
      <c r="Q773" s="47" t="n"/>
      <c r="R773" s="47" t="n"/>
      <c r="S773" s="47" t="n"/>
      <c r="T773" s="47" t="n"/>
      <c r="U773" s="47" t="n"/>
      <c r="V773" s="47" t="n"/>
      <c r="W773" s="47" t="n"/>
      <c r="X773" s="47" t="n"/>
      <c r="Y773" s="47" t="n"/>
      <c r="Z773" s="47" t="n"/>
    </row>
    <row r="774">
      <c r="A774" s="47" t="n"/>
      <c r="B774" s="48" t="n"/>
      <c r="C774" s="47" t="n"/>
      <c r="D774" s="47" t="n"/>
      <c r="E774" s="47" t="n"/>
      <c r="F774" s="47" t="n"/>
      <c r="G774" s="47" t="n"/>
      <c r="H774" s="47" t="n"/>
      <c r="I774" s="47" t="n"/>
      <c r="J774" s="47" t="n"/>
      <c r="K774" s="47" t="n"/>
      <c r="L774" s="47" t="n"/>
      <c r="M774" s="47" t="n"/>
      <c r="N774" s="47" t="n"/>
      <c r="O774" s="47" t="n"/>
      <c r="P774" s="47" t="n"/>
      <c r="Q774" s="47" t="n"/>
      <c r="R774" s="47" t="n"/>
      <c r="S774" s="47" t="n"/>
      <c r="T774" s="47" t="n"/>
      <c r="U774" s="47" t="n"/>
      <c r="V774" s="47" t="n"/>
      <c r="W774" s="47" t="n"/>
      <c r="X774" s="47" t="n"/>
      <c r="Y774" s="47" t="n"/>
      <c r="Z774" s="47" t="n"/>
    </row>
    <row r="775">
      <c r="A775" s="47" t="n"/>
      <c r="B775" s="48" t="n"/>
      <c r="C775" s="47" t="n"/>
      <c r="D775" s="47" t="n"/>
      <c r="E775" s="47" t="n"/>
      <c r="F775" s="47" t="n"/>
      <c r="G775" s="47" t="n"/>
      <c r="H775" s="47" t="n"/>
      <c r="I775" s="47" t="n"/>
      <c r="J775" s="47" t="n"/>
      <c r="K775" s="47" t="n"/>
      <c r="L775" s="47" t="n"/>
      <c r="M775" s="47" t="n"/>
      <c r="N775" s="47" t="n"/>
      <c r="O775" s="47" t="n"/>
      <c r="P775" s="47" t="n"/>
      <c r="Q775" s="47" t="n"/>
      <c r="R775" s="47" t="n"/>
      <c r="S775" s="47" t="n"/>
      <c r="T775" s="47" t="n"/>
      <c r="U775" s="47" t="n"/>
      <c r="V775" s="47" t="n"/>
      <c r="W775" s="47" t="n"/>
      <c r="X775" s="47" t="n"/>
      <c r="Y775" s="47" t="n"/>
      <c r="Z775" s="47" t="n"/>
    </row>
    <row r="776">
      <c r="A776" s="47" t="n"/>
      <c r="B776" s="48" t="n"/>
      <c r="C776" s="47" t="n"/>
      <c r="D776" s="47" t="n"/>
      <c r="E776" s="47" t="n"/>
      <c r="F776" s="47" t="n"/>
      <c r="G776" s="47" t="n"/>
      <c r="H776" s="47" t="n"/>
      <c r="I776" s="47" t="n"/>
      <c r="J776" s="47" t="n"/>
      <c r="K776" s="47" t="n"/>
      <c r="L776" s="47" t="n"/>
      <c r="M776" s="47" t="n"/>
      <c r="N776" s="47" t="n"/>
      <c r="O776" s="47" t="n"/>
      <c r="P776" s="47" t="n"/>
      <c r="Q776" s="47" t="n"/>
      <c r="R776" s="47" t="n"/>
      <c r="S776" s="47" t="n"/>
      <c r="T776" s="47" t="n"/>
      <c r="U776" s="47" t="n"/>
      <c r="V776" s="47" t="n"/>
      <c r="W776" s="47" t="n"/>
      <c r="X776" s="47" t="n"/>
      <c r="Y776" s="47" t="n"/>
      <c r="Z776" s="47" t="n"/>
    </row>
    <row r="777">
      <c r="A777" s="47" t="n"/>
      <c r="B777" s="48" t="n"/>
      <c r="C777" s="47" t="n"/>
      <c r="D777" s="47" t="n"/>
      <c r="E777" s="47" t="n"/>
      <c r="F777" s="47" t="n"/>
      <c r="G777" s="47" t="n"/>
      <c r="H777" s="47" t="n"/>
      <c r="I777" s="47" t="n"/>
      <c r="J777" s="47" t="n"/>
      <c r="K777" s="47" t="n"/>
      <c r="L777" s="47" t="n"/>
      <c r="M777" s="47" t="n"/>
      <c r="N777" s="47" t="n"/>
      <c r="O777" s="47" t="n"/>
      <c r="P777" s="47" t="n"/>
      <c r="Q777" s="47" t="n"/>
      <c r="R777" s="47" t="n"/>
      <c r="S777" s="47" t="n"/>
      <c r="T777" s="47" t="n"/>
      <c r="U777" s="47" t="n"/>
      <c r="V777" s="47" t="n"/>
      <c r="W777" s="47" t="n"/>
      <c r="X777" s="47" t="n"/>
      <c r="Y777" s="47" t="n"/>
      <c r="Z777" s="47" t="n"/>
    </row>
    <row r="778">
      <c r="A778" s="47" t="n"/>
      <c r="B778" s="48" t="n"/>
      <c r="C778" s="47" t="n"/>
      <c r="D778" s="47" t="n"/>
      <c r="E778" s="47" t="n"/>
      <c r="F778" s="47" t="n"/>
      <c r="G778" s="47" t="n"/>
      <c r="H778" s="47" t="n"/>
      <c r="I778" s="47" t="n"/>
      <c r="J778" s="47" t="n"/>
      <c r="K778" s="47" t="n"/>
      <c r="L778" s="47" t="n"/>
      <c r="M778" s="47" t="n"/>
      <c r="N778" s="47" t="n"/>
      <c r="O778" s="47" t="n"/>
      <c r="P778" s="47" t="n"/>
      <c r="Q778" s="47" t="n"/>
      <c r="R778" s="47" t="n"/>
      <c r="S778" s="47" t="n"/>
      <c r="T778" s="47" t="n"/>
      <c r="U778" s="47" t="n"/>
      <c r="V778" s="47" t="n"/>
      <c r="W778" s="47" t="n"/>
      <c r="X778" s="47" t="n"/>
      <c r="Y778" s="47" t="n"/>
      <c r="Z778" s="47" t="n"/>
    </row>
    <row r="779">
      <c r="A779" s="47" t="n"/>
      <c r="B779" s="48" t="n"/>
      <c r="C779" s="47" t="n"/>
      <c r="D779" s="47" t="n"/>
      <c r="E779" s="47" t="n"/>
      <c r="F779" s="47" t="n"/>
      <c r="G779" s="47" t="n"/>
      <c r="H779" s="47" t="n"/>
      <c r="I779" s="47" t="n"/>
      <c r="J779" s="47" t="n"/>
      <c r="K779" s="47" t="n"/>
      <c r="L779" s="47" t="n"/>
      <c r="M779" s="47" t="n"/>
      <c r="N779" s="47" t="n"/>
      <c r="O779" s="47" t="n"/>
      <c r="P779" s="47" t="n"/>
      <c r="Q779" s="47" t="n"/>
      <c r="R779" s="47" t="n"/>
      <c r="S779" s="47" t="n"/>
      <c r="T779" s="47" t="n"/>
      <c r="U779" s="47" t="n"/>
      <c r="V779" s="47" t="n"/>
      <c r="W779" s="47" t="n"/>
      <c r="X779" s="47" t="n"/>
      <c r="Y779" s="47" t="n"/>
      <c r="Z779" s="47" t="n"/>
    </row>
    <row r="780">
      <c r="A780" s="47" t="n"/>
      <c r="B780" s="48" t="n"/>
      <c r="C780" s="47" t="n"/>
      <c r="D780" s="47" t="n"/>
      <c r="E780" s="47" t="n"/>
      <c r="F780" s="47" t="n"/>
      <c r="G780" s="47" t="n"/>
      <c r="H780" s="47" t="n"/>
      <c r="I780" s="47" t="n"/>
      <c r="J780" s="47" t="n"/>
      <c r="K780" s="47" t="n"/>
      <c r="L780" s="47" t="n"/>
      <c r="M780" s="47" t="n"/>
      <c r="N780" s="47" t="n"/>
      <c r="O780" s="47" t="n"/>
      <c r="P780" s="47" t="n"/>
      <c r="Q780" s="47" t="n"/>
      <c r="R780" s="47" t="n"/>
      <c r="S780" s="47" t="n"/>
      <c r="T780" s="47" t="n"/>
      <c r="U780" s="47" t="n"/>
      <c r="V780" s="47" t="n"/>
      <c r="W780" s="47" t="n"/>
      <c r="X780" s="47" t="n"/>
      <c r="Y780" s="47" t="n"/>
      <c r="Z780" s="47" t="n"/>
    </row>
    <row r="781">
      <c r="A781" s="47" t="n"/>
      <c r="B781" s="48" t="n"/>
      <c r="C781" s="47" t="n"/>
      <c r="D781" s="47" t="n"/>
      <c r="E781" s="47" t="n"/>
      <c r="F781" s="47" t="n"/>
      <c r="G781" s="47" t="n"/>
      <c r="H781" s="47" t="n"/>
      <c r="I781" s="47" t="n"/>
      <c r="J781" s="47" t="n"/>
      <c r="K781" s="47" t="n"/>
      <c r="L781" s="47" t="n"/>
      <c r="M781" s="47" t="n"/>
      <c r="N781" s="47" t="n"/>
      <c r="O781" s="47" t="n"/>
      <c r="P781" s="47" t="n"/>
      <c r="Q781" s="47" t="n"/>
      <c r="R781" s="47" t="n"/>
      <c r="S781" s="47" t="n"/>
      <c r="T781" s="47" t="n"/>
      <c r="U781" s="47" t="n"/>
      <c r="V781" s="47" t="n"/>
      <c r="W781" s="47" t="n"/>
      <c r="X781" s="47" t="n"/>
      <c r="Y781" s="47" t="n"/>
      <c r="Z781" s="47" t="n"/>
    </row>
    <row r="782">
      <c r="A782" s="47" t="n"/>
      <c r="B782" s="48" t="n"/>
      <c r="C782" s="47" t="n"/>
      <c r="D782" s="47" t="n"/>
      <c r="E782" s="47" t="n"/>
      <c r="F782" s="47" t="n"/>
      <c r="G782" s="47" t="n"/>
      <c r="H782" s="47" t="n"/>
      <c r="I782" s="47" t="n"/>
      <c r="J782" s="47" t="n"/>
      <c r="K782" s="47" t="n"/>
      <c r="L782" s="47" t="n"/>
      <c r="M782" s="47" t="n"/>
      <c r="N782" s="47" t="n"/>
      <c r="O782" s="47" t="n"/>
      <c r="P782" s="47" t="n"/>
      <c r="Q782" s="47" t="n"/>
      <c r="R782" s="47" t="n"/>
      <c r="S782" s="47" t="n"/>
      <c r="T782" s="47" t="n"/>
      <c r="U782" s="47" t="n"/>
      <c r="V782" s="47" t="n"/>
      <c r="W782" s="47" t="n"/>
      <c r="X782" s="47" t="n"/>
      <c r="Y782" s="47" t="n"/>
      <c r="Z782" s="47" t="n"/>
    </row>
    <row r="783">
      <c r="A783" s="47" t="n"/>
      <c r="B783" s="48" t="n"/>
      <c r="C783" s="47" t="n"/>
      <c r="D783" s="47" t="n"/>
      <c r="E783" s="47" t="n"/>
      <c r="F783" s="47" t="n"/>
      <c r="G783" s="47" t="n"/>
      <c r="H783" s="47" t="n"/>
      <c r="I783" s="47" t="n"/>
      <c r="J783" s="47" t="n"/>
      <c r="K783" s="47" t="n"/>
      <c r="L783" s="47" t="n"/>
      <c r="M783" s="47" t="n"/>
      <c r="N783" s="47" t="n"/>
      <c r="O783" s="47" t="n"/>
      <c r="P783" s="47" t="n"/>
      <c r="Q783" s="47" t="n"/>
      <c r="R783" s="47" t="n"/>
      <c r="S783" s="47" t="n"/>
      <c r="T783" s="47" t="n"/>
      <c r="U783" s="47" t="n"/>
      <c r="V783" s="47" t="n"/>
      <c r="W783" s="47" t="n"/>
      <c r="X783" s="47" t="n"/>
      <c r="Y783" s="47" t="n"/>
      <c r="Z783" s="47" t="n"/>
    </row>
    <row r="784">
      <c r="A784" s="47" t="n"/>
      <c r="B784" s="48" t="n"/>
      <c r="C784" s="47" t="n"/>
      <c r="D784" s="47" t="n"/>
      <c r="E784" s="47" t="n"/>
      <c r="F784" s="47" t="n"/>
      <c r="G784" s="47" t="n"/>
      <c r="H784" s="47" t="n"/>
      <c r="I784" s="47" t="n"/>
      <c r="J784" s="47" t="n"/>
      <c r="K784" s="47" t="n"/>
      <c r="L784" s="47" t="n"/>
      <c r="M784" s="47" t="n"/>
      <c r="N784" s="47" t="n"/>
      <c r="O784" s="47" t="n"/>
      <c r="P784" s="47" t="n"/>
      <c r="Q784" s="47" t="n"/>
      <c r="R784" s="47" t="n"/>
      <c r="S784" s="47" t="n"/>
      <c r="T784" s="47" t="n"/>
      <c r="U784" s="47" t="n"/>
      <c r="V784" s="47" t="n"/>
      <c r="W784" s="47" t="n"/>
      <c r="X784" s="47" t="n"/>
      <c r="Y784" s="47" t="n"/>
      <c r="Z784" s="47" t="n"/>
    </row>
    <row r="785">
      <c r="A785" s="47" t="n"/>
      <c r="B785" s="48" t="n"/>
      <c r="C785" s="47" t="n"/>
      <c r="D785" s="47" t="n"/>
      <c r="E785" s="47" t="n"/>
      <c r="F785" s="47" t="n"/>
      <c r="G785" s="47" t="n"/>
      <c r="H785" s="47" t="n"/>
      <c r="I785" s="47" t="n"/>
      <c r="J785" s="47" t="n"/>
      <c r="K785" s="47" t="n"/>
      <c r="L785" s="47" t="n"/>
      <c r="M785" s="47" t="n"/>
      <c r="N785" s="47" t="n"/>
      <c r="O785" s="47" t="n"/>
      <c r="P785" s="47" t="n"/>
      <c r="Q785" s="47" t="n"/>
      <c r="R785" s="47" t="n"/>
      <c r="S785" s="47" t="n"/>
      <c r="T785" s="47" t="n"/>
      <c r="U785" s="47" t="n"/>
      <c r="V785" s="47" t="n"/>
      <c r="W785" s="47" t="n"/>
      <c r="X785" s="47" t="n"/>
      <c r="Y785" s="47" t="n"/>
      <c r="Z785" s="47" t="n"/>
    </row>
    <row r="786">
      <c r="A786" s="47" t="n"/>
      <c r="B786" s="48" t="n"/>
      <c r="C786" s="47" t="n"/>
      <c r="D786" s="47" t="n"/>
      <c r="E786" s="47" t="n"/>
      <c r="F786" s="47" t="n"/>
      <c r="G786" s="47" t="n"/>
      <c r="H786" s="47" t="n"/>
      <c r="I786" s="47" t="n"/>
      <c r="J786" s="47" t="n"/>
      <c r="K786" s="47" t="n"/>
      <c r="L786" s="47" t="n"/>
      <c r="M786" s="47" t="n"/>
      <c r="N786" s="47" t="n"/>
      <c r="O786" s="47" t="n"/>
      <c r="P786" s="47" t="n"/>
      <c r="Q786" s="47" t="n"/>
      <c r="R786" s="47" t="n"/>
      <c r="S786" s="47" t="n"/>
      <c r="T786" s="47" t="n"/>
      <c r="U786" s="47" t="n"/>
      <c r="V786" s="47" t="n"/>
      <c r="W786" s="47" t="n"/>
      <c r="X786" s="47" t="n"/>
      <c r="Y786" s="47" t="n"/>
      <c r="Z786" s="47" t="n"/>
    </row>
    <row r="787">
      <c r="A787" s="47" t="n"/>
      <c r="B787" s="48" t="n"/>
      <c r="C787" s="47" t="n"/>
      <c r="D787" s="47" t="n"/>
      <c r="E787" s="47" t="n"/>
      <c r="F787" s="47" t="n"/>
      <c r="G787" s="47" t="n"/>
      <c r="H787" s="47" t="n"/>
      <c r="I787" s="47" t="n"/>
      <c r="J787" s="47" t="n"/>
      <c r="K787" s="47" t="n"/>
      <c r="L787" s="47" t="n"/>
      <c r="M787" s="47" t="n"/>
      <c r="N787" s="47" t="n"/>
      <c r="O787" s="47" t="n"/>
      <c r="P787" s="47" t="n"/>
      <c r="Q787" s="47" t="n"/>
      <c r="R787" s="47" t="n"/>
      <c r="S787" s="47" t="n"/>
      <c r="T787" s="47" t="n"/>
      <c r="U787" s="47" t="n"/>
      <c r="V787" s="47" t="n"/>
      <c r="W787" s="47" t="n"/>
      <c r="X787" s="47" t="n"/>
      <c r="Y787" s="47" t="n"/>
      <c r="Z787" s="47" t="n"/>
    </row>
    <row r="788">
      <c r="A788" s="47" t="n"/>
      <c r="B788" s="48" t="n"/>
      <c r="C788" s="47" t="n"/>
      <c r="D788" s="47" t="n"/>
      <c r="E788" s="47" t="n"/>
      <c r="F788" s="47" t="n"/>
      <c r="G788" s="47" t="n"/>
      <c r="H788" s="47" t="n"/>
      <c r="I788" s="47" t="n"/>
      <c r="J788" s="47" t="n"/>
      <c r="K788" s="47" t="n"/>
      <c r="L788" s="47" t="n"/>
      <c r="M788" s="47" t="n"/>
      <c r="N788" s="47" t="n"/>
      <c r="O788" s="47" t="n"/>
      <c r="P788" s="47" t="n"/>
      <c r="Q788" s="47" t="n"/>
      <c r="R788" s="47" t="n"/>
      <c r="S788" s="47" t="n"/>
      <c r="T788" s="47" t="n"/>
      <c r="U788" s="47" t="n"/>
      <c r="V788" s="47" t="n"/>
      <c r="W788" s="47" t="n"/>
      <c r="X788" s="47" t="n"/>
      <c r="Y788" s="47" t="n"/>
      <c r="Z788" s="47" t="n"/>
    </row>
    <row r="789">
      <c r="A789" s="47" t="n"/>
      <c r="B789" s="48" t="n"/>
      <c r="C789" s="47" t="n"/>
      <c r="D789" s="47" t="n"/>
      <c r="E789" s="47" t="n"/>
      <c r="F789" s="47" t="n"/>
      <c r="G789" s="47" t="n"/>
      <c r="H789" s="47" t="n"/>
      <c r="I789" s="47" t="n"/>
      <c r="J789" s="47" t="n"/>
      <c r="K789" s="47" t="n"/>
      <c r="L789" s="47" t="n"/>
      <c r="M789" s="47" t="n"/>
      <c r="N789" s="47" t="n"/>
      <c r="O789" s="47" t="n"/>
      <c r="P789" s="47" t="n"/>
      <c r="Q789" s="47" t="n"/>
      <c r="R789" s="47" t="n"/>
      <c r="S789" s="47" t="n"/>
      <c r="T789" s="47" t="n"/>
      <c r="U789" s="47" t="n"/>
      <c r="V789" s="47" t="n"/>
      <c r="W789" s="47" t="n"/>
      <c r="X789" s="47" t="n"/>
      <c r="Y789" s="47" t="n"/>
      <c r="Z789" s="47" t="n"/>
    </row>
    <row r="790">
      <c r="A790" s="47" t="n"/>
      <c r="B790" s="48" t="n"/>
      <c r="C790" s="47" t="n"/>
      <c r="D790" s="47" t="n"/>
      <c r="E790" s="47" t="n"/>
      <c r="F790" s="47" t="n"/>
      <c r="G790" s="47" t="n"/>
      <c r="H790" s="47" t="n"/>
      <c r="I790" s="47" t="n"/>
      <c r="J790" s="47" t="n"/>
      <c r="K790" s="47" t="n"/>
      <c r="L790" s="47" t="n"/>
      <c r="M790" s="47" t="n"/>
      <c r="N790" s="47" t="n"/>
      <c r="O790" s="47" t="n"/>
      <c r="P790" s="47" t="n"/>
      <c r="Q790" s="47" t="n"/>
      <c r="R790" s="47" t="n"/>
      <c r="S790" s="47" t="n"/>
      <c r="T790" s="47" t="n"/>
      <c r="U790" s="47" t="n"/>
      <c r="V790" s="47" t="n"/>
      <c r="W790" s="47" t="n"/>
      <c r="X790" s="47" t="n"/>
      <c r="Y790" s="47" t="n"/>
      <c r="Z790" s="47" t="n"/>
    </row>
    <row r="791">
      <c r="A791" s="47" t="n"/>
      <c r="B791" s="48" t="n"/>
      <c r="C791" s="47" t="n"/>
      <c r="D791" s="47" t="n"/>
      <c r="E791" s="47" t="n"/>
      <c r="F791" s="47" t="n"/>
      <c r="G791" s="47" t="n"/>
      <c r="H791" s="47" t="n"/>
      <c r="I791" s="47" t="n"/>
      <c r="J791" s="47" t="n"/>
      <c r="K791" s="47" t="n"/>
      <c r="L791" s="47" t="n"/>
      <c r="M791" s="47" t="n"/>
      <c r="N791" s="47" t="n"/>
      <c r="O791" s="47" t="n"/>
      <c r="P791" s="47" t="n"/>
      <c r="Q791" s="47" t="n"/>
      <c r="R791" s="47" t="n"/>
      <c r="S791" s="47" t="n"/>
      <c r="T791" s="47" t="n"/>
      <c r="U791" s="47" t="n"/>
      <c r="V791" s="47" t="n"/>
      <c r="W791" s="47" t="n"/>
      <c r="X791" s="47" t="n"/>
      <c r="Y791" s="47" t="n"/>
      <c r="Z791" s="47" t="n"/>
    </row>
    <row r="792">
      <c r="A792" s="47" t="n"/>
      <c r="B792" s="48" t="n"/>
      <c r="C792" s="47" t="n"/>
      <c r="D792" s="47" t="n"/>
      <c r="E792" s="47" t="n"/>
      <c r="F792" s="47" t="n"/>
      <c r="G792" s="47" t="n"/>
      <c r="H792" s="47" t="n"/>
      <c r="I792" s="47" t="n"/>
      <c r="J792" s="47" t="n"/>
      <c r="K792" s="47" t="n"/>
      <c r="L792" s="47" t="n"/>
      <c r="M792" s="47" t="n"/>
      <c r="N792" s="47" t="n"/>
      <c r="O792" s="47" t="n"/>
      <c r="P792" s="47" t="n"/>
      <c r="Q792" s="47" t="n"/>
      <c r="R792" s="47" t="n"/>
      <c r="S792" s="47" t="n"/>
      <c r="T792" s="47" t="n"/>
      <c r="U792" s="47" t="n"/>
      <c r="V792" s="47" t="n"/>
      <c r="W792" s="47" t="n"/>
      <c r="X792" s="47" t="n"/>
      <c r="Y792" s="47" t="n"/>
      <c r="Z792" s="47" t="n"/>
    </row>
    <row r="793">
      <c r="A793" s="47" t="n"/>
      <c r="B793" s="48" t="n"/>
      <c r="C793" s="47" t="n"/>
      <c r="D793" s="47" t="n"/>
      <c r="E793" s="47" t="n"/>
      <c r="F793" s="47" t="n"/>
      <c r="G793" s="47" t="n"/>
      <c r="H793" s="47" t="n"/>
      <c r="I793" s="47" t="n"/>
      <c r="J793" s="47" t="n"/>
      <c r="K793" s="47" t="n"/>
      <c r="L793" s="47" t="n"/>
      <c r="M793" s="47" t="n"/>
      <c r="N793" s="47" t="n"/>
      <c r="O793" s="47" t="n"/>
      <c r="P793" s="47" t="n"/>
      <c r="Q793" s="47" t="n"/>
      <c r="R793" s="47" t="n"/>
      <c r="S793" s="47" t="n"/>
      <c r="T793" s="47" t="n"/>
      <c r="U793" s="47" t="n"/>
      <c r="V793" s="47" t="n"/>
      <c r="W793" s="47" t="n"/>
      <c r="X793" s="47" t="n"/>
      <c r="Y793" s="47" t="n"/>
      <c r="Z793" s="47" t="n"/>
    </row>
    <row r="794">
      <c r="A794" s="47" t="n"/>
      <c r="B794" s="48" t="n"/>
      <c r="C794" s="47" t="n"/>
      <c r="D794" s="47" t="n"/>
      <c r="E794" s="47" t="n"/>
      <c r="F794" s="47" t="n"/>
      <c r="G794" s="47" t="n"/>
      <c r="H794" s="47" t="n"/>
      <c r="I794" s="47" t="n"/>
      <c r="J794" s="47" t="n"/>
      <c r="K794" s="47" t="n"/>
      <c r="L794" s="47" t="n"/>
      <c r="M794" s="47" t="n"/>
      <c r="N794" s="47" t="n"/>
      <c r="O794" s="47" t="n"/>
      <c r="P794" s="47" t="n"/>
      <c r="Q794" s="47" t="n"/>
      <c r="R794" s="47" t="n"/>
      <c r="S794" s="47" t="n"/>
      <c r="T794" s="47" t="n"/>
      <c r="U794" s="47" t="n"/>
      <c r="V794" s="47" t="n"/>
      <c r="W794" s="47" t="n"/>
      <c r="X794" s="47" t="n"/>
      <c r="Y794" s="47" t="n"/>
      <c r="Z794" s="47" t="n"/>
    </row>
    <row r="795">
      <c r="A795" s="47" t="n"/>
      <c r="B795" s="48" t="n"/>
      <c r="C795" s="47" t="n"/>
      <c r="D795" s="47" t="n"/>
      <c r="E795" s="47" t="n"/>
      <c r="F795" s="47" t="n"/>
      <c r="G795" s="47" t="n"/>
      <c r="H795" s="47" t="n"/>
      <c r="I795" s="47" t="n"/>
      <c r="J795" s="47" t="n"/>
      <c r="K795" s="47" t="n"/>
      <c r="L795" s="47" t="n"/>
      <c r="M795" s="47" t="n"/>
      <c r="N795" s="47" t="n"/>
      <c r="O795" s="47" t="n"/>
      <c r="P795" s="47" t="n"/>
      <c r="Q795" s="47" t="n"/>
      <c r="R795" s="47" t="n"/>
      <c r="S795" s="47" t="n"/>
      <c r="T795" s="47" t="n"/>
      <c r="U795" s="47" t="n"/>
      <c r="V795" s="47" t="n"/>
      <c r="W795" s="47" t="n"/>
      <c r="X795" s="47" t="n"/>
      <c r="Y795" s="47" t="n"/>
      <c r="Z795" s="47" t="n"/>
    </row>
    <row r="796">
      <c r="A796" s="47" t="n"/>
      <c r="B796" s="48" t="n"/>
      <c r="C796" s="47" t="n"/>
      <c r="D796" s="47" t="n"/>
      <c r="E796" s="47" t="n"/>
      <c r="F796" s="47" t="n"/>
      <c r="G796" s="47" t="n"/>
      <c r="H796" s="47" t="n"/>
      <c r="I796" s="47" t="n"/>
      <c r="J796" s="47" t="n"/>
      <c r="K796" s="47" t="n"/>
      <c r="L796" s="47" t="n"/>
      <c r="M796" s="47" t="n"/>
      <c r="N796" s="47" t="n"/>
      <c r="O796" s="47" t="n"/>
      <c r="P796" s="47" t="n"/>
      <c r="Q796" s="47" t="n"/>
      <c r="R796" s="47" t="n"/>
      <c r="S796" s="47" t="n"/>
      <c r="T796" s="47" t="n"/>
      <c r="U796" s="47" t="n"/>
      <c r="V796" s="47" t="n"/>
      <c r="W796" s="47" t="n"/>
      <c r="X796" s="47" t="n"/>
      <c r="Y796" s="47" t="n"/>
      <c r="Z796" s="47" t="n"/>
    </row>
    <row r="797">
      <c r="A797" s="47" t="n"/>
      <c r="B797" s="48" t="n"/>
      <c r="C797" s="47" t="n"/>
      <c r="D797" s="47" t="n"/>
      <c r="E797" s="47" t="n"/>
      <c r="F797" s="47" t="n"/>
      <c r="G797" s="47" t="n"/>
      <c r="H797" s="47" t="n"/>
      <c r="I797" s="47" t="n"/>
      <c r="J797" s="47" t="n"/>
      <c r="K797" s="47" t="n"/>
      <c r="L797" s="47" t="n"/>
      <c r="M797" s="47" t="n"/>
      <c r="N797" s="47" t="n"/>
      <c r="O797" s="47" t="n"/>
      <c r="P797" s="47" t="n"/>
      <c r="Q797" s="47" t="n"/>
      <c r="R797" s="47" t="n"/>
      <c r="S797" s="47" t="n"/>
      <c r="T797" s="47" t="n"/>
      <c r="U797" s="47" t="n"/>
      <c r="V797" s="47" t="n"/>
      <c r="W797" s="47" t="n"/>
      <c r="X797" s="47" t="n"/>
      <c r="Y797" s="47" t="n"/>
      <c r="Z797" s="47" t="n"/>
    </row>
    <row r="798">
      <c r="A798" s="47" t="n"/>
      <c r="B798" s="48" t="n"/>
      <c r="C798" s="47" t="n"/>
      <c r="D798" s="47" t="n"/>
      <c r="E798" s="47" t="n"/>
      <c r="F798" s="47" t="n"/>
      <c r="G798" s="47" t="n"/>
      <c r="H798" s="47" t="n"/>
      <c r="I798" s="47" t="n"/>
      <c r="J798" s="47" t="n"/>
      <c r="K798" s="47" t="n"/>
      <c r="L798" s="47" t="n"/>
      <c r="M798" s="47" t="n"/>
      <c r="N798" s="47" t="n"/>
      <c r="O798" s="47" t="n"/>
      <c r="P798" s="47" t="n"/>
      <c r="Q798" s="47" t="n"/>
      <c r="R798" s="47" t="n"/>
      <c r="S798" s="47" t="n"/>
      <c r="T798" s="47" t="n"/>
      <c r="U798" s="47" t="n"/>
      <c r="V798" s="47" t="n"/>
      <c r="W798" s="47" t="n"/>
      <c r="X798" s="47" t="n"/>
      <c r="Y798" s="47" t="n"/>
      <c r="Z798" s="47" t="n"/>
    </row>
    <row r="799">
      <c r="A799" s="47" t="n"/>
      <c r="B799" s="48" t="n"/>
      <c r="C799" s="47" t="n"/>
      <c r="D799" s="47" t="n"/>
      <c r="E799" s="47" t="n"/>
      <c r="F799" s="47" t="n"/>
      <c r="G799" s="47" t="n"/>
      <c r="H799" s="47" t="n"/>
      <c r="I799" s="47" t="n"/>
      <c r="J799" s="47" t="n"/>
      <c r="K799" s="47" t="n"/>
      <c r="L799" s="47" t="n"/>
      <c r="M799" s="47" t="n"/>
      <c r="N799" s="47" t="n"/>
      <c r="O799" s="47" t="n"/>
      <c r="P799" s="47" t="n"/>
      <c r="Q799" s="47" t="n"/>
      <c r="R799" s="47" t="n"/>
      <c r="S799" s="47" t="n"/>
      <c r="T799" s="47" t="n"/>
      <c r="U799" s="47" t="n"/>
      <c r="V799" s="47" t="n"/>
      <c r="W799" s="47" t="n"/>
      <c r="X799" s="47" t="n"/>
      <c r="Y799" s="47" t="n"/>
      <c r="Z799" s="47" t="n"/>
    </row>
    <row r="800">
      <c r="A800" s="47" t="n"/>
      <c r="B800" s="48" t="n"/>
      <c r="C800" s="47" t="n"/>
      <c r="D800" s="47" t="n"/>
      <c r="E800" s="47" t="n"/>
      <c r="F800" s="47" t="n"/>
      <c r="G800" s="47" t="n"/>
      <c r="H800" s="47" t="n"/>
      <c r="I800" s="47" t="n"/>
      <c r="J800" s="47" t="n"/>
      <c r="K800" s="47" t="n"/>
      <c r="L800" s="47" t="n"/>
      <c r="M800" s="47" t="n"/>
      <c r="N800" s="47" t="n"/>
      <c r="O800" s="47" t="n"/>
      <c r="P800" s="47" t="n"/>
      <c r="Q800" s="47" t="n"/>
      <c r="R800" s="47" t="n"/>
      <c r="S800" s="47" t="n"/>
      <c r="T800" s="47" t="n"/>
      <c r="U800" s="47" t="n"/>
      <c r="V800" s="47" t="n"/>
      <c r="W800" s="47" t="n"/>
      <c r="X800" s="47" t="n"/>
      <c r="Y800" s="47" t="n"/>
      <c r="Z800" s="47" t="n"/>
    </row>
    <row r="801">
      <c r="A801" s="47" t="n"/>
      <c r="B801" s="48" t="n"/>
      <c r="C801" s="47" t="n"/>
      <c r="D801" s="47" t="n"/>
      <c r="E801" s="47" t="n"/>
      <c r="F801" s="47" t="n"/>
      <c r="G801" s="47" t="n"/>
      <c r="H801" s="47" t="n"/>
      <c r="I801" s="47" t="n"/>
      <c r="J801" s="47" t="n"/>
      <c r="K801" s="47" t="n"/>
      <c r="L801" s="47" t="n"/>
      <c r="M801" s="47" t="n"/>
      <c r="N801" s="47" t="n"/>
      <c r="O801" s="47" t="n"/>
      <c r="P801" s="47" t="n"/>
      <c r="Q801" s="47" t="n"/>
      <c r="R801" s="47" t="n"/>
      <c r="S801" s="47" t="n"/>
      <c r="T801" s="47" t="n"/>
      <c r="U801" s="47" t="n"/>
      <c r="V801" s="47" t="n"/>
      <c r="W801" s="47" t="n"/>
      <c r="X801" s="47" t="n"/>
      <c r="Y801" s="47" t="n"/>
      <c r="Z801" s="47" t="n"/>
    </row>
    <row r="802">
      <c r="A802" s="47" t="n"/>
      <c r="B802" s="48" t="n"/>
      <c r="C802" s="47" t="n"/>
      <c r="D802" s="47" t="n"/>
      <c r="E802" s="47" t="n"/>
      <c r="F802" s="47" t="n"/>
      <c r="G802" s="47" t="n"/>
      <c r="H802" s="47" t="n"/>
      <c r="I802" s="47" t="n"/>
      <c r="J802" s="47" t="n"/>
      <c r="K802" s="47" t="n"/>
      <c r="L802" s="47" t="n"/>
      <c r="M802" s="47" t="n"/>
      <c r="N802" s="47" t="n"/>
      <c r="O802" s="47" t="n"/>
      <c r="P802" s="47" t="n"/>
      <c r="Q802" s="47" t="n"/>
      <c r="R802" s="47" t="n"/>
      <c r="S802" s="47" t="n"/>
      <c r="T802" s="47" t="n"/>
      <c r="U802" s="47" t="n"/>
      <c r="V802" s="47" t="n"/>
      <c r="W802" s="47" t="n"/>
      <c r="X802" s="47" t="n"/>
      <c r="Y802" s="47" t="n"/>
      <c r="Z802" s="47" t="n"/>
    </row>
    <row r="803">
      <c r="A803" s="47" t="n"/>
      <c r="B803" s="48" t="n"/>
      <c r="C803" s="47" t="n"/>
      <c r="D803" s="47" t="n"/>
      <c r="E803" s="47" t="n"/>
      <c r="F803" s="47" t="n"/>
      <c r="G803" s="47" t="n"/>
      <c r="H803" s="47" t="n"/>
      <c r="I803" s="47" t="n"/>
      <c r="J803" s="47" t="n"/>
      <c r="K803" s="47" t="n"/>
      <c r="L803" s="47" t="n"/>
      <c r="M803" s="47" t="n"/>
      <c r="N803" s="47" t="n"/>
      <c r="O803" s="47" t="n"/>
      <c r="P803" s="47" t="n"/>
      <c r="Q803" s="47" t="n"/>
      <c r="R803" s="47" t="n"/>
      <c r="S803" s="47" t="n"/>
      <c r="T803" s="47" t="n"/>
      <c r="U803" s="47" t="n"/>
      <c r="V803" s="47" t="n"/>
      <c r="W803" s="47" t="n"/>
      <c r="X803" s="47" t="n"/>
      <c r="Y803" s="47" t="n"/>
      <c r="Z803" s="47" t="n"/>
    </row>
    <row r="804">
      <c r="A804" s="47" t="n"/>
      <c r="B804" s="48" t="n"/>
      <c r="C804" s="47" t="n"/>
      <c r="D804" s="47" t="n"/>
      <c r="E804" s="47" t="n"/>
      <c r="F804" s="47" t="n"/>
      <c r="G804" s="47" t="n"/>
      <c r="H804" s="47" t="n"/>
      <c r="I804" s="47" t="n"/>
      <c r="J804" s="47" t="n"/>
      <c r="K804" s="47" t="n"/>
      <c r="L804" s="47" t="n"/>
      <c r="M804" s="47" t="n"/>
      <c r="N804" s="47" t="n"/>
      <c r="O804" s="47" t="n"/>
      <c r="P804" s="47" t="n"/>
      <c r="Q804" s="47" t="n"/>
      <c r="R804" s="47" t="n"/>
      <c r="S804" s="47" t="n"/>
      <c r="T804" s="47" t="n"/>
      <c r="U804" s="47" t="n"/>
      <c r="V804" s="47" t="n"/>
      <c r="W804" s="47" t="n"/>
      <c r="X804" s="47" t="n"/>
      <c r="Y804" s="47" t="n"/>
      <c r="Z804" s="47" t="n"/>
    </row>
    <row r="805">
      <c r="A805" s="47" t="n"/>
      <c r="B805" s="48" t="n"/>
      <c r="C805" s="47" t="n"/>
      <c r="D805" s="47" t="n"/>
      <c r="E805" s="47" t="n"/>
      <c r="F805" s="47" t="n"/>
      <c r="G805" s="47" t="n"/>
      <c r="H805" s="47" t="n"/>
      <c r="I805" s="47" t="n"/>
      <c r="J805" s="47" t="n"/>
      <c r="K805" s="47" t="n"/>
      <c r="L805" s="47" t="n"/>
      <c r="M805" s="47" t="n"/>
      <c r="N805" s="47" t="n"/>
      <c r="O805" s="47" t="n"/>
      <c r="P805" s="47" t="n"/>
      <c r="Q805" s="47" t="n"/>
      <c r="R805" s="47" t="n"/>
      <c r="S805" s="47" t="n"/>
      <c r="T805" s="47" t="n"/>
      <c r="U805" s="47" t="n"/>
      <c r="V805" s="47" t="n"/>
      <c r="W805" s="47" t="n"/>
      <c r="X805" s="47" t="n"/>
      <c r="Y805" s="47" t="n"/>
      <c r="Z805" s="47" t="n"/>
    </row>
    <row r="806">
      <c r="A806" s="47" t="n"/>
      <c r="B806" s="48" t="n"/>
      <c r="C806" s="47" t="n"/>
      <c r="D806" s="47" t="n"/>
      <c r="E806" s="47" t="n"/>
      <c r="F806" s="47" t="n"/>
      <c r="G806" s="47" t="n"/>
      <c r="H806" s="47" t="n"/>
      <c r="I806" s="47" t="n"/>
      <c r="J806" s="47" t="n"/>
      <c r="K806" s="47" t="n"/>
      <c r="L806" s="47" t="n"/>
      <c r="M806" s="47" t="n"/>
      <c r="N806" s="47" t="n"/>
      <c r="O806" s="47" t="n"/>
      <c r="P806" s="47" t="n"/>
      <c r="Q806" s="47" t="n"/>
      <c r="R806" s="47" t="n"/>
      <c r="S806" s="47" t="n"/>
      <c r="T806" s="47" t="n"/>
      <c r="U806" s="47" t="n"/>
      <c r="V806" s="47" t="n"/>
      <c r="W806" s="47" t="n"/>
      <c r="X806" s="47" t="n"/>
      <c r="Y806" s="47" t="n"/>
      <c r="Z806" s="47" t="n"/>
    </row>
    <row r="807">
      <c r="A807" s="47" t="n"/>
      <c r="B807" s="48" t="n"/>
      <c r="C807" s="47" t="n"/>
      <c r="D807" s="47" t="n"/>
      <c r="E807" s="47" t="n"/>
      <c r="F807" s="47" t="n"/>
      <c r="G807" s="47" t="n"/>
      <c r="H807" s="47" t="n"/>
      <c r="I807" s="47" t="n"/>
      <c r="J807" s="47" t="n"/>
      <c r="K807" s="47" t="n"/>
      <c r="L807" s="47" t="n"/>
      <c r="M807" s="47" t="n"/>
      <c r="N807" s="47" t="n"/>
      <c r="O807" s="47" t="n"/>
      <c r="P807" s="47" t="n"/>
      <c r="Q807" s="47" t="n"/>
      <c r="R807" s="47" t="n"/>
      <c r="S807" s="47" t="n"/>
      <c r="T807" s="47" t="n"/>
      <c r="U807" s="47" t="n"/>
      <c r="V807" s="47" t="n"/>
      <c r="W807" s="47" t="n"/>
      <c r="X807" s="47" t="n"/>
      <c r="Y807" s="47" t="n"/>
      <c r="Z807" s="47" t="n"/>
    </row>
    <row r="808">
      <c r="A808" s="47" t="n"/>
      <c r="B808" s="48" t="n"/>
      <c r="C808" s="47" t="n"/>
      <c r="D808" s="47" t="n"/>
      <c r="E808" s="47" t="n"/>
      <c r="F808" s="47" t="n"/>
      <c r="G808" s="47" t="n"/>
      <c r="H808" s="47" t="n"/>
      <c r="I808" s="47" t="n"/>
      <c r="J808" s="47" t="n"/>
      <c r="K808" s="47" t="n"/>
      <c r="L808" s="47" t="n"/>
      <c r="M808" s="47" t="n"/>
      <c r="N808" s="47" t="n"/>
      <c r="O808" s="47" t="n"/>
      <c r="P808" s="47" t="n"/>
      <c r="Q808" s="47" t="n"/>
      <c r="R808" s="47" t="n"/>
      <c r="S808" s="47" t="n"/>
      <c r="T808" s="47" t="n"/>
      <c r="U808" s="47" t="n"/>
      <c r="V808" s="47" t="n"/>
      <c r="W808" s="47" t="n"/>
      <c r="X808" s="47" t="n"/>
      <c r="Y808" s="47" t="n"/>
      <c r="Z808" s="47" t="n"/>
    </row>
    <row r="809">
      <c r="A809" s="47" t="n"/>
      <c r="B809" s="48" t="n"/>
      <c r="C809" s="47" t="n"/>
      <c r="D809" s="47" t="n"/>
      <c r="E809" s="47" t="n"/>
      <c r="F809" s="47" t="n"/>
      <c r="G809" s="47" t="n"/>
      <c r="H809" s="47" t="n"/>
      <c r="I809" s="47" t="n"/>
      <c r="J809" s="47" t="n"/>
      <c r="K809" s="47" t="n"/>
      <c r="L809" s="47" t="n"/>
      <c r="M809" s="47" t="n"/>
      <c r="N809" s="47" t="n"/>
      <c r="O809" s="47" t="n"/>
      <c r="P809" s="47" t="n"/>
      <c r="Q809" s="47" t="n"/>
      <c r="R809" s="47" t="n"/>
      <c r="S809" s="47" t="n"/>
      <c r="T809" s="47" t="n"/>
      <c r="U809" s="47" t="n"/>
      <c r="V809" s="47" t="n"/>
      <c r="W809" s="47" t="n"/>
      <c r="X809" s="47" t="n"/>
      <c r="Y809" s="47" t="n"/>
      <c r="Z809" s="47" t="n"/>
    </row>
    <row r="810">
      <c r="A810" s="47" t="n"/>
      <c r="B810" s="48" t="n"/>
      <c r="C810" s="47" t="n"/>
      <c r="D810" s="47" t="n"/>
      <c r="E810" s="47" t="n"/>
      <c r="F810" s="47" t="n"/>
      <c r="G810" s="47" t="n"/>
      <c r="H810" s="47" t="n"/>
      <c r="I810" s="47" t="n"/>
      <c r="J810" s="47" t="n"/>
      <c r="K810" s="47" t="n"/>
      <c r="L810" s="47" t="n"/>
      <c r="M810" s="47" t="n"/>
      <c r="N810" s="47" t="n"/>
      <c r="O810" s="47" t="n"/>
      <c r="P810" s="47" t="n"/>
      <c r="Q810" s="47" t="n"/>
      <c r="R810" s="47" t="n"/>
      <c r="S810" s="47" t="n"/>
      <c r="T810" s="47" t="n"/>
      <c r="U810" s="47" t="n"/>
      <c r="V810" s="47" t="n"/>
      <c r="W810" s="47" t="n"/>
      <c r="X810" s="47" t="n"/>
      <c r="Y810" s="47" t="n"/>
      <c r="Z810" s="47" t="n"/>
    </row>
    <row r="811">
      <c r="A811" s="47" t="n"/>
      <c r="B811" s="48" t="n"/>
      <c r="C811" s="47" t="n"/>
      <c r="D811" s="47" t="n"/>
      <c r="E811" s="47" t="n"/>
      <c r="F811" s="47" t="n"/>
      <c r="G811" s="47" t="n"/>
      <c r="H811" s="47" t="n"/>
      <c r="I811" s="47" t="n"/>
      <c r="J811" s="47" t="n"/>
      <c r="K811" s="47" t="n"/>
      <c r="L811" s="47" t="n"/>
      <c r="M811" s="47" t="n"/>
      <c r="N811" s="47" t="n"/>
      <c r="O811" s="47" t="n"/>
      <c r="P811" s="47" t="n"/>
      <c r="Q811" s="47" t="n"/>
      <c r="R811" s="47" t="n"/>
      <c r="S811" s="47" t="n"/>
      <c r="T811" s="47" t="n"/>
      <c r="U811" s="47" t="n"/>
      <c r="V811" s="47" t="n"/>
      <c r="W811" s="47" t="n"/>
      <c r="X811" s="47" t="n"/>
      <c r="Y811" s="47" t="n"/>
      <c r="Z811" s="47" t="n"/>
    </row>
    <row r="812">
      <c r="A812" s="47" t="n"/>
      <c r="B812" s="48" t="n"/>
      <c r="C812" s="47" t="n"/>
      <c r="D812" s="47" t="n"/>
      <c r="E812" s="47" t="n"/>
      <c r="F812" s="47" t="n"/>
      <c r="G812" s="47" t="n"/>
      <c r="H812" s="47" t="n"/>
      <c r="I812" s="47" t="n"/>
      <c r="J812" s="47" t="n"/>
      <c r="K812" s="47" t="n"/>
      <c r="L812" s="47" t="n"/>
      <c r="M812" s="47" t="n"/>
      <c r="N812" s="47" t="n"/>
      <c r="O812" s="47" t="n"/>
      <c r="P812" s="47" t="n"/>
      <c r="Q812" s="47" t="n"/>
      <c r="R812" s="47" t="n"/>
      <c r="S812" s="47" t="n"/>
      <c r="T812" s="47" t="n"/>
      <c r="U812" s="47" t="n"/>
      <c r="V812" s="47" t="n"/>
      <c r="W812" s="47" t="n"/>
      <c r="X812" s="47" t="n"/>
      <c r="Y812" s="47" t="n"/>
      <c r="Z812" s="47" t="n"/>
    </row>
    <row r="813">
      <c r="A813" s="47" t="n"/>
      <c r="B813" s="48" t="n"/>
      <c r="C813" s="47" t="n"/>
      <c r="D813" s="47" t="n"/>
      <c r="E813" s="47" t="n"/>
      <c r="F813" s="47" t="n"/>
      <c r="G813" s="47" t="n"/>
      <c r="H813" s="47" t="n"/>
      <c r="I813" s="47" t="n"/>
      <c r="J813" s="47" t="n"/>
      <c r="K813" s="47" t="n"/>
      <c r="L813" s="47" t="n"/>
      <c r="M813" s="47" t="n"/>
      <c r="N813" s="47" t="n"/>
      <c r="O813" s="47" t="n"/>
      <c r="P813" s="47" t="n"/>
      <c r="Q813" s="47" t="n"/>
      <c r="R813" s="47" t="n"/>
      <c r="S813" s="47" t="n"/>
      <c r="T813" s="47" t="n"/>
      <c r="U813" s="47" t="n"/>
      <c r="V813" s="47" t="n"/>
      <c r="W813" s="47" t="n"/>
      <c r="X813" s="47" t="n"/>
      <c r="Y813" s="47" t="n"/>
      <c r="Z813" s="47" t="n"/>
    </row>
    <row r="814">
      <c r="A814" s="47" t="n"/>
      <c r="B814" s="48" t="n"/>
      <c r="C814" s="47" t="n"/>
      <c r="D814" s="47" t="n"/>
      <c r="E814" s="47" t="n"/>
      <c r="F814" s="47" t="n"/>
      <c r="G814" s="47" t="n"/>
      <c r="H814" s="47" t="n"/>
      <c r="I814" s="47" t="n"/>
      <c r="J814" s="47" t="n"/>
      <c r="K814" s="47" t="n"/>
      <c r="L814" s="47" t="n"/>
      <c r="M814" s="47" t="n"/>
      <c r="N814" s="47" t="n"/>
      <c r="O814" s="47" t="n"/>
      <c r="P814" s="47" t="n"/>
      <c r="Q814" s="47" t="n"/>
      <c r="R814" s="47" t="n"/>
      <c r="S814" s="47" t="n"/>
      <c r="T814" s="47" t="n"/>
      <c r="U814" s="47" t="n"/>
      <c r="V814" s="47" t="n"/>
      <c r="W814" s="47" t="n"/>
      <c r="X814" s="47" t="n"/>
      <c r="Y814" s="47" t="n"/>
      <c r="Z814" s="47" t="n"/>
    </row>
    <row r="815">
      <c r="A815" s="47" t="n"/>
      <c r="B815" s="48" t="n"/>
      <c r="C815" s="47" t="n"/>
      <c r="D815" s="47" t="n"/>
      <c r="E815" s="47" t="n"/>
      <c r="F815" s="47" t="n"/>
      <c r="G815" s="47" t="n"/>
      <c r="H815" s="47" t="n"/>
      <c r="I815" s="47" t="n"/>
      <c r="J815" s="47" t="n"/>
      <c r="K815" s="47" t="n"/>
      <c r="L815" s="47" t="n"/>
      <c r="M815" s="47" t="n"/>
      <c r="N815" s="47" t="n"/>
      <c r="O815" s="47" t="n"/>
      <c r="P815" s="47" t="n"/>
      <c r="Q815" s="47" t="n"/>
      <c r="R815" s="47" t="n"/>
      <c r="S815" s="47" t="n"/>
      <c r="T815" s="47" t="n"/>
      <c r="U815" s="47" t="n"/>
      <c r="V815" s="47" t="n"/>
      <c r="W815" s="47" t="n"/>
      <c r="X815" s="47" t="n"/>
      <c r="Y815" s="47" t="n"/>
      <c r="Z815" s="47" t="n"/>
    </row>
    <row r="816">
      <c r="A816" s="47" t="n"/>
      <c r="B816" s="48" t="n"/>
      <c r="C816" s="47" t="n"/>
      <c r="D816" s="47" t="n"/>
      <c r="E816" s="47" t="n"/>
      <c r="F816" s="47" t="n"/>
      <c r="G816" s="47" t="n"/>
      <c r="H816" s="47" t="n"/>
      <c r="I816" s="47" t="n"/>
      <c r="J816" s="47" t="n"/>
      <c r="K816" s="47" t="n"/>
      <c r="L816" s="47" t="n"/>
      <c r="M816" s="47" t="n"/>
      <c r="N816" s="47" t="n"/>
      <c r="O816" s="47" t="n"/>
      <c r="P816" s="47" t="n"/>
      <c r="Q816" s="47" t="n"/>
      <c r="R816" s="47" t="n"/>
      <c r="S816" s="47" t="n"/>
      <c r="T816" s="47" t="n"/>
      <c r="U816" s="47" t="n"/>
      <c r="V816" s="47" t="n"/>
      <c r="W816" s="47" t="n"/>
      <c r="X816" s="47" t="n"/>
      <c r="Y816" s="47" t="n"/>
      <c r="Z816" s="47" t="n"/>
    </row>
    <row r="817">
      <c r="A817" s="47" t="n"/>
      <c r="B817" s="48" t="n"/>
      <c r="C817" s="47" t="n"/>
      <c r="D817" s="47" t="n"/>
      <c r="E817" s="47" t="n"/>
      <c r="F817" s="47" t="n"/>
      <c r="G817" s="47" t="n"/>
      <c r="H817" s="47" t="n"/>
      <c r="I817" s="47" t="n"/>
      <c r="J817" s="47" t="n"/>
      <c r="K817" s="47" t="n"/>
      <c r="L817" s="47" t="n"/>
      <c r="M817" s="47" t="n"/>
      <c r="N817" s="47" t="n"/>
      <c r="O817" s="47" t="n"/>
      <c r="P817" s="47" t="n"/>
      <c r="Q817" s="47" t="n"/>
      <c r="R817" s="47" t="n"/>
      <c r="S817" s="47" t="n"/>
      <c r="T817" s="47" t="n"/>
      <c r="U817" s="47" t="n"/>
      <c r="V817" s="47" t="n"/>
      <c r="W817" s="47" t="n"/>
      <c r="X817" s="47" t="n"/>
      <c r="Y817" s="47" t="n"/>
      <c r="Z817" s="47" t="n"/>
    </row>
    <row r="818">
      <c r="A818" s="47" t="n"/>
      <c r="B818" s="48" t="n"/>
      <c r="C818" s="47" t="n"/>
      <c r="D818" s="47" t="n"/>
      <c r="E818" s="47" t="n"/>
      <c r="F818" s="47" t="n"/>
      <c r="G818" s="47" t="n"/>
      <c r="H818" s="47" t="n"/>
      <c r="I818" s="47" t="n"/>
      <c r="J818" s="47" t="n"/>
      <c r="K818" s="47" t="n"/>
      <c r="L818" s="47" t="n"/>
      <c r="M818" s="47" t="n"/>
      <c r="N818" s="47" t="n"/>
      <c r="O818" s="47" t="n"/>
      <c r="P818" s="47" t="n"/>
      <c r="Q818" s="47" t="n"/>
      <c r="R818" s="47" t="n"/>
      <c r="S818" s="47" t="n"/>
      <c r="T818" s="47" t="n"/>
      <c r="U818" s="47" t="n"/>
      <c r="V818" s="47" t="n"/>
      <c r="W818" s="47" t="n"/>
      <c r="X818" s="47" t="n"/>
      <c r="Y818" s="47" t="n"/>
      <c r="Z818" s="47" t="n"/>
    </row>
    <row r="819">
      <c r="A819" s="47" t="n"/>
      <c r="B819" s="48" t="n"/>
      <c r="C819" s="47" t="n"/>
      <c r="D819" s="47" t="n"/>
      <c r="E819" s="47" t="n"/>
      <c r="F819" s="47" t="n"/>
      <c r="G819" s="47" t="n"/>
      <c r="H819" s="47" t="n"/>
      <c r="I819" s="47" t="n"/>
      <c r="J819" s="47" t="n"/>
      <c r="K819" s="47" t="n"/>
      <c r="L819" s="47" t="n"/>
      <c r="M819" s="47" t="n"/>
      <c r="N819" s="47" t="n"/>
      <c r="O819" s="47" t="n"/>
      <c r="P819" s="47" t="n"/>
      <c r="Q819" s="47" t="n"/>
      <c r="R819" s="47" t="n"/>
      <c r="S819" s="47" t="n"/>
      <c r="T819" s="47" t="n"/>
      <c r="U819" s="47" t="n"/>
      <c r="V819" s="47" t="n"/>
      <c r="W819" s="47" t="n"/>
      <c r="X819" s="47" t="n"/>
      <c r="Y819" s="47" t="n"/>
      <c r="Z819" s="47" t="n"/>
    </row>
    <row r="820">
      <c r="A820" s="47" t="n"/>
      <c r="B820" s="48" t="n"/>
      <c r="C820" s="47" t="n"/>
      <c r="D820" s="47" t="n"/>
      <c r="E820" s="47" t="n"/>
      <c r="F820" s="47" t="n"/>
      <c r="G820" s="47" t="n"/>
      <c r="H820" s="47" t="n"/>
      <c r="I820" s="47" t="n"/>
      <c r="J820" s="47" t="n"/>
      <c r="K820" s="47" t="n"/>
      <c r="L820" s="47" t="n"/>
      <c r="M820" s="47" t="n"/>
      <c r="N820" s="47" t="n"/>
      <c r="O820" s="47" t="n"/>
      <c r="P820" s="47" t="n"/>
      <c r="Q820" s="47" t="n"/>
      <c r="R820" s="47" t="n"/>
      <c r="S820" s="47" t="n"/>
      <c r="T820" s="47" t="n"/>
      <c r="U820" s="47" t="n"/>
      <c r="V820" s="47" t="n"/>
      <c r="W820" s="47" t="n"/>
      <c r="X820" s="47" t="n"/>
      <c r="Y820" s="47" t="n"/>
      <c r="Z820" s="47" t="n"/>
    </row>
    <row r="821">
      <c r="A821" s="47" t="n"/>
      <c r="B821" s="48" t="n"/>
      <c r="C821" s="47" t="n"/>
      <c r="D821" s="47" t="n"/>
      <c r="E821" s="47" t="n"/>
      <c r="F821" s="47" t="n"/>
      <c r="G821" s="47" t="n"/>
      <c r="H821" s="47" t="n"/>
      <c r="I821" s="47" t="n"/>
      <c r="J821" s="47" t="n"/>
      <c r="K821" s="47" t="n"/>
      <c r="L821" s="47" t="n"/>
      <c r="M821" s="47" t="n"/>
      <c r="N821" s="47" t="n"/>
      <c r="O821" s="47" t="n"/>
      <c r="P821" s="47" t="n"/>
      <c r="Q821" s="47" t="n"/>
      <c r="R821" s="47" t="n"/>
      <c r="S821" s="47" t="n"/>
      <c r="T821" s="47" t="n"/>
      <c r="U821" s="47" t="n"/>
      <c r="V821" s="47" t="n"/>
      <c r="W821" s="47" t="n"/>
      <c r="X821" s="47" t="n"/>
      <c r="Y821" s="47" t="n"/>
      <c r="Z821" s="47" t="n"/>
    </row>
    <row r="822">
      <c r="A822" s="47" t="n"/>
      <c r="B822" s="48" t="n"/>
      <c r="C822" s="47" t="n"/>
      <c r="D822" s="47" t="n"/>
      <c r="E822" s="47" t="n"/>
      <c r="F822" s="47" t="n"/>
      <c r="G822" s="47" t="n"/>
      <c r="H822" s="47" t="n"/>
      <c r="I822" s="47" t="n"/>
      <c r="J822" s="47" t="n"/>
      <c r="K822" s="47" t="n"/>
      <c r="L822" s="47" t="n"/>
      <c r="M822" s="47" t="n"/>
      <c r="N822" s="47" t="n"/>
      <c r="O822" s="47" t="n"/>
      <c r="P822" s="47" t="n"/>
      <c r="Q822" s="47" t="n"/>
      <c r="R822" s="47" t="n"/>
      <c r="S822" s="47" t="n"/>
      <c r="T822" s="47" t="n"/>
      <c r="U822" s="47" t="n"/>
      <c r="V822" s="47" t="n"/>
      <c r="W822" s="47" t="n"/>
      <c r="X822" s="47" t="n"/>
      <c r="Y822" s="47" t="n"/>
      <c r="Z822" s="47" t="n"/>
    </row>
    <row r="823">
      <c r="A823" s="47" t="n"/>
      <c r="B823" s="48" t="n"/>
      <c r="C823" s="47" t="n"/>
      <c r="D823" s="47" t="n"/>
      <c r="E823" s="47" t="n"/>
      <c r="F823" s="47" t="n"/>
      <c r="G823" s="47" t="n"/>
      <c r="H823" s="47" t="n"/>
      <c r="I823" s="47" t="n"/>
      <c r="J823" s="47" t="n"/>
      <c r="K823" s="47" t="n"/>
      <c r="L823" s="47" t="n"/>
      <c r="M823" s="47" t="n"/>
      <c r="N823" s="47" t="n"/>
      <c r="O823" s="47" t="n"/>
      <c r="P823" s="47" t="n"/>
      <c r="Q823" s="47" t="n"/>
      <c r="R823" s="47" t="n"/>
      <c r="S823" s="47" t="n"/>
      <c r="T823" s="47" t="n"/>
      <c r="U823" s="47" t="n"/>
      <c r="V823" s="47" t="n"/>
      <c r="W823" s="47" t="n"/>
      <c r="X823" s="47" t="n"/>
      <c r="Y823" s="47" t="n"/>
      <c r="Z823" s="47" t="n"/>
    </row>
    <row r="824">
      <c r="A824" s="47" t="n"/>
      <c r="B824" s="48" t="n"/>
      <c r="C824" s="47" t="n"/>
      <c r="D824" s="47" t="n"/>
      <c r="E824" s="47" t="n"/>
      <c r="F824" s="47" t="n"/>
      <c r="G824" s="47" t="n"/>
      <c r="H824" s="47" t="n"/>
      <c r="I824" s="47" t="n"/>
      <c r="J824" s="47" t="n"/>
      <c r="M824" s="47" t="n"/>
      <c r="N824" s="47" t="n"/>
      <c r="O824" s="47" t="n"/>
      <c r="P824" s="47" t="n"/>
      <c r="Q824" s="47" t="n"/>
      <c r="R824" s="47" t="n"/>
      <c r="S824" s="47" t="n"/>
      <c r="T824" s="47" t="n"/>
      <c r="U824" s="47" t="n"/>
      <c r="V824" s="47" t="n"/>
      <c r="W824" s="47" t="n"/>
      <c r="X824" s="47" t="n"/>
      <c r="Y824" s="47" t="n"/>
      <c r="Z824" s="47" t="n"/>
    </row>
    <row r="825">
      <c r="A825" s="47" t="n"/>
      <c r="B825" s="48" t="n"/>
      <c r="C825" s="47" t="n"/>
      <c r="D825" s="47" t="n"/>
      <c r="E825" s="47" t="n"/>
      <c r="F825" s="47" t="n"/>
      <c r="G825" s="47" t="n"/>
      <c r="H825" s="47" t="n"/>
      <c r="I825" s="47" t="n"/>
      <c r="J825" s="47" t="n"/>
      <c r="M825" s="47" t="n"/>
      <c r="N825" s="47" t="n"/>
      <c r="O825" s="47" t="n"/>
      <c r="P825" s="47" t="n"/>
      <c r="Q825" s="47" t="n"/>
      <c r="R825" s="47" t="n"/>
      <c r="S825" s="47" t="n"/>
      <c r="T825" s="47" t="n"/>
      <c r="U825" s="47" t="n"/>
      <c r="V825" s="47" t="n"/>
      <c r="W825" s="47" t="n"/>
      <c r="X825" s="47" t="n"/>
      <c r="Y825" s="47" t="n"/>
      <c r="Z825" s="47" t="n"/>
    </row>
    <row r="826">
      <c r="A826" s="47" t="n"/>
      <c r="B826" s="48" t="n"/>
      <c r="C826" s="47" t="n"/>
      <c r="D826" s="47" t="n"/>
      <c r="E826" s="47" t="n"/>
      <c r="F826" s="47" t="n"/>
      <c r="G826" s="47" t="n"/>
      <c r="H826" s="47" t="n"/>
      <c r="I826" s="47" t="n"/>
      <c r="J826" s="47" t="n"/>
      <c r="M826" s="47" t="n"/>
      <c r="N826" s="47" t="n"/>
      <c r="O826" s="47" t="n"/>
      <c r="P826" s="47" t="n"/>
      <c r="Q826" s="47" t="n"/>
      <c r="R826" s="47" t="n"/>
      <c r="S826" s="47" t="n"/>
      <c r="T826" s="47" t="n"/>
      <c r="U826" s="47" t="n"/>
      <c r="V826" s="47" t="n"/>
      <c r="W826" s="47" t="n"/>
      <c r="X826" s="47" t="n"/>
      <c r="Y826" s="47" t="n"/>
      <c r="Z826" s="47" t="n"/>
    </row>
    <row r="827">
      <c r="A827" s="47" t="n"/>
      <c r="B827" s="48" t="n"/>
      <c r="C827" s="47" t="n"/>
      <c r="D827" s="47" t="n"/>
      <c r="E827" s="47" t="n"/>
      <c r="F827" s="47" t="n"/>
      <c r="G827" s="47" t="n"/>
      <c r="H827" s="47" t="n"/>
      <c r="I827" s="47" t="n"/>
      <c r="J827" s="47" t="n"/>
      <c r="M827" s="47" t="n"/>
      <c r="N827" s="47" t="n"/>
      <c r="O827" s="47" t="n"/>
      <c r="P827" s="47" t="n"/>
      <c r="Q827" s="47" t="n"/>
      <c r="R827" s="47" t="n"/>
      <c r="S827" s="47" t="n"/>
      <c r="T827" s="47" t="n"/>
      <c r="U827" s="47" t="n"/>
      <c r="V827" s="47" t="n"/>
      <c r="W827" s="47" t="n"/>
      <c r="X827" s="47" t="n"/>
      <c r="Y827" s="47" t="n"/>
      <c r="Z827" s="47" t="n"/>
    </row>
    <row r="828">
      <c r="A828" s="47" t="n"/>
      <c r="B828" s="48" t="n"/>
      <c r="C828" s="47" t="n"/>
      <c r="D828" s="47" t="n"/>
      <c r="E828" s="47" t="n"/>
      <c r="F828" s="47" t="n"/>
      <c r="G828" s="47" t="n"/>
      <c r="H828" s="47" t="n"/>
      <c r="I828" s="47" t="n"/>
      <c r="J828" s="47" t="n"/>
      <c r="M828" s="47" t="n"/>
      <c r="N828" s="47" t="n"/>
      <c r="O828" s="47" t="n"/>
      <c r="P828" s="47" t="n"/>
      <c r="Q828" s="47" t="n"/>
      <c r="R828" s="47" t="n"/>
      <c r="S828" s="47" t="n"/>
      <c r="T828" s="47" t="n"/>
      <c r="U828" s="47" t="n"/>
      <c r="V828" s="47" t="n"/>
      <c r="W828" s="47" t="n"/>
      <c r="X828" s="47" t="n"/>
      <c r="Y828" s="47" t="n"/>
      <c r="Z828" s="47" t="n"/>
    </row>
    <row r="829">
      <c r="A829" s="47" t="n"/>
      <c r="B829" s="48" t="n"/>
      <c r="C829" s="47" t="n"/>
      <c r="D829" s="47" t="n"/>
      <c r="E829" s="47" t="n"/>
      <c r="F829" s="47" t="n"/>
      <c r="G829" s="47" t="n"/>
      <c r="H829" s="47" t="n"/>
      <c r="I829" s="47" t="n"/>
      <c r="J829" s="47" t="n"/>
      <c r="M829" s="47" t="n"/>
      <c r="N829" s="47" t="n"/>
      <c r="O829" s="47" t="n"/>
      <c r="P829" s="47" t="n"/>
      <c r="Q829" s="47" t="n"/>
      <c r="R829" s="47" t="n"/>
      <c r="S829" s="47" t="n"/>
      <c r="T829" s="47" t="n"/>
      <c r="U829" s="47" t="n"/>
      <c r="V829" s="47" t="n"/>
      <c r="W829" s="47" t="n"/>
      <c r="X829" s="47" t="n"/>
      <c r="Y829" s="47" t="n"/>
      <c r="Z829" s="47" t="n"/>
    </row>
    <row r="830">
      <c r="A830" s="47" t="n"/>
      <c r="B830" s="48" t="n"/>
      <c r="C830" s="47" t="n"/>
      <c r="D830" s="47" t="n"/>
      <c r="E830" s="47" t="n"/>
      <c r="F830" s="47" t="n"/>
      <c r="G830" s="47" t="n"/>
      <c r="H830" s="47" t="n"/>
      <c r="I830" s="47" t="n"/>
      <c r="J830" s="47" t="n"/>
      <c r="M830" s="47" t="n"/>
      <c r="N830" s="47" t="n"/>
      <c r="O830" s="47" t="n"/>
      <c r="P830" s="47" t="n"/>
      <c r="Q830" s="47" t="n"/>
      <c r="R830" s="47" t="n"/>
      <c r="S830" s="47" t="n"/>
      <c r="T830" s="47" t="n"/>
      <c r="U830" s="47" t="n"/>
      <c r="V830" s="47" t="n"/>
      <c r="W830" s="47" t="n"/>
      <c r="X830" s="47" t="n"/>
      <c r="Y830" s="47" t="n"/>
      <c r="Z830" s="47" t="n"/>
    </row>
    <row r="831">
      <c r="A831" s="47" t="n"/>
      <c r="B831" s="48" t="n"/>
      <c r="C831" s="47" t="n"/>
      <c r="D831" s="47" t="n"/>
      <c r="E831" s="47" t="n"/>
      <c r="F831" s="47" t="n"/>
      <c r="G831" s="47" t="n"/>
      <c r="H831" s="47" t="n"/>
      <c r="I831" s="47" t="n"/>
      <c r="J831" s="47" t="n"/>
      <c r="M831" s="47" t="n"/>
      <c r="N831" s="47" t="n"/>
      <c r="O831" s="47" t="n"/>
      <c r="P831" s="47" t="n"/>
      <c r="Q831" s="47" t="n"/>
      <c r="R831" s="47" t="n"/>
      <c r="S831" s="47" t="n"/>
      <c r="T831" s="47" t="n"/>
      <c r="U831" s="47" t="n"/>
      <c r="V831" s="47" t="n"/>
      <c r="W831" s="47" t="n"/>
      <c r="X831" s="47" t="n"/>
      <c r="Y831" s="47" t="n"/>
      <c r="Z831" s="47" t="n"/>
    </row>
    <row r="832">
      <c r="A832" s="47" t="n"/>
      <c r="B832" s="48" t="n"/>
      <c r="C832" s="47" t="n"/>
      <c r="D832" s="47" t="n"/>
      <c r="E832" s="47" t="n"/>
      <c r="F832" s="47" t="n"/>
      <c r="G832" s="47" t="n"/>
      <c r="H832" s="47" t="n"/>
      <c r="I832" s="47" t="n"/>
      <c r="J832" s="47" t="n"/>
      <c r="M832" s="47" t="n"/>
      <c r="N832" s="47" t="n"/>
      <c r="O832" s="47" t="n"/>
      <c r="P832" s="47" t="n"/>
      <c r="Q832" s="47" t="n"/>
      <c r="R832" s="47" t="n"/>
      <c r="S832" s="47" t="n"/>
      <c r="T832" s="47" t="n"/>
      <c r="U832" s="47" t="n"/>
      <c r="V832" s="47" t="n"/>
      <c r="W832" s="47" t="n"/>
      <c r="X832" s="47" t="n"/>
      <c r="Y832" s="47" t="n"/>
      <c r="Z832" s="47" t="n"/>
    </row>
    <row r="833">
      <c r="A833" s="47" t="n"/>
      <c r="B833" s="48" t="n"/>
      <c r="C833" s="47" t="n"/>
      <c r="D833" s="47" t="n"/>
      <c r="E833" s="47" t="n"/>
      <c r="F833" s="47" t="n"/>
      <c r="G833" s="47" t="n"/>
      <c r="H833" s="47" t="n"/>
      <c r="I833" s="47" t="n"/>
      <c r="J833" s="47" t="n"/>
      <c r="M833" s="47" t="n"/>
      <c r="N833" s="47" t="n"/>
      <c r="O833" s="47" t="n"/>
      <c r="P833" s="47" t="n"/>
      <c r="Q833" s="47" t="n"/>
      <c r="R833" s="47" t="n"/>
      <c r="S833" s="47" t="n"/>
      <c r="T833" s="47" t="n"/>
      <c r="U833" s="47" t="n"/>
      <c r="V833" s="47" t="n"/>
      <c r="W833" s="47" t="n"/>
      <c r="X833" s="47" t="n"/>
      <c r="Y833" s="47" t="n"/>
      <c r="Z833" s="47" t="n"/>
    </row>
    <row r="834">
      <c r="A834" s="47" t="n"/>
      <c r="B834" s="48" t="n"/>
      <c r="C834" s="47" t="n"/>
      <c r="D834" s="47" t="n"/>
      <c r="E834" s="47" t="n"/>
      <c r="F834" s="47" t="n"/>
      <c r="G834" s="47" t="n"/>
      <c r="H834" s="47" t="n"/>
      <c r="I834" s="47" t="n"/>
      <c r="J834" s="47" t="n"/>
      <c r="M834" s="47" t="n"/>
      <c r="N834" s="47" t="n"/>
      <c r="O834" s="47" t="n"/>
      <c r="P834" s="47" t="n"/>
      <c r="Q834" s="47" t="n"/>
      <c r="R834" s="47" t="n"/>
      <c r="S834" s="47" t="n"/>
      <c r="T834" s="47" t="n"/>
      <c r="U834" s="47" t="n"/>
      <c r="V834" s="47" t="n"/>
      <c r="W834" s="47" t="n"/>
      <c r="X834" s="47" t="n"/>
      <c r="Y834" s="47" t="n"/>
      <c r="Z834" s="47" t="n"/>
    </row>
    <row r="835">
      <c r="A835" s="47" t="n"/>
      <c r="B835" s="48" t="n"/>
      <c r="C835" s="47" t="n"/>
      <c r="D835" s="47" t="n"/>
      <c r="E835" s="47" t="n"/>
      <c r="F835" s="47" t="n"/>
      <c r="G835" s="47" t="n"/>
      <c r="H835" s="47" t="n"/>
      <c r="I835" s="47" t="n"/>
      <c r="J835" s="47" t="n"/>
      <c r="M835" s="47" t="n"/>
      <c r="N835" s="47" t="n"/>
      <c r="O835" s="47" t="n"/>
      <c r="P835" s="47" t="n"/>
      <c r="Q835" s="47" t="n"/>
      <c r="R835" s="47" t="n"/>
      <c r="S835" s="47" t="n"/>
      <c r="T835" s="47" t="n"/>
      <c r="U835" s="47" t="n"/>
      <c r="V835" s="47" t="n"/>
      <c r="W835" s="47" t="n"/>
      <c r="X835" s="47" t="n"/>
      <c r="Y835" s="47" t="n"/>
      <c r="Z835" s="47" t="n"/>
    </row>
    <row r="836">
      <c r="A836" s="47" t="n"/>
      <c r="B836" s="48" t="n"/>
      <c r="C836" s="47" t="n"/>
      <c r="D836" s="47" t="n"/>
      <c r="E836" s="47" t="n"/>
      <c r="F836" s="47" t="n"/>
      <c r="G836" s="47" t="n"/>
      <c r="H836" s="47" t="n"/>
      <c r="I836" s="47" t="n"/>
      <c r="J836" s="47" t="n"/>
      <c r="M836" s="47" t="n"/>
      <c r="N836" s="47" t="n"/>
      <c r="O836" s="47" t="n"/>
      <c r="P836" s="47" t="n"/>
      <c r="Q836" s="47" t="n"/>
      <c r="R836" s="47" t="n"/>
      <c r="S836" s="47" t="n"/>
      <c r="T836" s="47" t="n"/>
      <c r="U836" s="47" t="n"/>
      <c r="V836" s="47" t="n"/>
      <c r="W836" s="47" t="n"/>
      <c r="X836" s="47" t="n"/>
      <c r="Y836" s="47" t="n"/>
      <c r="Z836" s="47" t="n"/>
    </row>
    <row r="837">
      <c r="A837" s="47" t="n"/>
      <c r="B837" s="48" t="n"/>
      <c r="C837" s="47" t="n"/>
      <c r="D837" s="47" t="n"/>
      <c r="E837" s="47" t="n"/>
      <c r="F837" s="47" t="n"/>
      <c r="G837" s="47" t="n"/>
      <c r="H837" s="47" t="n"/>
      <c r="I837" s="47" t="n"/>
      <c r="J837" s="47" t="n"/>
      <c r="M837" s="47" t="n"/>
      <c r="N837" s="47" t="n"/>
      <c r="O837" s="47" t="n"/>
      <c r="P837" s="47" t="n"/>
      <c r="Q837" s="47" t="n"/>
      <c r="R837" s="47" t="n"/>
      <c r="S837" s="47" t="n"/>
      <c r="T837" s="47" t="n"/>
      <c r="U837" s="47" t="n"/>
      <c r="V837" s="47" t="n"/>
      <c r="W837" s="47" t="n"/>
      <c r="X837" s="47" t="n"/>
      <c r="Y837" s="47" t="n"/>
      <c r="Z837" s="47" t="n"/>
    </row>
    <row r="838">
      <c r="A838" s="47" t="n"/>
      <c r="B838" s="48" t="n"/>
      <c r="C838" s="47" t="n"/>
      <c r="D838" s="47" t="n"/>
      <c r="E838" s="47" t="n"/>
      <c r="F838" s="47" t="n"/>
      <c r="G838" s="47" t="n"/>
      <c r="H838" s="47" t="n"/>
      <c r="I838" s="47" t="n"/>
      <c r="J838" s="47" t="n"/>
      <c r="M838" s="47" t="n"/>
      <c r="N838" s="47" t="n"/>
      <c r="O838" s="47" t="n"/>
      <c r="P838" s="47" t="n"/>
      <c r="Q838" s="47" t="n"/>
      <c r="R838" s="47" t="n"/>
      <c r="S838" s="47" t="n"/>
      <c r="T838" s="47" t="n"/>
      <c r="U838" s="47" t="n"/>
      <c r="V838" s="47" t="n"/>
      <c r="W838" s="47" t="n"/>
      <c r="X838" s="47" t="n"/>
      <c r="Y838" s="47" t="n"/>
      <c r="Z838" s="47" t="n"/>
    </row>
    <row r="839">
      <c r="A839" s="47" t="n"/>
      <c r="B839" s="48" t="n"/>
      <c r="C839" s="47" t="n"/>
      <c r="D839" s="47" t="n"/>
      <c r="E839" s="47" t="n"/>
      <c r="F839" s="47" t="n"/>
      <c r="G839" s="47" t="n"/>
      <c r="H839" s="47" t="n"/>
      <c r="I839" s="47" t="n"/>
      <c r="J839" s="47" t="n"/>
      <c r="M839" s="47" t="n"/>
      <c r="N839" s="47" t="n"/>
      <c r="O839" s="47" t="n"/>
      <c r="P839" s="47" t="n"/>
      <c r="Q839" s="47" t="n"/>
      <c r="R839" s="47" t="n"/>
      <c r="S839" s="47" t="n"/>
      <c r="T839" s="47" t="n"/>
      <c r="U839" s="47" t="n"/>
      <c r="V839" s="47" t="n"/>
      <c r="W839" s="47" t="n"/>
      <c r="X839" s="47" t="n"/>
      <c r="Y839" s="47" t="n"/>
      <c r="Z839" s="47" t="n"/>
    </row>
    <row r="840">
      <c r="A840" s="47" t="n"/>
      <c r="B840" s="48" t="n"/>
      <c r="C840" s="47" t="n"/>
      <c r="D840" s="47" t="n"/>
      <c r="E840" s="47" t="n"/>
      <c r="F840" s="47" t="n"/>
      <c r="G840" s="47" t="n"/>
      <c r="H840" s="47" t="n"/>
      <c r="I840" s="47" t="n"/>
      <c r="J840" s="47" t="n"/>
      <c r="M840" s="47" t="n"/>
      <c r="N840" s="47" t="n"/>
      <c r="O840" s="47" t="n"/>
      <c r="P840" s="47" t="n"/>
      <c r="Q840" s="47" t="n"/>
      <c r="R840" s="47" t="n"/>
      <c r="S840" s="47" t="n"/>
      <c r="T840" s="47" t="n"/>
      <c r="U840" s="47" t="n"/>
      <c r="V840" s="47" t="n"/>
      <c r="W840" s="47" t="n"/>
      <c r="X840" s="47" t="n"/>
      <c r="Y840" s="47" t="n"/>
      <c r="Z840" s="47" t="n"/>
    </row>
    <row r="841">
      <c r="A841" s="47" t="n"/>
      <c r="B841" s="48" t="n"/>
      <c r="C841" s="47" t="n"/>
      <c r="D841" s="47" t="n"/>
      <c r="E841" s="47" t="n"/>
      <c r="F841" s="47" t="n"/>
      <c r="G841" s="47" t="n"/>
      <c r="H841" s="47" t="n"/>
      <c r="I841" s="47" t="n"/>
      <c r="J841" s="47" t="n"/>
      <c r="M841" s="47" t="n"/>
      <c r="N841" s="47" t="n"/>
      <c r="O841" s="47" t="n"/>
      <c r="P841" s="47" t="n"/>
      <c r="Q841" s="47" t="n"/>
      <c r="R841" s="47" t="n"/>
      <c r="S841" s="47" t="n"/>
      <c r="T841" s="47" t="n"/>
      <c r="U841" s="47" t="n"/>
      <c r="V841" s="47" t="n"/>
      <c r="W841" s="47" t="n"/>
      <c r="X841" s="47" t="n"/>
      <c r="Y841" s="47" t="n"/>
      <c r="Z841" s="47" t="n"/>
    </row>
    <row r="842">
      <c r="A842" s="47" t="n"/>
      <c r="B842" s="48" t="n"/>
      <c r="C842" s="47" t="n"/>
      <c r="D842" s="47" t="n"/>
      <c r="E842" s="47" t="n"/>
      <c r="F842" s="47" t="n"/>
      <c r="G842" s="47" t="n"/>
      <c r="H842" s="47" t="n"/>
      <c r="I842" s="47" t="n"/>
      <c r="J842" s="47" t="n"/>
      <c r="M842" s="47" t="n"/>
      <c r="N842" s="47" t="n"/>
      <c r="O842" s="47" t="n"/>
      <c r="P842" s="47" t="n"/>
      <c r="Q842" s="47" t="n"/>
      <c r="R842" s="47" t="n"/>
      <c r="S842" s="47" t="n"/>
      <c r="T842" s="47" t="n"/>
      <c r="U842" s="47" t="n"/>
      <c r="V842" s="47" t="n"/>
      <c r="W842" s="47" t="n"/>
      <c r="X842" s="47" t="n"/>
      <c r="Y842" s="47" t="n"/>
      <c r="Z842" s="47" t="n"/>
    </row>
    <row r="843">
      <c r="A843" s="47" t="n"/>
      <c r="B843" s="48" t="n"/>
      <c r="C843" s="47" t="n"/>
      <c r="D843" s="47" t="n"/>
      <c r="E843" s="47" t="n"/>
      <c r="F843" s="47" t="n"/>
      <c r="G843" s="47" t="n"/>
      <c r="H843" s="47" t="n"/>
      <c r="I843" s="47" t="n"/>
      <c r="J843" s="47" t="n"/>
      <c r="M843" s="47" t="n"/>
      <c r="N843" s="47" t="n"/>
      <c r="O843" s="47" t="n"/>
      <c r="P843" s="47" t="n"/>
      <c r="Q843" s="47" t="n"/>
      <c r="R843" s="47" t="n"/>
      <c r="S843" s="47" t="n"/>
      <c r="T843" s="47" t="n"/>
      <c r="U843" s="47" t="n"/>
      <c r="V843" s="47" t="n"/>
      <c r="W843" s="47" t="n"/>
      <c r="X843" s="47" t="n"/>
      <c r="Y843" s="47" t="n"/>
      <c r="Z843" s="47" t="n"/>
    </row>
    <row r="844">
      <c r="A844" s="47" t="n"/>
      <c r="B844" s="48" t="n"/>
      <c r="C844" s="47" t="n"/>
      <c r="D844" s="47" t="n"/>
      <c r="E844" s="47" t="n"/>
      <c r="F844" s="47" t="n"/>
      <c r="G844" s="47" t="n"/>
      <c r="H844" s="47" t="n"/>
      <c r="I844" s="47" t="n"/>
      <c r="J844" s="47" t="n"/>
      <c r="M844" s="47" t="n"/>
      <c r="N844" s="47" t="n"/>
      <c r="O844" s="47" t="n"/>
      <c r="P844" s="47" t="n"/>
      <c r="Q844" s="47" t="n"/>
      <c r="R844" s="47" t="n"/>
      <c r="S844" s="47" t="n"/>
      <c r="T844" s="47" t="n"/>
      <c r="U844" s="47" t="n"/>
      <c r="V844" s="47" t="n"/>
      <c r="W844" s="47" t="n"/>
      <c r="X844" s="47" t="n"/>
      <c r="Y844" s="47" t="n"/>
      <c r="Z844" s="47" t="n"/>
    </row>
    <row r="845">
      <c r="A845" s="47" t="n"/>
      <c r="B845" s="48" t="n"/>
      <c r="C845" s="47" t="n"/>
      <c r="D845" s="47" t="n"/>
      <c r="E845" s="47" t="n"/>
      <c r="F845" s="47" t="n"/>
      <c r="G845" s="47" t="n"/>
      <c r="H845" s="47" t="n"/>
      <c r="I845" s="47" t="n"/>
      <c r="J845" s="47" t="n"/>
      <c r="M845" s="47" t="n"/>
      <c r="N845" s="47" t="n"/>
      <c r="O845" s="47" t="n"/>
      <c r="P845" s="47" t="n"/>
      <c r="Q845" s="47" t="n"/>
      <c r="R845" s="47" t="n"/>
      <c r="S845" s="47" t="n"/>
      <c r="T845" s="47" t="n"/>
      <c r="U845" s="47" t="n"/>
      <c r="V845" s="47" t="n"/>
      <c r="W845" s="47" t="n"/>
      <c r="X845" s="47" t="n"/>
      <c r="Y845" s="47" t="n"/>
      <c r="Z845" s="47" t="n"/>
    </row>
    <row r="846">
      <c r="A846" s="47" t="n"/>
      <c r="B846" s="48" t="n"/>
      <c r="C846" s="47" t="n"/>
      <c r="D846" s="47" t="n"/>
      <c r="E846" s="47" t="n"/>
      <c r="F846" s="47" t="n"/>
      <c r="G846" s="47" t="n"/>
      <c r="H846" s="47" t="n"/>
      <c r="I846" s="47" t="n"/>
      <c r="J846" s="47" t="n"/>
      <c r="M846" s="47" t="n"/>
      <c r="N846" s="47" t="n"/>
      <c r="O846" s="47" t="n"/>
      <c r="P846" s="47" t="n"/>
      <c r="Q846" s="47" t="n"/>
      <c r="R846" s="47" t="n"/>
      <c r="S846" s="47" t="n"/>
      <c r="T846" s="47" t="n"/>
      <c r="U846" s="47" t="n"/>
      <c r="V846" s="47" t="n"/>
      <c r="W846" s="47" t="n"/>
      <c r="X846" s="47" t="n"/>
      <c r="Y846" s="47" t="n"/>
      <c r="Z846" s="47" t="n"/>
    </row>
    <row r="847">
      <c r="A847" s="47" t="n"/>
      <c r="B847" s="48" t="n"/>
      <c r="C847" s="47" t="n"/>
      <c r="D847" s="47" t="n"/>
      <c r="E847" s="47" t="n"/>
      <c r="F847" s="47" t="n"/>
      <c r="G847" s="47" t="n"/>
      <c r="H847" s="47" t="n"/>
      <c r="I847" s="47" t="n"/>
      <c r="J847" s="47" t="n"/>
      <c r="M847" s="47" t="n"/>
      <c r="N847" s="47" t="n"/>
      <c r="O847" s="47" t="n"/>
      <c r="P847" s="47" t="n"/>
      <c r="Q847" s="47" t="n"/>
      <c r="R847" s="47" t="n"/>
      <c r="S847" s="47" t="n"/>
      <c r="T847" s="47" t="n"/>
      <c r="U847" s="47" t="n"/>
      <c r="V847" s="47" t="n"/>
      <c r="W847" s="47" t="n"/>
      <c r="X847" s="47" t="n"/>
      <c r="Y847" s="47" t="n"/>
      <c r="Z847" s="47" t="n"/>
    </row>
    <row r="848">
      <c r="A848" s="47" t="n"/>
      <c r="B848" s="48" t="n"/>
      <c r="C848" s="47" t="n"/>
      <c r="D848" s="47" t="n"/>
      <c r="E848" s="47" t="n"/>
      <c r="F848" s="47" t="n"/>
      <c r="G848" s="47" t="n"/>
      <c r="H848" s="47" t="n"/>
      <c r="I848" s="47" t="n"/>
      <c r="J848" s="47" t="n"/>
      <c r="M848" s="47" t="n"/>
      <c r="N848" s="47" t="n"/>
      <c r="O848" s="47" t="n"/>
      <c r="P848" s="47" t="n"/>
      <c r="Q848" s="47" t="n"/>
      <c r="R848" s="47" t="n"/>
      <c r="S848" s="47" t="n"/>
      <c r="T848" s="47" t="n"/>
      <c r="U848" s="47" t="n"/>
      <c r="V848" s="47" t="n"/>
      <c r="W848" s="47" t="n"/>
      <c r="X848" s="47" t="n"/>
      <c r="Y848" s="47" t="n"/>
      <c r="Z848" s="47" t="n"/>
    </row>
    <row r="849">
      <c r="A849" s="47" t="n"/>
      <c r="B849" s="48" t="n"/>
      <c r="C849" s="47" t="n"/>
      <c r="D849" s="47" t="n"/>
      <c r="E849" s="47" t="n"/>
      <c r="F849" s="47" t="n"/>
      <c r="G849" s="47" t="n"/>
      <c r="H849" s="47" t="n"/>
      <c r="I849" s="47" t="n"/>
      <c r="J849" s="47" t="n"/>
      <c r="M849" s="47" t="n"/>
      <c r="N849" s="47" t="n"/>
      <c r="O849" s="47" t="n"/>
      <c r="P849" s="47" t="n"/>
      <c r="Q849" s="47" t="n"/>
      <c r="R849" s="47" t="n"/>
      <c r="S849" s="47" t="n"/>
      <c r="T849" s="47" t="n"/>
      <c r="U849" s="47" t="n"/>
      <c r="V849" s="47" t="n"/>
      <c r="W849" s="47" t="n"/>
      <c r="X849" s="47" t="n"/>
      <c r="Y849" s="47" t="n"/>
      <c r="Z849" s="47" t="n"/>
    </row>
    <row r="850">
      <c r="A850" s="47" t="n"/>
      <c r="B850" s="48" t="n"/>
      <c r="C850" s="47" t="n"/>
      <c r="D850" s="47" t="n"/>
      <c r="E850" s="47" t="n"/>
      <c r="F850" s="47" t="n"/>
      <c r="G850" s="47" t="n"/>
      <c r="H850" s="47" t="n"/>
      <c r="I850" s="47" t="n"/>
      <c r="J850" s="47" t="n"/>
      <c r="M850" s="47" t="n"/>
      <c r="N850" s="47" t="n"/>
      <c r="O850" s="47" t="n"/>
      <c r="P850" s="47" t="n"/>
      <c r="Q850" s="47" t="n"/>
      <c r="R850" s="47" t="n"/>
      <c r="S850" s="47" t="n"/>
      <c r="T850" s="47" t="n"/>
      <c r="U850" s="47" t="n"/>
      <c r="V850" s="47" t="n"/>
      <c r="W850" s="47" t="n"/>
      <c r="X850" s="47" t="n"/>
      <c r="Y850" s="47" t="n"/>
      <c r="Z850" s="47" t="n"/>
    </row>
    <row r="851">
      <c r="A851" s="47" t="n"/>
      <c r="B851" s="48" t="n"/>
      <c r="C851" s="47" t="n"/>
      <c r="D851" s="47" t="n"/>
      <c r="E851" s="47" t="n"/>
      <c r="F851" s="47" t="n"/>
      <c r="G851" s="47" t="n"/>
      <c r="H851" s="47" t="n"/>
      <c r="I851" s="47" t="n"/>
      <c r="J851" s="47" t="n"/>
      <c r="M851" s="47" t="n"/>
      <c r="N851" s="47" t="n"/>
      <c r="O851" s="47" t="n"/>
      <c r="P851" s="47" t="n"/>
      <c r="Q851" s="47" t="n"/>
      <c r="R851" s="47" t="n"/>
      <c r="S851" s="47" t="n"/>
      <c r="T851" s="47" t="n"/>
      <c r="U851" s="47" t="n"/>
      <c r="V851" s="47" t="n"/>
      <c r="W851" s="47" t="n"/>
      <c r="X851" s="47" t="n"/>
      <c r="Y851" s="47" t="n"/>
      <c r="Z851" s="47" t="n"/>
    </row>
    <row r="852">
      <c r="A852" s="47" t="n"/>
      <c r="B852" s="48" t="n"/>
      <c r="C852" s="47" t="n"/>
      <c r="D852" s="47" t="n"/>
      <c r="E852" s="47" t="n"/>
      <c r="F852" s="47" t="n"/>
      <c r="G852" s="47" t="n"/>
      <c r="H852" s="47" t="n"/>
      <c r="I852" s="47" t="n"/>
      <c r="J852" s="47" t="n"/>
      <c r="M852" s="47" t="n"/>
      <c r="N852" s="47" t="n"/>
      <c r="O852" s="47" t="n"/>
      <c r="P852" s="47" t="n"/>
      <c r="Q852" s="47" t="n"/>
      <c r="R852" s="47" t="n"/>
      <c r="S852" s="47" t="n"/>
      <c r="T852" s="47" t="n"/>
      <c r="U852" s="47" t="n"/>
      <c r="V852" s="47" t="n"/>
      <c r="W852" s="47" t="n"/>
      <c r="X852" s="47" t="n"/>
      <c r="Y852" s="47" t="n"/>
      <c r="Z852" s="47" t="n"/>
    </row>
    <row r="853">
      <c r="A853" s="47" t="n"/>
      <c r="B853" s="48" t="n"/>
      <c r="C853" s="47" t="n"/>
      <c r="D853" s="47" t="n"/>
      <c r="E853" s="47" t="n"/>
      <c r="F853" s="47" t="n"/>
      <c r="G853" s="47" t="n"/>
      <c r="H853" s="47" t="n"/>
      <c r="I853" s="47" t="n"/>
      <c r="J853" s="47" t="n"/>
      <c r="M853" s="47" t="n"/>
      <c r="N853" s="47" t="n"/>
      <c r="O853" s="47" t="n"/>
      <c r="P853" s="47" t="n"/>
      <c r="Q853" s="47" t="n"/>
      <c r="R853" s="47" t="n"/>
      <c r="S853" s="47" t="n"/>
      <c r="T853" s="47" t="n"/>
      <c r="U853" s="47" t="n"/>
      <c r="V853" s="47" t="n"/>
      <c r="W853" s="47" t="n"/>
      <c r="X853" s="47" t="n"/>
      <c r="Y853" s="47" t="n"/>
      <c r="Z853" s="47" t="n"/>
    </row>
    <row r="854">
      <c r="A854" s="47" t="n"/>
      <c r="B854" s="48" t="n"/>
      <c r="C854" s="47" t="n"/>
      <c r="D854" s="47" t="n"/>
      <c r="E854" s="47" t="n"/>
      <c r="F854" s="47" t="n"/>
      <c r="G854" s="47" t="n"/>
      <c r="H854" s="47" t="n"/>
      <c r="I854" s="47" t="n"/>
      <c r="J854" s="47" t="n"/>
      <c r="M854" s="47" t="n"/>
      <c r="N854" s="47" t="n"/>
      <c r="O854" s="47" t="n"/>
      <c r="P854" s="47" t="n"/>
      <c r="Q854" s="47" t="n"/>
      <c r="R854" s="47" t="n"/>
      <c r="S854" s="47" t="n"/>
      <c r="T854" s="47" t="n"/>
      <c r="U854" s="47" t="n"/>
      <c r="V854" s="47" t="n"/>
      <c r="W854" s="47" t="n"/>
      <c r="X854" s="47" t="n"/>
      <c r="Y854" s="47" t="n"/>
      <c r="Z854" s="47" t="n"/>
    </row>
    <row r="855">
      <c r="A855" s="47" t="n"/>
      <c r="B855" s="48" t="n"/>
      <c r="C855" s="47" t="n"/>
      <c r="D855" s="47" t="n"/>
      <c r="E855" s="47" t="n"/>
      <c r="F855" s="47" t="n"/>
      <c r="G855" s="47" t="n"/>
      <c r="H855" s="47" t="n"/>
      <c r="I855" s="47" t="n"/>
      <c r="J855" s="47" t="n"/>
      <c r="M855" s="47" t="n"/>
      <c r="N855" s="47" t="n"/>
      <c r="O855" s="47" t="n"/>
      <c r="P855" s="47" t="n"/>
      <c r="Q855" s="47" t="n"/>
      <c r="R855" s="47" t="n"/>
      <c r="S855" s="47" t="n"/>
      <c r="T855" s="47" t="n"/>
      <c r="U855" s="47" t="n"/>
      <c r="V855" s="47" t="n"/>
      <c r="W855" s="47" t="n"/>
      <c r="X855" s="47" t="n"/>
      <c r="Y855" s="47" t="n"/>
      <c r="Z855" s="47" t="n"/>
    </row>
    <row r="856">
      <c r="A856" s="47" t="n"/>
      <c r="B856" s="48" t="n"/>
      <c r="C856" s="47" t="n"/>
      <c r="D856" s="47" t="n"/>
      <c r="E856" s="47" t="n"/>
      <c r="F856" s="47" t="n"/>
      <c r="G856" s="47" t="n"/>
      <c r="H856" s="47" t="n"/>
      <c r="I856" s="47" t="n"/>
      <c r="J856" s="47" t="n"/>
      <c r="M856" s="47" t="n"/>
      <c r="N856" s="47" t="n"/>
      <c r="O856" s="47" t="n"/>
      <c r="P856" s="47" t="n"/>
      <c r="Q856" s="47" t="n"/>
      <c r="R856" s="47" t="n"/>
      <c r="S856" s="47" t="n"/>
      <c r="T856" s="47" t="n"/>
      <c r="U856" s="47" t="n"/>
      <c r="V856" s="47" t="n"/>
      <c r="W856" s="47" t="n"/>
      <c r="X856" s="47" t="n"/>
      <c r="Y856" s="47" t="n"/>
      <c r="Z856" s="47" t="n"/>
    </row>
    <row r="857">
      <c r="A857" s="47" t="n"/>
      <c r="B857" s="48" t="n"/>
      <c r="C857" s="47" t="n"/>
      <c r="D857" s="47" t="n"/>
      <c r="E857" s="47" t="n"/>
      <c r="F857" s="47" t="n"/>
      <c r="G857" s="47" t="n"/>
      <c r="H857" s="47" t="n"/>
      <c r="I857" s="47" t="n"/>
      <c r="J857" s="47" t="n"/>
      <c r="M857" s="47" t="n"/>
      <c r="N857" s="47" t="n"/>
      <c r="O857" s="47" t="n"/>
      <c r="P857" s="47" t="n"/>
      <c r="Q857" s="47" t="n"/>
      <c r="R857" s="47" t="n"/>
      <c r="S857" s="47" t="n"/>
      <c r="T857" s="47" t="n"/>
      <c r="U857" s="47" t="n"/>
      <c r="V857" s="47" t="n"/>
      <c r="W857" s="47" t="n"/>
      <c r="X857" s="47" t="n"/>
      <c r="Y857" s="47" t="n"/>
      <c r="Z857" s="47" t="n"/>
    </row>
    <row r="858">
      <c r="A858" s="47" t="n"/>
      <c r="B858" s="48" t="n"/>
      <c r="C858" s="47" t="n"/>
      <c r="D858" s="47" t="n"/>
      <c r="E858" s="47" t="n"/>
      <c r="F858" s="47" t="n"/>
      <c r="G858" s="47" t="n"/>
      <c r="H858" s="47" t="n"/>
      <c r="I858" s="47" t="n"/>
      <c r="J858" s="47" t="n"/>
      <c r="M858" s="47" t="n"/>
      <c r="N858" s="47" t="n"/>
      <c r="O858" s="47" t="n"/>
      <c r="P858" s="47" t="n"/>
      <c r="Q858" s="47" t="n"/>
      <c r="R858" s="47" t="n"/>
      <c r="S858" s="47" t="n"/>
      <c r="T858" s="47" t="n"/>
      <c r="U858" s="47" t="n"/>
      <c r="V858" s="47" t="n"/>
      <c r="W858" s="47" t="n"/>
      <c r="X858" s="47" t="n"/>
      <c r="Y858" s="47" t="n"/>
      <c r="Z858" s="47" t="n"/>
    </row>
    <row r="859">
      <c r="A859" s="47" t="n"/>
      <c r="B859" s="48" t="n"/>
      <c r="C859" s="47" t="n"/>
      <c r="D859" s="47" t="n"/>
      <c r="E859" s="47" t="n"/>
      <c r="F859" s="47" t="n"/>
      <c r="G859" s="47" t="n"/>
      <c r="H859" s="47" t="n"/>
      <c r="I859" s="47" t="n"/>
      <c r="J859" s="47" t="n"/>
      <c r="M859" s="47" t="n"/>
      <c r="N859" s="47" t="n"/>
      <c r="O859" s="47" t="n"/>
      <c r="P859" s="47" t="n"/>
      <c r="Q859" s="47" t="n"/>
      <c r="R859" s="47" t="n"/>
      <c r="S859" s="47" t="n"/>
      <c r="T859" s="47" t="n"/>
      <c r="U859" s="47" t="n"/>
      <c r="V859" s="47" t="n"/>
      <c r="W859" s="47" t="n"/>
      <c r="X859" s="47" t="n"/>
      <c r="Y859" s="47" t="n"/>
      <c r="Z859" s="47" t="n"/>
    </row>
    <row r="860">
      <c r="A860" s="47" t="n"/>
      <c r="B860" s="48" t="n"/>
      <c r="C860" s="47" t="n"/>
      <c r="D860" s="47" t="n"/>
      <c r="E860" s="47" t="n"/>
      <c r="F860" s="47" t="n"/>
      <c r="G860" s="47" t="n"/>
      <c r="H860" s="47" t="n"/>
      <c r="I860" s="47" t="n"/>
      <c r="J860" s="47" t="n"/>
      <c r="M860" s="47" t="n"/>
      <c r="N860" s="47" t="n"/>
      <c r="O860" s="47" t="n"/>
      <c r="P860" s="47" t="n"/>
      <c r="Q860" s="47" t="n"/>
      <c r="R860" s="47" t="n"/>
      <c r="S860" s="47" t="n"/>
      <c r="T860" s="47" t="n"/>
      <c r="U860" s="47" t="n"/>
      <c r="V860" s="47" t="n"/>
      <c r="W860" s="47" t="n"/>
      <c r="X860" s="47" t="n"/>
      <c r="Y860" s="47" t="n"/>
      <c r="Z860" s="47" t="n"/>
    </row>
    <row r="861">
      <c r="A861" s="47" t="n"/>
      <c r="B861" s="48" t="n"/>
      <c r="C861" s="47" t="n"/>
      <c r="D861" s="47" t="n"/>
      <c r="E861" s="47" t="n"/>
      <c r="F861" s="47" t="n"/>
      <c r="G861" s="47" t="n"/>
      <c r="H861" s="47" t="n"/>
      <c r="I861" s="47" t="n"/>
      <c r="J861" s="47" t="n"/>
      <c r="M861" s="47" t="n"/>
      <c r="N861" s="47" t="n"/>
      <c r="O861" s="47" t="n"/>
      <c r="P861" s="47" t="n"/>
      <c r="Q861" s="47" t="n"/>
      <c r="R861" s="47" t="n"/>
      <c r="S861" s="47" t="n"/>
      <c r="T861" s="47" t="n"/>
      <c r="U861" s="47" t="n"/>
      <c r="V861" s="47" t="n"/>
      <c r="W861" s="47" t="n"/>
      <c r="X861" s="47" t="n"/>
      <c r="Y861" s="47" t="n"/>
      <c r="Z861" s="47" t="n"/>
    </row>
    <row r="862">
      <c r="A862" s="47" t="n"/>
      <c r="B862" s="48" t="n"/>
      <c r="C862" s="47" t="n"/>
      <c r="D862" s="47" t="n"/>
      <c r="E862" s="47" t="n"/>
      <c r="F862" s="47" t="n"/>
      <c r="G862" s="47" t="n"/>
      <c r="H862" s="47" t="n"/>
      <c r="I862" s="47" t="n"/>
      <c r="J862" s="47" t="n"/>
      <c r="M862" s="47" t="n"/>
      <c r="N862" s="47" t="n"/>
      <c r="O862" s="47" t="n"/>
      <c r="P862" s="47" t="n"/>
      <c r="Q862" s="47" t="n"/>
      <c r="R862" s="47" t="n"/>
      <c r="S862" s="47" t="n"/>
      <c r="T862" s="47" t="n"/>
      <c r="U862" s="47" t="n"/>
      <c r="V862" s="47" t="n"/>
      <c r="W862" s="47" t="n"/>
      <c r="X862" s="47" t="n"/>
      <c r="Y862" s="47" t="n"/>
      <c r="Z862" s="47" t="n"/>
    </row>
    <row r="863">
      <c r="A863" s="47" t="n"/>
      <c r="B863" s="48" t="n"/>
      <c r="C863" s="47" t="n"/>
      <c r="D863" s="47" t="n"/>
      <c r="E863" s="47" t="n"/>
      <c r="F863" s="47" t="n"/>
      <c r="G863" s="47" t="n"/>
      <c r="H863" s="47" t="n"/>
      <c r="I863" s="47" t="n"/>
      <c r="J863" s="47" t="n"/>
      <c r="M863" s="47" t="n"/>
      <c r="N863" s="47" t="n"/>
      <c r="O863" s="47" t="n"/>
      <c r="P863" s="47" t="n"/>
      <c r="Q863" s="47" t="n"/>
      <c r="R863" s="47" t="n"/>
      <c r="S863" s="47" t="n"/>
      <c r="T863" s="47" t="n"/>
      <c r="U863" s="47" t="n"/>
      <c r="V863" s="47" t="n"/>
      <c r="W863" s="47" t="n"/>
      <c r="X863" s="47" t="n"/>
      <c r="Y863" s="47" t="n"/>
      <c r="Z863" s="47" t="n"/>
    </row>
    <row r="864">
      <c r="A864" s="47" t="n"/>
      <c r="B864" s="48" t="n"/>
      <c r="C864" s="47" t="n"/>
      <c r="D864" s="47" t="n"/>
      <c r="E864" s="47" t="n"/>
      <c r="F864" s="47" t="n"/>
      <c r="G864" s="47" t="n"/>
      <c r="H864" s="47" t="n"/>
      <c r="I864" s="47" t="n"/>
      <c r="J864" s="47" t="n"/>
      <c r="M864" s="47" t="n"/>
      <c r="N864" s="47" t="n"/>
      <c r="O864" s="47" t="n"/>
      <c r="P864" s="47" t="n"/>
      <c r="Q864" s="47" t="n"/>
      <c r="R864" s="47" t="n"/>
      <c r="S864" s="47" t="n"/>
      <c r="T864" s="47" t="n"/>
      <c r="U864" s="47" t="n"/>
      <c r="V864" s="47" t="n"/>
      <c r="W864" s="47" t="n"/>
      <c r="X864" s="47" t="n"/>
      <c r="Y864" s="47" t="n"/>
      <c r="Z864" s="47" t="n"/>
    </row>
    <row r="865">
      <c r="A865" s="47" t="n"/>
      <c r="B865" s="48" t="n"/>
      <c r="C865" s="47" t="n"/>
      <c r="D865" s="47" t="n"/>
      <c r="E865" s="47" t="n"/>
      <c r="F865" s="47" t="n"/>
      <c r="G865" s="47" t="n"/>
      <c r="H865" s="47" t="n"/>
      <c r="I865" s="47" t="n"/>
      <c r="J865" s="47" t="n"/>
      <c r="M865" s="47" t="n"/>
      <c r="N865" s="47" t="n"/>
      <c r="O865" s="47" t="n"/>
      <c r="P865" s="47" t="n"/>
      <c r="Q865" s="47" t="n"/>
      <c r="R865" s="47" t="n"/>
      <c r="S865" s="47" t="n"/>
      <c r="T865" s="47" t="n"/>
      <c r="U865" s="47" t="n"/>
      <c r="V865" s="47" t="n"/>
      <c r="W865" s="47" t="n"/>
      <c r="X865" s="47" t="n"/>
      <c r="Y865" s="47" t="n"/>
      <c r="Z865" s="47" t="n"/>
    </row>
    <row r="866">
      <c r="A866" s="47" t="n"/>
      <c r="B866" s="48" t="n"/>
      <c r="C866" s="47" t="n"/>
      <c r="D866" s="47" t="n"/>
      <c r="E866" s="47" t="n"/>
      <c r="F866" s="47" t="n"/>
      <c r="G866" s="47" t="n"/>
      <c r="H866" s="47" t="n"/>
      <c r="I866" s="47" t="n"/>
      <c r="J866" s="47" t="n"/>
      <c r="M866" s="47" t="n"/>
      <c r="N866" s="47" t="n"/>
      <c r="O866" s="47" t="n"/>
      <c r="P866" s="47" t="n"/>
      <c r="Q866" s="47" t="n"/>
      <c r="R866" s="47" t="n"/>
      <c r="S866" s="47" t="n"/>
      <c r="T866" s="47" t="n"/>
      <c r="U866" s="47" t="n"/>
      <c r="V866" s="47" t="n"/>
      <c r="W866" s="47" t="n"/>
      <c r="X866" s="47" t="n"/>
      <c r="Y866" s="47" t="n"/>
      <c r="Z866" s="47" t="n"/>
    </row>
    <row r="867">
      <c r="A867" s="47" t="n"/>
      <c r="B867" s="48" t="n"/>
      <c r="C867" s="47" t="n"/>
      <c r="D867" s="47" t="n"/>
      <c r="E867" s="47" t="n"/>
      <c r="F867" s="47" t="n"/>
      <c r="G867" s="47" t="n"/>
      <c r="H867" s="47" t="n"/>
      <c r="I867" s="47" t="n"/>
      <c r="J867" s="47" t="n"/>
      <c r="M867" s="47" t="n"/>
      <c r="N867" s="47" t="n"/>
      <c r="O867" s="47" t="n"/>
      <c r="P867" s="47" t="n"/>
      <c r="Q867" s="47" t="n"/>
      <c r="R867" s="47" t="n"/>
      <c r="S867" s="47" t="n"/>
      <c r="T867" s="47" t="n"/>
      <c r="U867" s="47" t="n"/>
      <c r="V867" s="47" t="n"/>
      <c r="W867" s="47" t="n"/>
      <c r="X867" s="47" t="n"/>
      <c r="Y867" s="47" t="n"/>
      <c r="Z867" s="47" t="n"/>
    </row>
    <row r="868">
      <c r="A868" s="47" t="n"/>
      <c r="B868" s="48" t="n"/>
      <c r="C868" s="47" t="n"/>
      <c r="D868" s="47" t="n"/>
      <c r="E868" s="47" t="n"/>
      <c r="F868" s="47" t="n"/>
      <c r="G868" s="47" t="n"/>
      <c r="H868" s="47" t="n"/>
      <c r="I868" s="47" t="n"/>
      <c r="J868" s="47" t="n"/>
      <c r="M868" s="47" t="n"/>
      <c r="N868" s="47" t="n"/>
      <c r="O868" s="47" t="n"/>
      <c r="P868" s="47" t="n"/>
      <c r="Q868" s="47" t="n"/>
      <c r="R868" s="47" t="n"/>
      <c r="S868" s="47" t="n"/>
      <c r="T868" s="47" t="n"/>
      <c r="U868" s="47" t="n"/>
      <c r="V868" s="47" t="n"/>
      <c r="W868" s="47" t="n"/>
      <c r="X868" s="47" t="n"/>
      <c r="Y868" s="47" t="n"/>
      <c r="Z868" s="47" t="n"/>
    </row>
    <row r="869">
      <c r="A869" s="47" t="n"/>
      <c r="B869" s="48" t="n"/>
      <c r="C869" s="47" t="n"/>
      <c r="D869" s="47" t="n"/>
      <c r="E869" s="47" t="n"/>
      <c r="F869" s="47" t="n"/>
      <c r="G869" s="47" t="n"/>
      <c r="H869" s="47" t="n"/>
      <c r="I869" s="47" t="n"/>
      <c r="J869" s="47" t="n"/>
      <c r="M869" s="47" t="n"/>
      <c r="N869" s="47" t="n"/>
      <c r="O869" s="47" t="n"/>
      <c r="P869" s="47" t="n"/>
      <c r="Q869" s="47" t="n"/>
      <c r="R869" s="47" t="n"/>
      <c r="S869" s="47" t="n"/>
      <c r="T869" s="47" t="n"/>
      <c r="U869" s="47" t="n"/>
      <c r="V869" s="47" t="n"/>
      <c r="W869" s="47" t="n"/>
      <c r="X869" s="47" t="n"/>
      <c r="Y869" s="47" t="n"/>
      <c r="Z869" s="47" t="n"/>
    </row>
    <row r="870">
      <c r="A870" s="47" t="n"/>
      <c r="B870" s="48" t="n"/>
      <c r="C870" s="47" t="n"/>
      <c r="D870" s="47" t="n"/>
      <c r="E870" s="47" t="n"/>
      <c r="F870" s="47" t="n"/>
      <c r="G870" s="47" t="n"/>
      <c r="H870" s="47" t="n"/>
      <c r="I870" s="47" t="n"/>
      <c r="J870" s="47" t="n"/>
      <c r="M870" s="47" t="n"/>
      <c r="N870" s="47" t="n"/>
      <c r="O870" s="47" t="n"/>
      <c r="P870" s="47" t="n"/>
      <c r="Q870" s="47" t="n"/>
      <c r="R870" s="47" t="n"/>
      <c r="S870" s="47" t="n"/>
      <c r="T870" s="47" t="n"/>
      <c r="U870" s="47" t="n"/>
      <c r="V870" s="47" t="n"/>
      <c r="W870" s="47" t="n"/>
      <c r="X870" s="47" t="n"/>
      <c r="Y870" s="47" t="n"/>
      <c r="Z870" s="47" t="n"/>
    </row>
    <row r="871">
      <c r="A871" s="47" t="n"/>
      <c r="B871" s="48" t="n"/>
      <c r="C871" s="47" t="n"/>
      <c r="D871" s="47" t="n"/>
      <c r="E871" s="47" t="n"/>
      <c r="F871" s="47" t="n"/>
      <c r="G871" s="47" t="n"/>
      <c r="H871" s="47" t="n"/>
      <c r="I871" s="47" t="n"/>
      <c r="J871" s="47" t="n"/>
      <c r="M871" s="47" t="n"/>
      <c r="N871" s="47" t="n"/>
      <c r="O871" s="47" t="n"/>
      <c r="P871" s="47" t="n"/>
      <c r="Q871" s="47" t="n"/>
      <c r="R871" s="47" t="n"/>
      <c r="S871" s="47" t="n"/>
      <c r="T871" s="47" t="n"/>
      <c r="U871" s="47" t="n"/>
      <c r="V871" s="47" t="n"/>
      <c r="W871" s="47" t="n"/>
      <c r="X871" s="47" t="n"/>
      <c r="Y871" s="47" t="n"/>
      <c r="Z871" s="47" t="n"/>
    </row>
    <row r="872">
      <c r="A872" s="47" t="n"/>
      <c r="B872" s="48" t="n"/>
      <c r="C872" s="47" t="n"/>
      <c r="D872" s="47" t="n"/>
      <c r="E872" s="47" t="n"/>
      <c r="F872" s="47" t="n"/>
      <c r="G872" s="47" t="n"/>
      <c r="H872" s="47" t="n"/>
      <c r="I872" s="47" t="n"/>
      <c r="J872" s="47" t="n"/>
      <c r="M872" s="47" t="n"/>
      <c r="N872" s="47" t="n"/>
      <c r="O872" s="47" t="n"/>
      <c r="P872" s="47" t="n"/>
      <c r="Q872" s="47" t="n"/>
      <c r="R872" s="47" t="n"/>
      <c r="S872" s="47" t="n"/>
      <c r="T872" s="47" t="n"/>
      <c r="U872" s="47" t="n"/>
      <c r="V872" s="47" t="n"/>
      <c r="W872" s="47" t="n"/>
      <c r="X872" s="47" t="n"/>
      <c r="Y872" s="47" t="n"/>
      <c r="Z872" s="47" t="n"/>
    </row>
    <row r="873">
      <c r="A873" s="47" t="n"/>
      <c r="B873" s="48" t="n"/>
      <c r="C873" s="47" t="n"/>
      <c r="D873" s="47" t="n"/>
      <c r="E873" s="47" t="n"/>
      <c r="F873" s="47" t="n"/>
      <c r="G873" s="47" t="n"/>
      <c r="H873" s="47" t="n"/>
      <c r="I873" s="47" t="n"/>
      <c r="J873" s="47" t="n"/>
      <c r="M873" s="47" t="n"/>
      <c r="N873" s="47" t="n"/>
      <c r="O873" s="47" t="n"/>
      <c r="P873" s="47" t="n"/>
      <c r="Q873" s="47" t="n"/>
      <c r="R873" s="47" t="n"/>
      <c r="S873" s="47" t="n"/>
      <c r="T873" s="47" t="n"/>
      <c r="U873" s="47" t="n"/>
      <c r="V873" s="47" t="n"/>
      <c r="W873" s="47" t="n"/>
      <c r="X873" s="47" t="n"/>
      <c r="Y873" s="47" t="n"/>
      <c r="Z873" s="47" t="n"/>
    </row>
    <row r="874">
      <c r="A874" s="47" t="n"/>
      <c r="B874" s="48" t="n"/>
      <c r="C874" s="47" t="n"/>
      <c r="D874" s="47" t="n"/>
      <c r="E874" s="47" t="n"/>
      <c r="F874" s="47" t="n"/>
      <c r="G874" s="47" t="n"/>
      <c r="H874" s="47" t="n"/>
      <c r="I874" s="47" t="n"/>
      <c r="J874" s="47" t="n"/>
      <c r="M874" s="47" t="n"/>
      <c r="N874" s="47" t="n"/>
      <c r="O874" s="47" t="n"/>
      <c r="P874" s="47" t="n"/>
      <c r="Q874" s="47" t="n"/>
      <c r="R874" s="47" t="n"/>
      <c r="S874" s="47" t="n"/>
      <c r="T874" s="47" t="n"/>
      <c r="U874" s="47" t="n"/>
      <c r="V874" s="47" t="n"/>
      <c r="W874" s="47" t="n"/>
      <c r="X874" s="47" t="n"/>
      <c r="Y874" s="47" t="n"/>
      <c r="Z874" s="47" t="n"/>
    </row>
    <row r="875">
      <c r="A875" s="47" t="n"/>
      <c r="B875" s="48" t="n"/>
      <c r="C875" s="47" t="n"/>
      <c r="D875" s="47" t="n"/>
      <c r="E875" s="47" t="n"/>
      <c r="F875" s="47" t="n"/>
      <c r="G875" s="47" t="n"/>
      <c r="H875" s="47" t="n"/>
      <c r="I875" s="47" t="n"/>
      <c r="J875" s="47" t="n"/>
      <c r="M875" s="47" t="n"/>
      <c r="N875" s="47" t="n"/>
      <c r="O875" s="47" t="n"/>
      <c r="P875" s="47" t="n"/>
      <c r="Q875" s="47" t="n"/>
      <c r="R875" s="47" t="n"/>
      <c r="S875" s="47" t="n"/>
      <c r="T875" s="47" t="n"/>
      <c r="U875" s="47" t="n"/>
      <c r="V875" s="47" t="n"/>
      <c r="W875" s="47" t="n"/>
      <c r="X875" s="47" t="n"/>
      <c r="Y875" s="47" t="n"/>
      <c r="Z875" s="47" t="n"/>
    </row>
    <row r="876">
      <c r="A876" s="47" t="n"/>
      <c r="B876" s="48" t="n"/>
      <c r="C876" s="47" t="n"/>
      <c r="D876" s="47" t="n"/>
      <c r="E876" s="47" t="n"/>
      <c r="F876" s="47" t="n"/>
      <c r="G876" s="47" t="n"/>
      <c r="H876" s="47" t="n"/>
      <c r="I876" s="47" t="n"/>
      <c r="J876" s="47" t="n"/>
      <c r="M876" s="47" t="n"/>
      <c r="N876" s="47" t="n"/>
      <c r="O876" s="47" t="n"/>
      <c r="P876" s="47" t="n"/>
      <c r="Q876" s="47" t="n"/>
      <c r="R876" s="47" t="n"/>
      <c r="S876" s="47" t="n"/>
      <c r="T876" s="47" t="n"/>
      <c r="U876" s="47" t="n"/>
      <c r="V876" s="47" t="n"/>
      <c r="W876" s="47" t="n"/>
      <c r="X876" s="47" t="n"/>
      <c r="Y876" s="47" t="n"/>
      <c r="Z876" s="47" t="n"/>
    </row>
    <row r="877">
      <c r="A877" s="47" t="n"/>
      <c r="B877" s="48" t="n"/>
      <c r="C877" s="47" t="n"/>
      <c r="D877" s="47" t="n"/>
      <c r="E877" s="47" t="n"/>
      <c r="F877" s="47" t="n"/>
      <c r="G877" s="47" t="n"/>
      <c r="H877" s="47" t="n"/>
      <c r="I877" s="47" t="n"/>
      <c r="J877" s="47" t="n"/>
      <c r="M877" s="47" t="n"/>
      <c r="N877" s="47" t="n"/>
      <c r="O877" s="47" t="n"/>
      <c r="P877" s="47" t="n"/>
      <c r="Q877" s="47" t="n"/>
      <c r="R877" s="47" t="n"/>
      <c r="S877" s="47" t="n"/>
      <c r="T877" s="47" t="n"/>
      <c r="U877" s="47" t="n"/>
      <c r="V877" s="47" t="n"/>
      <c r="W877" s="47" t="n"/>
      <c r="X877" s="47" t="n"/>
      <c r="Y877" s="47" t="n"/>
      <c r="Z877" s="47" t="n"/>
    </row>
    <row r="878">
      <c r="A878" s="47" t="n"/>
      <c r="B878" s="48" t="n"/>
      <c r="C878" s="47" t="n"/>
      <c r="D878" s="47" t="n"/>
      <c r="E878" s="47" t="n"/>
      <c r="F878" s="47" t="n"/>
      <c r="G878" s="47" t="n"/>
      <c r="H878" s="47" t="n"/>
      <c r="I878" s="47" t="n"/>
      <c r="J878" s="47" t="n"/>
      <c r="M878" s="47" t="n"/>
      <c r="N878" s="47" t="n"/>
      <c r="O878" s="47" t="n"/>
      <c r="P878" s="47" t="n"/>
      <c r="Q878" s="47" t="n"/>
      <c r="R878" s="47" t="n"/>
      <c r="S878" s="47" t="n"/>
      <c r="T878" s="47" t="n"/>
      <c r="U878" s="47" t="n"/>
      <c r="V878" s="47" t="n"/>
      <c r="W878" s="47" t="n"/>
      <c r="X878" s="47" t="n"/>
      <c r="Y878" s="47" t="n"/>
      <c r="Z878" s="47" t="n"/>
    </row>
    <row r="879">
      <c r="A879" s="47" t="n"/>
      <c r="B879" s="48" t="n"/>
      <c r="C879" s="47" t="n"/>
      <c r="D879" s="47" t="n"/>
      <c r="E879" s="47" t="n"/>
      <c r="F879" s="47" t="n"/>
      <c r="G879" s="47" t="n"/>
      <c r="H879" s="47" t="n"/>
      <c r="I879" s="47" t="n"/>
      <c r="J879" s="47" t="n"/>
      <c r="M879" s="47" t="n"/>
      <c r="N879" s="47" t="n"/>
      <c r="O879" s="47" t="n"/>
      <c r="P879" s="47" t="n"/>
      <c r="Q879" s="47" t="n"/>
      <c r="R879" s="47" t="n"/>
      <c r="S879" s="47" t="n"/>
      <c r="T879" s="47" t="n"/>
      <c r="U879" s="47" t="n"/>
      <c r="V879" s="47" t="n"/>
      <c r="W879" s="47" t="n"/>
      <c r="X879" s="47" t="n"/>
      <c r="Y879" s="47" t="n"/>
      <c r="Z879" s="47" t="n"/>
    </row>
    <row r="880">
      <c r="A880" s="47" t="n"/>
      <c r="B880" s="48" t="n"/>
      <c r="C880" s="47" t="n"/>
      <c r="D880" s="47" t="n"/>
      <c r="E880" s="47" t="n"/>
      <c r="F880" s="47" t="n"/>
      <c r="G880" s="47" t="n"/>
      <c r="H880" s="47" t="n"/>
      <c r="I880" s="47" t="n"/>
      <c r="J880" s="47" t="n"/>
      <c r="M880" s="47" t="n"/>
      <c r="N880" s="47" t="n"/>
      <c r="O880" s="47" t="n"/>
      <c r="P880" s="47" t="n"/>
      <c r="Q880" s="47" t="n"/>
      <c r="R880" s="47" t="n"/>
      <c r="S880" s="47" t="n"/>
      <c r="T880" s="47" t="n"/>
      <c r="U880" s="47" t="n"/>
      <c r="V880" s="47" t="n"/>
      <c r="W880" s="47" t="n"/>
      <c r="X880" s="47" t="n"/>
      <c r="Y880" s="47" t="n"/>
      <c r="Z880" s="47" t="n"/>
    </row>
    <row r="881">
      <c r="A881" s="47" t="n"/>
      <c r="B881" s="48" t="n"/>
      <c r="C881" s="47" t="n"/>
      <c r="D881" s="47" t="n"/>
      <c r="E881" s="47" t="n"/>
      <c r="F881" s="47" t="n"/>
      <c r="G881" s="47" t="n"/>
      <c r="H881" s="47" t="n"/>
      <c r="I881" s="47" t="n"/>
      <c r="J881" s="47" t="n"/>
      <c r="M881" s="47" t="n"/>
      <c r="N881" s="47" t="n"/>
      <c r="O881" s="47" t="n"/>
      <c r="P881" s="47" t="n"/>
      <c r="Q881" s="47" t="n"/>
      <c r="R881" s="47" t="n"/>
      <c r="S881" s="47" t="n"/>
      <c r="T881" s="47" t="n"/>
      <c r="U881" s="47" t="n"/>
      <c r="V881" s="47" t="n"/>
      <c r="W881" s="47" t="n"/>
      <c r="X881" s="47" t="n"/>
      <c r="Y881" s="47" t="n"/>
      <c r="Z881" s="47" t="n"/>
    </row>
    <row r="882">
      <c r="A882" s="47" t="n"/>
      <c r="B882" s="48" t="n"/>
      <c r="C882" s="47" t="n"/>
      <c r="D882" s="47" t="n"/>
      <c r="E882" s="47" t="n"/>
      <c r="F882" s="47" t="n"/>
      <c r="G882" s="47" t="n"/>
      <c r="H882" s="47" t="n"/>
      <c r="I882" s="47" t="n"/>
      <c r="J882" s="47" t="n"/>
      <c r="M882" s="47" t="n"/>
      <c r="N882" s="47" t="n"/>
      <c r="O882" s="47" t="n"/>
      <c r="P882" s="47" t="n"/>
      <c r="Q882" s="47" t="n"/>
      <c r="R882" s="47" t="n"/>
      <c r="S882" s="47" t="n"/>
      <c r="T882" s="47" t="n"/>
      <c r="U882" s="47" t="n"/>
      <c r="V882" s="47" t="n"/>
      <c r="W882" s="47" t="n"/>
      <c r="X882" s="47" t="n"/>
      <c r="Y882" s="47" t="n"/>
      <c r="Z882" s="47" t="n"/>
    </row>
    <row r="883">
      <c r="A883" s="47" t="n"/>
      <c r="B883" s="48" t="n"/>
      <c r="C883" s="47" t="n"/>
      <c r="D883" s="47" t="n"/>
      <c r="E883" s="47" t="n"/>
      <c r="F883" s="47" t="n"/>
      <c r="G883" s="47" t="n"/>
      <c r="H883" s="47" t="n"/>
      <c r="I883" s="47" t="n"/>
      <c r="J883" s="47" t="n"/>
      <c r="M883" s="47" t="n"/>
      <c r="N883" s="47" t="n"/>
      <c r="O883" s="47" t="n"/>
      <c r="P883" s="47" t="n"/>
      <c r="Q883" s="47" t="n"/>
      <c r="R883" s="47" t="n"/>
      <c r="S883" s="47" t="n"/>
      <c r="T883" s="47" t="n"/>
      <c r="U883" s="47" t="n"/>
      <c r="V883" s="47" t="n"/>
      <c r="W883" s="47" t="n"/>
      <c r="X883" s="47" t="n"/>
      <c r="Y883" s="47" t="n"/>
      <c r="Z883" s="47" t="n"/>
    </row>
    <row r="884">
      <c r="A884" s="47" t="n"/>
      <c r="B884" s="48" t="n"/>
      <c r="C884" s="47" t="n"/>
      <c r="D884" s="47" t="n"/>
      <c r="E884" s="47" t="n"/>
      <c r="F884" s="47" t="n"/>
      <c r="G884" s="47" t="n"/>
      <c r="H884" s="47" t="n"/>
      <c r="I884" s="47" t="n"/>
      <c r="J884" s="47" t="n"/>
      <c r="M884" s="47" t="n"/>
      <c r="N884" s="47" t="n"/>
      <c r="O884" s="47" t="n"/>
      <c r="P884" s="47" t="n"/>
      <c r="Q884" s="47" t="n"/>
      <c r="R884" s="47" t="n"/>
      <c r="S884" s="47" t="n"/>
      <c r="T884" s="47" t="n"/>
      <c r="U884" s="47" t="n"/>
      <c r="V884" s="47" t="n"/>
      <c r="W884" s="47" t="n"/>
      <c r="X884" s="47" t="n"/>
      <c r="Y884" s="47" t="n"/>
      <c r="Z884" s="47" t="n"/>
    </row>
    <row r="885">
      <c r="A885" s="47" t="n"/>
      <c r="B885" s="48" t="n"/>
      <c r="C885" s="47" t="n"/>
      <c r="D885" s="47" t="n"/>
      <c r="E885" s="47" t="n"/>
      <c r="F885" s="47" t="n"/>
      <c r="G885" s="47" t="n"/>
      <c r="H885" s="47" t="n"/>
      <c r="I885" s="47" t="n"/>
      <c r="J885" s="47" t="n"/>
      <c r="M885" s="47" t="n"/>
      <c r="N885" s="47" t="n"/>
      <c r="O885" s="47" t="n"/>
      <c r="P885" s="47" t="n"/>
      <c r="Q885" s="47" t="n"/>
      <c r="R885" s="47" t="n"/>
      <c r="S885" s="47" t="n"/>
      <c r="T885" s="47" t="n"/>
      <c r="U885" s="47" t="n"/>
      <c r="V885" s="47" t="n"/>
      <c r="W885" s="47" t="n"/>
      <c r="X885" s="47" t="n"/>
      <c r="Y885" s="47" t="n"/>
      <c r="Z885" s="47" t="n"/>
    </row>
    <row r="886">
      <c r="A886" s="47" t="n"/>
      <c r="B886" s="48" t="n"/>
      <c r="C886" s="47" t="n"/>
      <c r="D886" s="47" t="n"/>
      <c r="E886" s="47" t="n"/>
      <c r="F886" s="47" t="n"/>
      <c r="G886" s="47" t="n"/>
      <c r="H886" s="47" t="n"/>
      <c r="I886" s="47" t="n"/>
      <c r="J886" s="47" t="n"/>
      <c r="M886" s="47" t="n"/>
      <c r="N886" s="47" t="n"/>
      <c r="O886" s="47" t="n"/>
      <c r="P886" s="47" t="n"/>
      <c r="Q886" s="47" t="n"/>
      <c r="R886" s="47" t="n"/>
      <c r="S886" s="47" t="n"/>
      <c r="T886" s="47" t="n"/>
      <c r="U886" s="47" t="n"/>
      <c r="V886" s="47" t="n"/>
      <c r="W886" s="47" t="n"/>
      <c r="X886" s="47" t="n"/>
      <c r="Y886" s="47" t="n"/>
      <c r="Z886" s="47" t="n"/>
    </row>
    <row r="887">
      <c r="A887" s="47" t="n"/>
      <c r="B887" s="48" t="n"/>
      <c r="C887" s="47" t="n"/>
      <c r="D887" s="47" t="n"/>
      <c r="E887" s="47" t="n"/>
      <c r="F887" s="47" t="n"/>
      <c r="G887" s="47" t="n"/>
      <c r="H887" s="47" t="n"/>
      <c r="I887" s="47" t="n"/>
      <c r="J887" s="47" t="n"/>
      <c r="M887" s="47" t="n"/>
      <c r="N887" s="47" t="n"/>
      <c r="O887" s="47" t="n"/>
      <c r="P887" s="47" t="n"/>
      <c r="Q887" s="47" t="n"/>
      <c r="R887" s="47" t="n"/>
      <c r="S887" s="47" t="n"/>
      <c r="T887" s="47" t="n"/>
      <c r="U887" s="47" t="n"/>
      <c r="V887" s="47" t="n"/>
      <c r="W887" s="47" t="n"/>
      <c r="X887" s="47" t="n"/>
      <c r="Y887" s="47" t="n"/>
      <c r="Z887" s="47" t="n"/>
    </row>
    <row r="888">
      <c r="A888" s="47" t="n"/>
      <c r="B888" s="48" t="n"/>
      <c r="C888" s="47" t="n"/>
      <c r="D888" s="47" t="n"/>
      <c r="E888" s="47" t="n"/>
      <c r="F888" s="47" t="n"/>
      <c r="G888" s="47" t="n"/>
      <c r="H888" s="47" t="n"/>
      <c r="I888" s="47" t="n"/>
      <c r="J888" s="47" t="n"/>
      <c r="M888" s="47" t="n"/>
      <c r="N888" s="47" t="n"/>
      <c r="O888" s="47" t="n"/>
      <c r="P888" s="47" t="n"/>
      <c r="Q888" s="47" t="n"/>
      <c r="R888" s="47" t="n"/>
      <c r="S888" s="47" t="n"/>
      <c r="T888" s="47" t="n"/>
      <c r="U888" s="47" t="n"/>
      <c r="V888" s="47" t="n"/>
      <c r="W888" s="47" t="n"/>
      <c r="X888" s="47" t="n"/>
      <c r="Y888" s="47" t="n"/>
      <c r="Z888" s="47" t="n"/>
    </row>
    <row r="889">
      <c r="A889" s="47" t="n"/>
      <c r="B889" s="48" t="n"/>
      <c r="C889" s="47" t="n"/>
      <c r="D889" s="47" t="n"/>
      <c r="E889" s="47" t="n"/>
      <c r="F889" s="47" t="n"/>
      <c r="G889" s="47" t="n"/>
      <c r="H889" s="47" t="n"/>
      <c r="I889" s="47" t="n"/>
      <c r="J889" s="47" t="n"/>
      <c r="M889" s="47" t="n"/>
      <c r="N889" s="47" t="n"/>
      <c r="O889" s="47" t="n"/>
      <c r="P889" s="47" t="n"/>
      <c r="Q889" s="47" t="n"/>
      <c r="R889" s="47" t="n"/>
      <c r="S889" s="47" t="n"/>
      <c r="T889" s="47" t="n"/>
      <c r="U889" s="47" t="n"/>
      <c r="V889" s="47" t="n"/>
      <c r="W889" s="47" t="n"/>
      <c r="X889" s="47" t="n"/>
      <c r="Y889" s="47" t="n"/>
      <c r="Z889" s="47" t="n"/>
    </row>
    <row r="890">
      <c r="A890" s="47" t="n"/>
      <c r="B890" s="48" t="n"/>
      <c r="C890" s="47" t="n"/>
      <c r="D890" s="47" t="n"/>
      <c r="E890" s="47" t="n"/>
      <c r="F890" s="47" t="n"/>
      <c r="G890" s="47" t="n"/>
      <c r="H890" s="47" t="n"/>
      <c r="I890" s="47" t="n"/>
      <c r="J890" s="47" t="n"/>
      <c r="M890" s="47" t="n"/>
      <c r="N890" s="47" t="n"/>
      <c r="O890" s="47" t="n"/>
      <c r="P890" s="47" t="n"/>
      <c r="Q890" s="47" t="n"/>
      <c r="R890" s="47" t="n"/>
      <c r="S890" s="47" t="n"/>
      <c r="T890" s="47" t="n"/>
      <c r="U890" s="47" t="n"/>
      <c r="V890" s="47" t="n"/>
      <c r="W890" s="47" t="n"/>
      <c r="X890" s="47" t="n"/>
      <c r="Y890" s="47" t="n"/>
      <c r="Z890" s="47" t="n"/>
    </row>
    <row r="891">
      <c r="A891" s="47" t="n"/>
      <c r="B891" s="48" t="n"/>
      <c r="C891" s="47" t="n"/>
      <c r="D891" s="47" t="n"/>
      <c r="E891" s="47" t="n"/>
      <c r="F891" s="47" t="n"/>
      <c r="G891" s="47" t="n"/>
      <c r="H891" s="47" t="n"/>
      <c r="I891" s="47" t="n"/>
      <c r="J891" s="47" t="n"/>
      <c r="M891" s="47" t="n"/>
      <c r="N891" s="47" t="n"/>
      <c r="O891" s="47" t="n"/>
      <c r="P891" s="47" t="n"/>
      <c r="Q891" s="47" t="n"/>
      <c r="R891" s="47" t="n"/>
      <c r="S891" s="47" t="n"/>
      <c r="T891" s="47" t="n"/>
      <c r="U891" s="47" t="n"/>
      <c r="V891" s="47" t="n"/>
      <c r="W891" s="47" t="n"/>
      <c r="X891" s="47" t="n"/>
      <c r="Y891" s="47" t="n"/>
      <c r="Z891" s="47" t="n"/>
    </row>
    <row r="892">
      <c r="A892" s="47" t="n"/>
      <c r="B892" s="48" t="n"/>
      <c r="C892" s="47" t="n"/>
      <c r="D892" s="47" t="n"/>
      <c r="E892" s="47" t="n"/>
      <c r="F892" s="47" t="n"/>
      <c r="G892" s="47" t="n"/>
      <c r="H892" s="47" t="n"/>
      <c r="I892" s="47" t="n"/>
      <c r="J892" s="47" t="n"/>
      <c r="M892" s="47" t="n"/>
      <c r="N892" s="47" t="n"/>
      <c r="O892" s="47" t="n"/>
      <c r="P892" s="47" t="n"/>
      <c r="Q892" s="47" t="n"/>
      <c r="R892" s="47" t="n"/>
      <c r="S892" s="47" t="n"/>
      <c r="T892" s="47" t="n"/>
      <c r="U892" s="47" t="n"/>
      <c r="V892" s="47" t="n"/>
      <c r="W892" s="47" t="n"/>
      <c r="X892" s="47" t="n"/>
      <c r="Y892" s="47" t="n"/>
      <c r="Z892" s="47" t="n"/>
    </row>
    <row r="893">
      <c r="A893" s="47" t="n"/>
      <c r="B893" s="48" t="n"/>
      <c r="C893" s="47" t="n"/>
      <c r="D893" s="47" t="n"/>
      <c r="E893" s="47" t="n"/>
      <c r="F893" s="47" t="n"/>
      <c r="G893" s="47" t="n"/>
      <c r="H893" s="47" t="n"/>
      <c r="I893" s="47" t="n"/>
      <c r="J893" s="47" t="n"/>
      <c r="M893" s="47" t="n"/>
      <c r="N893" s="47" t="n"/>
      <c r="O893" s="47" t="n"/>
      <c r="P893" s="47" t="n"/>
      <c r="Q893" s="47" t="n"/>
      <c r="R893" s="47" t="n"/>
      <c r="S893" s="47" t="n"/>
      <c r="T893" s="47" t="n"/>
      <c r="U893" s="47" t="n"/>
      <c r="V893" s="47" t="n"/>
      <c r="W893" s="47" t="n"/>
      <c r="X893" s="47" t="n"/>
      <c r="Y893" s="47" t="n"/>
      <c r="Z893" s="47" t="n"/>
    </row>
    <row r="894">
      <c r="A894" s="47" t="n"/>
      <c r="B894" s="48" t="n"/>
      <c r="C894" s="47" t="n"/>
      <c r="D894" s="47" t="n"/>
      <c r="E894" s="47" t="n"/>
      <c r="F894" s="47" t="n"/>
      <c r="G894" s="47" t="n"/>
      <c r="H894" s="47" t="n"/>
      <c r="I894" s="47" t="n"/>
      <c r="J894" s="47" t="n"/>
      <c r="M894" s="47" t="n"/>
      <c r="N894" s="47" t="n"/>
      <c r="O894" s="47" t="n"/>
      <c r="P894" s="47" t="n"/>
      <c r="Q894" s="47" t="n"/>
      <c r="R894" s="47" t="n"/>
      <c r="S894" s="47" t="n"/>
      <c r="T894" s="47" t="n"/>
      <c r="U894" s="47" t="n"/>
      <c r="V894" s="47" t="n"/>
      <c r="W894" s="47" t="n"/>
      <c r="X894" s="47" t="n"/>
      <c r="Y894" s="47" t="n"/>
      <c r="Z894" s="47" t="n"/>
    </row>
    <row r="895">
      <c r="A895" s="47" t="n"/>
      <c r="B895" s="48" t="n"/>
      <c r="C895" s="47" t="n"/>
      <c r="D895" s="47" t="n"/>
      <c r="E895" s="47" t="n"/>
      <c r="F895" s="47" t="n"/>
      <c r="G895" s="47" t="n"/>
      <c r="H895" s="47" t="n"/>
      <c r="I895" s="47" t="n"/>
      <c r="J895" s="47" t="n"/>
      <c r="M895" s="47" t="n"/>
      <c r="N895" s="47" t="n"/>
      <c r="O895" s="47" t="n"/>
      <c r="P895" s="47" t="n"/>
      <c r="Q895" s="47" t="n"/>
      <c r="R895" s="47" t="n"/>
      <c r="S895" s="47" t="n"/>
      <c r="T895" s="47" t="n"/>
      <c r="U895" s="47" t="n"/>
      <c r="V895" s="47" t="n"/>
      <c r="W895" s="47" t="n"/>
      <c r="X895" s="47" t="n"/>
      <c r="Y895" s="47" t="n"/>
      <c r="Z895" s="47" t="n"/>
    </row>
    <row r="896">
      <c r="A896" s="47" t="n"/>
      <c r="B896" s="48" t="n"/>
      <c r="C896" s="47" t="n"/>
      <c r="D896" s="47" t="n"/>
      <c r="E896" s="47" t="n"/>
      <c r="F896" s="47" t="n"/>
      <c r="G896" s="47" t="n"/>
      <c r="H896" s="47" t="n"/>
      <c r="I896" s="47" t="n"/>
      <c r="J896" s="47" t="n"/>
      <c r="M896" s="47" t="n"/>
      <c r="N896" s="47" t="n"/>
      <c r="O896" s="47" t="n"/>
      <c r="P896" s="47" t="n"/>
      <c r="Q896" s="47" t="n"/>
      <c r="R896" s="47" t="n"/>
      <c r="S896" s="47" t="n"/>
      <c r="T896" s="47" t="n"/>
      <c r="U896" s="47" t="n"/>
      <c r="V896" s="47" t="n"/>
      <c r="W896" s="47" t="n"/>
      <c r="X896" s="47" t="n"/>
      <c r="Y896" s="47" t="n"/>
      <c r="Z896" s="47" t="n"/>
    </row>
    <row r="897">
      <c r="A897" s="47" t="n"/>
      <c r="B897" s="48" t="n"/>
      <c r="C897" s="47" t="n"/>
      <c r="D897" s="47" t="n"/>
      <c r="E897" s="47" t="n"/>
      <c r="F897" s="47" t="n"/>
      <c r="G897" s="47" t="n"/>
      <c r="H897" s="47" t="n"/>
      <c r="I897" s="47" t="n"/>
      <c r="J897" s="47" t="n"/>
      <c r="M897" s="47" t="n"/>
      <c r="N897" s="47" t="n"/>
      <c r="O897" s="47" t="n"/>
      <c r="P897" s="47" t="n"/>
      <c r="Q897" s="47" t="n"/>
      <c r="R897" s="47" t="n"/>
      <c r="S897" s="47" t="n"/>
      <c r="T897" s="47" t="n"/>
      <c r="U897" s="47" t="n"/>
      <c r="V897" s="47" t="n"/>
      <c r="W897" s="47" t="n"/>
      <c r="X897" s="47" t="n"/>
      <c r="Y897" s="47" t="n"/>
      <c r="Z897" s="47" t="n"/>
    </row>
    <row r="898">
      <c r="A898" s="47" t="n"/>
      <c r="B898" s="48" t="n"/>
      <c r="C898" s="47" t="n"/>
      <c r="D898" s="47" t="n"/>
      <c r="E898" s="47" t="n"/>
      <c r="F898" s="47" t="n"/>
      <c r="G898" s="47" t="n"/>
      <c r="H898" s="47" t="n"/>
      <c r="I898" s="47" t="n"/>
      <c r="J898" s="47" t="n"/>
      <c r="M898" s="47" t="n"/>
      <c r="N898" s="47" t="n"/>
      <c r="O898" s="47" t="n"/>
      <c r="P898" s="47" t="n"/>
      <c r="Q898" s="47" t="n"/>
      <c r="R898" s="47" t="n"/>
      <c r="S898" s="47" t="n"/>
      <c r="T898" s="47" t="n"/>
      <c r="U898" s="47" t="n"/>
      <c r="V898" s="47" t="n"/>
      <c r="W898" s="47" t="n"/>
      <c r="X898" s="47" t="n"/>
      <c r="Y898" s="47" t="n"/>
      <c r="Z898" s="47" t="n"/>
    </row>
    <row r="899">
      <c r="A899" s="47" t="n"/>
      <c r="B899" s="48" t="n"/>
      <c r="C899" s="47" t="n"/>
      <c r="D899" s="47" t="n"/>
      <c r="E899" s="47" t="n"/>
      <c r="F899" s="47" t="n"/>
      <c r="G899" s="47" t="n"/>
      <c r="H899" s="47" t="n"/>
      <c r="I899" s="47" t="n"/>
      <c r="J899" s="47" t="n"/>
      <c r="M899" s="47" t="n"/>
      <c r="N899" s="47" t="n"/>
      <c r="O899" s="47" t="n"/>
      <c r="P899" s="47" t="n"/>
      <c r="Q899" s="47" t="n"/>
      <c r="R899" s="47" t="n"/>
      <c r="S899" s="47" t="n"/>
      <c r="T899" s="47" t="n"/>
      <c r="U899" s="47" t="n"/>
      <c r="V899" s="47" t="n"/>
      <c r="W899" s="47" t="n"/>
      <c r="X899" s="47" t="n"/>
      <c r="Y899" s="47" t="n"/>
      <c r="Z899" s="47" t="n"/>
    </row>
    <row r="900">
      <c r="A900" s="47" t="n"/>
      <c r="B900" s="48" t="n"/>
      <c r="C900" s="47" t="n"/>
      <c r="D900" s="47" t="n"/>
      <c r="E900" s="47" t="n"/>
      <c r="F900" s="47" t="n"/>
      <c r="G900" s="47" t="n"/>
      <c r="H900" s="47" t="n"/>
      <c r="I900" s="47" t="n"/>
      <c r="J900" s="47" t="n"/>
      <c r="M900" s="47" t="n"/>
      <c r="N900" s="47" t="n"/>
      <c r="O900" s="47" t="n"/>
      <c r="P900" s="47" t="n"/>
      <c r="Q900" s="47" t="n"/>
      <c r="R900" s="47" t="n"/>
      <c r="S900" s="47" t="n"/>
      <c r="T900" s="47" t="n"/>
      <c r="U900" s="47" t="n"/>
      <c r="V900" s="47" t="n"/>
      <c r="W900" s="47" t="n"/>
      <c r="X900" s="47" t="n"/>
      <c r="Y900" s="47" t="n"/>
      <c r="Z900" s="47" t="n"/>
    </row>
    <row r="901">
      <c r="A901" s="47" t="n"/>
      <c r="B901" s="48" t="n"/>
      <c r="C901" s="47" t="n"/>
      <c r="D901" s="47" t="n"/>
      <c r="E901" s="47" t="n"/>
      <c r="F901" s="47" t="n"/>
      <c r="G901" s="47" t="n"/>
      <c r="H901" s="47" t="n"/>
      <c r="I901" s="47" t="n"/>
      <c r="J901" s="47" t="n"/>
      <c r="M901" s="47" t="n"/>
      <c r="N901" s="47" t="n"/>
      <c r="O901" s="47" t="n"/>
      <c r="P901" s="47" t="n"/>
      <c r="Q901" s="47" t="n"/>
      <c r="R901" s="47" t="n"/>
      <c r="S901" s="47" t="n"/>
      <c r="T901" s="47" t="n"/>
      <c r="U901" s="47" t="n"/>
      <c r="V901" s="47" t="n"/>
      <c r="W901" s="47" t="n"/>
      <c r="X901" s="47" t="n"/>
      <c r="Y901" s="47" t="n"/>
      <c r="Z901" s="47" t="n"/>
    </row>
    <row r="902">
      <c r="A902" s="47" t="n"/>
      <c r="B902" s="48" t="n"/>
      <c r="C902" s="47" t="n"/>
      <c r="D902" s="47" t="n"/>
      <c r="E902" s="47" t="n"/>
      <c r="F902" s="47" t="n"/>
      <c r="G902" s="47" t="n"/>
      <c r="H902" s="47" t="n"/>
      <c r="I902" s="47" t="n"/>
      <c r="J902" s="47" t="n"/>
      <c r="M902" s="47" t="n"/>
      <c r="N902" s="47" t="n"/>
      <c r="O902" s="47" t="n"/>
      <c r="P902" s="47" t="n"/>
      <c r="Q902" s="47" t="n"/>
      <c r="R902" s="47" t="n"/>
      <c r="S902" s="47" t="n"/>
      <c r="T902" s="47" t="n"/>
      <c r="U902" s="47" t="n"/>
      <c r="V902" s="47" t="n"/>
      <c r="W902" s="47" t="n"/>
      <c r="X902" s="47" t="n"/>
      <c r="Y902" s="47" t="n"/>
      <c r="Z902" s="47" t="n"/>
    </row>
    <row r="903">
      <c r="A903" s="47" t="n"/>
      <c r="B903" s="48" t="n"/>
      <c r="C903" s="47" t="n"/>
      <c r="D903" s="47" t="n"/>
      <c r="E903" s="47" t="n"/>
      <c r="F903" s="47" t="n"/>
      <c r="G903" s="47" t="n"/>
      <c r="H903" s="47" t="n"/>
      <c r="I903" s="47" t="n"/>
      <c r="J903" s="47" t="n"/>
      <c r="M903" s="47" t="n"/>
      <c r="N903" s="47" t="n"/>
      <c r="O903" s="47" t="n"/>
      <c r="P903" s="47" t="n"/>
      <c r="Q903" s="47" t="n"/>
      <c r="R903" s="47" t="n"/>
      <c r="S903" s="47" t="n"/>
      <c r="T903" s="47" t="n"/>
      <c r="U903" s="47" t="n"/>
      <c r="V903" s="47" t="n"/>
      <c r="W903" s="47" t="n"/>
      <c r="X903" s="47" t="n"/>
      <c r="Y903" s="47" t="n"/>
      <c r="Z903" s="47" t="n"/>
    </row>
    <row r="904">
      <c r="A904" s="47" t="n"/>
      <c r="B904" s="48" t="n"/>
      <c r="C904" s="47" t="n"/>
      <c r="D904" s="47" t="n"/>
      <c r="E904" s="47" t="n"/>
      <c r="F904" s="47" t="n"/>
      <c r="G904" s="47" t="n"/>
      <c r="H904" s="47" t="n"/>
      <c r="I904" s="47" t="n"/>
      <c r="J904" s="47" t="n"/>
      <c r="M904" s="47" t="n"/>
      <c r="N904" s="47" t="n"/>
      <c r="O904" s="47" t="n"/>
      <c r="P904" s="47" t="n"/>
      <c r="Q904" s="47" t="n"/>
      <c r="R904" s="47" t="n"/>
      <c r="S904" s="47" t="n"/>
      <c r="T904" s="47" t="n"/>
      <c r="U904" s="47" t="n"/>
      <c r="V904" s="47" t="n"/>
      <c r="W904" s="47" t="n"/>
      <c r="X904" s="47" t="n"/>
      <c r="Y904" s="47" t="n"/>
      <c r="Z904" s="47" t="n"/>
    </row>
    <row r="905">
      <c r="A905" s="47" t="n"/>
      <c r="B905" s="48" t="n"/>
      <c r="C905" s="47" t="n"/>
      <c r="D905" s="47" t="n"/>
      <c r="E905" s="47" t="n"/>
      <c r="F905" s="47" t="n"/>
      <c r="G905" s="47" t="n"/>
      <c r="H905" s="47" t="n"/>
      <c r="I905" s="47" t="n"/>
      <c r="J905" s="47" t="n"/>
      <c r="M905" s="47" t="n"/>
      <c r="N905" s="47" t="n"/>
      <c r="O905" s="47" t="n"/>
      <c r="P905" s="47" t="n"/>
      <c r="Q905" s="47" t="n"/>
      <c r="R905" s="47" t="n"/>
      <c r="S905" s="47" t="n"/>
      <c r="T905" s="47" t="n"/>
      <c r="U905" s="47" t="n"/>
      <c r="V905" s="47" t="n"/>
      <c r="W905" s="47" t="n"/>
      <c r="X905" s="47" t="n"/>
      <c r="Y905" s="47" t="n"/>
      <c r="Z905" s="47" t="n"/>
    </row>
    <row r="906">
      <c r="A906" s="47" t="n"/>
      <c r="B906" s="48" t="n"/>
      <c r="C906" s="47" t="n"/>
      <c r="D906" s="47" t="n"/>
      <c r="E906" s="47" t="n"/>
      <c r="F906" s="47" t="n"/>
      <c r="G906" s="47" t="n"/>
      <c r="H906" s="47" t="n"/>
      <c r="I906" s="47" t="n"/>
      <c r="J906" s="47" t="n"/>
      <c r="M906" s="47" t="n"/>
      <c r="N906" s="47" t="n"/>
      <c r="O906" s="47" t="n"/>
      <c r="P906" s="47" t="n"/>
      <c r="Q906" s="47" t="n"/>
      <c r="R906" s="47" t="n"/>
      <c r="S906" s="47" t="n"/>
      <c r="T906" s="47" t="n"/>
      <c r="U906" s="47" t="n"/>
      <c r="V906" s="47" t="n"/>
      <c r="W906" s="47" t="n"/>
      <c r="X906" s="47" t="n"/>
      <c r="Y906" s="47" t="n"/>
      <c r="Z906" s="47" t="n"/>
    </row>
    <row r="907">
      <c r="A907" s="47" t="n"/>
      <c r="B907" s="48" t="n"/>
      <c r="C907" s="47" t="n"/>
      <c r="D907" s="47" t="n"/>
      <c r="E907" s="47" t="n"/>
      <c r="F907" s="47" t="n"/>
      <c r="G907" s="47" t="n"/>
      <c r="H907" s="47" t="n"/>
      <c r="I907" s="47" t="n"/>
      <c r="J907" s="47" t="n"/>
      <c r="M907" s="47" t="n"/>
      <c r="N907" s="47" t="n"/>
      <c r="O907" s="47" t="n"/>
      <c r="P907" s="47" t="n"/>
      <c r="Q907" s="47" t="n"/>
      <c r="R907" s="47" t="n"/>
      <c r="S907" s="47" t="n"/>
      <c r="T907" s="47" t="n"/>
      <c r="U907" s="47" t="n"/>
      <c r="V907" s="47" t="n"/>
      <c r="W907" s="47" t="n"/>
      <c r="X907" s="47" t="n"/>
      <c r="Y907" s="47" t="n"/>
      <c r="Z907" s="47" t="n"/>
    </row>
    <row r="908">
      <c r="A908" s="47" t="n"/>
      <c r="B908" s="48" t="n"/>
      <c r="C908" s="47" t="n"/>
      <c r="D908" s="47" t="n"/>
      <c r="E908" s="47" t="n"/>
      <c r="F908" s="47" t="n"/>
      <c r="G908" s="47" t="n"/>
      <c r="H908" s="47" t="n"/>
      <c r="I908" s="47" t="n"/>
      <c r="J908" s="47" t="n"/>
      <c r="M908" s="47" t="n"/>
      <c r="N908" s="47" t="n"/>
      <c r="O908" s="47" t="n"/>
      <c r="P908" s="47" t="n"/>
      <c r="Q908" s="47" t="n"/>
      <c r="R908" s="47" t="n"/>
      <c r="S908" s="47" t="n"/>
      <c r="T908" s="47" t="n"/>
      <c r="U908" s="47" t="n"/>
      <c r="V908" s="47" t="n"/>
      <c r="W908" s="47" t="n"/>
      <c r="X908" s="47" t="n"/>
      <c r="Y908" s="47" t="n"/>
      <c r="Z908" s="47" t="n"/>
    </row>
    <row r="909">
      <c r="A909" s="47" t="n"/>
      <c r="B909" s="48" t="n"/>
      <c r="C909" s="47" t="n"/>
      <c r="D909" s="47" t="n"/>
      <c r="E909" s="47" t="n"/>
      <c r="F909" s="47" t="n"/>
      <c r="G909" s="47" t="n"/>
      <c r="H909" s="47" t="n"/>
      <c r="I909" s="47" t="n"/>
      <c r="J909" s="47" t="n"/>
      <c r="M909" s="47" t="n"/>
      <c r="N909" s="47" t="n"/>
      <c r="O909" s="47" t="n"/>
      <c r="P909" s="47" t="n"/>
      <c r="Q909" s="47" t="n"/>
      <c r="R909" s="47" t="n"/>
      <c r="S909" s="47" t="n"/>
      <c r="T909" s="47" t="n"/>
      <c r="U909" s="47" t="n"/>
      <c r="V909" s="47" t="n"/>
      <c r="W909" s="47" t="n"/>
      <c r="X909" s="47" t="n"/>
      <c r="Y909" s="47" t="n"/>
      <c r="Z909" s="47" t="n"/>
    </row>
    <row r="910">
      <c r="A910" s="47" t="n"/>
      <c r="B910" s="48" t="n"/>
      <c r="C910" s="47" t="n"/>
      <c r="D910" s="47" t="n"/>
      <c r="E910" s="47" t="n"/>
      <c r="F910" s="47" t="n"/>
      <c r="G910" s="47" t="n"/>
      <c r="H910" s="47" t="n"/>
      <c r="I910" s="47" t="n"/>
      <c r="J910" s="47" t="n"/>
      <c r="M910" s="47" t="n"/>
      <c r="N910" s="47" t="n"/>
      <c r="O910" s="47" t="n"/>
      <c r="P910" s="47" t="n"/>
      <c r="Q910" s="47" t="n"/>
      <c r="R910" s="47" t="n"/>
      <c r="S910" s="47" t="n"/>
      <c r="T910" s="47" t="n"/>
      <c r="U910" s="47" t="n"/>
      <c r="V910" s="47" t="n"/>
      <c r="W910" s="47" t="n"/>
      <c r="X910" s="47" t="n"/>
      <c r="Y910" s="47" t="n"/>
      <c r="Z910" s="47" t="n"/>
    </row>
    <row r="911">
      <c r="A911" s="47" t="n"/>
      <c r="B911" s="48" t="n"/>
      <c r="C911" s="47" t="n"/>
      <c r="D911" s="47" t="n"/>
      <c r="E911" s="47" t="n"/>
      <c r="F911" s="47" t="n"/>
      <c r="G911" s="47" t="n"/>
      <c r="H911" s="47" t="n"/>
      <c r="I911" s="47" t="n"/>
      <c r="J911" s="47" t="n"/>
      <c r="M911" s="47" t="n"/>
      <c r="N911" s="47" t="n"/>
      <c r="O911" s="47" t="n"/>
      <c r="P911" s="47" t="n"/>
      <c r="Q911" s="47" t="n"/>
      <c r="R911" s="47" t="n"/>
      <c r="S911" s="47" t="n"/>
      <c r="T911" s="47" t="n"/>
      <c r="U911" s="47" t="n"/>
      <c r="V911" s="47" t="n"/>
      <c r="W911" s="47" t="n"/>
      <c r="X911" s="47" t="n"/>
      <c r="Y911" s="47" t="n"/>
      <c r="Z911" s="47" t="n"/>
    </row>
    <row r="912">
      <c r="A912" s="47" t="n"/>
      <c r="B912" s="48" t="n"/>
      <c r="C912" s="47" t="n"/>
      <c r="D912" s="47" t="n"/>
      <c r="E912" s="47" t="n"/>
      <c r="F912" s="47" t="n"/>
      <c r="G912" s="47" t="n"/>
      <c r="H912" s="47" t="n"/>
      <c r="I912" s="47" t="n"/>
      <c r="J912" s="47" t="n"/>
      <c r="M912" s="47" t="n"/>
      <c r="N912" s="47" t="n"/>
      <c r="O912" s="47" t="n"/>
      <c r="P912" s="47" t="n"/>
      <c r="Q912" s="47" t="n"/>
      <c r="R912" s="47" t="n"/>
      <c r="S912" s="47" t="n"/>
      <c r="T912" s="47" t="n"/>
      <c r="U912" s="47" t="n"/>
      <c r="V912" s="47" t="n"/>
      <c r="W912" s="47" t="n"/>
      <c r="X912" s="47" t="n"/>
      <c r="Y912" s="47" t="n"/>
      <c r="Z912" s="47" t="n"/>
    </row>
    <row r="913">
      <c r="A913" s="47" t="n"/>
      <c r="B913" s="48" t="n"/>
      <c r="C913" s="47" t="n"/>
      <c r="D913" s="47" t="n"/>
      <c r="E913" s="47" t="n"/>
      <c r="F913" s="47" t="n"/>
      <c r="G913" s="47" t="n"/>
      <c r="H913" s="47" t="n"/>
      <c r="I913" s="47" t="n"/>
      <c r="J913" s="47" t="n"/>
      <c r="M913" s="47" t="n"/>
      <c r="N913" s="47" t="n"/>
      <c r="O913" s="47" t="n"/>
      <c r="P913" s="47" t="n"/>
      <c r="Q913" s="47" t="n"/>
      <c r="R913" s="47" t="n"/>
      <c r="S913" s="47" t="n"/>
      <c r="T913" s="47" t="n"/>
      <c r="U913" s="47" t="n"/>
      <c r="V913" s="47" t="n"/>
      <c r="W913" s="47" t="n"/>
      <c r="X913" s="47" t="n"/>
      <c r="Y913" s="47" t="n"/>
      <c r="Z913" s="47" t="n"/>
    </row>
    <row r="914">
      <c r="A914" s="47" t="n"/>
      <c r="B914" s="48" t="n"/>
      <c r="C914" s="47" t="n"/>
      <c r="D914" s="47" t="n"/>
      <c r="E914" s="47" t="n"/>
      <c r="F914" s="47" t="n"/>
      <c r="G914" s="47" t="n"/>
      <c r="H914" s="47" t="n"/>
      <c r="I914" s="47" t="n"/>
      <c r="J914" s="47" t="n"/>
      <c r="M914" s="47" t="n"/>
      <c r="N914" s="47" t="n"/>
      <c r="O914" s="47" t="n"/>
      <c r="P914" s="47" t="n"/>
      <c r="Q914" s="47" t="n"/>
      <c r="R914" s="47" t="n"/>
      <c r="S914" s="47" t="n"/>
      <c r="T914" s="47" t="n"/>
      <c r="U914" s="47" t="n"/>
      <c r="V914" s="47" t="n"/>
      <c r="W914" s="47" t="n"/>
      <c r="X914" s="47" t="n"/>
      <c r="Y914" s="47" t="n"/>
      <c r="Z914" s="47" t="n"/>
    </row>
    <row r="915">
      <c r="A915" s="47" t="n"/>
      <c r="B915" s="48" t="n"/>
      <c r="C915" s="47" t="n"/>
      <c r="D915" s="47" t="n"/>
      <c r="E915" s="47" t="n"/>
      <c r="F915" s="47" t="n"/>
      <c r="G915" s="47" t="n"/>
      <c r="H915" s="47" t="n"/>
      <c r="I915" s="47" t="n"/>
      <c r="J915" s="47" t="n"/>
      <c r="M915" s="47" t="n"/>
      <c r="N915" s="47" t="n"/>
      <c r="O915" s="47" t="n"/>
      <c r="P915" s="47" t="n"/>
      <c r="Q915" s="47" t="n"/>
      <c r="R915" s="47" t="n"/>
      <c r="S915" s="47" t="n"/>
      <c r="T915" s="47" t="n"/>
      <c r="U915" s="47" t="n"/>
      <c r="V915" s="47" t="n"/>
      <c r="W915" s="47" t="n"/>
      <c r="X915" s="47" t="n"/>
      <c r="Y915" s="47" t="n"/>
      <c r="Z915" s="47" t="n"/>
    </row>
    <row r="916">
      <c r="A916" s="47" t="n"/>
      <c r="B916" s="48" t="n"/>
      <c r="C916" s="47" t="n"/>
      <c r="D916" s="47" t="n"/>
      <c r="E916" s="47" t="n"/>
      <c r="F916" s="47" t="n"/>
      <c r="G916" s="47" t="n"/>
      <c r="H916" s="47" t="n"/>
      <c r="I916" s="47" t="n"/>
      <c r="J916" s="47" t="n"/>
      <c r="M916" s="47" t="n"/>
      <c r="N916" s="47" t="n"/>
      <c r="O916" s="47" t="n"/>
      <c r="P916" s="47" t="n"/>
      <c r="Q916" s="47" t="n"/>
      <c r="R916" s="47" t="n"/>
      <c r="S916" s="47" t="n"/>
      <c r="T916" s="47" t="n"/>
      <c r="U916" s="47" t="n"/>
      <c r="V916" s="47" t="n"/>
      <c r="W916" s="47" t="n"/>
      <c r="X916" s="47" t="n"/>
      <c r="Y916" s="47" t="n"/>
      <c r="Z916" s="47" t="n"/>
    </row>
    <row r="917">
      <c r="A917" s="47" t="n"/>
      <c r="B917" s="48" t="n"/>
      <c r="C917" s="47" t="n"/>
      <c r="D917" s="47" t="n"/>
      <c r="E917" s="47" t="n"/>
      <c r="F917" s="47" t="n"/>
      <c r="G917" s="47" t="n"/>
      <c r="H917" s="47" t="n"/>
      <c r="I917" s="47" t="n"/>
      <c r="J917" s="47" t="n"/>
      <c r="M917" s="47" t="n"/>
      <c r="N917" s="47" t="n"/>
      <c r="O917" s="47" t="n"/>
      <c r="P917" s="47" t="n"/>
      <c r="Q917" s="47" t="n"/>
      <c r="R917" s="47" t="n"/>
      <c r="S917" s="47" t="n"/>
      <c r="T917" s="47" t="n"/>
      <c r="U917" s="47" t="n"/>
      <c r="V917" s="47" t="n"/>
      <c r="W917" s="47" t="n"/>
      <c r="X917" s="47" t="n"/>
      <c r="Y917" s="47" t="n"/>
      <c r="Z917" s="47" t="n"/>
    </row>
    <row r="918">
      <c r="A918" s="47" t="n"/>
      <c r="B918" s="48" t="n"/>
      <c r="C918" s="47" t="n"/>
      <c r="D918" s="47" t="n"/>
      <c r="E918" s="47" t="n"/>
      <c r="F918" s="47" t="n"/>
      <c r="G918" s="47" t="n"/>
      <c r="H918" s="47" t="n"/>
      <c r="I918" s="47" t="n"/>
      <c r="J918" s="47" t="n"/>
      <c r="M918" s="47" t="n"/>
      <c r="N918" s="47" t="n"/>
      <c r="O918" s="47" t="n"/>
      <c r="P918" s="47" t="n"/>
      <c r="Q918" s="47" t="n"/>
      <c r="R918" s="47" t="n"/>
      <c r="S918" s="47" t="n"/>
      <c r="T918" s="47" t="n"/>
      <c r="U918" s="47" t="n"/>
      <c r="V918" s="47" t="n"/>
      <c r="W918" s="47" t="n"/>
      <c r="X918" s="47" t="n"/>
      <c r="Y918" s="47" t="n"/>
      <c r="Z918" s="47" t="n"/>
    </row>
    <row r="919">
      <c r="A919" s="47" t="n"/>
      <c r="B919" s="48" t="n"/>
      <c r="C919" s="47" t="n"/>
      <c r="D919" s="47" t="n"/>
      <c r="E919" s="47" t="n"/>
      <c r="F919" s="47" t="n"/>
      <c r="G919" s="47" t="n"/>
      <c r="H919" s="47" t="n"/>
      <c r="I919" s="47" t="n"/>
      <c r="J919" s="47" t="n"/>
      <c r="M919" s="47" t="n"/>
      <c r="N919" s="47" t="n"/>
      <c r="O919" s="47" t="n"/>
      <c r="P919" s="47" t="n"/>
      <c r="Q919" s="47" t="n"/>
      <c r="R919" s="47" t="n"/>
      <c r="S919" s="47" t="n"/>
      <c r="T919" s="47" t="n"/>
      <c r="U919" s="47" t="n"/>
      <c r="V919" s="47" t="n"/>
      <c r="W919" s="47" t="n"/>
      <c r="X919" s="47" t="n"/>
      <c r="Y919" s="47" t="n"/>
      <c r="Z919" s="47" t="n"/>
    </row>
    <row r="920">
      <c r="A920" s="47" t="n"/>
      <c r="B920" s="48" t="n"/>
      <c r="C920" s="47" t="n"/>
      <c r="D920" s="47" t="n"/>
      <c r="E920" s="47" t="n"/>
      <c r="F920" s="47" t="n"/>
      <c r="G920" s="47" t="n"/>
      <c r="H920" s="47" t="n"/>
      <c r="I920" s="47" t="n"/>
      <c r="J920" s="47" t="n"/>
      <c r="M920" s="47" t="n"/>
      <c r="N920" s="47" t="n"/>
      <c r="O920" s="47" t="n"/>
      <c r="P920" s="47" t="n"/>
      <c r="Q920" s="47" t="n"/>
      <c r="R920" s="47" t="n"/>
      <c r="S920" s="47" t="n"/>
      <c r="T920" s="47" t="n"/>
      <c r="U920" s="47" t="n"/>
      <c r="V920" s="47" t="n"/>
      <c r="W920" s="47" t="n"/>
      <c r="X920" s="47" t="n"/>
      <c r="Y920" s="47" t="n"/>
      <c r="Z920" s="47" t="n"/>
    </row>
    <row r="921">
      <c r="A921" s="47" t="n"/>
      <c r="B921" s="48" t="n"/>
      <c r="C921" s="47" t="n"/>
      <c r="D921" s="47" t="n"/>
      <c r="E921" s="47" t="n"/>
      <c r="F921" s="47" t="n"/>
      <c r="G921" s="47" t="n"/>
      <c r="H921" s="47" t="n"/>
      <c r="I921" s="47" t="n"/>
      <c r="J921" s="47" t="n"/>
      <c r="M921" s="47" t="n"/>
      <c r="N921" s="47" t="n"/>
      <c r="O921" s="47" t="n"/>
      <c r="P921" s="47" t="n"/>
      <c r="Q921" s="47" t="n"/>
      <c r="R921" s="47" t="n"/>
      <c r="S921" s="47" t="n"/>
      <c r="T921" s="47" t="n"/>
      <c r="U921" s="47" t="n"/>
      <c r="V921" s="47" t="n"/>
      <c r="W921" s="47" t="n"/>
      <c r="X921" s="47" t="n"/>
      <c r="Y921" s="47" t="n"/>
      <c r="Z921" s="47" t="n"/>
    </row>
    <row r="922">
      <c r="A922" s="47" t="n"/>
      <c r="B922" s="48" t="n"/>
      <c r="C922" s="47" t="n"/>
      <c r="D922" s="47" t="n"/>
      <c r="E922" s="47" t="n"/>
      <c r="F922" s="47" t="n"/>
      <c r="G922" s="47" t="n"/>
      <c r="H922" s="47" t="n"/>
      <c r="I922" s="47" t="n"/>
      <c r="J922" s="47" t="n"/>
      <c r="M922" s="47" t="n"/>
      <c r="N922" s="47" t="n"/>
      <c r="O922" s="47" t="n"/>
      <c r="P922" s="47" t="n"/>
      <c r="Q922" s="47" t="n"/>
      <c r="R922" s="47" t="n"/>
      <c r="S922" s="47" t="n"/>
      <c r="T922" s="47" t="n"/>
      <c r="U922" s="47" t="n"/>
      <c r="V922" s="47" t="n"/>
      <c r="W922" s="47" t="n"/>
      <c r="X922" s="47" t="n"/>
      <c r="Y922" s="47" t="n"/>
      <c r="Z922" s="47" t="n"/>
    </row>
    <row r="923">
      <c r="A923" s="47" t="n"/>
      <c r="B923" s="48" t="n"/>
      <c r="C923" s="47" t="n"/>
      <c r="D923" s="47" t="n"/>
      <c r="E923" s="47" t="n"/>
      <c r="F923" s="47" t="n"/>
      <c r="G923" s="47" t="n"/>
      <c r="H923" s="47" t="n"/>
      <c r="I923" s="47" t="n"/>
      <c r="J923" s="47" t="n"/>
      <c r="M923" s="47" t="n"/>
      <c r="N923" s="47" t="n"/>
      <c r="O923" s="47" t="n"/>
      <c r="P923" s="47" t="n"/>
      <c r="Q923" s="47" t="n"/>
      <c r="R923" s="47" t="n"/>
      <c r="S923" s="47" t="n"/>
      <c r="T923" s="47" t="n"/>
      <c r="U923" s="47" t="n"/>
      <c r="V923" s="47" t="n"/>
      <c r="W923" s="47" t="n"/>
      <c r="X923" s="47" t="n"/>
      <c r="Y923" s="47" t="n"/>
      <c r="Z923" s="47" t="n"/>
    </row>
    <row r="924">
      <c r="A924" s="47" t="n"/>
      <c r="B924" s="48" t="n"/>
      <c r="C924" s="47" t="n"/>
      <c r="D924" s="47" t="n"/>
      <c r="E924" s="47" t="n"/>
      <c r="F924" s="47" t="n"/>
      <c r="G924" s="47" t="n"/>
      <c r="H924" s="47" t="n"/>
      <c r="I924" s="47" t="n"/>
      <c r="J924" s="47" t="n"/>
      <c r="M924" s="47" t="n"/>
      <c r="N924" s="47" t="n"/>
      <c r="O924" s="47" t="n"/>
      <c r="P924" s="47" t="n"/>
      <c r="Q924" s="47" t="n"/>
      <c r="R924" s="47" t="n"/>
      <c r="S924" s="47" t="n"/>
      <c r="T924" s="47" t="n"/>
      <c r="U924" s="47" t="n"/>
      <c r="V924" s="47" t="n"/>
      <c r="W924" s="47" t="n"/>
      <c r="X924" s="47" t="n"/>
      <c r="Y924" s="47" t="n"/>
      <c r="Z924" s="47" t="n"/>
    </row>
    <row r="925">
      <c r="A925" s="47" t="n"/>
      <c r="B925" s="48" t="n"/>
      <c r="C925" s="47" t="n"/>
      <c r="D925" s="47" t="n"/>
      <c r="E925" s="47" t="n"/>
      <c r="F925" s="47" t="n"/>
      <c r="G925" s="47" t="n"/>
      <c r="H925" s="47" t="n"/>
      <c r="I925" s="47" t="n"/>
      <c r="J925" s="47" t="n"/>
      <c r="M925" s="47" t="n"/>
      <c r="N925" s="47" t="n"/>
      <c r="O925" s="47" t="n"/>
      <c r="P925" s="47" t="n"/>
      <c r="Q925" s="47" t="n"/>
      <c r="R925" s="47" t="n"/>
      <c r="S925" s="47" t="n"/>
      <c r="T925" s="47" t="n"/>
      <c r="U925" s="47" t="n"/>
      <c r="V925" s="47" t="n"/>
      <c r="W925" s="47" t="n"/>
      <c r="X925" s="47" t="n"/>
      <c r="Y925" s="47" t="n"/>
      <c r="Z925" s="47" t="n"/>
    </row>
    <row r="926">
      <c r="A926" s="47" t="n"/>
      <c r="B926" s="48" t="n"/>
      <c r="C926" s="47" t="n"/>
      <c r="D926" s="47" t="n"/>
      <c r="E926" s="47" t="n"/>
      <c r="F926" s="47" t="n"/>
      <c r="G926" s="47" t="n"/>
      <c r="H926" s="47" t="n"/>
      <c r="I926" s="47" t="n"/>
      <c r="J926" s="47" t="n"/>
      <c r="M926" s="47" t="n"/>
      <c r="N926" s="47" t="n"/>
      <c r="O926" s="47" t="n"/>
      <c r="P926" s="47" t="n"/>
      <c r="Q926" s="47" t="n"/>
      <c r="R926" s="47" t="n"/>
      <c r="S926" s="47" t="n"/>
      <c r="T926" s="47" t="n"/>
      <c r="U926" s="47" t="n"/>
      <c r="V926" s="47" t="n"/>
      <c r="W926" s="47" t="n"/>
      <c r="X926" s="47" t="n"/>
      <c r="Y926" s="47" t="n"/>
      <c r="Z926" s="47" t="n"/>
    </row>
    <row r="927">
      <c r="A927" s="47" t="n"/>
      <c r="B927" s="48" t="n"/>
      <c r="C927" s="47" t="n"/>
      <c r="D927" s="47" t="n"/>
      <c r="E927" s="47" t="n"/>
      <c r="F927" s="47" t="n"/>
      <c r="G927" s="47" t="n"/>
      <c r="H927" s="47" t="n"/>
      <c r="I927" s="47" t="n"/>
      <c r="J927" s="47" t="n"/>
      <c r="M927" s="47" t="n"/>
      <c r="N927" s="47" t="n"/>
      <c r="O927" s="47" t="n"/>
      <c r="P927" s="47" t="n"/>
      <c r="Q927" s="47" t="n"/>
      <c r="R927" s="47" t="n"/>
      <c r="S927" s="47" t="n"/>
      <c r="T927" s="47" t="n"/>
      <c r="U927" s="47" t="n"/>
      <c r="V927" s="47" t="n"/>
      <c r="W927" s="47" t="n"/>
      <c r="X927" s="47" t="n"/>
      <c r="Y927" s="47" t="n"/>
      <c r="Z927" s="47" t="n"/>
    </row>
    <row r="928">
      <c r="A928" s="47" t="n"/>
      <c r="B928" s="48" t="n"/>
      <c r="C928" s="47" t="n"/>
      <c r="D928" s="47" t="n"/>
      <c r="E928" s="47" t="n"/>
      <c r="F928" s="47" t="n"/>
      <c r="G928" s="47" t="n"/>
      <c r="H928" s="47" t="n"/>
      <c r="I928" s="47" t="n"/>
      <c r="J928" s="47" t="n"/>
      <c r="M928" s="47" t="n"/>
      <c r="N928" s="47" t="n"/>
      <c r="O928" s="47" t="n"/>
      <c r="P928" s="47" t="n"/>
      <c r="Q928" s="47" t="n"/>
      <c r="R928" s="47" t="n"/>
      <c r="S928" s="47" t="n"/>
      <c r="T928" s="47" t="n"/>
      <c r="U928" s="47" t="n"/>
      <c r="V928" s="47" t="n"/>
      <c r="W928" s="47" t="n"/>
      <c r="X928" s="47" t="n"/>
      <c r="Y928" s="47" t="n"/>
      <c r="Z928" s="47" t="n"/>
    </row>
    <row r="929">
      <c r="A929" s="47" t="n"/>
      <c r="B929" s="48" t="n"/>
      <c r="C929" s="47" t="n"/>
      <c r="D929" s="47" t="n"/>
      <c r="E929" s="47" t="n"/>
      <c r="F929" s="47" t="n"/>
      <c r="G929" s="47" t="n"/>
      <c r="H929" s="47" t="n"/>
      <c r="I929" s="47" t="n"/>
      <c r="J929" s="47" t="n"/>
      <c r="M929" s="47" t="n"/>
      <c r="N929" s="47" t="n"/>
      <c r="O929" s="47" t="n"/>
      <c r="P929" s="47" t="n"/>
      <c r="Q929" s="47" t="n"/>
      <c r="R929" s="47" t="n"/>
      <c r="S929" s="47" t="n"/>
      <c r="T929" s="47" t="n"/>
      <c r="U929" s="47" t="n"/>
      <c r="V929" s="47" t="n"/>
      <c r="W929" s="47" t="n"/>
      <c r="X929" s="47" t="n"/>
      <c r="Y929" s="47" t="n"/>
      <c r="Z929" s="47" t="n"/>
    </row>
    <row r="930">
      <c r="A930" s="47" t="n"/>
      <c r="B930" s="48" t="n"/>
      <c r="C930" s="47" t="n"/>
      <c r="D930" s="47" t="n"/>
      <c r="E930" s="47" t="n"/>
      <c r="F930" s="47" t="n"/>
      <c r="G930" s="47" t="n"/>
      <c r="H930" s="47" t="n"/>
      <c r="I930" s="47" t="n"/>
      <c r="J930" s="47" t="n"/>
      <c r="M930" s="47" t="n"/>
      <c r="N930" s="47" t="n"/>
      <c r="O930" s="47" t="n"/>
      <c r="P930" s="47" t="n"/>
      <c r="Q930" s="47" t="n"/>
      <c r="R930" s="47" t="n"/>
      <c r="S930" s="47" t="n"/>
      <c r="T930" s="47" t="n"/>
      <c r="U930" s="47" t="n"/>
      <c r="V930" s="47" t="n"/>
      <c r="W930" s="47" t="n"/>
      <c r="X930" s="47" t="n"/>
      <c r="Y930" s="47" t="n"/>
      <c r="Z930" s="47" t="n"/>
    </row>
    <row r="931">
      <c r="A931" s="47" t="n"/>
      <c r="B931" s="48" t="n"/>
      <c r="C931" s="47" t="n"/>
      <c r="D931" s="47" t="n"/>
      <c r="E931" s="47" t="n"/>
      <c r="F931" s="47" t="n"/>
      <c r="G931" s="47" t="n"/>
      <c r="H931" s="47" t="n"/>
      <c r="I931" s="47" t="n"/>
      <c r="J931" s="47" t="n"/>
      <c r="M931" s="47" t="n"/>
      <c r="N931" s="47" t="n"/>
      <c r="O931" s="47" t="n"/>
      <c r="P931" s="47" t="n"/>
      <c r="Q931" s="47" t="n"/>
      <c r="R931" s="47" t="n"/>
      <c r="S931" s="47" t="n"/>
      <c r="T931" s="47" t="n"/>
      <c r="U931" s="47" t="n"/>
      <c r="V931" s="47" t="n"/>
      <c r="W931" s="47" t="n"/>
      <c r="X931" s="47" t="n"/>
      <c r="Y931" s="47" t="n"/>
      <c r="Z931" s="47" t="n"/>
    </row>
    <row r="932">
      <c r="A932" s="47" t="n"/>
      <c r="B932" s="48" t="n"/>
      <c r="C932" s="47" t="n"/>
      <c r="D932" s="47" t="n"/>
      <c r="E932" s="47" t="n"/>
      <c r="F932" s="47" t="n"/>
      <c r="G932" s="47" t="n"/>
      <c r="H932" s="47" t="n"/>
      <c r="I932" s="47" t="n"/>
      <c r="J932" s="47" t="n"/>
      <c r="M932" s="47" t="n"/>
      <c r="N932" s="47" t="n"/>
      <c r="O932" s="47" t="n"/>
      <c r="P932" s="47" t="n"/>
      <c r="Q932" s="47" t="n"/>
      <c r="R932" s="47" t="n"/>
      <c r="S932" s="47" t="n"/>
      <c r="T932" s="47" t="n"/>
      <c r="U932" s="47" t="n"/>
      <c r="V932" s="47" t="n"/>
      <c r="W932" s="47" t="n"/>
      <c r="X932" s="47" t="n"/>
      <c r="Y932" s="47" t="n"/>
      <c r="Z932" s="47" t="n"/>
    </row>
    <row r="933">
      <c r="A933" s="47" t="n"/>
      <c r="B933" s="48" t="n"/>
      <c r="C933" s="47" t="n"/>
      <c r="D933" s="47" t="n"/>
      <c r="E933" s="47" t="n"/>
      <c r="F933" s="47" t="n"/>
      <c r="G933" s="47" t="n"/>
      <c r="H933" s="47" t="n"/>
      <c r="I933" s="47" t="n"/>
      <c r="J933" s="47" t="n"/>
      <c r="M933" s="47" t="n"/>
      <c r="N933" s="47" t="n"/>
      <c r="O933" s="47" t="n"/>
      <c r="P933" s="47" t="n"/>
      <c r="Q933" s="47" t="n"/>
      <c r="R933" s="47" t="n"/>
      <c r="S933" s="47" t="n"/>
      <c r="T933" s="47" t="n"/>
      <c r="U933" s="47" t="n"/>
      <c r="V933" s="47" t="n"/>
      <c r="W933" s="47" t="n"/>
      <c r="X933" s="47" t="n"/>
      <c r="Y933" s="47" t="n"/>
      <c r="Z933" s="47" t="n"/>
    </row>
    <row r="934">
      <c r="A934" s="47" t="n"/>
      <c r="B934" s="48" t="n"/>
      <c r="C934" s="47" t="n"/>
      <c r="D934" s="47" t="n"/>
      <c r="E934" s="47" t="n"/>
      <c r="F934" s="47" t="n"/>
      <c r="G934" s="47" t="n"/>
      <c r="H934" s="47" t="n"/>
      <c r="I934" s="47" t="n"/>
      <c r="J934" s="47" t="n"/>
      <c r="M934" s="47" t="n"/>
      <c r="N934" s="47" t="n"/>
      <c r="O934" s="47" t="n"/>
      <c r="P934" s="47" t="n"/>
      <c r="Q934" s="47" t="n"/>
      <c r="R934" s="47" t="n"/>
      <c r="S934" s="47" t="n"/>
      <c r="T934" s="47" t="n"/>
      <c r="U934" s="47" t="n"/>
      <c r="V934" s="47" t="n"/>
      <c r="W934" s="47" t="n"/>
      <c r="X934" s="47" t="n"/>
      <c r="Y934" s="47" t="n"/>
      <c r="Z934" s="47" t="n"/>
    </row>
    <row r="935">
      <c r="A935" s="47" t="n"/>
      <c r="B935" s="48" t="n"/>
      <c r="C935" s="47" t="n"/>
      <c r="D935" s="47" t="n"/>
      <c r="E935" s="47" t="n"/>
      <c r="F935" s="47" t="n"/>
      <c r="G935" s="47" t="n"/>
      <c r="H935" s="47" t="n"/>
      <c r="I935" s="47" t="n"/>
      <c r="J935" s="47" t="n"/>
      <c r="M935" s="47" t="n"/>
      <c r="N935" s="47" t="n"/>
      <c r="O935" s="47" t="n"/>
      <c r="P935" s="47" t="n"/>
      <c r="Q935" s="47" t="n"/>
      <c r="R935" s="47" t="n"/>
      <c r="S935" s="47" t="n"/>
      <c r="T935" s="47" t="n"/>
      <c r="U935" s="47" t="n"/>
      <c r="V935" s="47" t="n"/>
      <c r="W935" s="47" t="n"/>
      <c r="X935" s="47" t="n"/>
      <c r="Y935" s="47" t="n"/>
      <c r="Z935" s="47" t="n"/>
    </row>
    <row r="936">
      <c r="A936" s="47" t="n"/>
      <c r="B936" s="48" t="n"/>
      <c r="C936" s="47" t="n"/>
      <c r="D936" s="47" t="n"/>
      <c r="E936" s="47" t="n"/>
      <c r="F936" s="47" t="n"/>
      <c r="G936" s="47" t="n"/>
      <c r="H936" s="47" t="n"/>
      <c r="I936" s="47" t="n"/>
      <c r="J936" s="47" t="n"/>
      <c r="M936" s="47" t="n"/>
      <c r="N936" s="47" t="n"/>
      <c r="O936" s="47" t="n"/>
      <c r="P936" s="47" t="n"/>
      <c r="Q936" s="47" t="n"/>
      <c r="R936" s="47" t="n"/>
      <c r="S936" s="47" t="n"/>
      <c r="T936" s="47" t="n"/>
      <c r="U936" s="47" t="n"/>
      <c r="V936" s="47" t="n"/>
      <c r="W936" s="47" t="n"/>
      <c r="X936" s="47" t="n"/>
      <c r="Y936" s="47" t="n"/>
      <c r="Z936" s="47" t="n"/>
    </row>
    <row r="937">
      <c r="A937" s="47" t="n"/>
      <c r="B937" s="48" t="n"/>
      <c r="C937" s="47" t="n"/>
      <c r="D937" s="47" t="n"/>
      <c r="E937" s="47" t="n"/>
      <c r="F937" s="47" t="n"/>
      <c r="G937" s="47" t="n"/>
      <c r="H937" s="47" t="n"/>
      <c r="I937" s="47" t="n"/>
      <c r="J937" s="47" t="n"/>
      <c r="M937" s="47" t="n"/>
      <c r="N937" s="47" t="n"/>
      <c r="O937" s="47" t="n"/>
      <c r="P937" s="47" t="n"/>
      <c r="Q937" s="47" t="n"/>
      <c r="R937" s="47" t="n"/>
      <c r="S937" s="47" t="n"/>
      <c r="T937" s="47" t="n"/>
      <c r="U937" s="47" t="n"/>
      <c r="V937" s="47" t="n"/>
      <c r="W937" s="47" t="n"/>
      <c r="X937" s="47" t="n"/>
      <c r="Y937" s="47" t="n"/>
      <c r="Z937" s="47" t="n"/>
    </row>
    <row r="938">
      <c r="A938" s="47" t="n"/>
      <c r="B938" s="48" t="n"/>
      <c r="C938" s="47" t="n"/>
      <c r="D938" s="47" t="n"/>
      <c r="E938" s="47" t="n"/>
      <c r="F938" s="47" t="n"/>
      <c r="G938" s="47" t="n"/>
      <c r="H938" s="47" t="n"/>
      <c r="I938" s="47" t="n"/>
      <c r="J938" s="47" t="n"/>
      <c r="M938" s="47" t="n"/>
      <c r="N938" s="47" t="n"/>
      <c r="O938" s="47" t="n"/>
      <c r="P938" s="47" t="n"/>
      <c r="Q938" s="47" t="n"/>
      <c r="R938" s="47" t="n"/>
      <c r="S938" s="47" t="n"/>
      <c r="T938" s="47" t="n"/>
      <c r="U938" s="47" t="n"/>
      <c r="V938" s="47" t="n"/>
      <c r="W938" s="47" t="n"/>
      <c r="X938" s="47" t="n"/>
      <c r="Y938" s="47" t="n"/>
      <c r="Z938" s="47" t="n"/>
    </row>
    <row r="939">
      <c r="A939" s="47" t="n"/>
      <c r="B939" s="48" t="n"/>
      <c r="C939" s="47" t="n"/>
      <c r="D939" s="47" t="n"/>
      <c r="E939" s="47" t="n"/>
      <c r="F939" s="47" t="n"/>
      <c r="G939" s="47" t="n"/>
      <c r="H939" s="47" t="n"/>
      <c r="I939" s="47" t="n"/>
      <c r="J939" s="47" t="n"/>
      <c r="M939" s="47" t="n"/>
      <c r="N939" s="47" t="n"/>
      <c r="O939" s="47" t="n"/>
      <c r="P939" s="47" t="n"/>
      <c r="Q939" s="47" t="n"/>
      <c r="R939" s="47" t="n"/>
      <c r="S939" s="47" t="n"/>
      <c r="T939" s="47" t="n"/>
      <c r="U939" s="47" t="n"/>
      <c r="V939" s="47" t="n"/>
      <c r="W939" s="47" t="n"/>
      <c r="X939" s="47" t="n"/>
      <c r="Y939" s="47" t="n"/>
      <c r="Z939" s="47" t="n"/>
    </row>
    <row r="940">
      <c r="A940" s="47" t="n"/>
      <c r="B940" s="48" t="n"/>
      <c r="C940" s="47" t="n"/>
      <c r="D940" s="47" t="n"/>
      <c r="E940" s="47" t="n"/>
      <c r="F940" s="47" t="n"/>
      <c r="G940" s="47" t="n"/>
      <c r="H940" s="47" t="n"/>
      <c r="I940" s="47" t="n"/>
      <c r="J940" s="47" t="n"/>
      <c r="M940" s="47" t="n"/>
      <c r="N940" s="47" t="n"/>
      <c r="O940" s="47" t="n"/>
      <c r="P940" s="47" t="n"/>
      <c r="Q940" s="47" t="n"/>
      <c r="R940" s="47" t="n"/>
      <c r="S940" s="47" t="n"/>
      <c r="T940" s="47" t="n"/>
      <c r="U940" s="47" t="n"/>
      <c r="V940" s="47" t="n"/>
      <c r="W940" s="47" t="n"/>
      <c r="X940" s="47" t="n"/>
      <c r="Y940" s="47" t="n"/>
      <c r="Z940" s="47" t="n"/>
    </row>
    <row r="941">
      <c r="A941" s="47" t="n"/>
      <c r="B941" s="48" t="n"/>
      <c r="C941" s="47" t="n"/>
      <c r="D941" s="47" t="n"/>
      <c r="E941" s="47" t="n"/>
      <c r="F941" s="47" t="n"/>
      <c r="G941" s="47" t="n"/>
      <c r="H941" s="47" t="n"/>
      <c r="I941" s="47" t="n"/>
      <c r="J941" s="47" t="n"/>
      <c r="M941" s="47" t="n"/>
      <c r="N941" s="47" t="n"/>
      <c r="O941" s="47" t="n"/>
      <c r="P941" s="47" t="n"/>
      <c r="Q941" s="47" t="n"/>
      <c r="R941" s="47" t="n"/>
      <c r="S941" s="47" t="n"/>
      <c r="T941" s="47" t="n"/>
      <c r="U941" s="47" t="n"/>
      <c r="V941" s="47" t="n"/>
      <c r="W941" s="47" t="n"/>
      <c r="X941" s="47" t="n"/>
      <c r="Y941" s="47" t="n"/>
      <c r="Z941" s="47" t="n"/>
    </row>
    <row r="942">
      <c r="A942" s="47" t="n"/>
      <c r="B942" s="48" t="n"/>
      <c r="C942" s="47" t="n"/>
      <c r="D942" s="47" t="n"/>
      <c r="E942" s="47" t="n"/>
      <c r="F942" s="47" t="n"/>
      <c r="G942" s="47" t="n"/>
      <c r="H942" s="47" t="n"/>
      <c r="I942" s="47" t="n"/>
      <c r="J942" s="47" t="n"/>
      <c r="M942" s="47" t="n"/>
      <c r="N942" s="47" t="n"/>
      <c r="O942" s="47" t="n"/>
      <c r="P942" s="47" t="n"/>
      <c r="Q942" s="47" t="n"/>
      <c r="R942" s="47" t="n"/>
      <c r="S942" s="47" t="n"/>
      <c r="T942" s="47" t="n"/>
      <c r="U942" s="47" t="n"/>
      <c r="V942" s="47" t="n"/>
      <c r="W942" s="47" t="n"/>
      <c r="X942" s="47" t="n"/>
      <c r="Y942" s="47" t="n"/>
      <c r="Z942" s="47" t="n"/>
    </row>
    <row r="943">
      <c r="A943" s="47" t="n"/>
      <c r="B943" s="48" t="n"/>
      <c r="C943" s="47" t="n"/>
      <c r="D943" s="47" t="n"/>
      <c r="E943" s="47" t="n"/>
      <c r="F943" s="47" t="n"/>
      <c r="G943" s="47" t="n"/>
      <c r="H943" s="47" t="n"/>
      <c r="I943" s="47" t="n"/>
      <c r="J943" s="47" t="n"/>
      <c r="M943" s="47" t="n"/>
      <c r="N943" s="47" t="n"/>
      <c r="O943" s="47" t="n"/>
      <c r="P943" s="47" t="n"/>
      <c r="Q943" s="47" t="n"/>
      <c r="R943" s="47" t="n"/>
      <c r="S943" s="47" t="n"/>
      <c r="T943" s="47" t="n"/>
      <c r="U943" s="47" t="n"/>
      <c r="V943" s="47" t="n"/>
      <c r="W943" s="47" t="n"/>
      <c r="X943" s="47" t="n"/>
      <c r="Y943" s="47" t="n"/>
      <c r="Z943" s="47" t="n"/>
    </row>
    <row r="944">
      <c r="A944" s="47" t="n"/>
      <c r="B944" s="48" t="n"/>
      <c r="C944" s="47" t="n"/>
      <c r="D944" s="47" t="n"/>
      <c r="E944" s="47" t="n"/>
      <c r="F944" s="47" t="n"/>
      <c r="G944" s="47" t="n"/>
      <c r="H944" s="47" t="n"/>
      <c r="I944" s="47" t="n"/>
      <c r="J944" s="47" t="n"/>
      <c r="M944" s="47" t="n"/>
      <c r="N944" s="47" t="n"/>
      <c r="O944" s="47" t="n"/>
      <c r="P944" s="47" t="n"/>
      <c r="Q944" s="47" t="n"/>
      <c r="R944" s="47" t="n"/>
      <c r="S944" s="47" t="n"/>
      <c r="T944" s="47" t="n"/>
      <c r="U944" s="47" t="n"/>
      <c r="V944" s="47" t="n"/>
      <c r="W944" s="47" t="n"/>
      <c r="X944" s="47" t="n"/>
      <c r="Y944" s="47" t="n"/>
      <c r="Z944" s="47" t="n"/>
    </row>
    <row r="945">
      <c r="A945" s="47" t="n"/>
      <c r="B945" s="48" t="n"/>
      <c r="C945" s="47" t="n"/>
      <c r="D945" s="47" t="n"/>
      <c r="E945" s="47" t="n"/>
      <c r="F945" s="47" t="n"/>
      <c r="G945" s="47" t="n"/>
      <c r="H945" s="47" t="n"/>
      <c r="I945" s="47" t="n"/>
      <c r="J945" s="47" t="n"/>
      <c r="M945" s="47" t="n"/>
      <c r="N945" s="47" t="n"/>
      <c r="O945" s="47" t="n"/>
      <c r="P945" s="47" t="n"/>
      <c r="Q945" s="47" t="n"/>
      <c r="R945" s="47" t="n"/>
      <c r="S945" s="47" t="n"/>
      <c r="T945" s="47" t="n"/>
      <c r="U945" s="47" t="n"/>
      <c r="V945" s="47" t="n"/>
      <c r="W945" s="47" t="n"/>
      <c r="X945" s="47" t="n"/>
      <c r="Y945" s="47" t="n"/>
      <c r="Z945" s="47" t="n"/>
    </row>
    <row r="946">
      <c r="A946" s="47" t="n"/>
      <c r="B946" s="48" t="n"/>
      <c r="C946" s="47" t="n"/>
      <c r="D946" s="47" t="n"/>
      <c r="E946" s="47" t="n"/>
      <c r="F946" s="47" t="n"/>
      <c r="G946" s="47" t="n"/>
      <c r="H946" s="47" t="n"/>
      <c r="I946" s="47" t="n"/>
      <c r="J946" s="47" t="n"/>
      <c r="M946" s="47" t="n"/>
      <c r="N946" s="47" t="n"/>
      <c r="O946" s="47" t="n"/>
      <c r="P946" s="47" t="n"/>
      <c r="Q946" s="47" t="n"/>
      <c r="R946" s="47" t="n"/>
      <c r="S946" s="47" t="n"/>
      <c r="T946" s="47" t="n"/>
      <c r="U946" s="47" t="n"/>
      <c r="V946" s="47" t="n"/>
      <c r="W946" s="47" t="n"/>
      <c r="X946" s="47" t="n"/>
      <c r="Y946" s="47" t="n"/>
      <c r="Z946" s="47" t="n"/>
    </row>
    <row r="947">
      <c r="A947" s="47" t="n"/>
      <c r="B947" s="48" t="n"/>
      <c r="C947" s="47" t="n"/>
      <c r="D947" s="47" t="n"/>
      <c r="E947" s="47" t="n"/>
      <c r="F947" s="47" t="n"/>
      <c r="G947" s="47" t="n"/>
      <c r="H947" s="47" t="n"/>
      <c r="I947" s="47" t="n"/>
      <c r="J947" s="47" t="n"/>
      <c r="M947" s="47" t="n"/>
      <c r="N947" s="47" t="n"/>
      <c r="O947" s="47" t="n"/>
      <c r="P947" s="47" t="n"/>
      <c r="Q947" s="47" t="n"/>
      <c r="R947" s="47" t="n"/>
      <c r="S947" s="47" t="n"/>
      <c r="T947" s="47" t="n"/>
      <c r="U947" s="47" t="n"/>
      <c r="V947" s="47" t="n"/>
      <c r="W947" s="47" t="n"/>
      <c r="X947" s="47" t="n"/>
      <c r="Y947" s="47" t="n"/>
      <c r="Z947" s="47" t="n"/>
    </row>
    <row r="948">
      <c r="A948" s="47" t="n"/>
      <c r="B948" s="48" t="n"/>
      <c r="C948" s="47" t="n"/>
      <c r="D948" s="47" t="n"/>
      <c r="E948" s="47" t="n"/>
      <c r="F948" s="47" t="n"/>
      <c r="G948" s="47" t="n"/>
      <c r="H948" s="47" t="n"/>
      <c r="I948" s="47" t="n"/>
      <c r="J948" s="47" t="n"/>
      <c r="M948" s="47" t="n"/>
      <c r="N948" s="47" t="n"/>
      <c r="O948" s="47" t="n"/>
      <c r="P948" s="47" t="n"/>
      <c r="Q948" s="47" t="n"/>
      <c r="R948" s="47" t="n"/>
      <c r="S948" s="47" t="n"/>
      <c r="T948" s="47" t="n"/>
      <c r="U948" s="47" t="n"/>
      <c r="V948" s="47" t="n"/>
      <c r="W948" s="47" t="n"/>
      <c r="X948" s="47" t="n"/>
      <c r="Y948" s="47" t="n"/>
      <c r="Z948" s="47" t="n"/>
    </row>
    <row r="949">
      <c r="A949" s="47" t="n"/>
      <c r="B949" s="48" t="n"/>
      <c r="C949" s="47" t="n"/>
      <c r="D949" s="47" t="n"/>
      <c r="E949" s="47" t="n"/>
      <c r="F949" s="47" t="n"/>
      <c r="G949" s="47" t="n"/>
      <c r="H949" s="47" t="n"/>
      <c r="I949" s="47" t="n"/>
      <c r="J949" s="47" t="n"/>
      <c r="M949" s="47" t="n"/>
      <c r="N949" s="47" t="n"/>
      <c r="O949" s="47" t="n"/>
      <c r="P949" s="47" t="n"/>
      <c r="Q949" s="47" t="n"/>
      <c r="R949" s="47" t="n"/>
      <c r="S949" s="47" t="n"/>
      <c r="T949" s="47" t="n"/>
      <c r="U949" s="47" t="n"/>
      <c r="V949" s="47" t="n"/>
      <c r="W949" s="47" t="n"/>
      <c r="X949" s="47" t="n"/>
      <c r="Y949" s="47" t="n"/>
      <c r="Z949" s="47" t="n"/>
    </row>
    <row r="950">
      <c r="A950" s="47" t="n"/>
      <c r="B950" s="48" t="n"/>
      <c r="C950" s="47" t="n"/>
      <c r="D950" s="47" t="n"/>
      <c r="E950" s="47" t="n"/>
      <c r="F950" s="47" t="n"/>
      <c r="G950" s="47" t="n"/>
      <c r="H950" s="47" t="n"/>
      <c r="I950" s="47" t="n"/>
      <c r="J950" s="47" t="n"/>
      <c r="M950" s="47" t="n"/>
      <c r="N950" s="47" t="n"/>
      <c r="O950" s="47" t="n"/>
      <c r="P950" s="47" t="n"/>
      <c r="Q950" s="47" t="n"/>
      <c r="R950" s="47" t="n"/>
      <c r="S950" s="47" t="n"/>
      <c r="T950" s="47" t="n"/>
      <c r="U950" s="47" t="n"/>
      <c r="V950" s="47" t="n"/>
      <c r="W950" s="47" t="n"/>
      <c r="X950" s="47" t="n"/>
      <c r="Y950" s="47" t="n"/>
      <c r="Z950" s="47" t="n"/>
    </row>
    <row r="951">
      <c r="A951" s="47" t="n"/>
      <c r="B951" s="48" t="n"/>
      <c r="C951" s="47" t="n"/>
      <c r="D951" s="47" t="n"/>
      <c r="E951" s="47" t="n"/>
      <c r="F951" s="47" t="n"/>
      <c r="G951" s="47" t="n"/>
      <c r="H951" s="47" t="n"/>
      <c r="I951" s="47" t="n"/>
      <c r="J951" s="47" t="n"/>
      <c r="M951" s="47" t="n"/>
      <c r="N951" s="47" t="n"/>
      <c r="O951" s="47" t="n"/>
      <c r="P951" s="47" t="n"/>
      <c r="Q951" s="47" t="n"/>
      <c r="R951" s="47" t="n"/>
      <c r="S951" s="47" t="n"/>
      <c r="T951" s="47" t="n"/>
      <c r="U951" s="47" t="n"/>
      <c r="V951" s="47" t="n"/>
      <c r="W951" s="47" t="n"/>
      <c r="X951" s="47" t="n"/>
      <c r="Y951" s="47" t="n"/>
      <c r="Z951" s="47" t="n"/>
    </row>
    <row r="952">
      <c r="A952" s="47" t="n"/>
      <c r="B952" s="48" t="n"/>
      <c r="C952" s="47" t="n"/>
      <c r="D952" s="47" t="n"/>
      <c r="E952" s="47" t="n"/>
      <c r="F952" s="47" t="n"/>
      <c r="G952" s="47" t="n"/>
      <c r="H952" s="47" t="n"/>
      <c r="I952" s="47" t="n"/>
      <c r="J952" s="47" t="n"/>
      <c r="M952" s="47" t="n"/>
      <c r="N952" s="47" t="n"/>
      <c r="O952" s="47" t="n"/>
      <c r="P952" s="47" t="n"/>
      <c r="Q952" s="47" t="n"/>
      <c r="R952" s="47" t="n"/>
      <c r="S952" s="47" t="n"/>
      <c r="T952" s="47" t="n"/>
      <c r="U952" s="47" t="n"/>
      <c r="V952" s="47" t="n"/>
      <c r="W952" s="47" t="n"/>
      <c r="X952" s="47" t="n"/>
      <c r="Y952" s="47" t="n"/>
      <c r="Z952" s="47" t="n"/>
    </row>
    <row r="953">
      <c r="A953" s="47" t="n"/>
      <c r="B953" s="48" t="n"/>
      <c r="C953" s="47" t="n"/>
      <c r="D953" s="47" t="n"/>
      <c r="E953" s="47" t="n"/>
      <c r="F953" s="47" t="n"/>
      <c r="G953" s="47" t="n"/>
      <c r="H953" s="47" t="n"/>
      <c r="I953" s="47" t="n"/>
      <c r="J953" s="47" t="n"/>
      <c r="M953" s="47" t="n"/>
      <c r="N953" s="47" t="n"/>
      <c r="O953" s="47" t="n"/>
      <c r="P953" s="47" t="n"/>
      <c r="Q953" s="47" t="n"/>
      <c r="R953" s="47" t="n"/>
      <c r="S953" s="47" t="n"/>
      <c r="T953" s="47" t="n"/>
      <c r="U953" s="47" t="n"/>
      <c r="V953" s="47" t="n"/>
      <c r="W953" s="47" t="n"/>
      <c r="X953" s="47" t="n"/>
      <c r="Y953" s="47" t="n"/>
      <c r="Z953" s="47" t="n"/>
    </row>
    <row r="954">
      <c r="A954" s="47" t="n"/>
      <c r="B954" s="48" t="n"/>
      <c r="C954" s="47" t="n"/>
      <c r="D954" s="47" t="n"/>
      <c r="E954" s="47" t="n"/>
      <c r="F954" s="47" t="n"/>
      <c r="G954" s="47" t="n"/>
      <c r="H954" s="47" t="n"/>
      <c r="I954" s="47" t="n"/>
      <c r="J954" s="47" t="n"/>
      <c r="M954" s="47" t="n"/>
      <c r="N954" s="47" t="n"/>
      <c r="O954" s="47" t="n"/>
      <c r="P954" s="47" t="n"/>
      <c r="Q954" s="47" t="n"/>
      <c r="R954" s="47" t="n"/>
      <c r="S954" s="47" t="n"/>
      <c r="T954" s="47" t="n"/>
      <c r="U954" s="47" t="n"/>
      <c r="V954" s="47" t="n"/>
      <c r="W954" s="47" t="n"/>
      <c r="X954" s="47" t="n"/>
      <c r="Y954" s="47" t="n"/>
      <c r="Z954" s="47" t="n"/>
    </row>
    <row r="955">
      <c r="A955" s="47" t="n"/>
      <c r="B955" s="48" t="n"/>
      <c r="C955" s="47" t="n"/>
      <c r="D955" s="47" t="n"/>
      <c r="E955" s="47" t="n"/>
      <c r="F955" s="47" t="n"/>
      <c r="G955" s="47" t="n"/>
      <c r="H955" s="47" t="n"/>
      <c r="I955" s="47" t="n"/>
      <c r="J955" s="47" t="n"/>
      <c r="M955" s="47" t="n"/>
      <c r="N955" s="47" t="n"/>
      <c r="O955" s="47" t="n"/>
      <c r="P955" s="47" t="n"/>
      <c r="Q955" s="47" t="n"/>
      <c r="R955" s="47" t="n"/>
      <c r="S955" s="47" t="n"/>
      <c r="T955" s="47" t="n"/>
      <c r="U955" s="47" t="n"/>
      <c r="V955" s="47" t="n"/>
      <c r="W955" s="47" t="n"/>
      <c r="X955" s="47" t="n"/>
      <c r="Y955" s="47" t="n"/>
      <c r="Z955" s="47" t="n"/>
    </row>
    <row r="956">
      <c r="A956" s="47" t="n"/>
      <c r="B956" s="48" t="n"/>
      <c r="C956" s="47" t="n"/>
      <c r="D956" s="47" t="n"/>
      <c r="E956" s="47" t="n"/>
      <c r="F956" s="47" t="n"/>
      <c r="G956" s="47" t="n"/>
      <c r="H956" s="47" t="n"/>
      <c r="I956" s="47" t="n"/>
      <c r="J956" s="47" t="n"/>
      <c r="M956" s="47" t="n"/>
      <c r="N956" s="47" t="n"/>
      <c r="O956" s="47" t="n"/>
      <c r="P956" s="47" t="n"/>
      <c r="Q956" s="47" t="n"/>
      <c r="R956" s="47" t="n"/>
      <c r="S956" s="47" t="n"/>
      <c r="T956" s="47" t="n"/>
      <c r="U956" s="47" t="n"/>
      <c r="V956" s="47" t="n"/>
      <c r="W956" s="47" t="n"/>
      <c r="X956" s="47" t="n"/>
      <c r="Y956" s="47" t="n"/>
      <c r="Z956" s="47" t="n"/>
    </row>
    <row r="957">
      <c r="A957" s="47" t="n"/>
      <c r="B957" s="48" t="n"/>
      <c r="C957" s="47" t="n"/>
      <c r="D957" s="47" t="n"/>
      <c r="E957" s="47" t="n"/>
      <c r="F957" s="47" t="n"/>
      <c r="G957" s="47" t="n"/>
      <c r="H957" s="47" t="n"/>
      <c r="I957" s="47" t="n"/>
      <c r="J957" s="47" t="n"/>
      <c r="M957" s="47" t="n"/>
      <c r="N957" s="47" t="n"/>
      <c r="O957" s="47" t="n"/>
      <c r="P957" s="47" t="n"/>
      <c r="Q957" s="47" t="n"/>
      <c r="R957" s="47" t="n"/>
      <c r="S957" s="47" t="n"/>
      <c r="T957" s="47" t="n"/>
      <c r="U957" s="47" t="n"/>
      <c r="V957" s="47" t="n"/>
      <c r="W957" s="47" t="n"/>
      <c r="X957" s="47" t="n"/>
      <c r="Y957" s="47" t="n"/>
      <c r="Z957" s="47" t="n"/>
    </row>
    <row r="958">
      <c r="A958" s="47" t="n"/>
      <c r="B958" s="48" t="n"/>
      <c r="C958" s="47" t="n"/>
      <c r="D958" s="47" t="n"/>
      <c r="E958" s="47" t="n"/>
      <c r="F958" s="47" t="n"/>
      <c r="G958" s="47" t="n"/>
      <c r="H958" s="47" t="n"/>
      <c r="I958" s="47" t="n"/>
      <c r="J958" s="47" t="n"/>
      <c r="M958" s="47" t="n"/>
      <c r="N958" s="47" t="n"/>
      <c r="O958" s="47" t="n"/>
      <c r="P958" s="47" t="n"/>
      <c r="Q958" s="47" t="n"/>
      <c r="R958" s="47" t="n"/>
      <c r="S958" s="47" t="n"/>
      <c r="T958" s="47" t="n"/>
      <c r="U958" s="47" t="n"/>
      <c r="V958" s="47" t="n"/>
      <c r="W958" s="47" t="n"/>
      <c r="X958" s="47" t="n"/>
      <c r="Y958" s="47" t="n"/>
      <c r="Z958" s="47" t="n"/>
    </row>
    <row r="959">
      <c r="A959" s="47" t="n"/>
      <c r="B959" s="48" t="n"/>
      <c r="C959" s="47" t="n"/>
      <c r="D959" s="47" t="n"/>
      <c r="E959" s="47" t="n"/>
      <c r="F959" s="47" t="n"/>
      <c r="G959" s="47" t="n"/>
      <c r="H959" s="47" t="n"/>
      <c r="I959" s="47" t="n"/>
      <c r="J959" s="47" t="n"/>
      <c r="M959" s="47" t="n"/>
      <c r="N959" s="47" t="n"/>
      <c r="O959" s="47" t="n"/>
      <c r="P959" s="47" t="n"/>
      <c r="Q959" s="47" t="n"/>
      <c r="R959" s="47" t="n"/>
      <c r="S959" s="47" t="n"/>
      <c r="T959" s="47" t="n"/>
      <c r="U959" s="47" t="n"/>
      <c r="V959" s="47" t="n"/>
      <c r="W959" s="47" t="n"/>
      <c r="X959" s="47" t="n"/>
      <c r="Y959" s="47" t="n"/>
      <c r="Z959" s="47" t="n"/>
    </row>
    <row r="960">
      <c r="A960" s="47" t="n"/>
      <c r="B960" s="48" t="n"/>
      <c r="C960" s="47" t="n"/>
      <c r="D960" s="47" t="n"/>
      <c r="E960" s="47" t="n"/>
      <c r="F960" s="47" t="n"/>
      <c r="G960" s="47" t="n"/>
      <c r="H960" s="47" t="n"/>
      <c r="I960" s="47" t="n"/>
      <c r="J960" s="47" t="n"/>
      <c r="M960" s="47" t="n"/>
      <c r="N960" s="47" t="n"/>
      <c r="O960" s="47" t="n"/>
      <c r="P960" s="47" t="n"/>
      <c r="Q960" s="47" t="n"/>
      <c r="R960" s="47" t="n"/>
      <c r="S960" s="47" t="n"/>
      <c r="T960" s="47" t="n"/>
      <c r="U960" s="47" t="n"/>
      <c r="V960" s="47" t="n"/>
      <c r="W960" s="47" t="n"/>
      <c r="X960" s="47" t="n"/>
      <c r="Y960" s="47" t="n"/>
      <c r="Z960" s="47" t="n"/>
    </row>
    <row r="961">
      <c r="A961" s="47" t="n"/>
      <c r="B961" s="48" t="n"/>
      <c r="C961" s="47" t="n"/>
      <c r="D961" s="47" t="n"/>
      <c r="E961" s="47" t="n"/>
      <c r="F961" s="47" t="n"/>
      <c r="G961" s="47" t="n"/>
      <c r="H961" s="47" t="n"/>
      <c r="I961" s="47" t="n"/>
      <c r="J961" s="47" t="n"/>
      <c r="M961" s="47" t="n"/>
      <c r="N961" s="47" t="n"/>
      <c r="O961" s="47" t="n"/>
      <c r="P961" s="47" t="n"/>
      <c r="Q961" s="47" t="n"/>
      <c r="R961" s="47" t="n"/>
      <c r="S961" s="47" t="n"/>
      <c r="T961" s="47" t="n"/>
      <c r="U961" s="47" t="n"/>
      <c r="V961" s="47" t="n"/>
      <c r="W961" s="47" t="n"/>
      <c r="X961" s="47" t="n"/>
      <c r="Y961" s="47" t="n"/>
      <c r="Z961" s="47" t="n"/>
    </row>
    <row r="962">
      <c r="A962" s="47" t="n"/>
      <c r="B962" s="48" t="n"/>
      <c r="C962" s="47" t="n"/>
      <c r="D962" s="47" t="n"/>
      <c r="E962" s="47" t="n"/>
      <c r="F962" s="47" t="n"/>
      <c r="G962" s="47" t="n"/>
      <c r="H962" s="47" t="n"/>
      <c r="I962" s="47" t="n"/>
      <c r="J962" s="47" t="n"/>
      <c r="M962" s="47" t="n"/>
      <c r="N962" s="47" t="n"/>
      <c r="O962" s="47" t="n"/>
      <c r="P962" s="47" t="n"/>
      <c r="Q962" s="47" t="n"/>
      <c r="R962" s="47" t="n"/>
      <c r="S962" s="47" t="n"/>
      <c r="T962" s="47" t="n"/>
      <c r="U962" s="47" t="n"/>
      <c r="V962" s="47" t="n"/>
      <c r="W962" s="47" t="n"/>
      <c r="X962" s="47" t="n"/>
      <c r="Y962" s="47" t="n"/>
      <c r="Z962" s="47" t="n"/>
    </row>
    <row r="963">
      <c r="A963" s="47" t="n"/>
      <c r="B963" s="48" t="n"/>
      <c r="C963" s="47" t="n"/>
      <c r="D963" s="47" t="n"/>
      <c r="E963" s="47" t="n"/>
      <c r="F963" s="47" t="n"/>
      <c r="G963" s="47" t="n"/>
      <c r="H963" s="47" t="n"/>
      <c r="I963" s="47" t="n"/>
      <c r="J963" s="47" t="n"/>
      <c r="M963" s="47" t="n"/>
      <c r="N963" s="47" t="n"/>
      <c r="O963" s="47" t="n"/>
      <c r="P963" s="47" t="n"/>
      <c r="Q963" s="47" t="n"/>
      <c r="R963" s="47" t="n"/>
      <c r="S963" s="47" t="n"/>
      <c r="T963" s="47" t="n"/>
      <c r="U963" s="47" t="n"/>
      <c r="V963" s="47" t="n"/>
      <c r="W963" s="47" t="n"/>
      <c r="X963" s="47" t="n"/>
      <c r="Y963" s="47" t="n"/>
      <c r="Z963" s="47" t="n"/>
    </row>
    <row r="964">
      <c r="A964" s="47" t="n"/>
      <c r="B964" s="48" t="n"/>
      <c r="C964" s="47" t="n"/>
      <c r="D964" s="47" t="n"/>
      <c r="E964" s="47" t="n"/>
      <c r="F964" s="47" t="n"/>
      <c r="G964" s="47" t="n"/>
      <c r="H964" s="47" t="n"/>
      <c r="I964" s="47" t="n"/>
      <c r="J964" s="47" t="n"/>
      <c r="M964" s="47" t="n"/>
      <c r="N964" s="47" t="n"/>
      <c r="O964" s="47" t="n"/>
      <c r="P964" s="47" t="n"/>
      <c r="Q964" s="47" t="n"/>
      <c r="R964" s="47" t="n"/>
      <c r="S964" s="47" t="n"/>
      <c r="T964" s="47" t="n"/>
      <c r="U964" s="47" t="n"/>
      <c r="V964" s="47" t="n"/>
      <c r="W964" s="47" t="n"/>
      <c r="X964" s="47" t="n"/>
      <c r="Y964" s="47" t="n"/>
      <c r="Z964" s="47" t="n"/>
    </row>
    <row r="965">
      <c r="A965" s="47" t="n"/>
      <c r="B965" s="48" t="n"/>
      <c r="C965" s="47" t="n"/>
      <c r="D965" s="47" t="n"/>
      <c r="E965" s="47" t="n"/>
      <c r="F965" s="47" t="n"/>
      <c r="G965" s="47" t="n"/>
      <c r="H965" s="47" t="n"/>
      <c r="I965" s="47" t="n"/>
      <c r="J965" s="47" t="n"/>
      <c r="M965" s="47" t="n"/>
      <c r="N965" s="47" t="n"/>
      <c r="O965" s="47" t="n"/>
      <c r="P965" s="47" t="n"/>
      <c r="Q965" s="47" t="n"/>
      <c r="R965" s="47" t="n"/>
      <c r="S965" s="47" t="n"/>
      <c r="T965" s="47" t="n"/>
      <c r="U965" s="47" t="n"/>
      <c r="V965" s="47" t="n"/>
      <c r="W965" s="47" t="n"/>
      <c r="X965" s="47" t="n"/>
      <c r="Y965" s="47" t="n"/>
      <c r="Z965" s="47" t="n"/>
    </row>
    <row r="966">
      <c r="A966" s="47" t="n"/>
      <c r="B966" s="48" t="n"/>
      <c r="C966" s="47" t="n"/>
      <c r="D966" s="47" t="n"/>
      <c r="E966" s="47" t="n"/>
      <c r="F966" s="47" t="n"/>
      <c r="G966" s="47" t="n"/>
      <c r="H966" s="47" t="n"/>
      <c r="I966" s="47" t="n"/>
      <c r="J966" s="47" t="n"/>
      <c r="M966" s="47" t="n"/>
      <c r="N966" s="47" t="n"/>
      <c r="O966" s="47" t="n"/>
      <c r="P966" s="47" t="n"/>
      <c r="Q966" s="47" t="n"/>
      <c r="R966" s="47" t="n"/>
      <c r="S966" s="47" t="n"/>
      <c r="T966" s="47" t="n"/>
      <c r="U966" s="47" t="n"/>
      <c r="V966" s="47" t="n"/>
      <c r="W966" s="47" t="n"/>
      <c r="X966" s="47" t="n"/>
      <c r="Y966" s="47" t="n"/>
      <c r="Z966" s="47" t="n"/>
    </row>
    <row r="967">
      <c r="A967" s="47" t="n"/>
      <c r="B967" s="48" t="n"/>
      <c r="C967" s="47" t="n"/>
      <c r="D967" s="47" t="n"/>
      <c r="E967" s="47" t="n"/>
      <c r="F967" s="47" t="n"/>
      <c r="G967" s="47" t="n"/>
      <c r="H967" s="47" t="n"/>
      <c r="I967" s="47" t="n"/>
      <c r="J967" s="47" t="n"/>
      <c r="M967" s="47" t="n"/>
      <c r="N967" s="47" t="n"/>
      <c r="O967" s="47" t="n"/>
      <c r="P967" s="47" t="n"/>
      <c r="Q967" s="47" t="n"/>
      <c r="R967" s="47" t="n"/>
      <c r="S967" s="47" t="n"/>
      <c r="T967" s="47" t="n"/>
      <c r="U967" s="47" t="n"/>
      <c r="V967" s="47" t="n"/>
      <c r="W967" s="47" t="n"/>
      <c r="X967" s="47" t="n"/>
      <c r="Y967" s="47" t="n"/>
      <c r="Z967" s="47" t="n"/>
    </row>
    <row r="968">
      <c r="A968" s="47" t="n"/>
      <c r="B968" s="48" t="n"/>
      <c r="C968" s="47" t="n"/>
      <c r="D968" s="47" t="n"/>
      <c r="E968" s="47" t="n"/>
      <c r="F968" s="47" t="n"/>
      <c r="G968" s="47" t="n"/>
      <c r="H968" s="47" t="n"/>
      <c r="I968" s="47" t="n"/>
      <c r="J968" s="47" t="n"/>
      <c r="M968" s="47" t="n"/>
      <c r="N968" s="47" t="n"/>
      <c r="O968" s="47" t="n"/>
      <c r="P968" s="47" t="n"/>
      <c r="Q968" s="47" t="n"/>
      <c r="R968" s="47" t="n"/>
      <c r="S968" s="47" t="n"/>
      <c r="T968" s="47" t="n"/>
      <c r="U968" s="47" t="n"/>
      <c r="V968" s="47" t="n"/>
      <c r="W968" s="47" t="n"/>
      <c r="X968" s="47" t="n"/>
      <c r="Y968" s="47" t="n"/>
      <c r="Z968" s="47" t="n"/>
    </row>
    <row r="969">
      <c r="A969" s="47" t="n"/>
      <c r="B969" s="48" t="n"/>
      <c r="C969" s="47" t="n"/>
      <c r="D969" s="47" t="n"/>
      <c r="E969" s="47" t="n"/>
      <c r="F969" s="47" t="n"/>
      <c r="G969" s="47" t="n"/>
      <c r="H969" s="47" t="n"/>
      <c r="I969" s="47" t="n"/>
      <c r="J969" s="47" t="n"/>
      <c r="M969" s="47" t="n"/>
      <c r="N969" s="47" t="n"/>
      <c r="O969" s="47" t="n"/>
      <c r="P969" s="47" t="n"/>
      <c r="Q969" s="47" t="n"/>
      <c r="R969" s="47" t="n"/>
      <c r="S969" s="47" t="n"/>
      <c r="T969" s="47" t="n"/>
      <c r="U969" s="47" t="n"/>
      <c r="V969" s="47" t="n"/>
      <c r="W969" s="47" t="n"/>
      <c r="X969" s="47" t="n"/>
      <c r="Y969" s="47" t="n"/>
      <c r="Z969" s="47" t="n"/>
    </row>
    <row r="970">
      <c r="A970" s="47" t="n"/>
      <c r="B970" s="48" t="n"/>
      <c r="C970" s="47" t="n"/>
      <c r="D970" s="47" t="n"/>
      <c r="E970" s="47" t="n"/>
      <c r="F970" s="47" t="n"/>
      <c r="G970" s="47" t="n"/>
      <c r="H970" s="47" t="n"/>
      <c r="I970" s="47" t="n"/>
      <c r="J970" s="47" t="n"/>
      <c r="M970" s="47" t="n"/>
      <c r="N970" s="47" t="n"/>
      <c r="O970" s="47" t="n"/>
      <c r="P970" s="47" t="n"/>
      <c r="Q970" s="47" t="n"/>
      <c r="R970" s="47" t="n"/>
      <c r="S970" s="47" t="n"/>
      <c r="T970" s="47" t="n"/>
      <c r="U970" s="47" t="n"/>
      <c r="V970" s="47" t="n"/>
      <c r="W970" s="47" t="n"/>
      <c r="X970" s="47" t="n"/>
      <c r="Y970" s="47" t="n"/>
      <c r="Z970" s="47" t="n"/>
    </row>
    <row r="971">
      <c r="A971" s="47" t="n"/>
      <c r="B971" s="48" t="n"/>
      <c r="C971" s="47" t="n"/>
      <c r="D971" s="47" t="n"/>
      <c r="E971" s="47" t="n"/>
      <c r="F971" s="47" t="n"/>
      <c r="G971" s="47" t="n"/>
      <c r="H971" s="47" t="n"/>
      <c r="I971" s="47" t="n"/>
      <c r="J971" s="47" t="n"/>
      <c r="M971" s="47" t="n"/>
      <c r="N971" s="47" t="n"/>
      <c r="O971" s="47" t="n"/>
      <c r="P971" s="47" t="n"/>
      <c r="Q971" s="47" t="n"/>
      <c r="R971" s="47" t="n"/>
      <c r="S971" s="47" t="n"/>
      <c r="T971" s="47" t="n"/>
      <c r="U971" s="47" t="n"/>
      <c r="V971" s="47" t="n"/>
      <c r="W971" s="47" t="n"/>
      <c r="X971" s="47" t="n"/>
      <c r="Y971" s="47" t="n"/>
      <c r="Z971" s="47" t="n"/>
    </row>
    <row r="972">
      <c r="A972" s="47" t="n"/>
      <c r="B972" s="48" t="n"/>
      <c r="C972" s="47" t="n"/>
      <c r="D972" s="47" t="n"/>
      <c r="E972" s="47" t="n"/>
      <c r="F972" s="47" t="n"/>
      <c r="G972" s="47" t="n"/>
      <c r="H972" s="47" t="n"/>
      <c r="I972" s="47" t="n"/>
      <c r="J972" s="47" t="n"/>
      <c r="M972" s="47" t="n"/>
      <c r="N972" s="47" t="n"/>
      <c r="O972" s="47" t="n"/>
      <c r="P972" s="47" t="n"/>
      <c r="Q972" s="47" t="n"/>
      <c r="R972" s="47" t="n"/>
      <c r="S972" s="47" t="n"/>
      <c r="T972" s="47" t="n"/>
      <c r="U972" s="47" t="n"/>
      <c r="V972" s="47" t="n"/>
      <c r="W972" s="47" t="n"/>
      <c r="X972" s="47" t="n"/>
      <c r="Y972" s="47" t="n"/>
      <c r="Z972" s="47" t="n"/>
    </row>
    <row r="973">
      <c r="A973" s="47" t="n"/>
      <c r="B973" s="48" t="n"/>
      <c r="C973" s="47" t="n"/>
      <c r="D973" s="47" t="n"/>
      <c r="E973" s="47" t="n"/>
      <c r="F973" s="47" t="n"/>
      <c r="G973" s="47" t="n"/>
      <c r="H973" s="47" t="n"/>
      <c r="I973" s="47" t="n"/>
      <c r="J973" s="47" t="n"/>
      <c r="M973" s="47" t="n"/>
      <c r="N973" s="47" t="n"/>
      <c r="O973" s="47" t="n"/>
      <c r="P973" s="47" t="n"/>
      <c r="Q973" s="47" t="n"/>
      <c r="R973" s="47" t="n"/>
      <c r="S973" s="47" t="n"/>
      <c r="T973" s="47" t="n"/>
      <c r="U973" s="47" t="n"/>
      <c r="V973" s="47" t="n"/>
      <c r="W973" s="47" t="n"/>
      <c r="X973" s="47" t="n"/>
      <c r="Y973" s="47" t="n"/>
      <c r="Z973" s="47" t="n"/>
    </row>
    <row r="974">
      <c r="A974" s="47" t="n"/>
      <c r="B974" s="48" t="n"/>
      <c r="C974" s="47" t="n"/>
      <c r="D974" s="47" t="n"/>
      <c r="E974" s="47" t="n"/>
      <c r="F974" s="47" t="n"/>
      <c r="G974" s="47" t="n"/>
      <c r="H974" s="47" t="n"/>
      <c r="I974" s="47" t="n"/>
      <c r="J974" s="47" t="n"/>
      <c r="M974" s="47" t="n"/>
      <c r="N974" s="47" t="n"/>
      <c r="O974" s="47" t="n"/>
      <c r="P974" s="47" t="n"/>
      <c r="Q974" s="47" t="n"/>
      <c r="R974" s="47" t="n"/>
      <c r="S974" s="47" t="n"/>
      <c r="T974" s="47" t="n"/>
      <c r="U974" s="47" t="n"/>
      <c r="V974" s="47" t="n"/>
      <c r="W974" s="47" t="n"/>
      <c r="X974" s="47" t="n"/>
      <c r="Y974" s="47" t="n"/>
      <c r="Z974" s="47" t="n"/>
    </row>
    <row r="975">
      <c r="A975" s="47" t="n"/>
      <c r="B975" s="48" t="n"/>
      <c r="C975" s="47" t="n"/>
      <c r="D975" s="47" t="n"/>
      <c r="E975" s="47" t="n"/>
      <c r="F975" s="47" t="n"/>
      <c r="G975" s="47" t="n"/>
      <c r="H975" s="47" t="n"/>
      <c r="I975" s="47" t="n"/>
      <c r="J975" s="47" t="n"/>
      <c r="M975" s="47" t="n"/>
      <c r="N975" s="47" t="n"/>
      <c r="O975" s="47" t="n"/>
      <c r="P975" s="47" t="n"/>
      <c r="Q975" s="47" t="n"/>
      <c r="R975" s="47" t="n"/>
      <c r="S975" s="47" t="n"/>
      <c r="T975" s="47" t="n"/>
      <c r="U975" s="47" t="n"/>
      <c r="V975" s="47" t="n"/>
      <c r="W975" s="47" t="n"/>
      <c r="X975" s="47" t="n"/>
      <c r="Y975" s="47" t="n"/>
      <c r="Z975" s="47" t="n"/>
    </row>
    <row r="976">
      <c r="A976" s="47" t="n"/>
      <c r="B976" s="48" t="n"/>
      <c r="C976" s="47" t="n"/>
      <c r="D976" s="47" t="n"/>
      <c r="E976" s="47" t="n"/>
      <c r="F976" s="47" t="n"/>
      <c r="G976" s="47" t="n"/>
      <c r="H976" s="47" t="n"/>
      <c r="I976" s="47" t="n"/>
      <c r="J976" s="47" t="n"/>
      <c r="M976" s="47" t="n"/>
      <c r="N976" s="47" t="n"/>
      <c r="O976" s="47" t="n"/>
      <c r="P976" s="47" t="n"/>
      <c r="Q976" s="47" t="n"/>
      <c r="R976" s="47" t="n"/>
      <c r="S976" s="47" t="n"/>
      <c r="T976" s="47" t="n"/>
      <c r="U976" s="47" t="n"/>
      <c r="V976" s="47" t="n"/>
      <c r="W976" s="47" t="n"/>
      <c r="X976" s="47" t="n"/>
      <c r="Y976" s="47" t="n"/>
      <c r="Z976" s="47" t="n"/>
    </row>
    <row r="977">
      <c r="A977" s="47" t="n"/>
      <c r="B977" s="48" t="n"/>
      <c r="C977" s="47" t="n"/>
      <c r="D977" s="47" t="n"/>
      <c r="E977" s="47" t="n"/>
      <c r="F977" s="47" t="n"/>
      <c r="G977" s="47" t="n"/>
      <c r="H977" s="47" t="n"/>
      <c r="I977" s="47" t="n"/>
      <c r="J977" s="47" t="n"/>
      <c r="M977" s="47" t="n"/>
      <c r="N977" s="47" t="n"/>
      <c r="O977" s="47" t="n"/>
      <c r="P977" s="47" t="n"/>
      <c r="Q977" s="47" t="n"/>
      <c r="R977" s="47" t="n"/>
      <c r="S977" s="47" t="n"/>
      <c r="T977" s="47" t="n"/>
      <c r="U977" s="47" t="n"/>
      <c r="V977" s="47" t="n"/>
      <c r="W977" s="47" t="n"/>
      <c r="X977" s="47" t="n"/>
      <c r="Y977" s="47" t="n"/>
      <c r="Z977" s="47" t="n"/>
    </row>
    <row r="978">
      <c r="A978" s="47" t="n"/>
      <c r="B978" s="48" t="n"/>
      <c r="C978" s="47" t="n"/>
      <c r="D978" s="47" t="n"/>
      <c r="E978" s="47" t="n"/>
      <c r="F978" s="47" t="n"/>
      <c r="G978" s="47" t="n"/>
      <c r="H978" s="47" t="n"/>
      <c r="I978" s="47" t="n"/>
      <c r="J978" s="47" t="n"/>
      <c r="M978" s="47" t="n"/>
      <c r="N978" s="47" t="n"/>
      <c r="O978" s="47" t="n"/>
      <c r="P978" s="47" t="n"/>
      <c r="Q978" s="47" t="n"/>
      <c r="R978" s="47" t="n"/>
      <c r="S978" s="47" t="n"/>
      <c r="T978" s="47" t="n"/>
      <c r="U978" s="47" t="n"/>
      <c r="V978" s="47" t="n"/>
      <c r="W978" s="47" t="n"/>
      <c r="X978" s="47" t="n"/>
      <c r="Y978" s="47" t="n"/>
      <c r="Z978" s="47" t="n"/>
    </row>
    <row r="979">
      <c r="A979" s="47" t="n"/>
      <c r="B979" s="48" t="n"/>
      <c r="C979" s="47" t="n"/>
      <c r="D979" s="47" t="n"/>
      <c r="E979" s="47" t="n"/>
      <c r="F979" s="47" t="n"/>
      <c r="G979" s="47" t="n"/>
      <c r="H979" s="47" t="n"/>
      <c r="I979" s="47" t="n"/>
      <c r="J979" s="47" t="n"/>
      <c r="M979" s="47" t="n"/>
      <c r="N979" s="47" t="n"/>
      <c r="O979" s="47" t="n"/>
      <c r="P979" s="47" t="n"/>
      <c r="Q979" s="47" t="n"/>
      <c r="R979" s="47" t="n"/>
      <c r="S979" s="47" t="n"/>
      <c r="T979" s="47" t="n"/>
      <c r="U979" s="47" t="n"/>
      <c r="V979" s="47" t="n"/>
      <c r="W979" s="47" t="n"/>
      <c r="X979" s="47" t="n"/>
      <c r="Y979" s="47" t="n"/>
      <c r="Z979" s="47" t="n"/>
    </row>
    <row r="980">
      <c r="A980" s="47" t="n"/>
      <c r="B980" s="48" t="n"/>
      <c r="C980" s="47" t="n"/>
      <c r="D980" s="47" t="n"/>
      <c r="E980" s="47" t="n"/>
      <c r="F980" s="47" t="n"/>
      <c r="G980" s="47" t="n"/>
      <c r="H980" s="47" t="n"/>
      <c r="I980" s="47" t="n"/>
      <c r="J980" s="47" t="n"/>
      <c r="M980" s="47" t="n"/>
      <c r="N980" s="47" t="n"/>
      <c r="O980" s="47" t="n"/>
      <c r="P980" s="47" t="n"/>
      <c r="Q980" s="47" t="n"/>
      <c r="R980" s="47" t="n"/>
      <c r="S980" s="47" t="n"/>
      <c r="T980" s="47" t="n"/>
      <c r="U980" s="47" t="n"/>
      <c r="V980" s="47" t="n"/>
      <c r="W980" s="47" t="n"/>
      <c r="X980" s="47" t="n"/>
      <c r="Y980" s="47" t="n"/>
      <c r="Z980" s="47" t="n"/>
    </row>
    <row r="981">
      <c r="A981" s="47" t="n"/>
      <c r="B981" s="48" t="n"/>
      <c r="C981" s="47" t="n"/>
      <c r="D981" s="47" t="n"/>
      <c r="E981" s="47" t="n"/>
      <c r="F981" s="47" t="n"/>
      <c r="G981" s="47" t="n"/>
      <c r="H981" s="47" t="n"/>
      <c r="I981" s="47" t="n"/>
      <c r="J981" s="47" t="n"/>
      <c r="M981" s="47" t="n"/>
      <c r="N981" s="47" t="n"/>
      <c r="O981" s="47" t="n"/>
      <c r="P981" s="47" t="n"/>
      <c r="Q981" s="47" t="n"/>
      <c r="R981" s="47" t="n"/>
      <c r="S981" s="47" t="n"/>
      <c r="T981" s="47" t="n"/>
      <c r="U981" s="47" t="n"/>
      <c r="V981" s="47" t="n"/>
      <c r="W981" s="47" t="n"/>
      <c r="X981" s="47" t="n"/>
      <c r="Y981" s="47" t="n"/>
      <c r="Z981" s="47" t="n"/>
    </row>
    <row r="982">
      <c r="A982" s="47" t="n"/>
      <c r="B982" s="48" t="n"/>
      <c r="C982" s="47" t="n"/>
      <c r="D982" s="47" t="n"/>
      <c r="E982" s="47" t="n"/>
      <c r="F982" s="47" t="n"/>
      <c r="G982" s="47" t="n"/>
      <c r="H982" s="47" t="n"/>
      <c r="I982" s="47" t="n"/>
      <c r="J982" s="47" t="n"/>
      <c r="M982" s="47" t="n"/>
      <c r="N982" s="47" t="n"/>
      <c r="O982" s="47" t="n"/>
      <c r="P982" s="47" t="n"/>
      <c r="Q982" s="47" t="n"/>
      <c r="R982" s="47" t="n"/>
      <c r="S982" s="47" t="n"/>
      <c r="T982" s="47" t="n"/>
      <c r="U982" s="47" t="n"/>
      <c r="V982" s="47" t="n"/>
      <c r="W982" s="47" t="n"/>
      <c r="X982" s="47" t="n"/>
      <c r="Y982" s="47" t="n"/>
      <c r="Z982" s="47" t="n"/>
    </row>
    <row r="983">
      <c r="A983" s="47" t="n"/>
      <c r="B983" s="48" t="n"/>
      <c r="C983" s="47" t="n"/>
      <c r="D983" s="47" t="n"/>
      <c r="E983" s="47" t="n"/>
      <c r="F983" s="47" t="n"/>
      <c r="G983" s="47" t="n"/>
      <c r="H983" s="47" t="n"/>
      <c r="I983" s="47" t="n"/>
      <c r="J983" s="47" t="n"/>
      <c r="M983" s="47" t="n"/>
      <c r="N983" s="47" t="n"/>
      <c r="O983" s="47" t="n"/>
      <c r="P983" s="47" t="n"/>
      <c r="Q983" s="47" t="n"/>
      <c r="R983" s="47" t="n"/>
      <c r="S983" s="47" t="n"/>
      <c r="T983" s="47" t="n"/>
      <c r="U983" s="47" t="n"/>
      <c r="V983" s="47" t="n"/>
      <c r="W983" s="47" t="n"/>
      <c r="X983" s="47" t="n"/>
      <c r="Y983" s="47" t="n"/>
      <c r="Z983" s="47" t="n"/>
    </row>
    <row r="984">
      <c r="A984" s="47" t="n"/>
      <c r="B984" s="48" t="n"/>
      <c r="C984" s="47" t="n"/>
      <c r="D984" s="47" t="n"/>
      <c r="E984" s="47" t="n"/>
      <c r="F984" s="47" t="n"/>
      <c r="G984" s="47" t="n"/>
      <c r="H984" s="47" t="n"/>
      <c r="I984" s="47" t="n"/>
      <c r="J984" s="47" t="n"/>
      <c r="M984" s="47" t="n"/>
      <c r="N984" s="47" t="n"/>
      <c r="O984" s="47" t="n"/>
      <c r="P984" s="47" t="n"/>
      <c r="Q984" s="47" t="n"/>
      <c r="R984" s="47" t="n"/>
      <c r="S984" s="47" t="n"/>
      <c r="T984" s="47" t="n"/>
      <c r="U984" s="47" t="n"/>
      <c r="V984" s="47" t="n"/>
      <c r="W984" s="47" t="n"/>
      <c r="X984" s="47" t="n"/>
      <c r="Y984" s="47" t="n"/>
      <c r="Z984" s="47" t="n"/>
    </row>
    <row r="985">
      <c r="A985" s="47" t="n"/>
      <c r="B985" s="48" t="n"/>
      <c r="C985" s="47" t="n"/>
      <c r="D985" s="47" t="n"/>
      <c r="E985" s="47" t="n"/>
      <c r="F985" s="47" t="n"/>
      <c r="G985" s="47" t="n"/>
      <c r="H985" s="47" t="n"/>
      <c r="I985" s="47" t="n"/>
      <c r="J985" s="47" t="n"/>
      <c r="M985" s="47" t="n"/>
      <c r="N985" s="47" t="n"/>
      <c r="O985" s="47" t="n"/>
      <c r="P985" s="47" t="n"/>
      <c r="Q985" s="47" t="n"/>
      <c r="R985" s="47" t="n"/>
      <c r="S985" s="47" t="n"/>
      <c r="T985" s="47" t="n"/>
      <c r="U985" s="47" t="n"/>
      <c r="V985" s="47" t="n"/>
      <c r="W985" s="47" t="n"/>
      <c r="X985" s="47" t="n"/>
      <c r="Y985" s="47" t="n"/>
      <c r="Z985" s="47" t="n"/>
    </row>
    <row r="986">
      <c r="A986" s="47" t="n"/>
      <c r="B986" s="48" t="n"/>
      <c r="C986" s="47" t="n"/>
      <c r="D986" s="47" t="n"/>
      <c r="E986" s="47" t="n"/>
      <c r="F986" s="47" t="n"/>
      <c r="G986" s="47" t="n"/>
      <c r="H986" s="47" t="n"/>
      <c r="I986" s="47" t="n"/>
      <c r="J986" s="47" t="n"/>
      <c r="M986" s="47" t="n"/>
      <c r="N986" s="47" t="n"/>
      <c r="O986" s="47" t="n"/>
      <c r="P986" s="47" t="n"/>
      <c r="Q986" s="47" t="n"/>
      <c r="R986" s="47" t="n"/>
      <c r="S986" s="47" t="n"/>
      <c r="T986" s="47" t="n"/>
      <c r="U986" s="47" t="n"/>
      <c r="V986" s="47" t="n"/>
      <c r="W986" s="47" t="n"/>
      <c r="X986" s="47" t="n"/>
      <c r="Y986" s="47" t="n"/>
      <c r="Z986" s="47" t="n"/>
    </row>
    <row r="987">
      <c r="A987" s="47" t="n"/>
      <c r="B987" s="48" t="n"/>
      <c r="C987" s="47" t="n"/>
      <c r="D987" s="47" t="n"/>
      <c r="E987" s="47" t="n"/>
      <c r="F987" s="47" t="n"/>
      <c r="G987" s="47" t="n"/>
      <c r="H987" s="47" t="n"/>
      <c r="I987" s="47" t="n"/>
      <c r="J987" s="47" t="n"/>
      <c r="M987" s="47" t="n"/>
      <c r="N987" s="47" t="n"/>
      <c r="O987" s="47" t="n"/>
      <c r="P987" s="47" t="n"/>
      <c r="Q987" s="47" t="n"/>
      <c r="R987" s="47" t="n"/>
      <c r="S987" s="47" t="n"/>
      <c r="T987" s="47" t="n"/>
      <c r="U987" s="47" t="n"/>
      <c r="V987" s="47" t="n"/>
      <c r="W987" s="47" t="n"/>
      <c r="X987" s="47" t="n"/>
      <c r="Y987" s="47" t="n"/>
      <c r="Z987" s="47" t="n"/>
    </row>
    <row r="988">
      <c r="A988" s="47" t="n"/>
      <c r="B988" s="48" t="n"/>
      <c r="C988" s="47" t="n"/>
      <c r="D988" s="47" t="n"/>
      <c r="E988" s="47" t="n"/>
      <c r="F988" s="47" t="n"/>
      <c r="G988" s="47" t="n"/>
      <c r="H988" s="47" t="n"/>
      <c r="I988" s="47" t="n"/>
      <c r="J988" s="47" t="n"/>
      <c r="M988" s="47" t="n"/>
      <c r="N988" s="47" t="n"/>
      <c r="O988" s="47" t="n"/>
      <c r="P988" s="47" t="n"/>
      <c r="Q988" s="47" t="n"/>
      <c r="R988" s="47" t="n"/>
      <c r="S988" s="47" t="n"/>
      <c r="T988" s="47" t="n"/>
      <c r="U988" s="47" t="n"/>
      <c r="V988" s="47" t="n"/>
      <c r="W988" s="47" t="n"/>
      <c r="X988" s="47" t="n"/>
      <c r="Y988" s="47" t="n"/>
      <c r="Z988" s="47" t="n"/>
    </row>
    <row r="989">
      <c r="A989" s="47" t="n"/>
      <c r="B989" s="48" t="n"/>
      <c r="C989" s="47" t="n"/>
      <c r="D989" s="47" t="n"/>
      <c r="E989" s="47" t="n"/>
      <c r="F989" s="47" t="n"/>
      <c r="G989" s="47" t="n"/>
      <c r="H989" s="47" t="n"/>
      <c r="I989" s="47" t="n"/>
      <c r="J989" s="47" t="n"/>
      <c r="M989" s="47" t="n"/>
      <c r="N989" s="47" t="n"/>
      <c r="O989" s="47" t="n"/>
      <c r="P989" s="47" t="n"/>
      <c r="Q989" s="47" t="n"/>
      <c r="R989" s="47" t="n"/>
      <c r="S989" s="47" t="n"/>
      <c r="T989" s="47" t="n"/>
      <c r="U989" s="47" t="n"/>
      <c r="V989" s="47" t="n"/>
      <c r="W989" s="47" t="n"/>
      <c r="X989" s="47" t="n"/>
      <c r="Y989" s="47" t="n"/>
      <c r="Z989" s="47" t="n"/>
    </row>
    <row r="990">
      <c r="A990" s="47" t="n"/>
      <c r="B990" s="48" t="n"/>
      <c r="C990" s="47" t="n"/>
      <c r="D990" s="47" t="n"/>
      <c r="E990" s="47" t="n"/>
      <c r="F990" s="47" t="n"/>
      <c r="G990" s="47" t="n"/>
      <c r="H990" s="47" t="n"/>
      <c r="I990" s="47" t="n"/>
      <c r="J990" s="47" t="n"/>
      <c r="M990" s="47" t="n"/>
      <c r="N990" s="47" t="n"/>
      <c r="O990" s="47" t="n"/>
      <c r="P990" s="47" t="n"/>
      <c r="Q990" s="47" t="n"/>
      <c r="R990" s="47" t="n"/>
      <c r="S990" s="47" t="n"/>
      <c r="T990" s="47" t="n"/>
      <c r="U990" s="47" t="n"/>
      <c r="V990" s="47" t="n"/>
      <c r="W990" s="47" t="n"/>
      <c r="X990" s="47" t="n"/>
      <c r="Y990" s="47" t="n"/>
      <c r="Z990" s="47" t="n"/>
    </row>
    <row r="991">
      <c r="A991" s="47" t="n"/>
      <c r="B991" s="48" t="n"/>
      <c r="C991" s="47" t="n"/>
      <c r="D991" s="47" t="n"/>
      <c r="E991" s="47" t="n"/>
      <c r="F991" s="47" t="n"/>
      <c r="G991" s="47" t="n"/>
      <c r="H991" s="47" t="n"/>
      <c r="I991" s="47" t="n"/>
      <c r="J991" s="47" t="n"/>
      <c r="M991" s="47" t="n"/>
      <c r="N991" s="47" t="n"/>
      <c r="O991" s="47" t="n"/>
      <c r="P991" s="47" t="n"/>
      <c r="Q991" s="47" t="n"/>
      <c r="R991" s="47" t="n"/>
      <c r="S991" s="47" t="n"/>
      <c r="T991" s="47" t="n"/>
      <c r="U991" s="47" t="n"/>
      <c r="V991" s="47" t="n"/>
      <c r="W991" s="47" t="n"/>
      <c r="X991" s="47" t="n"/>
      <c r="Y991" s="47" t="n"/>
      <c r="Z991" s="47" t="n"/>
    </row>
    <row r="992">
      <c r="A992" s="47" t="n"/>
      <c r="B992" s="48" t="n"/>
      <c r="C992" s="47" t="n"/>
      <c r="D992" s="47" t="n"/>
      <c r="E992" s="47" t="n"/>
      <c r="F992" s="47" t="n"/>
      <c r="G992" s="47" t="n"/>
      <c r="H992" s="47" t="n"/>
      <c r="I992" s="47" t="n"/>
      <c r="J992" s="47" t="n"/>
      <c r="M992" s="47" t="n"/>
      <c r="N992" s="47" t="n"/>
      <c r="O992" s="47" t="n"/>
      <c r="P992" s="47" t="n"/>
      <c r="Q992" s="47" t="n"/>
      <c r="R992" s="47" t="n"/>
      <c r="S992" s="47" t="n"/>
      <c r="T992" s="47" t="n"/>
      <c r="U992" s="47" t="n"/>
      <c r="V992" s="47" t="n"/>
      <c r="W992" s="47" t="n"/>
      <c r="X992" s="47" t="n"/>
      <c r="Y992" s="47" t="n"/>
      <c r="Z992" s="47" t="n"/>
    </row>
    <row r="993">
      <c r="A993" s="47" t="n"/>
      <c r="B993" s="48" t="n"/>
      <c r="C993" s="47" t="n"/>
      <c r="D993" s="47" t="n"/>
      <c r="E993" s="47" t="n"/>
      <c r="F993" s="47" t="n"/>
      <c r="G993" s="47" t="n"/>
      <c r="H993" s="47" t="n"/>
      <c r="I993" s="47" t="n"/>
      <c r="J993" s="47" t="n"/>
      <c r="M993" s="47" t="n"/>
      <c r="N993" s="47" t="n"/>
      <c r="O993" s="47" t="n"/>
      <c r="P993" s="47" t="n"/>
      <c r="Q993" s="47" t="n"/>
      <c r="R993" s="47" t="n"/>
      <c r="S993" s="47" t="n"/>
      <c r="T993" s="47" t="n"/>
      <c r="U993" s="47" t="n"/>
      <c r="V993" s="47" t="n"/>
      <c r="W993" s="47" t="n"/>
      <c r="X993" s="47" t="n"/>
      <c r="Y993" s="47" t="n"/>
      <c r="Z993" s="47" t="n"/>
    </row>
    <row r="994">
      <c r="A994" s="47" t="n"/>
      <c r="B994" s="48" t="n"/>
      <c r="C994" s="47" t="n"/>
      <c r="D994" s="47" t="n"/>
      <c r="E994" s="47" t="n"/>
      <c r="F994" s="47" t="n"/>
      <c r="G994" s="47" t="n"/>
      <c r="H994" s="47" t="n"/>
      <c r="I994" s="47" t="n"/>
      <c r="J994" s="47" t="n"/>
      <c r="M994" s="47" t="n"/>
      <c r="N994" s="47" t="n"/>
      <c r="O994" s="47" t="n"/>
      <c r="P994" s="47" t="n"/>
      <c r="Q994" s="47" t="n"/>
      <c r="R994" s="47" t="n"/>
      <c r="S994" s="47" t="n"/>
      <c r="T994" s="47" t="n"/>
      <c r="U994" s="47" t="n"/>
      <c r="V994" s="47" t="n"/>
      <c r="W994" s="47" t="n"/>
      <c r="X994" s="47" t="n"/>
      <c r="Y994" s="47" t="n"/>
      <c r="Z994" s="47" t="n"/>
    </row>
    <row r="995">
      <c r="A995" s="47" t="n"/>
      <c r="B995" s="48" t="n"/>
      <c r="C995" s="47" t="n"/>
      <c r="D995" s="47" t="n"/>
      <c r="E995" s="47" t="n"/>
      <c r="F995" s="47" t="n"/>
      <c r="G995" s="47" t="n"/>
      <c r="H995" s="47" t="n"/>
      <c r="I995" s="47" t="n"/>
      <c r="J995" s="47" t="n"/>
      <c r="M995" s="47" t="n"/>
      <c r="N995" s="47" t="n"/>
      <c r="O995" s="47" t="n"/>
      <c r="P995" s="47" t="n"/>
      <c r="Q995" s="47" t="n"/>
      <c r="R995" s="47" t="n"/>
      <c r="S995" s="47" t="n"/>
      <c r="T995" s="47" t="n"/>
      <c r="U995" s="47" t="n"/>
      <c r="V995" s="47" t="n"/>
      <c r="W995" s="47" t="n"/>
      <c r="X995" s="47" t="n"/>
      <c r="Y995" s="47" t="n"/>
      <c r="Z995" s="47" t="n"/>
    </row>
    <row r="996">
      <c r="A996" s="47" t="n"/>
      <c r="B996" s="48" t="n"/>
      <c r="C996" s="47" t="n"/>
      <c r="D996" s="47" t="n"/>
      <c r="E996" s="47" t="n"/>
      <c r="F996" s="47" t="n"/>
      <c r="G996" s="47" t="n"/>
      <c r="H996" s="47" t="n"/>
      <c r="I996" s="47" t="n"/>
      <c r="J996" s="47" t="n"/>
      <c r="M996" s="47" t="n"/>
      <c r="N996" s="47" t="n"/>
      <c r="O996" s="47" t="n"/>
      <c r="P996" s="47" t="n"/>
      <c r="Q996" s="47" t="n"/>
      <c r="R996" s="47" t="n"/>
      <c r="S996" s="47" t="n"/>
      <c r="T996" s="47" t="n"/>
      <c r="U996" s="47" t="n"/>
      <c r="V996" s="47" t="n"/>
      <c r="W996" s="47" t="n"/>
      <c r="X996" s="47" t="n"/>
      <c r="Y996" s="47" t="n"/>
      <c r="Z996" s="47" t="n"/>
    </row>
    <row r="997">
      <c r="A997" s="47" t="n"/>
      <c r="B997" s="48" t="n"/>
      <c r="C997" s="47" t="n"/>
      <c r="D997" s="47" t="n"/>
      <c r="E997" s="47" t="n"/>
      <c r="F997" s="47" t="n"/>
      <c r="G997" s="47" t="n"/>
      <c r="H997" s="47" t="n"/>
      <c r="I997" s="47" t="n"/>
      <c r="J997" s="47" t="n"/>
      <c r="M997" s="47" t="n"/>
      <c r="N997" s="47" t="n"/>
      <c r="O997" s="47" t="n"/>
      <c r="P997" s="47" t="n"/>
      <c r="Q997" s="47" t="n"/>
      <c r="R997" s="47" t="n"/>
      <c r="S997" s="47" t="n"/>
      <c r="T997" s="47" t="n"/>
      <c r="U997" s="47" t="n"/>
      <c r="V997" s="47" t="n"/>
      <c r="W997" s="47" t="n"/>
      <c r="X997" s="47" t="n"/>
      <c r="Y997" s="47" t="n"/>
      <c r="Z997" s="47" t="n"/>
    </row>
    <row r="998">
      <c r="A998" s="47" t="n"/>
      <c r="B998" s="48" t="n"/>
      <c r="C998" s="47" t="n"/>
      <c r="D998" s="47" t="n"/>
      <c r="E998" s="47" t="n"/>
      <c r="F998" s="47" t="n"/>
      <c r="G998" s="47" t="n"/>
      <c r="H998" s="47" t="n"/>
      <c r="I998" s="47" t="n"/>
      <c r="J998" s="47" t="n"/>
      <c r="M998" s="47" t="n"/>
      <c r="N998" s="47" t="n"/>
      <c r="O998" s="47" t="n"/>
      <c r="P998" s="47" t="n"/>
      <c r="Q998" s="47" t="n"/>
      <c r="R998" s="47" t="n"/>
      <c r="S998" s="47" t="n"/>
      <c r="T998" s="47" t="n"/>
      <c r="U998" s="47" t="n"/>
      <c r="V998" s="47" t="n"/>
      <c r="W998" s="47" t="n"/>
      <c r="X998" s="47" t="n"/>
      <c r="Y998" s="47" t="n"/>
      <c r="Z998" s="47" t="n"/>
    </row>
    <row r="999">
      <c r="A999" s="47" t="n"/>
      <c r="B999" s="48" t="n"/>
      <c r="C999" s="47" t="n"/>
      <c r="D999" s="47" t="n"/>
      <c r="E999" s="47" t="n"/>
      <c r="F999" s="47" t="n"/>
      <c r="G999" s="47" t="n"/>
      <c r="H999" s="47" t="n"/>
      <c r="I999" s="47" t="n"/>
      <c r="J999" s="47" t="n"/>
      <c r="M999" s="47" t="n"/>
      <c r="N999" s="47" t="n"/>
      <c r="O999" s="47" t="n"/>
      <c r="P999" s="47" t="n"/>
      <c r="Q999" s="47" t="n"/>
      <c r="R999" s="47" t="n"/>
      <c r="S999" s="47" t="n"/>
      <c r="T999" s="47" t="n"/>
      <c r="U999" s="47" t="n"/>
      <c r="V999" s="47" t="n"/>
      <c r="W999" s="47" t="n"/>
      <c r="X999" s="47" t="n"/>
      <c r="Y999" s="47" t="n"/>
      <c r="Z999" s="47" t="n"/>
    </row>
    <row r="1000">
      <c r="A1000" s="47" t="n"/>
      <c r="B1000" s="48" t="n"/>
      <c r="C1000" s="47" t="n"/>
      <c r="D1000" s="47" t="n"/>
      <c r="E1000" s="47" t="n"/>
      <c r="F1000" s="47" t="n"/>
      <c r="G1000" s="47" t="n"/>
      <c r="H1000" s="47" t="n"/>
      <c r="I1000" s="47" t="n"/>
      <c r="J1000" s="47" t="n"/>
      <c r="M1000" s="47" t="n"/>
      <c r="N1000" s="47" t="n"/>
      <c r="O1000" s="47" t="n"/>
      <c r="P1000" s="47" t="n"/>
      <c r="Q1000" s="47" t="n"/>
      <c r="R1000" s="47" t="n"/>
      <c r="S1000" s="47" t="n"/>
      <c r="T1000" s="47" t="n"/>
      <c r="U1000" s="47" t="n"/>
      <c r="V1000" s="47" t="n"/>
      <c r="W1000" s="47" t="n"/>
      <c r="X1000" s="47" t="n"/>
      <c r="Y1000" s="47" t="n"/>
      <c r="Z1000" s="47" t="n"/>
    </row>
    <row r="1001">
      <c r="A1001" s="47" t="n"/>
      <c r="B1001" s="48" t="n"/>
      <c r="C1001" s="47" t="n"/>
      <c r="D1001" s="47" t="n"/>
      <c r="E1001" s="47" t="n"/>
      <c r="F1001" s="47" t="n"/>
      <c r="G1001" s="47" t="n"/>
      <c r="H1001" s="47" t="n"/>
      <c r="I1001" s="47" t="n"/>
      <c r="J1001" s="47" t="n"/>
      <c r="M1001" s="47" t="n"/>
      <c r="N1001" s="47" t="n"/>
      <c r="O1001" s="47" t="n"/>
      <c r="P1001" s="47" t="n"/>
      <c r="Q1001" s="47" t="n"/>
      <c r="R1001" s="47" t="n"/>
      <c r="S1001" s="47" t="n"/>
      <c r="T1001" s="47" t="n"/>
      <c r="U1001" s="47" t="n"/>
      <c r="V1001" s="47" t="n"/>
      <c r="W1001" s="47" t="n"/>
      <c r="X1001" s="47" t="n"/>
      <c r="Y1001" s="47" t="n"/>
      <c r="Z1001" s="47" t="n"/>
    </row>
    <row r="1002">
      <c r="A1002" s="47" t="n"/>
      <c r="B1002" s="48" t="n"/>
      <c r="C1002" s="47" t="n"/>
      <c r="D1002" s="47" t="n"/>
      <c r="E1002" s="47" t="n"/>
      <c r="F1002" s="47" t="n"/>
      <c r="G1002" s="47" t="n"/>
      <c r="H1002" s="47" t="n"/>
      <c r="I1002" s="47" t="n"/>
      <c r="J1002" s="47" t="n"/>
      <c r="M1002" s="47" t="n"/>
      <c r="N1002" s="47" t="n"/>
      <c r="O1002" s="47" t="n"/>
      <c r="P1002" s="47" t="n"/>
      <c r="Q1002" s="47" t="n"/>
      <c r="R1002" s="47" t="n"/>
      <c r="S1002" s="47" t="n"/>
      <c r="T1002" s="47" t="n"/>
      <c r="U1002" s="47" t="n"/>
      <c r="V1002" s="47" t="n"/>
      <c r="W1002" s="47" t="n"/>
      <c r="X1002" s="47" t="n"/>
      <c r="Y1002" s="47" t="n"/>
      <c r="Z1002" s="47" t="n"/>
    </row>
  </sheetData>
  <autoFilter ref="$A$3:$L$280"/>
  <mergeCells count="1">
    <mergeCell ref="B1:C1"/>
  </mergeCells>
  <dataValidations count="3">
    <dataValidation sqref="H4:H280" showDropDown="0" showInputMessage="0" showErrorMessage="1" allowBlank="1" type="list">
      <formula1>"既存,可,不可"</formula1>
    </dataValidation>
    <dataValidation sqref="G4:G280" showDropDown="0" showInputMessage="0" showErrorMessage="1" allowBlank="1" type="list">
      <formula1>"あり,なし"</formula1>
    </dataValidation>
    <dataValidation sqref="K4:L280" showDropDown="0" showInputMessage="0" showErrorMessage="1" allowBlank="1" type="list">
      <formula1>"OK,要修正,未確認,修正中,対応不要,修正済"</formula1>
    </dataValidation>
  </dataValidations>
  <hyperlinks>
    <hyperlink xmlns:r="http://schemas.openxmlformats.org/officeDocument/2006/relationships" ref="J1" r:id="rId1"/>
    <hyperlink xmlns:r="http://schemas.openxmlformats.org/officeDocument/2006/relationships" ref="C4" r:id="rId2"/>
    <hyperlink xmlns:r="http://schemas.openxmlformats.org/officeDocument/2006/relationships" ref="I4" r:id="rId3"/>
    <hyperlink xmlns:r="http://schemas.openxmlformats.org/officeDocument/2006/relationships" ref="C5" r:id="rId4"/>
    <hyperlink xmlns:r="http://schemas.openxmlformats.org/officeDocument/2006/relationships" ref="I5" r:id="rId5"/>
    <hyperlink xmlns:r="http://schemas.openxmlformats.org/officeDocument/2006/relationships" ref="C6" r:id="rId6"/>
    <hyperlink xmlns:r="http://schemas.openxmlformats.org/officeDocument/2006/relationships" ref="I6" r:id="rId7"/>
    <hyperlink xmlns:r="http://schemas.openxmlformats.org/officeDocument/2006/relationships" ref="C7" r:id="rId8"/>
    <hyperlink xmlns:r="http://schemas.openxmlformats.org/officeDocument/2006/relationships" ref="I7" r:id="rId9"/>
    <hyperlink xmlns:r="http://schemas.openxmlformats.org/officeDocument/2006/relationships" ref="C8" r:id="rId10"/>
    <hyperlink xmlns:r="http://schemas.openxmlformats.org/officeDocument/2006/relationships" ref="I8" r:id="rId11"/>
    <hyperlink xmlns:r="http://schemas.openxmlformats.org/officeDocument/2006/relationships" ref="C9" r:id="rId12"/>
    <hyperlink xmlns:r="http://schemas.openxmlformats.org/officeDocument/2006/relationships" ref="I9" r:id="rId13"/>
    <hyperlink xmlns:r="http://schemas.openxmlformats.org/officeDocument/2006/relationships" ref="C10" r:id="rId14"/>
    <hyperlink xmlns:r="http://schemas.openxmlformats.org/officeDocument/2006/relationships" ref="I10" r:id="rId15"/>
    <hyperlink xmlns:r="http://schemas.openxmlformats.org/officeDocument/2006/relationships" ref="C11" r:id="rId16"/>
    <hyperlink xmlns:r="http://schemas.openxmlformats.org/officeDocument/2006/relationships" ref="I11" r:id="rId17"/>
    <hyperlink xmlns:r="http://schemas.openxmlformats.org/officeDocument/2006/relationships" ref="C12" r:id="rId18"/>
    <hyperlink xmlns:r="http://schemas.openxmlformats.org/officeDocument/2006/relationships" ref="I12" r:id="rId19"/>
    <hyperlink xmlns:r="http://schemas.openxmlformats.org/officeDocument/2006/relationships" ref="C13" r:id="rId20"/>
    <hyperlink xmlns:r="http://schemas.openxmlformats.org/officeDocument/2006/relationships" ref="I13" r:id="rId21"/>
    <hyperlink xmlns:r="http://schemas.openxmlformats.org/officeDocument/2006/relationships" ref="C14" r:id="rId22"/>
    <hyperlink xmlns:r="http://schemas.openxmlformats.org/officeDocument/2006/relationships" ref="I14" r:id="rId23"/>
    <hyperlink xmlns:r="http://schemas.openxmlformats.org/officeDocument/2006/relationships" ref="C15" r:id="rId24"/>
    <hyperlink xmlns:r="http://schemas.openxmlformats.org/officeDocument/2006/relationships" ref="I15" r:id="rId25"/>
    <hyperlink xmlns:r="http://schemas.openxmlformats.org/officeDocument/2006/relationships" ref="C16" r:id="rId26"/>
    <hyperlink xmlns:r="http://schemas.openxmlformats.org/officeDocument/2006/relationships" ref="I16" r:id="rId27"/>
    <hyperlink xmlns:r="http://schemas.openxmlformats.org/officeDocument/2006/relationships" ref="C17" r:id="rId28"/>
    <hyperlink xmlns:r="http://schemas.openxmlformats.org/officeDocument/2006/relationships" ref="I17" r:id="rId29"/>
    <hyperlink xmlns:r="http://schemas.openxmlformats.org/officeDocument/2006/relationships" ref="C18" r:id="rId30"/>
    <hyperlink xmlns:r="http://schemas.openxmlformats.org/officeDocument/2006/relationships" ref="I18" r:id="rId31"/>
    <hyperlink xmlns:r="http://schemas.openxmlformats.org/officeDocument/2006/relationships" ref="C19" r:id="rId32"/>
    <hyperlink xmlns:r="http://schemas.openxmlformats.org/officeDocument/2006/relationships" ref="I19" r:id="rId33"/>
    <hyperlink xmlns:r="http://schemas.openxmlformats.org/officeDocument/2006/relationships" ref="C20" r:id="rId34"/>
    <hyperlink xmlns:r="http://schemas.openxmlformats.org/officeDocument/2006/relationships" ref="I20" r:id="rId35"/>
    <hyperlink xmlns:r="http://schemas.openxmlformats.org/officeDocument/2006/relationships" ref="C21" r:id="rId36"/>
    <hyperlink xmlns:r="http://schemas.openxmlformats.org/officeDocument/2006/relationships" ref="I21" r:id="rId37"/>
    <hyperlink xmlns:r="http://schemas.openxmlformats.org/officeDocument/2006/relationships" ref="C22" r:id="rId38"/>
    <hyperlink xmlns:r="http://schemas.openxmlformats.org/officeDocument/2006/relationships" ref="C23" r:id="rId39"/>
    <hyperlink xmlns:r="http://schemas.openxmlformats.org/officeDocument/2006/relationships" ref="I23" r:id="rId40"/>
    <hyperlink xmlns:r="http://schemas.openxmlformats.org/officeDocument/2006/relationships" ref="C24" r:id="rId41"/>
    <hyperlink xmlns:r="http://schemas.openxmlformats.org/officeDocument/2006/relationships" ref="I24" r:id="rId42"/>
    <hyperlink xmlns:r="http://schemas.openxmlformats.org/officeDocument/2006/relationships" ref="C25" r:id="rId43"/>
    <hyperlink xmlns:r="http://schemas.openxmlformats.org/officeDocument/2006/relationships" ref="I25" r:id="rId44"/>
    <hyperlink xmlns:r="http://schemas.openxmlformats.org/officeDocument/2006/relationships" ref="C26" r:id="rId45"/>
    <hyperlink xmlns:r="http://schemas.openxmlformats.org/officeDocument/2006/relationships" ref="I26" r:id="rId46"/>
    <hyperlink xmlns:r="http://schemas.openxmlformats.org/officeDocument/2006/relationships" ref="C27" r:id="rId47"/>
    <hyperlink xmlns:r="http://schemas.openxmlformats.org/officeDocument/2006/relationships" ref="I27" r:id="rId48"/>
    <hyperlink xmlns:r="http://schemas.openxmlformats.org/officeDocument/2006/relationships" ref="C28" r:id="rId49"/>
    <hyperlink xmlns:r="http://schemas.openxmlformats.org/officeDocument/2006/relationships" ref="I28" r:id="rId50"/>
    <hyperlink xmlns:r="http://schemas.openxmlformats.org/officeDocument/2006/relationships" ref="C29" r:id="rId51"/>
    <hyperlink xmlns:r="http://schemas.openxmlformats.org/officeDocument/2006/relationships" ref="C30" r:id="rId52"/>
    <hyperlink xmlns:r="http://schemas.openxmlformats.org/officeDocument/2006/relationships" ref="I30" r:id="rId53"/>
    <hyperlink xmlns:r="http://schemas.openxmlformats.org/officeDocument/2006/relationships" ref="C31" r:id="rId54"/>
    <hyperlink xmlns:r="http://schemas.openxmlformats.org/officeDocument/2006/relationships" ref="I31" r:id="rId55"/>
    <hyperlink xmlns:r="http://schemas.openxmlformats.org/officeDocument/2006/relationships" ref="C32" r:id="rId56"/>
    <hyperlink xmlns:r="http://schemas.openxmlformats.org/officeDocument/2006/relationships" ref="I32" r:id="rId57"/>
    <hyperlink xmlns:r="http://schemas.openxmlformats.org/officeDocument/2006/relationships" ref="C33" r:id="rId58"/>
    <hyperlink xmlns:r="http://schemas.openxmlformats.org/officeDocument/2006/relationships" ref="I33" r:id="rId59"/>
    <hyperlink xmlns:r="http://schemas.openxmlformats.org/officeDocument/2006/relationships" ref="C34" r:id="rId60"/>
    <hyperlink xmlns:r="http://schemas.openxmlformats.org/officeDocument/2006/relationships" ref="I34" r:id="rId61"/>
    <hyperlink xmlns:r="http://schemas.openxmlformats.org/officeDocument/2006/relationships" ref="C35" r:id="rId62"/>
    <hyperlink xmlns:r="http://schemas.openxmlformats.org/officeDocument/2006/relationships" ref="I35" r:id="rId63"/>
    <hyperlink xmlns:r="http://schemas.openxmlformats.org/officeDocument/2006/relationships" ref="C36" r:id="rId64"/>
    <hyperlink xmlns:r="http://schemas.openxmlformats.org/officeDocument/2006/relationships" ref="I36" r:id="rId65"/>
    <hyperlink xmlns:r="http://schemas.openxmlformats.org/officeDocument/2006/relationships" ref="C37" r:id="rId66"/>
    <hyperlink xmlns:r="http://schemas.openxmlformats.org/officeDocument/2006/relationships" ref="I37" r:id="rId67"/>
    <hyperlink xmlns:r="http://schemas.openxmlformats.org/officeDocument/2006/relationships" ref="C38" r:id="rId68"/>
    <hyperlink xmlns:r="http://schemas.openxmlformats.org/officeDocument/2006/relationships" ref="I38" r:id="rId69"/>
    <hyperlink xmlns:r="http://schemas.openxmlformats.org/officeDocument/2006/relationships" ref="C39" r:id="rId70"/>
    <hyperlink xmlns:r="http://schemas.openxmlformats.org/officeDocument/2006/relationships" ref="I39" r:id="rId71"/>
    <hyperlink xmlns:r="http://schemas.openxmlformats.org/officeDocument/2006/relationships" ref="C40" r:id="rId72"/>
    <hyperlink xmlns:r="http://schemas.openxmlformats.org/officeDocument/2006/relationships" ref="I40" r:id="rId73"/>
    <hyperlink xmlns:r="http://schemas.openxmlformats.org/officeDocument/2006/relationships" ref="C41" r:id="rId74"/>
    <hyperlink xmlns:r="http://schemas.openxmlformats.org/officeDocument/2006/relationships" ref="I41" r:id="rId75"/>
    <hyperlink xmlns:r="http://schemas.openxmlformats.org/officeDocument/2006/relationships" ref="C42" r:id="rId76"/>
    <hyperlink xmlns:r="http://schemas.openxmlformats.org/officeDocument/2006/relationships" ref="I42" r:id="rId77"/>
    <hyperlink xmlns:r="http://schemas.openxmlformats.org/officeDocument/2006/relationships" ref="C43" r:id="rId78"/>
    <hyperlink xmlns:r="http://schemas.openxmlformats.org/officeDocument/2006/relationships" ref="I43" r:id="rId79"/>
    <hyperlink xmlns:r="http://schemas.openxmlformats.org/officeDocument/2006/relationships" ref="C44" r:id="rId80"/>
    <hyperlink xmlns:r="http://schemas.openxmlformats.org/officeDocument/2006/relationships" ref="I44" r:id="rId81"/>
    <hyperlink xmlns:r="http://schemas.openxmlformats.org/officeDocument/2006/relationships" ref="C45" r:id="rId82"/>
    <hyperlink xmlns:r="http://schemas.openxmlformats.org/officeDocument/2006/relationships" ref="I45" r:id="rId83"/>
    <hyperlink xmlns:r="http://schemas.openxmlformats.org/officeDocument/2006/relationships" ref="C46" r:id="rId84"/>
    <hyperlink xmlns:r="http://schemas.openxmlformats.org/officeDocument/2006/relationships" ref="I46" r:id="rId85"/>
    <hyperlink xmlns:r="http://schemas.openxmlformats.org/officeDocument/2006/relationships" ref="C47" r:id="rId86"/>
    <hyperlink xmlns:r="http://schemas.openxmlformats.org/officeDocument/2006/relationships" ref="I47" r:id="rId87"/>
    <hyperlink xmlns:r="http://schemas.openxmlformats.org/officeDocument/2006/relationships" ref="C48" r:id="rId88"/>
    <hyperlink xmlns:r="http://schemas.openxmlformats.org/officeDocument/2006/relationships" ref="C49" r:id="rId89"/>
    <hyperlink xmlns:r="http://schemas.openxmlformats.org/officeDocument/2006/relationships" ref="I49" r:id="rId90"/>
    <hyperlink xmlns:r="http://schemas.openxmlformats.org/officeDocument/2006/relationships" ref="C50" r:id="rId91"/>
    <hyperlink xmlns:r="http://schemas.openxmlformats.org/officeDocument/2006/relationships" ref="I50" r:id="rId92"/>
    <hyperlink xmlns:r="http://schemas.openxmlformats.org/officeDocument/2006/relationships" ref="C51" r:id="rId93"/>
    <hyperlink xmlns:r="http://schemas.openxmlformats.org/officeDocument/2006/relationships" ref="I51" r:id="rId94"/>
    <hyperlink xmlns:r="http://schemas.openxmlformats.org/officeDocument/2006/relationships" ref="C52" r:id="rId95"/>
    <hyperlink xmlns:r="http://schemas.openxmlformats.org/officeDocument/2006/relationships" ref="I52" r:id="rId96"/>
    <hyperlink xmlns:r="http://schemas.openxmlformats.org/officeDocument/2006/relationships" ref="C53" r:id="rId97"/>
    <hyperlink xmlns:r="http://schemas.openxmlformats.org/officeDocument/2006/relationships" ref="I53" r:id="rId98"/>
    <hyperlink xmlns:r="http://schemas.openxmlformats.org/officeDocument/2006/relationships" ref="C54" r:id="rId99"/>
    <hyperlink xmlns:r="http://schemas.openxmlformats.org/officeDocument/2006/relationships" ref="I54" r:id="rId100"/>
    <hyperlink xmlns:r="http://schemas.openxmlformats.org/officeDocument/2006/relationships" ref="C55" r:id="rId101"/>
    <hyperlink xmlns:r="http://schemas.openxmlformats.org/officeDocument/2006/relationships" ref="I55" r:id="rId102"/>
    <hyperlink xmlns:r="http://schemas.openxmlformats.org/officeDocument/2006/relationships" ref="C56" r:id="rId103"/>
    <hyperlink xmlns:r="http://schemas.openxmlformats.org/officeDocument/2006/relationships" ref="I56" r:id="rId104"/>
    <hyperlink xmlns:r="http://schemas.openxmlformats.org/officeDocument/2006/relationships" ref="C57" r:id="rId105"/>
    <hyperlink xmlns:r="http://schemas.openxmlformats.org/officeDocument/2006/relationships" ref="I57" r:id="rId106"/>
    <hyperlink xmlns:r="http://schemas.openxmlformats.org/officeDocument/2006/relationships" ref="C58" r:id="rId107"/>
    <hyperlink xmlns:r="http://schemas.openxmlformats.org/officeDocument/2006/relationships" ref="I58" r:id="rId108"/>
    <hyperlink xmlns:r="http://schemas.openxmlformats.org/officeDocument/2006/relationships" ref="C59" r:id="rId109"/>
    <hyperlink xmlns:r="http://schemas.openxmlformats.org/officeDocument/2006/relationships" ref="I59" r:id="rId110"/>
    <hyperlink xmlns:r="http://schemas.openxmlformats.org/officeDocument/2006/relationships" ref="C60" r:id="rId111"/>
    <hyperlink xmlns:r="http://schemas.openxmlformats.org/officeDocument/2006/relationships" ref="I60" r:id="rId112"/>
    <hyperlink xmlns:r="http://schemas.openxmlformats.org/officeDocument/2006/relationships" ref="C61" r:id="rId113"/>
    <hyperlink xmlns:r="http://schemas.openxmlformats.org/officeDocument/2006/relationships" ref="I61" r:id="rId114"/>
    <hyperlink xmlns:r="http://schemas.openxmlformats.org/officeDocument/2006/relationships" ref="C62" r:id="rId115"/>
    <hyperlink xmlns:r="http://schemas.openxmlformats.org/officeDocument/2006/relationships" ref="I62" r:id="rId116"/>
    <hyperlink xmlns:r="http://schemas.openxmlformats.org/officeDocument/2006/relationships" ref="C63" r:id="rId117"/>
    <hyperlink xmlns:r="http://schemas.openxmlformats.org/officeDocument/2006/relationships" ref="I63" r:id="rId118"/>
    <hyperlink xmlns:r="http://schemas.openxmlformats.org/officeDocument/2006/relationships" ref="C64" r:id="rId119"/>
    <hyperlink xmlns:r="http://schemas.openxmlformats.org/officeDocument/2006/relationships" ref="I64" r:id="rId120"/>
    <hyperlink xmlns:r="http://schemas.openxmlformats.org/officeDocument/2006/relationships" ref="C65" r:id="rId121"/>
    <hyperlink xmlns:r="http://schemas.openxmlformats.org/officeDocument/2006/relationships" ref="I65" r:id="rId122"/>
    <hyperlink xmlns:r="http://schemas.openxmlformats.org/officeDocument/2006/relationships" ref="C66" r:id="rId123"/>
    <hyperlink xmlns:r="http://schemas.openxmlformats.org/officeDocument/2006/relationships" ref="C67" r:id="rId124"/>
    <hyperlink xmlns:r="http://schemas.openxmlformats.org/officeDocument/2006/relationships" ref="I67" r:id="rId125"/>
    <hyperlink xmlns:r="http://schemas.openxmlformats.org/officeDocument/2006/relationships" ref="C68" r:id="rId126"/>
    <hyperlink xmlns:r="http://schemas.openxmlformats.org/officeDocument/2006/relationships" ref="I68" r:id="rId127"/>
    <hyperlink xmlns:r="http://schemas.openxmlformats.org/officeDocument/2006/relationships" ref="C69" r:id="rId128"/>
    <hyperlink xmlns:r="http://schemas.openxmlformats.org/officeDocument/2006/relationships" ref="C70" r:id="rId129"/>
    <hyperlink xmlns:r="http://schemas.openxmlformats.org/officeDocument/2006/relationships" ref="I70" r:id="rId130"/>
    <hyperlink xmlns:r="http://schemas.openxmlformats.org/officeDocument/2006/relationships" ref="C71" r:id="rId131"/>
    <hyperlink xmlns:r="http://schemas.openxmlformats.org/officeDocument/2006/relationships" ref="I71" r:id="rId132"/>
    <hyperlink xmlns:r="http://schemas.openxmlformats.org/officeDocument/2006/relationships" ref="C72" r:id="rId133"/>
    <hyperlink xmlns:r="http://schemas.openxmlformats.org/officeDocument/2006/relationships" ref="I72" r:id="rId134"/>
    <hyperlink xmlns:r="http://schemas.openxmlformats.org/officeDocument/2006/relationships" ref="C73" r:id="rId135"/>
    <hyperlink xmlns:r="http://schemas.openxmlformats.org/officeDocument/2006/relationships" ref="C74" r:id="rId136"/>
    <hyperlink xmlns:r="http://schemas.openxmlformats.org/officeDocument/2006/relationships" ref="I74" r:id="rId137"/>
    <hyperlink xmlns:r="http://schemas.openxmlformats.org/officeDocument/2006/relationships" ref="C75" r:id="rId138"/>
    <hyperlink xmlns:r="http://schemas.openxmlformats.org/officeDocument/2006/relationships" ref="C76" r:id="rId139"/>
    <hyperlink xmlns:r="http://schemas.openxmlformats.org/officeDocument/2006/relationships" ref="I76" r:id="rId140"/>
    <hyperlink xmlns:r="http://schemas.openxmlformats.org/officeDocument/2006/relationships" ref="C77" r:id="rId141"/>
    <hyperlink xmlns:r="http://schemas.openxmlformats.org/officeDocument/2006/relationships" ref="C78" r:id="rId142"/>
    <hyperlink xmlns:r="http://schemas.openxmlformats.org/officeDocument/2006/relationships" ref="C79" r:id="rId143"/>
    <hyperlink xmlns:r="http://schemas.openxmlformats.org/officeDocument/2006/relationships" ref="C80" r:id="rId144"/>
    <hyperlink xmlns:r="http://schemas.openxmlformats.org/officeDocument/2006/relationships" ref="C81" r:id="rId145"/>
    <hyperlink xmlns:r="http://schemas.openxmlformats.org/officeDocument/2006/relationships" ref="C82" r:id="rId146"/>
    <hyperlink xmlns:r="http://schemas.openxmlformats.org/officeDocument/2006/relationships" ref="I82" r:id="rId147"/>
    <hyperlink xmlns:r="http://schemas.openxmlformats.org/officeDocument/2006/relationships" ref="C83" r:id="rId148"/>
    <hyperlink xmlns:r="http://schemas.openxmlformats.org/officeDocument/2006/relationships" ref="C84" r:id="rId149"/>
    <hyperlink xmlns:r="http://schemas.openxmlformats.org/officeDocument/2006/relationships" ref="I84" r:id="rId150"/>
    <hyperlink xmlns:r="http://schemas.openxmlformats.org/officeDocument/2006/relationships" ref="C85" r:id="rId151"/>
    <hyperlink xmlns:r="http://schemas.openxmlformats.org/officeDocument/2006/relationships" ref="I85" r:id="rId152"/>
    <hyperlink xmlns:r="http://schemas.openxmlformats.org/officeDocument/2006/relationships" ref="C86" r:id="rId153"/>
    <hyperlink xmlns:r="http://schemas.openxmlformats.org/officeDocument/2006/relationships" ref="I86" r:id="rId154"/>
    <hyperlink xmlns:r="http://schemas.openxmlformats.org/officeDocument/2006/relationships" ref="C87" r:id="rId155"/>
    <hyperlink xmlns:r="http://schemas.openxmlformats.org/officeDocument/2006/relationships" ref="I87" r:id="rId156"/>
    <hyperlink xmlns:r="http://schemas.openxmlformats.org/officeDocument/2006/relationships" ref="C88" r:id="rId157"/>
    <hyperlink xmlns:r="http://schemas.openxmlformats.org/officeDocument/2006/relationships" ref="C89" r:id="rId158"/>
    <hyperlink xmlns:r="http://schemas.openxmlformats.org/officeDocument/2006/relationships" ref="I89" r:id="rId159"/>
    <hyperlink xmlns:r="http://schemas.openxmlformats.org/officeDocument/2006/relationships" ref="C90" r:id="rId160"/>
    <hyperlink xmlns:r="http://schemas.openxmlformats.org/officeDocument/2006/relationships" ref="C91" r:id="rId161"/>
    <hyperlink xmlns:r="http://schemas.openxmlformats.org/officeDocument/2006/relationships" ref="I91" r:id="rId162"/>
    <hyperlink xmlns:r="http://schemas.openxmlformats.org/officeDocument/2006/relationships" ref="C92" r:id="rId163"/>
    <hyperlink xmlns:r="http://schemas.openxmlformats.org/officeDocument/2006/relationships" ref="I92" r:id="rId164"/>
    <hyperlink xmlns:r="http://schemas.openxmlformats.org/officeDocument/2006/relationships" ref="C93" r:id="rId165"/>
    <hyperlink xmlns:r="http://schemas.openxmlformats.org/officeDocument/2006/relationships" ref="I93" r:id="rId166"/>
    <hyperlink xmlns:r="http://schemas.openxmlformats.org/officeDocument/2006/relationships" ref="C94" r:id="rId167"/>
    <hyperlink xmlns:r="http://schemas.openxmlformats.org/officeDocument/2006/relationships" ref="I94" r:id="rId168"/>
    <hyperlink xmlns:r="http://schemas.openxmlformats.org/officeDocument/2006/relationships" ref="C95" r:id="rId169"/>
    <hyperlink xmlns:r="http://schemas.openxmlformats.org/officeDocument/2006/relationships" ref="I95" r:id="rId170"/>
    <hyperlink xmlns:r="http://schemas.openxmlformats.org/officeDocument/2006/relationships" ref="C96" r:id="rId171"/>
    <hyperlink xmlns:r="http://schemas.openxmlformats.org/officeDocument/2006/relationships" ref="I96" r:id="rId172"/>
    <hyperlink xmlns:r="http://schemas.openxmlformats.org/officeDocument/2006/relationships" ref="C97" r:id="rId173"/>
    <hyperlink xmlns:r="http://schemas.openxmlformats.org/officeDocument/2006/relationships" ref="I97" r:id="rId174"/>
    <hyperlink xmlns:r="http://schemas.openxmlformats.org/officeDocument/2006/relationships" ref="C98" location="index-ESFJESFJtoc" r:id="rId175"/>
    <hyperlink xmlns:r="http://schemas.openxmlformats.org/officeDocument/2006/relationships" ref="I98" r:id="rId176"/>
    <hyperlink xmlns:r="http://schemas.openxmlformats.org/officeDocument/2006/relationships" ref="C99" r:id="rId177"/>
    <hyperlink xmlns:r="http://schemas.openxmlformats.org/officeDocument/2006/relationships" ref="I99" r:id="rId178"/>
    <hyperlink xmlns:r="http://schemas.openxmlformats.org/officeDocument/2006/relationships" ref="C100" r:id="rId179"/>
    <hyperlink xmlns:r="http://schemas.openxmlformats.org/officeDocument/2006/relationships" ref="C101" r:id="rId180"/>
    <hyperlink xmlns:r="http://schemas.openxmlformats.org/officeDocument/2006/relationships" ref="I101" r:id="rId181"/>
    <hyperlink xmlns:r="http://schemas.openxmlformats.org/officeDocument/2006/relationships" ref="C102" r:id="rId182"/>
    <hyperlink xmlns:r="http://schemas.openxmlformats.org/officeDocument/2006/relationships" ref="I102" r:id="rId183"/>
    <hyperlink xmlns:r="http://schemas.openxmlformats.org/officeDocument/2006/relationships" ref="C103" r:id="rId184"/>
    <hyperlink xmlns:r="http://schemas.openxmlformats.org/officeDocument/2006/relationships" ref="I103" r:id="rId185"/>
    <hyperlink xmlns:r="http://schemas.openxmlformats.org/officeDocument/2006/relationships" ref="C104" r:id="rId186"/>
    <hyperlink xmlns:r="http://schemas.openxmlformats.org/officeDocument/2006/relationships" ref="I104" r:id="rId187"/>
    <hyperlink xmlns:r="http://schemas.openxmlformats.org/officeDocument/2006/relationships" ref="C105" r:id="rId188"/>
    <hyperlink xmlns:r="http://schemas.openxmlformats.org/officeDocument/2006/relationships" ref="I105" r:id="rId189"/>
    <hyperlink xmlns:r="http://schemas.openxmlformats.org/officeDocument/2006/relationships" ref="C106" r:id="rId190"/>
    <hyperlink xmlns:r="http://schemas.openxmlformats.org/officeDocument/2006/relationships" ref="I106" r:id="rId191"/>
    <hyperlink xmlns:r="http://schemas.openxmlformats.org/officeDocument/2006/relationships" ref="C107" r:id="rId192"/>
    <hyperlink xmlns:r="http://schemas.openxmlformats.org/officeDocument/2006/relationships" ref="I107" r:id="rId193"/>
    <hyperlink xmlns:r="http://schemas.openxmlformats.org/officeDocument/2006/relationships" ref="C108" r:id="rId194"/>
    <hyperlink xmlns:r="http://schemas.openxmlformats.org/officeDocument/2006/relationships" ref="I108" r:id="rId195"/>
    <hyperlink xmlns:r="http://schemas.openxmlformats.org/officeDocument/2006/relationships" ref="C109" r:id="rId196"/>
    <hyperlink xmlns:r="http://schemas.openxmlformats.org/officeDocument/2006/relationships" ref="C110" r:id="rId197"/>
    <hyperlink xmlns:r="http://schemas.openxmlformats.org/officeDocument/2006/relationships" ref="I110" r:id="rId198"/>
    <hyperlink xmlns:r="http://schemas.openxmlformats.org/officeDocument/2006/relationships" ref="C111" r:id="rId199"/>
    <hyperlink xmlns:r="http://schemas.openxmlformats.org/officeDocument/2006/relationships" ref="I111" r:id="rId200"/>
    <hyperlink xmlns:r="http://schemas.openxmlformats.org/officeDocument/2006/relationships" ref="C112" r:id="rId201"/>
    <hyperlink xmlns:r="http://schemas.openxmlformats.org/officeDocument/2006/relationships" ref="I112" r:id="rId202"/>
    <hyperlink xmlns:r="http://schemas.openxmlformats.org/officeDocument/2006/relationships" ref="C113" r:id="rId203"/>
    <hyperlink xmlns:r="http://schemas.openxmlformats.org/officeDocument/2006/relationships" ref="I113" r:id="rId204"/>
    <hyperlink xmlns:r="http://schemas.openxmlformats.org/officeDocument/2006/relationships" ref="C114" r:id="rId205"/>
    <hyperlink xmlns:r="http://schemas.openxmlformats.org/officeDocument/2006/relationships" ref="I114" r:id="rId206"/>
    <hyperlink xmlns:r="http://schemas.openxmlformats.org/officeDocument/2006/relationships" ref="C115" r:id="rId207"/>
    <hyperlink xmlns:r="http://schemas.openxmlformats.org/officeDocument/2006/relationships" ref="C116" r:id="rId208"/>
    <hyperlink xmlns:r="http://schemas.openxmlformats.org/officeDocument/2006/relationships" ref="I116" r:id="rId209"/>
    <hyperlink xmlns:r="http://schemas.openxmlformats.org/officeDocument/2006/relationships" ref="C117" r:id="rId210"/>
    <hyperlink xmlns:r="http://schemas.openxmlformats.org/officeDocument/2006/relationships" ref="I117" r:id="rId211"/>
    <hyperlink xmlns:r="http://schemas.openxmlformats.org/officeDocument/2006/relationships" ref="C118" r:id="rId212"/>
    <hyperlink xmlns:r="http://schemas.openxmlformats.org/officeDocument/2006/relationships" ref="I118" r:id="rId213"/>
    <hyperlink xmlns:r="http://schemas.openxmlformats.org/officeDocument/2006/relationships" ref="C119" r:id="rId214"/>
    <hyperlink xmlns:r="http://schemas.openxmlformats.org/officeDocument/2006/relationships" ref="I119" r:id="rId215"/>
    <hyperlink xmlns:r="http://schemas.openxmlformats.org/officeDocument/2006/relationships" ref="C120" r:id="rId216"/>
    <hyperlink xmlns:r="http://schemas.openxmlformats.org/officeDocument/2006/relationships" ref="I120" r:id="rId217"/>
    <hyperlink xmlns:r="http://schemas.openxmlformats.org/officeDocument/2006/relationships" ref="C121" r:id="rId218"/>
    <hyperlink xmlns:r="http://schemas.openxmlformats.org/officeDocument/2006/relationships" ref="I121" r:id="rId219"/>
    <hyperlink xmlns:r="http://schemas.openxmlformats.org/officeDocument/2006/relationships" ref="C122" r:id="rId220"/>
    <hyperlink xmlns:r="http://schemas.openxmlformats.org/officeDocument/2006/relationships" ref="C123" r:id="rId221"/>
    <hyperlink xmlns:r="http://schemas.openxmlformats.org/officeDocument/2006/relationships" ref="I123" r:id="rId222"/>
    <hyperlink xmlns:r="http://schemas.openxmlformats.org/officeDocument/2006/relationships" ref="C124" r:id="rId223"/>
    <hyperlink xmlns:r="http://schemas.openxmlformats.org/officeDocument/2006/relationships" ref="I124" r:id="rId224"/>
    <hyperlink xmlns:r="http://schemas.openxmlformats.org/officeDocument/2006/relationships" ref="C125" r:id="rId225"/>
    <hyperlink xmlns:r="http://schemas.openxmlformats.org/officeDocument/2006/relationships" ref="I125" r:id="rId226"/>
    <hyperlink xmlns:r="http://schemas.openxmlformats.org/officeDocument/2006/relationships" ref="C126" r:id="rId227"/>
    <hyperlink xmlns:r="http://schemas.openxmlformats.org/officeDocument/2006/relationships" ref="I126" r:id="rId228"/>
    <hyperlink xmlns:r="http://schemas.openxmlformats.org/officeDocument/2006/relationships" ref="C127" r:id="rId229"/>
    <hyperlink xmlns:r="http://schemas.openxmlformats.org/officeDocument/2006/relationships" ref="I127" r:id="rId230"/>
    <hyperlink xmlns:r="http://schemas.openxmlformats.org/officeDocument/2006/relationships" ref="C128" r:id="rId231"/>
    <hyperlink xmlns:r="http://schemas.openxmlformats.org/officeDocument/2006/relationships" ref="I128" r:id="rId232"/>
    <hyperlink xmlns:r="http://schemas.openxmlformats.org/officeDocument/2006/relationships" ref="C129" r:id="rId233"/>
    <hyperlink xmlns:r="http://schemas.openxmlformats.org/officeDocument/2006/relationships" ref="C130" r:id="rId234"/>
    <hyperlink xmlns:r="http://schemas.openxmlformats.org/officeDocument/2006/relationships" ref="C131" location="index-16PersonalitiesINTP16PersonalitiesINTPtoc" r:id="rId235"/>
    <hyperlink xmlns:r="http://schemas.openxmlformats.org/officeDocument/2006/relationships" ref="I131" r:id="rId236"/>
    <hyperlink xmlns:r="http://schemas.openxmlformats.org/officeDocument/2006/relationships" ref="C132" r:id="rId237"/>
    <hyperlink xmlns:r="http://schemas.openxmlformats.org/officeDocument/2006/relationships" ref="I132" r:id="rId238"/>
    <hyperlink xmlns:r="http://schemas.openxmlformats.org/officeDocument/2006/relationships" ref="C133" r:id="rId239"/>
    <hyperlink xmlns:r="http://schemas.openxmlformats.org/officeDocument/2006/relationships" ref="I133" r:id="rId240"/>
    <hyperlink xmlns:r="http://schemas.openxmlformats.org/officeDocument/2006/relationships" ref="C134" r:id="rId241"/>
    <hyperlink xmlns:r="http://schemas.openxmlformats.org/officeDocument/2006/relationships" ref="C135" r:id="rId242"/>
    <hyperlink xmlns:r="http://schemas.openxmlformats.org/officeDocument/2006/relationships" ref="I135" r:id="rId243"/>
    <hyperlink xmlns:r="http://schemas.openxmlformats.org/officeDocument/2006/relationships" ref="C136" r:id="rId244"/>
    <hyperlink xmlns:r="http://schemas.openxmlformats.org/officeDocument/2006/relationships" ref="I136" r:id="rId245"/>
    <hyperlink xmlns:r="http://schemas.openxmlformats.org/officeDocument/2006/relationships" ref="C137" r:id="rId246"/>
    <hyperlink xmlns:r="http://schemas.openxmlformats.org/officeDocument/2006/relationships" ref="I137" r:id="rId247"/>
    <hyperlink xmlns:r="http://schemas.openxmlformats.org/officeDocument/2006/relationships" ref="C138" r:id="rId248"/>
    <hyperlink xmlns:r="http://schemas.openxmlformats.org/officeDocument/2006/relationships" ref="I138" r:id="rId249"/>
    <hyperlink xmlns:r="http://schemas.openxmlformats.org/officeDocument/2006/relationships" ref="C139" r:id="rId250"/>
    <hyperlink xmlns:r="http://schemas.openxmlformats.org/officeDocument/2006/relationships" ref="I139" r:id="rId251"/>
    <hyperlink xmlns:r="http://schemas.openxmlformats.org/officeDocument/2006/relationships" ref="C140" r:id="rId252"/>
    <hyperlink xmlns:r="http://schemas.openxmlformats.org/officeDocument/2006/relationships" ref="I140" r:id="rId253"/>
    <hyperlink xmlns:r="http://schemas.openxmlformats.org/officeDocument/2006/relationships" ref="C141" r:id="rId254"/>
    <hyperlink xmlns:r="http://schemas.openxmlformats.org/officeDocument/2006/relationships" ref="I141" r:id="rId255"/>
    <hyperlink xmlns:r="http://schemas.openxmlformats.org/officeDocument/2006/relationships" ref="C142" r:id="rId256"/>
    <hyperlink xmlns:r="http://schemas.openxmlformats.org/officeDocument/2006/relationships" ref="C143" location="index-16PersonalitiesESTJ16PersonalitiesESTJtoc" r:id="rId257"/>
    <hyperlink xmlns:r="http://schemas.openxmlformats.org/officeDocument/2006/relationships" ref="I143" r:id="rId258"/>
    <hyperlink xmlns:r="http://schemas.openxmlformats.org/officeDocument/2006/relationships" ref="C144" location="index-16PersonalitiesESTP16PersonalitiesESTPtoc" r:id="rId259"/>
    <hyperlink xmlns:r="http://schemas.openxmlformats.org/officeDocument/2006/relationships" ref="I144" r:id="rId260"/>
    <hyperlink xmlns:r="http://schemas.openxmlformats.org/officeDocument/2006/relationships" ref="C145" location="index-ESTP-2ESTP-2toc" r:id="rId261"/>
    <hyperlink xmlns:r="http://schemas.openxmlformats.org/officeDocument/2006/relationships" ref="I145" r:id="rId262"/>
    <hyperlink xmlns:r="http://schemas.openxmlformats.org/officeDocument/2006/relationships" ref="C146" r:id="rId263"/>
    <hyperlink xmlns:r="http://schemas.openxmlformats.org/officeDocument/2006/relationships" ref="I146" r:id="rId264"/>
    <hyperlink xmlns:r="http://schemas.openxmlformats.org/officeDocument/2006/relationships" ref="C147" r:id="rId265"/>
    <hyperlink xmlns:r="http://schemas.openxmlformats.org/officeDocument/2006/relationships" ref="I147" r:id="rId266"/>
    <hyperlink xmlns:r="http://schemas.openxmlformats.org/officeDocument/2006/relationships" ref="C148" location="index" r:id="rId267"/>
    <hyperlink xmlns:r="http://schemas.openxmlformats.org/officeDocument/2006/relationships" ref="I148" r:id="rId268"/>
    <hyperlink xmlns:r="http://schemas.openxmlformats.org/officeDocument/2006/relationships" ref="C149" location="index-3-23-2toc" r:id="rId269"/>
    <hyperlink xmlns:r="http://schemas.openxmlformats.org/officeDocument/2006/relationships" ref="I149" r:id="rId270"/>
    <hyperlink xmlns:r="http://schemas.openxmlformats.org/officeDocument/2006/relationships" ref="C150" r:id="rId271"/>
    <hyperlink xmlns:r="http://schemas.openxmlformats.org/officeDocument/2006/relationships" ref="I150" r:id="rId272"/>
    <hyperlink xmlns:r="http://schemas.openxmlformats.org/officeDocument/2006/relationships" ref="C151" r:id="rId273"/>
    <hyperlink xmlns:r="http://schemas.openxmlformats.org/officeDocument/2006/relationships" ref="I151" r:id="rId274"/>
    <hyperlink xmlns:r="http://schemas.openxmlformats.org/officeDocument/2006/relationships" ref="C152" r:id="rId275"/>
    <hyperlink xmlns:r="http://schemas.openxmlformats.org/officeDocument/2006/relationships" ref="I152" r:id="rId276"/>
    <hyperlink xmlns:r="http://schemas.openxmlformats.org/officeDocument/2006/relationships" ref="C153" r:id="rId277"/>
    <hyperlink xmlns:r="http://schemas.openxmlformats.org/officeDocument/2006/relationships" ref="I153" r:id="rId278"/>
    <hyperlink xmlns:r="http://schemas.openxmlformats.org/officeDocument/2006/relationships" ref="C154" r:id="rId279"/>
    <hyperlink xmlns:r="http://schemas.openxmlformats.org/officeDocument/2006/relationships" ref="I154" r:id="rId280"/>
    <hyperlink xmlns:r="http://schemas.openxmlformats.org/officeDocument/2006/relationships" ref="C155" r:id="rId281"/>
    <hyperlink xmlns:r="http://schemas.openxmlformats.org/officeDocument/2006/relationships" ref="I155" r:id="rId282"/>
    <hyperlink xmlns:r="http://schemas.openxmlformats.org/officeDocument/2006/relationships" ref="C156" location="index-ESFJ-5ESFJ-5toc" r:id="rId283"/>
    <hyperlink xmlns:r="http://schemas.openxmlformats.org/officeDocument/2006/relationships" ref="I156" r:id="rId284"/>
    <hyperlink xmlns:r="http://schemas.openxmlformats.org/officeDocument/2006/relationships" ref="C157" location="index" r:id="rId285"/>
    <hyperlink xmlns:r="http://schemas.openxmlformats.org/officeDocument/2006/relationships" ref="I157" r:id="rId286"/>
    <hyperlink xmlns:r="http://schemas.openxmlformats.org/officeDocument/2006/relationships" ref="C158" r:id="rId287"/>
    <hyperlink xmlns:r="http://schemas.openxmlformats.org/officeDocument/2006/relationships" ref="I158" r:id="rId288"/>
    <hyperlink xmlns:r="http://schemas.openxmlformats.org/officeDocument/2006/relationships" ref="C159" r:id="rId289"/>
    <hyperlink xmlns:r="http://schemas.openxmlformats.org/officeDocument/2006/relationships" ref="I159" r:id="rId290"/>
    <hyperlink xmlns:r="http://schemas.openxmlformats.org/officeDocument/2006/relationships" ref="C160" r:id="rId291"/>
    <hyperlink xmlns:r="http://schemas.openxmlformats.org/officeDocument/2006/relationships" ref="I160" r:id="rId292"/>
    <hyperlink xmlns:r="http://schemas.openxmlformats.org/officeDocument/2006/relationships" ref="C161" location="index-33toc" r:id="rId293"/>
    <hyperlink xmlns:r="http://schemas.openxmlformats.org/officeDocument/2006/relationships" ref="I161" r:id="rId294"/>
    <hyperlink xmlns:r="http://schemas.openxmlformats.org/officeDocument/2006/relationships" ref="C162" location="index-INFP-2INFP-2toc" r:id="rId295"/>
    <hyperlink xmlns:r="http://schemas.openxmlformats.org/officeDocument/2006/relationships" ref="I162" r:id="rId296"/>
    <hyperlink xmlns:r="http://schemas.openxmlformats.org/officeDocument/2006/relationships" ref="C163" location="index-INFP-7INFP-7toc" r:id="rId297"/>
    <hyperlink xmlns:r="http://schemas.openxmlformats.org/officeDocument/2006/relationships" ref="I163" r:id="rId298"/>
    <hyperlink xmlns:r="http://schemas.openxmlformats.org/officeDocument/2006/relationships" ref="C164" location="index-INFP16PersonalitiesINFP16Personalitiestoc" r:id="rId299"/>
    <hyperlink xmlns:r="http://schemas.openxmlformats.org/officeDocument/2006/relationships" ref="I164" r:id="rId300"/>
    <hyperlink xmlns:r="http://schemas.openxmlformats.org/officeDocument/2006/relationships" ref="C165" location="index-ISTJISTJtoc" r:id="rId301"/>
    <hyperlink xmlns:r="http://schemas.openxmlformats.org/officeDocument/2006/relationships" ref="I165" r:id="rId302"/>
    <hyperlink xmlns:r="http://schemas.openxmlformats.org/officeDocument/2006/relationships" ref="C166" r:id="rId303"/>
    <hyperlink xmlns:r="http://schemas.openxmlformats.org/officeDocument/2006/relationships" ref="I166" r:id="rId304"/>
    <hyperlink xmlns:r="http://schemas.openxmlformats.org/officeDocument/2006/relationships" ref="C167" r:id="rId305"/>
    <hyperlink xmlns:r="http://schemas.openxmlformats.org/officeDocument/2006/relationships" ref="C168" r:id="rId306"/>
    <hyperlink xmlns:r="http://schemas.openxmlformats.org/officeDocument/2006/relationships" ref="I168" r:id="rId307"/>
    <hyperlink xmlns:r="http://schemas.openxmlformats.org/officeDocument/2006/relationships" ref="C169" r:id="rId308"/>
    <hyperlink xmlns:r="http://schemas.openxmlformats.org/officeDocument/2006/relationships" ref="I169" r:id="rId309"/>
    <hyperlink xmlns:r="http://schemas.openxmlformats.org/officeDocument/2006/relationships" ref="C170" r:id="rId310"/>
    <hyperlink xmlns:r="http://schemas.openxmlformats.org/officeDocument/2006/relationships" ref="I170" r:id="rId311"/>
    <hyperlink xmlns:r="http://schemas.openxmlformats.org/officeDocument/2006/relationships" ref="C171" r:id="rId312"/>
    <hyperlink xmlns:r="http://schemas.openxmlformats.org/officeDocument/2006/relationships" ref="I171" r:id="rId313"/>
    <hyperlink xmlns:r="http://schemas.openxmlformats.org/officeDocument/2006/relationships" ref="C172" r:id="rId314"/>
    <hyperlink xmlns:r="http://schemas.openxmlformats.org/officeDocument/2006/relationships" ref="I172" r:id="rId315"/>
    <hyperlink xmlns:r="http://schemas.openxmlformats.org/officeDocument/2006/relationships" ref="C173" r:id="rId316"/>
    <hyperlink xmlns:r="http://schemas.openxmlformats.org/officeDocument/2006/relationships" ref="I173" r:id="rId317"/>
    <hyperlink xmlns:r="http://schemas.openxmlformats.org/officeDocument/2006/relationships" ref="C174" r:id="rId318"/>
    <hyperlink xmlns:r="http://schemas.openxmlformats.org/officeDocument/2006/relationships" ref="I174" r:id="rId319"/>
    <hyperlink xmlns:r="http://schemas.openxmlformats.org/officeDocument/2006/relationships" ref="C175" r:id="rId320"/>
    <hyperlink xmlns:r="http://schemas.openxmlformats.org/officeDocument/2006/relationships" ref="I175" r:id="rId321"/>
    <hyperlink xmlns:r="http://schemas.openxmlformats.org/officeDocument/2006/relationships" ref="C176" r:id="rId322"/>
    <hyperlink xmlns:r="http://schemas.openxmlformats.org/officeDocument/2006/relationships" ref="I176" r:id="rId323"/>
    <hyperlink xmlns:r="http://schemas.openxmlformats.org/officeDocument/2006/relationships" ref="C177" r:id="rId324"/>
    <hyperlink xmlns:r="http://schemas.openxmlformats.org/officeDocument/2006/relationships" ref="I177" r:id="rId325"/>
    <hyperlink xmlns:r="http://schemas.openxmlformats.org/officeDocument/2006/relationships" ref="C178" r:id="rId326"/>
    <hyperlink xmlns:r="http://schemas.openxmlformats.org/officeDocument/2006/relationships" ref="I178" r:id="rId327"/>
    <hyperlink xmlns:r="http://schemas.openxmlformats.org/officeDocument/2006/relationships" ref="C179" location="index" r:id="rId328"/>
    <hyperlink xmlns:r="http://schemas.openxmlformats.org/officeDocument/2006/relationships" ref="C180" location="index-2" r:id="rId329"/>
    <hyperlink xmlns:r="http://schemas.openxmlformats.org/officeDocument/2006/relationships" ref="I180" r:id="rId330"/>
    <hyperlink xmlns:r="http://schemas.openxmlformats.org/officeDocument/2006/relationships" ref="C181" location="index-22toc" r:id="rId331"/>
    <hyperlink xmlns:r="http://schemas.openxmlformats.org/officeDocument/2006/relationships" ref="I181" r:id="rId332"/>
    <hyperlink xmlns:r="http://schemas.openxmlformats.org/officeDocument/2006/relationships" ref="C182" location="index-30-730-7toc" r:id="rId333"/>
    <hyperlink xmlns:r="http://schemas.openxmlformats.org/officeDocument/2006/relationships" ref="I182" r:id="rId334"/>
    <hyperlink xmlns:r="http://schemas.openxmlformats.org/officeDocument/2006/relationships" ref="C183" r:id="rId335"/>
    <hyperlink xmlns:r="http://schemas.openxmlformats.org/officeDocument/2006/relationships" ref="I183" r:id="rId336"/>
    <hyperlink xmlns:r="http://schemas.openxmlformats.org/officeDocument/2006/relationships" ref="C184" location="index-3535toc" r:id="rId337"/>
    <hyperlink xmlns:r="http://schemas.openxmlformats.org/officeDocument/2006/relationships" ref="I184" r:id="rId338"/>
    <hyperlink xmlns:r="http://schemas.openxmlformats.org/officeDocument/2006/relationships" ref="C185" location="index-407407toc" r:id="rId339"/>
    <hyperlink xmlns:r="http://schemas.openxmlformats.org/officeDocument/2006/relationships" ref="I185" r:id="rId340"/>
    <hyperlink xmlns:r="http://schemas.openxmlformats.org/officeDocument/2006/relationships" ref="C186" location="index-40-240-2toc" r:id="rId341"/>
    <hyperlink xmlns:r="http://schemas.openxmlformats.org/officeDocument/2006/relationships" ref="I186" r:id="rId342"/>
    <hyperlink xmlns:r="http://schemas.openxmlformats.org/officeDocument/2006/relationships" ref="C187" location="index-4040toc" r:id="rId343"/>
    <hyperlink xmlns:r="http://schemas.openxmlformats.org/officeDocument/2006/relationships" ref="I187" r:id="rId344"/>
    <hyperlink xmlns:r="http://schemas.openxmlformats.org/officeDocument/2006/relationships" ref="C188" r:id="rId345"/>
    <hyperlink xmlns:r="http://schemas.openxmlformats.org/officeDocument/2006/relationships" ref="I188" r:id="rId346"/>
    <hyperlink xmlns:r="http://schemas.openxmlformats.org/officeDocument/2006/relationships" ref="C189" r:id="rId347"/>
    <hyperlink xmlns:r="http://schemas.openxmlformats.org/officeDocument/2006/relationships" ref="I189" r:id="rId348"/>
    <hyperlink xmlns:r="http://schemas.openxmlformats.org/officeDocument/2006/relationships" ref="C190" location="index-2" r:id="rId349"/>
    <hyperlink xmlns:r="http://schemas.openxmlformats.org/officeDocument/2006/relationships" ref="I190" r:id="rId350"/>
    <hyperlink xmlns:r="http://schemas.openxmlformats.org/officeDocument/2006/relationships" ref="C191" location="index" r:id="rId351"/>
    <hyperlink xmlns:r="http://schemas.openxmlformats.org/officeDocument/2006/relationships" ref="I191" r:id="rId352"/>
    <hyperlink xmlns:r="http://schemas.openxmlformats.org/officeDocument/2006/relationships" ref="C192" r:id="rId353"/>
    <hyperlink xmlns:r="http://schemas.openxmlformats.org/officeDocument/2006/relationships" ref="I192" r:id="rId354"/>
    <hyperlink xmlns:r="http://schemas.openxmlformats.org/officeDocument/2006/relationships" ref="C193" r:id="rId355"/>
    <hyperlink xmlns:r="http://schemas.openxmlformats.org/officeDocument/2006/relationships" ref="I193" r:id="rId356"/>
    <hyperlink xmlns:r="http://schemas.openxmlformats.org/officeDocument/2006/relationships" ref="C194" r:id="rId357"/>
    <hyperlink xmlns:r="http://schemas.openxmlformats.org/officeDocument/2006/relationships" ref="I194" r:id="rId358"/>
    <hyperlink xmlns:r="http://schemas.openxmlformats.org/officeDocument/2006/relationships" ref="C195" location="index-4" r:id="rId359"/>
    <hyperlink xmlns:r="http://schemas.openxmlformats.org/officeDocument/2006/relationships" ref="I195" r:id="rId360"/>
    <hyperlink xmlns:r="http://schemas.openxmlformats.org/officeDocument/2006/relationships" ref="C196" location="index" r:id="rId361"/>
    <hyperlink xmlns:r="http://schemas.openxmlformats.org/officeDocument/2006/relationships" ref="C197" location="index-2" r:id="rId362"/>
    <hyperlink xmlns:r="http://schemas.openxmlformats.org/officeDocument/2006/relationships" ref="C198" location="index-5-35-3toc" r:id="rId363"/>
    <hyperlink xmlns:r="http://schemas.openxmlformats.org/officeDocument/2006/relationships" ref="C199" location="index-55toc" r:id="rId364"/>
    <hyperlink xmlns:r="http://schemas.openxmlformats.org/officeDocument/2006/relationships" ref="I199" r:id="rId365"/>
    <hyperlink xmlns:r="http://schemas.openxmlformats.org/officeDocument/2006/relationships" ref="C200" location="index-7" r:id="rId366"/>
    <hyperlink xmlns:r="http://schemas.openxmlformats.org/officeDocument/2006/relationships" ref="I200" r:id="rId367"/>
    <hyperlink xmlns:r="http://schemas.openxmlformats.org/officeDocument/2006/relationships" ref="C201" location="index" r:id="rId368"/>
    <hyperlink xmlns:r="http://schemas.openxmlformats.org/officeDocument/2006/relationships" ref="I201" r:id="rId369"/>
    <hyperlink xmlns:r="http://schemas.openxmlformats.org/officeDocument/2006/relationships" ref="C202" location="index-ENFP-13ENFP-13toc" r:id="rId370"/>
    <hyperlink xmlns:r="http://schemas.openxmlformats.org/officeDocument/2006/relationships" ref="I202" r:id="rId371"/>
    <hyperlink xmlns:r="http://schemas.openxmlformats.org/officeDocument/2006/relationships" ref="C203" location="index-ENFPENFPtoc" r:id="rId372"/>
    <hyperlink xmlns:r="http://schemas.openxmlformats.org/officeDocument/2006/relationships" ref="I203" r:id="rId373"/>
    <hyperlink xmlns:r="http://schemas.openxmlformats.org/officeDocument/2006/relationships" ref="C204" location="index-ENTJ-9ENTJ-9toc" r:id="rId374"/>
    <hyperlink xmlns:r="http://schemas.openxmlformats.org/officeDocument/2006/relationships" ref="I204" r:id="rId375"/>
    <hyperlink xmlns:r="http://schemas.openxmlformats.org/officeDocument/2006/relationships" ref="C205" location="index-ENTP-3ENTP-3toc" r:id="rId376"/>
    <hyperlink xmlns:r="http://schemas.openxmlformats.org/officeDocument/2006/relationships" ref="I205" r:id="rId377"/>
    <hyperlink xmlns:r="http://schemas.openxmlformats.org/officeDocument/2006/relationships" ref="C206" r:id="rId378"/>
    <hyperlink xmlns:r="http://schemas.openxmlformats.org/officeDocument/2006/relationships" ref="I206" r:id="rId379"/>
    <hyperlink xmlns:r="http://schemas.openxmlformats.org/officeDocument/2006/relationships" ref="C207" location="index-ESFJ-4ESFJ-4toc" r:id="rId380"/>
    <hyperlink xmlns:r="http://schemas.openxmlformats.org/officeDocument/2006/relationships" ref="I207" r:id="rId381"/>
    <hyperlink xmlns:r="http://schemas.openxmlformats.org/officeDocument/2006/relationships" ref="C208" location="index-ESFJ-6ESFJ-6toc" r:id="rId382"/>
    <hyperlink xmlns:r="http://schemas.openxmlformats.org/officeDocument/2006/relationships" ref="I208" r:id="rId383"/>
    <hyperlink xmlns:r="http://schemas.openxmlformats.org/officeDocument/2006/relationships" ref="C209" location="index-ESTJ-8ESTJ-8toc" r:id="rId384"/>
    <hyperlink xmlns:r="http://schemas.openxmlformats.org/officeDocument/2006/relationships" ref="I209" r:id="rId385"/>
    <hyperlink xmlns:r="http://schemas.openxmlformats.org/officeDocument/2006/relationships" ref="C210" location="index-2" r:id="rId386"/>
    <hyperlink xmlns:r="http://schemas.openxmlformats.org/officeDocument/2006/relationships" ref="I210" r:id="rId387"/>
    <hyperlink xmlns:r="http://schemas.openxmlformats.org/officeDocument/2006/relationships" ref="C211" r:id="rId388"/>
    <hyperlink xmlns:r="http://schemas.openxmlformats.org/officeDocument/2006/relationships" ref="I211" r:id="rId389"/>
    <hyperlink xmlns:r="http://schemas.openxmlformats.org/officeDocument/2006/relationships" ref="C212" location="index-2" r:id="rId390"/>
    <hyperlink xmlns:r="http://schemas.openxmlformats.org/officeDocument/2006/relationships" ref="I212" r:id="rId391"/>
    <hyperlink xmlns:r="http://schemas.openxmlformats.org/officeDocument/2006/relationships" ref="C213" r:id="rId392"/>
    <hyperlink xmlns:r="http://schemas.openxmlformats.org/officeDocument/2006/relationships" ref="I213" r:id="rId393"/>
    <hyperlink xmlns:r="http://schemas.openxmlformats.org/officeDocument/2006/relationships" ref="C214" r:id="rId394"/>
    <hyperlink xmlns:r="http://schemas.openxmlformats.org/officeDocument/2006/relationships" ref="I214" r:id="rId395"/>
    <hyperlink xmlns:r="http://schemas.openxmlformats.org/officeDocument/2006/relationships" ref="C215" r:id="rId396"/>
    <hyperlink xmlns:r="http://schemas.openxmlformats.org/officeDocument/2006/relationships" ref="I215" r:id="rId397"/>
    <hyperlink xmlns:r="http://schemas.openxmlformats.org/officeDocument/2006/relationships" ref="C216" location="index-55toc" r:id="rId398"/>
    <hyperlink xmlns:r="http://schemas.openxmlformats.org/officeDocument/2006/relationships" ref="I216" r:id="rId399"/>
    <hyperlink xmlns:r="http://schemas.openxmlformats.org/officeDocument/2006/relationships" ref="C217" location="index" r:id="rId400"/>
    <hyperlink xmlns:r="http://schemas.openxmlformats.org/officeDocument/2006/relationships" ref="I217" r:id="rId401"/>
    <hyperlink xmlns:r="http://schemas.openxmlformats.org/officeDocument/2006/relationships" ref="C218" location="index-1010toc" r:id="rId402"/>
    <hyperlink xmlns:r="http://schemas.openxmlformats.org/officeDocument/2006/relationships" ref="I218" r:id="rId403"/>
    <hyperlink xmlns:r="http://schemas.openxmlformats.org/officeDocument/2006/relationships" ref="C219" location="index-55toc" r:id="rId404"/>
    <hyperlink xmlns:r="http://schemas.openxmlformats.org/officeDocument/2006/relationships" ref="I219" r:id="rId405"/>
    <hyperlink xmlns:r="http://schemas.openxmlformats.org/officeDocument/2006/relationships" ref="C220" r:id="rId406"/>
    <hyperlink xmlns:r="http://schemas.openxmlformats.org/officeDocument/2006/relationships" ref="I220" r:id="rId407"/>
    <hyperlink xmlns:r="http://schemas.openxmlformats.org/officeDocument/2006/relationships" ref="C221" r:id="rId408"/>
    <hyperlink xmlns:r="http://schemas.openxmlformats.org/officeDocument/2006/relationships" ref="I221" r:id="rId409"/>
    <hyperlink xmlns:r="http://schemas.openxmlformats.org/officeDocument/2006/relationships" ref="C222" location="index-INFJ-8INFJ-8toc" r:id="rId410"/>
    <hyperlink xmlns:r="http://schemas.openxmlformats.org/officeDocument/2006/relationships" ref="I222" r:id="rId411"/>
    <hyperlink xmlns:r="http://schemas.openxmlformats.org/officeDocument/2006/relationships" ref="C223" location="index-INFJINFJtoc" r:id="rId412"/>
    <hyperlink xmlns:r="http://schemas.openxmlformats.org/officeDocument/2006/relationships" ref="I223" r:id="rId413"/>
    <hyperlink xmlns:r="http://schemas.openxmlformats.org/officeDocument/2006/relationships" ref="C224" location="index-INFP-10INFP-10toc" r:id="rId414"/>
    <hyperlink xmlns:r="http://schemas.openxmlformats.org/officeDocument/2006/relationships" ref="I224" r:id="rId415"/>
    <hyperlink xmlns:r="http://schemas.openxmlformats.org/officeDocument/2006/relationships" ref="C225" location="index-INFP-14INFP-14toc" r:id="rId416"/>
    <hyperlink xmlns:r="http://schemas.openxmlformats.org/officeDocument/2006/relationships" ref="I225" r:id="rId417"/>
    <hyperlink xmlns:r="http://schemas.openxmlformats.org/officeDocument/2006/relationships" ref="C226" location="index-INFP-6INFP-6toc" r:id="rId418"/>
    <hyperlink xmlns:r="http://schemas.openxmlformats.org/officeDocument/2006/relationships" ref="I226" r:id="rId419"/>
    <hyperlink xmlns:r="http://schemas.openxmlformats.org/officeDocument/2006/relationships" ref="C227" location="index" r:id="rId420"/>
    <hyperlink xmlns:r="http://schemas.openxmlformats.org/officeDocument/2006/relationships" ref="C228" r:id="rId421"/>
    <hyperlink xmlns:r="http://schemas.openxmlformats.org/officeDocument/2006/relationships" ref="I228" r:id="rId422"/>
    <hyperlink xmlns:r="http://schemas.openxmlformats.org/officeDocument/2006/relationships" ref="C229" location="index-13" r:id="rId423"/>
    <hyperlink xmlns:r="http://schemas.openxmlformats.org/officeDocument/2006/relationships" ref="I229" r:id="rId424"/>
    <hyperlink xmlns:r="http://schemas.openxmlformats.org/officeDocument/2006/relationships" ref="C230" location="index-INTP-12INTP-12toc" r:id="rId425"/>
    <hyperlink xmlns:r="http://schemas.openxmlformats.org/officeDocument/2006/relationships" ref="I230" r:id="rId426"/>
    <hyperlink xmlns:r="http://schemas.openxmlformats.org/officeDocument/2006/relationships" ref="C231" location="index-INTP-3INTP-3toc" r:id="rId427"/>
    <hyperlink xmlns:r="http://schemas.openxmlformats.org/officeDocument/2006/relationships" ref="C232" location="index-INTP-7INTP-7toc" r:id="rId428"/>
    <hyperlink xmlns:r="http://schemas.openxmlformats.org/officeDocument/2006/relationships" ref="C233" location="index-INTP-8INTP-8toc" r:id="rId429"/>
    <hyperlink xmlns:r="http://schemas.openxmlformats.org/officeDocument/2006/relationships" ref="C234" location="index-ISFJ-TISFJ-AISFJ-TISFJ-Atoc" r:id="rId430"/>
    <hyperlink xmlns:r="http://schemas.openxmlformats.org/officeDocument/2006/relationships" ref="C235" location="index-ISTJ-13ISTJ-13toc" r:id="rId431"/>
    <hyperlink xmlns:r="http://schemas.openxmlformats.org/officeDocument/2006/relationships" ref="I235" r:id="rId432"/>
    <hyperlink xmlns:r="http://schemas.openxmlformats.org/officeDocument/2006/relationships" ref="C236" location="index-ISTJ-4ISTJ-4toc" r:id="rId433"/>
    <hyperlink xmlns:r="http://schemas.openxmlformats.org/officeDocument/2006/relationships" ref="C237" location="index-ISTJ-9ISTJ-9toc" r:id="rId434"/>
    <hyperlink xmlns:r="http://schemas.openxmlformats.org/officeDocument/2006/relationships" ref="C238" location="index-ISTP-2ISTP-2toc" r:id="rId435"/>
    <hyperlink xmlns:r="http://schemas.openxmlformats.org/officeDocument/2006/relationships" ref="I238" r:id="rId436"/>
    <hyperlink xmlns:r="http://schemas.openxmlformats.org/officeDocument/2006/relationships" ref="C239" location="index-ISTP-7ISTP-7toc" r:id="rId437"/>
    <hyperlink xmlns:r="http://schemas.openxmlformats.org/officeDocument/2006/relationships" ref="C240" location="index-ISTPISTPtoc" r:id="rId438"/>
    <hyperlink xmlns:r="http://schemas.openxmlformats.org/officeDocument/2006/relationships" ref="C241" location="index" r:id="rId439"/>
    <hyperlink xmlns:r="http://schemas.openxmlformats.org/officeDocument/2006/relationships" ref="I241" r:id="rId440"/>
    <hyperlink xmlns:r="http://schemas.openxmlformats.org/officeDocument/2006/relationships" ref="C242" location="index-44toc" r:id="rId441"/>
    <hyperlink xmlns:r="http://schemas.openxmlformats.org/officeDocument/2006/relationships" ref="C243" location="index-66toc" r:id="rId442"/>
    <hyperlink xmlns:r="http://schemas.openxmlformats.org/officeDocument/2006/relationships" ref="C244" r:id="rId443"/>
    <hyperlink xmlns:r="http://schemas.openxmlformats.org/officeDocument/2006/relationships" ref="I244" r:id="rId444"/>
    <hyperlink xmlns:r="http://schemas.openxmlformats.org/officeDocument/2006/relationships" ref="C245" r:id="rId445"/>
    <hyperlink xmlns:r="http://schemas.openxmlformats.org/officeDocument/2006/relationships" ref="I245" r:id="rId446"/>
    <hyperlink xmlns:r="http://schemas.openxmlformats.org/officeDocument/2006/relationships" ref="C246" r:id="rId447"/>
    <hyperlink xmlns:r="http://schemas.openxmlformats.org/officeDocument/2006/relationships" ref="I246" r:id="rId448"/>
    <hyperlink xmlns:r="http://schemas.openxmlformats.org/officeDocument/2006/relationships" ref="C247" r:id="rId449"/>
    <hyperlink xmlns:r="http://schemas.openxmlformats.org/officeDocument/2006/relationships" ref="I247" r:id="rId450"/>
    <hyperlink xmlns:r="http://schemas.openxmlformats.org/officeDocument/2006/relationships" ref="C248" r:id="rId451"/>
    <hyperlink xmlns:r="http://schemas.openxmlformats.org/officeDocument/2006/relationships" ref="C249" r:id="rId452"/>
    <hyperlink xmlns:r="http://schemas.openxmlformats.org/officeDocument/2006/relationships" ref="I249" r:id="rId453"/>
    <hyperlink xmlns:r="http://schemas.openxmlformats.org/officeDocument/2006/relationships" ref="C250" r:id="rId454"/>
    <hyperlink xmlns:r="http://schemas.openxmlformats.org/officeDocument/2006/relationships" ref="C251" r:id="rId455"/>
    <hyperlink xmlns:r="http://schemas.openxmlformats.org/officeDocument/2006/relationships" ref="I251" r:id="rId456"/>
    <hyperlink xmlns:r="http://schemas.openxmlformats.org/officeDocument/2006/relationships" ref="C252" location="index-3" r:id="rId457"/>
    <hyperlink xmlns:r="http://schemas.openxmlformats.org/officeDocument/2006/relationships" ref="C253" location="index-4" r:id="rId458"/>
    <hyperlink xmlns:r="http://schemas.openxmlformats.org/officeDocument/2006/relationships" ref="C254" location="index-33toc" r:id="rId459"/>
    <hyperlink xmlns:r="http://schemas.openxmlformats.org/officeDocument/2006/relationships" ref="I254" r:id="rId460"/>
    <hyperlink xmlns:r="http://schemas.openxmlformats.org/officeDocument/2006/relationships" ref="C255" r:id="rId461"/>
    <hyperlink xmlns:r="http://schemas.openxmlformats.org/officeDocument/2006/relationships" ref="I255" r:id="rId462"/>
    <hyperlink xmlns:r="http://schemas.openxmlformats.org/officeDocument/2006/relationships" ref="C256" r:id="rId463"/>
    <hyperlink xmlns:r="http://schemas.openxmlformats.org/officeDocument/2006/relationships" ref="I256" r:id="rId464"/>
    <hyperlink xmlns:r="http://schemas.openxmlformats.org/officeDocument/2006/relationships" ref="C257" location="index-2" r:id="rId465"/>
    <hyperlink xmlns:r="http://schemas.openxmlformats.org/officeDocument/2006/relationships" ref="I257" r:id="rId466"/>
    <hyperlink xmlns:r="http://schemas.openxmlformats.org/officeDocument/2006/relationships" ref="C258" location="index-13" r:id="rId467"/>
    <hyperlink xmlns:r="http://schemas.openxmlformats.org/officeDocument/2006/relationships" ref="I258" r:id="rId468"/>
    <hyperlink xmlns:r="http://schemas.openxmlformats.org/officeDocument/2006/relationships" ref="C259" location="index-4" r:id="rId469"/>
    <hyperlink xmlns:r="http://schemas.openxmlformats.org/officeDocument/2006/relationships" ref="C260" location="index" r:id="rId470"/>
    <hyperlink xmlns:r="http://schemas.openxmlformats.org/officeDocument/2006/relationships" ref="I260" r:id="rId471"/>
    <hyperlink xmlns:r="http://schemas.openxmlformats.org/officeDocument/2006/relationships" ref="C261" location="index-WEB-2WEB-2toc" r:id="rId472"/>
    <hyperlink xmlns:r="http://schemas.openxmlformats.org/officeDocument/2006/relationships" ref="C262" location="index-Web-3Web-3toc" r:id="rId473"/>
    <hyperlink xmlns:r="http://schemas.openxmlformats.org/officeDocument/2006/relationships" ref="I262" r:id="rId474"/>
    <hyperlink xmlns:r="http://schemas.openxmlformats.org/officeDocument/2006/relationships" ref="C263" location="index-WebWebtoc" r:id="rId475"/>
    <hyperlink xmlns:r="http://schemas.openxmlformats.org/officeDocument/2006/relationships" ref="C264" location="index-2" r:id="rId476"/>
    <hyperlink xmlns:r="http://schemas.openxmlformats.org/officeDocument/2006/relationships" ref="I264" r:id="rId477"/>
    <hyperlink xmlns:r="http://schemas.openxmlformats.org/officeDocument/2006/relationships" ref="C265" r:id="rId478"/>
    <hyperlink xmlns:r="http://schemas.openxmlformats.org/officeDocument/2006/relationships" ref="I265" r:id="rId479"/>
    <hyperlink xmlns:r="http://schemas.openxmlformats.org/officeDocument/2006/relationships" ref="C266" r:id="rId480"/>
    <hyperlink xmlns:r="http://schemas.openxmlformats.org/officeDocument/2006/relationships" ref="I266" r:id="rId481"/>
    <hyperlink xmlns:r="http://schemas.openxmlformats.org/officeDocument/2006/relationships" ref="C267" location="index" r:id="rId482"/>
    <hyperlink xmlns:r="http://schemas.openxmlformats.org/officeDocument/2006/relationships" ref="I267" r:id="rId483"/>
    <hyperlink xmlns:r="http://schemas.openxmlformats.org/officeDocument/2006/relationships" ref="C268" r:id="rId484"/>
    <hyperlink xmlns:r="http://schemas.openxmlformats.org/officeDocument/2006/relationships" ref="I268" r:id="rId485"/>
    <hyperlink xmlns:r="http://schemas.openxmlformats.org/officeDocument/2006/relationships" ref="C269" r:id="rId486"/>
    <hyperlink xmlns:r="http://schemas.openxmlformats.org/officeDocument/2006/relationships" ref="I269" r:id="rId487"/>
    <hyperlink xmlns:r="http://schemas.openxmlformats.org/officeDocument/2006/relationships" ref="C270" location="index" r:id="rId488"/>
    <hyperlink xmlns:r="http://schemas.openxmlformats.org/officeDocument/2006/relationships" ref="I270" r:id="rId489"/>
    <hyperlink xmlns:r="http://schemas.openxmlformats.org/officeDocument/2006/relationships" ref="C271" r:id="rId490"/>
    <hyperlink xmlns:r="http://schemas.openxmlformats.org/officeDocument/2006/relationships" ref="I271" r:id="rId491"/>
    <hyperlink xmlns:r="http://schemas.openxmlformats.org/officeDocument/2006/relationships" ref="C272" location="index" r:id="rId492"/>
    <hyperlink xmlns:r="http://schemas.openxmlformats.org/officeDocument/2006/relationships" ref="I272" r:id="rId493"/>
    <hyperlink xmlns:r="http://schemas.openxmlformats.org/officeDocument/2006/relationships" ref="C273" location="index-6" r:id="rId494"/>
    <hyperlink xmlns:r="http://schemas.openxmlformats.org/officeDocument/2006/relationships" ref="I273" r:id="rId495"/>
    <hyperlink xmlns:r="http://schemas.openxmlformats.org/officeDocument/2006/relationships" ref="C274" location="index-8" r:id="rId496"/>
    <hyperlink xmlns:r="http://schemas.openxmlformats.org/officeDocument/2006/relationships" ref="I274" r:id="rId497"/>
    <hyperlink xmlns:r="http://schemas.openxmlformats.org/officeDocument/2006/relationships" ref="C275" r:id="rId498"/>
    <hyperlink xmlns:r="http://schemas.openxmlformats.org/officeDocument/2006/relationships" ref="C276" location="index" r:id="rId499"/>
    <hyperlink xmlns:r="http://schemas.openxmlformats.org/officeDocument/2006/relationships" ref="C277" location="index-5" r:id="rId500"/>
    <hyperlink xmlns:r="http://schemas.openxmlformats.org/officeDocument/2006/relationships" ref="C278" location="index-16" r:id="rId501"/>
    <hyperlink xmlns:r="http://schemas.openxmlformats.org/officeDocument/2006/relationships" ref="I278" r:id="rId502"/>
    <hyperlink xmlns:r="http://schemas.openxmlformats.org/officeDocument/2006/relationships" ref="C279" location="index-7" r:id="rId503"/>
    <hyperlink xmlns:r="http://schemas.openxmlformats.org/officeDocument/2006/relationships" ref="I279" r:id="rId504"/>
    <hyperlink xmlns:r="http://schemas.openxmlformats.org/officeDocument/2006/relationships" ref="C280" location="index" r:id="rId505"/>
    <hyperlink xmlns:r="http://schemas.openxmlformats.org/officeDocument/2006/relationships" ref="I280" r:id="rId506"/>
    <hyperlink xmlns:r="http://schemas.openxmlformats.org/officeDocument/2006/relationships" ref="I282" r:id="rId507"/>
    <hyperlink xmlns:r="http://schemas.openxmlformats.org/officeDocument/2006/relationships" ref="I283" r:id="rId508"/>
    <hyperlink xmlns:r="http://schemas.openxmlformats.org/officeDocument/2006/relationships" ref="I284" r:id="rId509"/>
    <hyperlink xmlns:r="http://schemas.openxmlformats.org/officeDocument/2006/relationships" ref="I285" r:id="rId510"/>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J1001"/>
  <sheetViews>
    <sheetView workbookViewId="0">
      <selection activeCell="A1" sqref="A1"/>
    </sheetView>
  </sheetViews>
  <sheetFormatPr baseColWidth="8" defaultColWidth="12.63" defaultRowHeight="15.75" customHeight="1" outlineLevelRow="1"/>
  <cols>
    <col width="48.63" customWidth="1" style="185" min="4" max="4"/>
    <col width="40.25" customWidth="1" style="185" min="5" max="5"/>
    <col width="44.38" customWidth="1" style="185" min="6" max="6"/>
    <col width="47.25" customWidth="1" style="185" min="7" max="7"/>
    <col width="52.13" customWidth="1" style="185" min="8" max="8"/>
    <col width="50" customWidth="1" style="185" min="9" max="9"/>
  </cols>
  <sheetData>
    <row r="1">
      <c r="A1" s="55" t="n"/>
      <c r="B1" s="55" t="n"/>
      <c r="C1" s="55" t="n"/>
      <c r="D1" s="55" t="n"/>
      <c r="E1" s="55" t="n"/>
      <c r="F1" s="55" t="n"/>
      <c r="G1" s="55" t="n"/>
    </row>
    <row r="2">
      <c r="A2" s="50" t="inlineStr">
        <is>
          <t>No.</t>
        </is>
      </c>
      <c r="B2" s="50" t="inlineStr">
        <is>
          <t>法人or求職者</t>
        </is>
      </c>
      <c r="C2" s="50" t="inlineStr">
        <is>
          <t>コラムタグ</t>
        </is>
      </c>
      <c r="D2" s="50" t="inlineStr">
        <is>
          <t>遷移先</t>
        </is>
      </c>
      <c r="E2" s="50" t="inlineStr">
        <is>
          <t>サービス名</t>
        </is>
      </c>
      <c r="F2" s="51" t="inlineStr">
        <is>
          <t>訴求</t>
        </is>
      </c>
      <c r="G2" s="51" t="inlineStr">
        <is>
          <t>訴求文言</t>
        </is>
      </c>
      <c r="H2" s="84" t="inlineStr">
        <is>
          <t>板倉訴求</t>
        </is>
      </c>
      <c r="I2" s="84" t="inlineStr">
        <is>
          <t>板倉訴求文言</t>
        </is>
      </c>
      <c r="J2" s="84" t="inlineStr">
        <is>
          <t>デザイナー向けバナー指示</t>
        </is>
      </c>
    </row>
    <row r="3">
      <c r="A3" s="52">
        <f>row()-2</f>
        <v/>
      </c>
      <c r="B3" s="55" t="inlineStr">
        <is>
          <t>法人</t>
        </is>
      </c>
      <c r="C3" s="55" t="inlineStr">
        <is>
          <t>WEB</t>
        </is>
      </c>
      <c r="D3" s="53" t="inlineStr">
        <is>
          <t>https://dym.asia/services/web-promotion/listing/</t>
        </is>
      </c>
      <c r="E3" s="47" t="inlineStr">
        <is>
          <t>リスティング広告(検索連動型広告)事業</t>
        </is>
      </c>
      <c r="F3" s="55" t="inlineStr">
        <is>
          <t>「リスティング広告事業」　「検索連動型広告」　「広告運用代行」
 CA向上に繋がるユーザー獲得
ならお任せください。</t>
        </is>
      </c>
      <c r="G3" s="55" t="inlineStr">
        <is>
          <t>Google Partners プログラムにおいて、最上位ステータスを2期連続で取得しています。</t>
        </is>
      </c>
      <c r="H3" s="186" t="inlineStr">
        <is>
          <t>「Google広告」　「Yahoo!広告」　「広告運用代行」
リスティング広告運用ならお任せください。</t>
        </is>
      </c>
      <c r="I3" s="186" t="inlineStr">
        <is>
          <t>Google Partnersプログラムにおいて、最上位ステータスである「Premier」を2期連続で取得しています。</t>
        </is>
      </c>
      <c r="J3" s="186" t="inlineStr">
        <is>
          <t>【バナーデザイン指示】
■レイアウト: HR事業部バナーと同一構成
■背景: ダークブルーグラデーション＋左側に抽象幾何学模様
■上部タグ（3つ）: 「Google広告」「Yahoo!広告」「広告運用代行」
■メインコピー: 「リスティング広告運用」←黄色ハイライト背景 ＋「ならお任せください。」
■補足コピー: Google Partnersプログラム最上位ステータス「Premier」を2期連続取得しています。
■認定バッジ: Google Partner Premier バッジ
■人物写真: WEB事業部担当者（スーツ着用）
■CTAボタン: メールアイコン＋「お問い合わせはこちらから」（オレンジ系）</t>
        </is>
      </c>
    </row>
    <row r="4">
      <c r="A4" s="52">
        <f>row()-2</f>
        <v/>
      </c>
      <c r="B4" s="55" t="inlineStr">
        <is>
          <t>法人</t>
        </is>
      </c>
      <c r="C4" s="55" t="inlineStr">
        <is>
          <t>WEB</t>
        </is>
      </c>
      <c r="D4" s="53" t="inlineStr">
        <is>
          <t>https://dym.asia/services/web-promotion/seo/</t>
        </is>
      </c>
      <c r="E4" s="47" t="inlineStr">
        <is>
          <t>SEO対策事業</t>
        </is>
      </c>
      <c r="F4" s="55" t="inlineStr">
        <is>
          <t>「SEO対策事業」　「Web集客支援」　「コンテンツ改善」
Web集客によるCVの最大化
ならお任せください。</t>
        </is>
      </c>
      <c r="G4" s="55" t="inlineStr">
        <is>
          <t>20年以上にわたる経験と実績を持つ、国内でも数少ないSEOのメーカー企業です。</t>
        </is>
      </c>
      <c r="H4" s="187" t="inlineStr">
        <is>
          <t>「アップデート対策」　「LLMO」　「コンテンツマーケティング」
SEO対策ならお任せください。</t>
        </is>
      </c>
      <c r="I4" s="186" t="inlineStr">
        <is>
          <t>20年以上の実績を持つ国内でも数少ないSEOメーカー企業として、アルゴリズム変動にも強い対策を提供しています。</t>
        </is>
      </c>
      <c r="J4" s="186" t="inlineStr">
        <is>
          <t>【バナーデザイン指示】
■レイアウト: HR事業部バナーと同一構成
■背景: ダークブルーグラデーション＋左側に抽象幾何学模様
■上部タグ（3つ）: 「アップデート対策」「LLMO」「コンテンツマーケティング」
■メインコピー: 「SEO対策」←黄色ハイライト背景 ＋「ならお任せください。」
■補足コピー: 20年以上の実績を持つ国内でも数少ないSEOメーカー企業として、アルゴリズム変動にも強い対策を提供しています。
■認定バッジ: なし（実績年数をアイコン風に強調してもOK）
■人物写真: WEB事業部担当者（スーツ着用）
■CTAボタン: メールアイコン＋「お問い合わせはこちらから」（オレンジ系）</t>
        </is>
      </c>
    </row>
    <row r="5">
      <c r="A5" s="52">
        <f>row()-2</f>
        <v/>
      </c>
      <c r="B5" s="55" t="inlineStr">
        <is>
          <t>法人</t>
        </is>
      </c>
      <c r="C5" s="55" t="inlineStr">
        <is>
          <t>WEB</t>
        </is>
      </c>
      <c r="D5" s="53" t="inlineStr">
        <is>
          <t>https://dym.asia/services/web-promotion/sns-ads/</t>
        </is>
      </c>
      <c r="E5" s="47" t="inlineStr">
        <is>
          <t>SNS広告事業</t>
        </is>
      </c>
      <c r="F5" s="55" t="inlineStr">
        <is>
          <t>「SNS広告事業」「クリエイティブ改善」「Webプロモーション」
SNS広告による集客成果の高度化
ならお任せください。</t>
        </is>
      </c>
      <c r="G5" s="55" t="inlineStr">
        <is>
          <t>Meta、X、Tiktok、など各プラットフォームの認定広告代理店であるため、効果的なクリエイティブの制作・安定運用を行います。</t>
        </is>
      </c>
      <c r="H5" s="186" t="inlineStr">
        <is>
          <t>「Meta広告」　「X広告」　「TikTok広告」
SNS広告運用ならお任せください。</t>
        </is>
      </c>
      <c r="I5" s="186" t="inlineStr">
        <is>
          <t>Meta・X・TikTok等の各プラットフォーム認定広告代理店として、効果的なクリエイティブ制作と安定運用を実現します。</t>
        </is>
      </c>
      <c r="J5" s="186" t="inlineStr">
        <is>
          <t>【バナーデザイン指示】
■レイアウト: HR事業部バナーと同一構成
■背景: ダークブルーグラデーション＋左側に抽象幾何学模様
■上部タグ（3つ）: 「Meta広告」「X広告」「TikTok広告」
■メインコピー: 「SNS広告運用」←黄色ハイライト背景 ＋「ならお任せください。」
■補足コピー: Meta・X・TikTok等の認定広告代理店として効果的なクリエイティブ制作と安定運用を実現します。
■認定バッジ: Meta Business Partner / X(Twitter) 認定代理店バッジ（取得状況に応じて）
■人物写真: WEB事業部担当者（スーツ着用）
■CTAボタン: メールアイコン＋「お問い合わせはこちらから」（オレンジ系）</t>
        </is>
      </c>
    </row>
    <row r="6">
      <c r="A6" s="52">
        <f>row()-2</f>
        <v/>
      </c>
      <c r="B6" s="55" t="inlineStr">
        <is>
          <t>法人</t>
        </is>
      </c>
      <c r="C6" s="55" t="inlineStr">
        <is>
          <t>WEB</t>
        </is>
      </c>
      <c r="D6" s="53" t="inlineStr">
        <is>
          <t>https://dym.asia/services/web-promotion/dsp-native-ads/</t>
        </is>
      </c>
      <c r="E6" s="47" t="inlineStr">
        <is>
          <t>DSP・ネイティブ広告事業</t>
        </is>
      </c>
      <c r="F6" s="55" t="inlineStr">
        <is>
          <t>「DSP・ネイティブ広告事業」　「行動データ活用」　「広告運用代行」
広告配信成果の向上
ならお任せください。</t>
        </is>
      </c>
      <c r="G6" s="55" t="inlineStr">
        <is>
          <t>国内で19社に送られているBRONZE代理店としての認定を獲得しており、費用対効果が高いです。</t>
        </is>
      </c>
      <c r="H6" s="186" t="inlineStr">
        <is>
          <t>「DSP広告」　「ネイティブ広告」　「リターゲティング」
ディスプレイ広告運用ならお任せください。</t>
        </is>
      </c>
      <c r="I6" s="186" t="inlineStr">
        <is>
          <t>国内19社のみのCriteo BRONZE認定代理店として、行動データを活用した高精度なターゲティング配信を行います。</t>
        </is>
      </c>
      <c r="J6" s="186" t="inlineStr">
        <is>
          <t>【バナーデザイン指示】
■レイアウト: HR事業部バナーと同一構成
■背景: ダークブルーグラデーション＋左側に抽象幾何学模様
■上部タグ（3つ）: 「DSP広告」「ネイティブ広告」「リターゲティング」
■メインコピー: 「ディスプレイ広告運用」←黄色ハイライト背景 ＋「ならお任せください。」
■補足コピー: 国内19社のみのCriteo BRONZE認定代理店として、高精度なターゲティング配信を行います。
■認定バッジ: Criteo BRONZE Partner バッジ
■人物写真: WEB事業部担当者（スーツ着用）
■CTAボタン: メールアイコン＋「お問い合わせはこちらから」（オレンジ系）</t>
        </is>
      </c>
    </row>
    <row r="7">
      <c r="A7" s="52">
        <f>row()-2</f>
        <v/>
      </c>
      <c r="B7" s="55" t="inlineStr">
        <is>
          <t>法人</t>
        </is>
      </c>
      <c r="C7" s="55" t="inlineStr">
        <is>
          <t>WEB</t>
        </is>
      </c>
      <c r="D7" s="53" t="inlineStr">
        <is>
          <t>https://dym.asia/services/web-promotion/affiliate/</t>
        </is>
      </c>
      <c r="E7" s="47" t="inlineStr">
        <is>
          <t>アフィリエイト事業</t>
        </is>
      </c>
      <c r="F7" s="55" t="inlineStr">
        <is>
          <t>「アフィリエイト事業」　「成果報酬型広告」　「広告運用代行」
成果報酬型広告の効率化
ならお任せください。</t>
        </is>
      </c>
      <c r="G7" s="55" t="inlineStr">
        <is>
          <t>各ASP の法人担当・媒体担当双方との強いコネクションにより運用の最適化が可能です。</t>
        </is>
      </c>
      <c r="H7" s="186" t="inlineStr">
        <is>
          <t>「アフィリエイト広告」　「成果報酬型広告」　「ASP連携」
アフィリエイト運用ならお任せください。</t>
        </is>
      </c>
      <c r="I7" s="186" t="inlineStr">
        <is>
          <t>各ASPの法人担当・媒体担当双方との強固なコネクションにより、最適なメディア選定と運用が可能です。</t>
        </is>
      </c>
      <c r="J7" s="186" t="inlineStr">
        <is>
          <t>【バナーデザイン指示】
■レイアウト: HR事業部バナーと同一構成
■背景: ダークブルーグラデーション＋左側に抽象幾何学模様
■上部タグ（3つ）: 「アフィリエイト広告」「成果報酬型広告」「ASP連携」
■メインコピー: 「アフィリエイト運用」←黄色ハイライト背景 ＋「ならお任せください。」
■補足コピー: 各ASPの法人・媒体担当との強固なコネクションにより最適な運用が可能です。
■認定バッジ: なし（ASP各社ロゴを小さく並べるイメージ）
■人物写真: WEB事業部担当者（スーツ着用）
■CTAボタン: メールアイコン＋「お問い合わせはこちらから」（オレンジ系）</t>
        </is>
      </c>
    </row>
    <row r="8">
      <c r="A8" s="52">
        <f>row()-2</f>
        <v/>
      </c>
      <c r="B8" s="55" t="inlineStr">
        <is>
          <t>法人</t>
        </is>
      </c>
      <c r="C8" s="55" t="inlineStr">
        <is>
          <t>WEB</t>
        </is>
      </c>
      <c r="D8" s="53" t="inlineStr">
        <is>
          <t>https://dym.asia/services/web-promotion/production-operation/</t>
        </is>
      </c>
      <c r="E8" s="47" t="inlineStr">
        <is>
          <t>WEBサイト制作・運用事業</t>
        </is>
      </c>
      <c r="F8" s="55" t="inlineStr">
        <is>
          <t>「WEBサイト制作・運用事業」　「サイト制作」　「運用改善」
Webサイト制作の高度化
ならお任せください。</t>
        </is>
      </c>
      <c r="G8" s="55" t="inlineStr">
        <is>
          <t>100件もの独自のチェック項目を基にSEO、CVRに長けたサイトを制作いたします。</t>
        </is>
      </c>
      <c r="H8" s="186" t="inlineStr">
        <is>
          <t>「WEBサイト制作」　「LP制作」　「サイト運用改善」
WEBサイト制作ならお任せください。</t>
        </is>
      </c>
      <c r="I8" s="186" t="inlineStr">
        <is>
          <t>100項目の独自チェックリストに基づき、SEO・CVRに強いサイトを戦略設計から制作・運用まで一貫対応します。</t>
        </is>
      </c>
      <c r="J8" s="186" t="inlineStr">
        <is>
          <t>【バナーデザイン指示】
■レイアウト: HR事業部バナーと同一構成
■背景: ダークブルーグラデーション＋左側に抽象幾何学模様
■上部タグ（3つ）: 「WEBサイト制作」「LP制作」「サイト運用改善」
■メインコピー: 「WEBサイト制作」←黄色ハイライト背景 ＋「ならお任せください。」
■補足コピー: 100項目の独自チェックリストに基づき、SEO・CVRに強いサイトを一貫対応します。
■認定バッジ: なし（「独自チェック100項目」をアイコン風に強調してもOK）
■人物写真: WEB事業部担当者（スーツ着用）
■CTAボタン: メールアイコン＋「お問い合わせはこちらから」（オレンジ系）</t>
        </is>
      </c>
    </row>
    <row r="9">
      <c r="A9" s="52">
        <f>row()-2</f>
        <v/>
      </c>
      <c r="B9" s="55" t="inlineStr">
        <is>
          <t>法人</t>
        </is>
      </c>
      <c r="C9" s="55" t="inlineStr">
        <is>
          <t>WEB</t>
        </is>
      </c>
      <c r="D9" s="53" t="inlineStr">
        <is>
          <t>https://dym.asia/services/web-promotion/sns-consulting/</t>
        </is>
      </c>
      <c r="E9" s="47" t="inlineStr">
        <is>
          <t>SNSアカウント運用代行事業</t>
        </is>
      </c>
      <c r="F9" s="47" t="inlineStr">
        <is>
          <t>「SNSアカウント運用代行事業」　「SNSマーケティング」　「運用・分析」
SNSアカウント収益の効率化
ならお任せください。</t>
        </is>
      </c>
      <c r="G9" s="55" t="inlineStr">
        <is>
          <t>InstagramなどのSNSで120以上のアカウントを運用した実績があります。</t>
        </is>
      </c>
      <c r="H9" s="186" t="inlineStr">
        <is>
          <t>「Instagram運用」　「SNSマーケティング」　「アカウント運用代行」
SNSアカウント運用ならお任せください。</t>
        </is>
      </c>
      <c r="I9" s="186" t="inlineStr">
        <is>
          <t>InstagramをはじめとするSNSで累計120以上のアカウント運用実績を持ち、フォロワー獲得からCV導線まで設計します。</t>
        </is>
      </c>
      <c r="J9" s="186" t="inlineStr">
        <is>
          <t>【バナーデザイン指示】
■レイアウト: HR事業部バナーと同一構成
■背景: ダークブルーグラデーション＋左側に抽象幾何学模様
■上部タグ（3つ）: 「Instagram運用」「SNSマーケティング」「アカウント運用代行」
■メインコピー: 「SNSアカウント運用」←黄色ハイライト背景 ＋「ならお任せください。」
■補足コピー: SNSで累計120以上のアカウント運用実績を持ち、フォロワー獲得からCV導線まで設計します。
■認定バッジ: なし（「運用実績120+」を数字で強調する装飾がおすすめ）
■人物写真: WEB事業部担当者（スーツ着用）
■CTAボタン: メールアイコン＋「お問い合わせはこちらから」（オレンジ系）</t>
        </is>
      </c>
    </row>
    <row r="10">
      <c r="A10" s="52">
        <f>row()-2</f>
        <v/>
      </c>
      <c r="B10" s="55" t="inlineStr">
        <is>
          <t>法人</t>
        </is>
      </c>
      <c r="C10" s="55" t="inlineStr">
        <is>
          <t>WEB</t>
        </is>
      </c>
      <c r="D10" s="53" t="inlineStr">
        <is>
          <t>https://dym.asia/services/web-promotion/line-official-account/</t>
        </is>
      </c>
      <c r="E10" s="47" t="inlineStr">
        <is>
          <t>LINE公式アカウント運用事業</t>
        </is>
      </c>
      <c r="F10" s="55" t="inlineStr">
        <is>
          <t>「LINE公式アカウント運用事業」　「CRM活用」　「販促・集客支援」
LINE集客・販促の成果向上
ならお任せください。</t>
        </is>
      </c>
      <c r="G10" s="55" t="inlineStr">
        <is>
          <t>LINEヤフー株式会社の「LINEヤフーPartnerProgram」で、2024年度上半期のSalesPartner「Premier」に認定されました。</t>
        </is>
      </c>
      <c r="H10" s="186" t="inlineStr">
        <is>
          <t>「LINE公式アカウント」　「CRM活用」　「販促・集客支援」
LINE公式アカウント運用ならお任せください。</t>
        </is>
      </c>
      <c r="I10" s="186" t="inlineStr">
        <is>
          <t>LINEヤフーPartnerProgramにおいて、SalesPartner「Premier」に認定されています。</t>
        </is>
      </c>
      <c r="J10" s="186" t="inlineStr">
        <is>
          <t>【バナーデザイン指示】
■レイアウト: HR事業部バナーと同一構成
■背景: ダークブルーグラデーション＋左側に抽象幾何学模様
■上部タグ（3つ）: 「LINE公式アカウント」「CRM活用」「販促・集客支援」
■メインコピー: 「LINE公式アカウント運用」←黄色ハイライト背景 ＋「ならお任せください。」
■補足コピー: LINEヤフーPartnerProgramのSalesPartner「Premier」認定。
■認定バッジ: LINEヤフー SalesPartner Premierバッジ
■人物写真: WEB事業部担当者（スーツ着用）
■CTAボタン: メールアイコン＋「お問い合わせはこちらから」（オレンジ系）</t>
        </is>
      </c>
    </row>
    <row r="11">
      <c r="A11" s="52">
        <f>row()-2</f>
        <v/>
      </c>
      <c r="B11" s="55" t="inlineStr">
        <is>
          <t>法人</t>
        </is>
      </c>
      <c r="C11" s="55" t="inlineStr">
        <is>
          <t>WEB</t>
        </is>
      </c>
      <c r="D11" s="53" t="inlineStr">
        <is>
          <t>https://dym.asia/services/web-promotion/meo/</t>
        </is>
      </c>
      <c r="E11" s="47" t="inlineStr">
        <is>
          <t>MEO対策事業</t>
        </is>
      </c>
      <c r="F11" s="56" t="inlineStr">
        <is>
          <t>「MEO対策事業」　「Googleマップ集客」　「口コミ・運用支援」
Googleマップでの顧客獲得・認知度の向上
ならお任せください。</t>
        </is>
      </c>
      <c r="G11" s="55" t="inlineStr">
        <is>
          <t>Googleの検索アルゴリズムに基づいて最適化することにより顧客獲得や集客、認知度向上に期待できます。</t>
        </is>
      </c>
      <c r="H11" s="186" t="inlineStr">
        <is>
          <t>「MEO対策」　「Googleマップ集客」　「口コミ管理・改善」
MEO対策ならお任せください。</t>
        </is>
      </c>
      <c r="I11" s="186" t="inlineStr">
        <is>
          <t>Googleマップの検索アルゴリズムに基づいた最適化により、地域密着型の集客・認知度向上を支援します。</t>
        </is>
      </c>
      <c r="J11" s="186" t="inlineStr">
        <is>
          <t>【バナーデザイン指示】
■レイアウト: HR事業部バナーと同一構成
■背景: ダークブルーグラデーション＋左側に抽象幾何学模様
■上部タグ（3つ）: 「MEO対策」「Googleマップ集客」「口コミ管理・改善」
■メインコピー: 「MEO対策」←黄色ハイライト背景 ＋「ならお任せください。」
■補足コピー: Googleマップのアルゴリズムに基づく最適化で、地域密着型の集客・認知度向上を支援します。
■認定バッジ: なし（Googleマップのアイコン風モチーフを添えてもOK）
■人物写真: WEB事業部担当者（スーツ着用）
■CTAボタン: メールアイコン＋「お問い合わせはこちらから」（オレンジ系）</t>
        </is>
      </c>
    </row>
    <row r="12">
      <c r="A12" s="52">
        <f>row()-2</f>
        <v/>
      </c>
      <c r="B12" s="55" t="inlineStr">
        <is>
          <t>法人</t>
        </is>
      </c>
      <c r="C12" s="55" t="inlineStr">
        <is>
          <t>WEB</t>
        </is>
      </c>
      <c r="D12" s="53" t="inlineStr">
        <is>
          <t>https://dym.asia/services/web-promotion/talents-share/</t>
        </is>
      </c>
      <c r="E12" s="47" t="inlineStr">
        <is>
          <t>タレントキャスティング・タレントシェア事業</t>
        </is>
      </c>
      <c r="F12" s="47" t="inlineStr">
        <is>
          <t>「タレントキャスティング事業」　「タレントシェア」　「広告・PR活用」
タレント起用による広告効果向上
ならお任せください。</t>
        </is>
      </c>
      <c r="G12" s="55" t="inlineStr">
        <is>
          <t>有名タレントを通常の5分の1〜10分の1の費用で起用でき、契約開始日から利用可能です。</t>
        </is>
      </c>
      <c r="H12" s="186" t="inlineStr">
        <is>
          <t>「タレントキャスティング」　「タレントシェア」　「広告・PR活用」
タレント起用ならお任せください。</t>
        </is>
      </c>
      <c r="I12" s="186" t="inlineStr">
        <is>
          <t>有名タレントを通常の1/5〜1/10の費用で起用でき、契約開始日からすぐにご利用いただけます。</t>
        </is>
      </c>
      <c r="J12" s="186" t="inlineStr">
        <is>
          <t>【バナーデザイン指示】
■レイアウト: HR事業部バナーと同一構成
■背景: ダークブルーグラデーション＋左側に抽象幾何学模様
■上部タグ（3つ）: 「タレントキャスティング」「タレントシェア」「広告・PR活用」
■メインコピー: 「タレント起用」←黄色ハイライト背景 ＋「ならお任せください。」
■補足コピー: 有名タレントを通常の1/5〜1/10の費用で起用でき、契約開始日からすぐに利用可能です。
■認定バッジ: なし（「費用1/5〜1/10」を数字で強調する装飾がおすすめ）
■人物写真: WEB事業部担当者（スーツ着用）
■CTAボタン: メールアイコン＋「お問い合わせはこちらから」（オレンジ系）</t>
        </is>
      </c>
    </row>
    <row r="13">
      <c r="A13" s="52">
        <f>row()-2</f>
        <v/>
      </c>
      <c r="B13" s="55" t="inlineStr">
        <is>
          <t>法人</t>
        </is>
      </c>
      <c r="C13" s="55" t="inlineStr">
        <is>
          <t>WEB</t>
        </is>
      </c>
      <c r="D13" s="53" t="inlineStr">
        <is>
          <t>https://dym.asia/services/web-promotion/talents-share/ai-cast/</t>
        </is>
      </c>
      <c r="E13" s="47" t="inlineStr">
        <is>
          <t>AIラボラトリー</t>
        </is>
      </c>
      <c r="F13" s="55" t="inlineStr">
        <is>
          <t>「AIラボラトリー」　「AI画像・AI動画」　「DX推進支援」
AI活用の高度化
ならお任せください。</t>
        </is>
      </c>
      <c r="G13" s="55" t="inlineStr">
        <is>
          <t>AI画像・AI動画・AIモデルを活用し、
制作スピード向上とコスト削減を両立したプロモーションを実現します。</t>
        </is>
      </c>
      <c r="H13" s="186" t="inlineStr">
        <is>
          <t>「AI画像・AI動画」　「AIモデル」　「DX推進支援」
AI活用ならお任せください。</t>
        </is>
      </c>
      <c r="I13" s="186" t="inlineStr">
        <is>
          <t>AI画像・AI動画・AIモデルを活用し、制作スピードの向上とコスト削減を両立したプロモーションを実現します。</t>
        </is>
      </c>
      <c r="J13" s="186" t="inlineStr">
        <is>
          <t>【バナーデザイン指示】
■レイアウト: HR事業部バナーと同一構成
■背景: ダークブルーグラデーション＋左側に抽象幾何学模様（AI感を出すならネットワーク状のノード模様もあり）
■上部タグ（3つ）: 「AI画像・AI動画」「AIモデル」「DX推進支援」
■メインコピー: 「AI活用」←黄色ハイライト背景 ＋「ならお任せください。」
■補足コピー: AI画像・AI動画・AIモデルで制作スピード向上とコスト削減を両立します。
■認定バッジ: なし（AIアイコン風のモチーフを添えてもOK）
■人物写真: WEB事業部担当者（スーツ着用）
■CTAボタン: メールアイコン＋「お問い合わせはこちらから」（オレンジ系）</t>
        </is>
      </c>
    </row>
    <row r="14" collapsed="1" s="185">
      <c r="A14" s="52">
        <f>row()-2</f>
        <v/>
      </c>
      <c r="B14" s="55" t="inlineStr">
        <is>
          <t>法人</t>
        </is>
      </c>
      <c r="C14" s="55" t="inlineStr">
        <is>
          <t>WEB</t>
        </is>
      </c>
      <c r="D14" s="53" t="inlineStr">
        <is>
          <t>https://dym.asia/services/web-promotion/thailand/</t>
        </is>
      </c>
      <c r="E14" s="47" t="inlineStr">
        <is>
          <t>DYM(THAILAND) Co.,Ltd.（タイ支社）</t>
        </is>
      </c>
      <c r="F14" s="55" t="inlineStr">
        <is>
          <t>「SEOコンサル」　「WEBサイトデザイン・更新作業」「海外多言語翻訳」
海外拠点WEBサイトの最適化
ならお任せください。</t>
        </is>
      </c>
      <c r="G14" s="55" t="inlineStr">
        <is>
          <t>現地ユーザーの利用デバイスに最適化し、成果につながるアクセスを獲得しています。</t>
        </is>
      </c>
      <c r="H14" s="186" t="inlineStr">
        <is>
          <t>「SEOコンサル」　「WEBサイトデザイン」　「海外多言語翻訳」
海外拠点のWEB支援ならお任せください。</t>
        </is>
      </c>
      <c r="I14" s="186" t="inlineStr">
        <is>
          <t>タイ現地のユーザー行動とデバイス環境に最適化し、成果につながるアクセスを獲得しています。</t>
        </is>
      </c>
      <c r="J14" s="186" t="inlineStr">
        <is>
          <t>【バナーデザイン指示】
■レイアウト: HR事業部バナーと同一構成
■背景: ダークブルーグラデーション＋左側に抽象幾何学模様
■上部タグ（3つ）: 「SEOコンサル」「WEBサイトデザイン」「海外多言語翻訳」
■メインコピー: 「海外拠点のWEB支援」←黄色ハイライト背景 ＋「ならお任せください。」
■補足コピー: タイ現地のユーザー行動とデバイス環境に最適化し、成果につながるアクセスを獲得しています。
■認定バッジ: なし（タイ国旗 or グローバルアイコンを添えてもOK）
■人物写真: WEB事業部担当者（スーツ着用）
■CTAボタン: メールアイコン＋「お問い合わせはこちらから」（オレンジ系）</t>
        </is>
      </c>
    </row>
    <row r="15" hidden="1" outlineLevel="1" s="185">
      <c r="A15" s="52">
        <f>row()-2</f>
        <v/>
      </c>
      <c r="B15" s="55" t="inlineStr">
        <is>
          <t>法人</t>
        </is>
      </c>
      <c r="C15" s="55" t="inlineStr">
        <is>
          <t>人材</t>
        </is>
      </c>
      <c r="D15" s="53" t="inlineStr">
        <is>
          <t>https://dym.asia/services/new-graduates/new-graduate-recruitment/</t>
        </is>
      </c>
      <c r="E15" s="47" t="inlineStr">
        <is>
          <t>新卒紹介事業</t>
        </is>
      </c>
      <c r="F15" s="55" t="n"/>
      <c r="G15" s="55" t="n"/>
    </row>
    <row r="16" hidden="1" outlineLevel="1" s="185">
      <c r="A16" s="52">
        <f>row()-2</f>
        <v/>
      </c>
      <c r="B16" s="55" t="inlineStr">
        <is>
          <t>法人</t>
        </is>
      </c>
      <c r="C16" s="55" t="inlineStr">
        <is>
          <t>人材</t>
        </is>
      </c>
      <c r="D16" s="53" t="inlineStr">
        <is>
          <t>https://dym.asia/services/new-graduates/dym-tech/</t>
        </is>
      </c>
      <c r="E16" s="47" t="inlineStr">
        <is>
          <t>ITフリーランス人材マッチング事業</t>
        </is>
      </c>
      <c r="F16" s="55" t="n"/>
      <c r="G16" s="55" t="n"/>
    </row>
    <row r="17" hidden="1" outlineLevel="1" s="185">
      <c r="A17" s="52">
        <f>row()-2</f>
        <v/>
      </c>
      <c r="B17" s="55" t="inlineStr">
        <is>
          <t>法人</t>
        </is>
      </c>
      <c r="C17" s="55" t="inlineStr">
        <is>
          <t>人材</t>
        </is>
      </c>
      <c r="D17" s="53" t="inlineStr">
        <is>
          <t>https://dym.asia/services/new-graduates/exe-part/</t>
        </is>
      </c>
      <c r="E17" s="47" t="inlineStr">
        <is>
          <t>取得エラー</t>
        </is>
      </c>
      <c r="F17" s="55" t="n"/>
      <c r="G17" s="55" t="n"/>
    </row>
    <row r="18" hidden="1" outlineLevel="1" s="185">
      <c r="A18" s="52">
        <f>row()-2</f>
        <v/>
      </c>
      <c r="B18" s="55" t="inlineStr">
        <is>
          <t>法人</t>
        </is>
      </c>
      <c r="C18" s="55" t="inlineStr">
        <is>
          <t>人材</t>
        </is>
      </c>
      <c r="D18" s="53" t="inlineStr">
        <is>
          <t>https://dym.asia/services/new-graduates/ready-career/</t>
        </is>
      </c>
      <c r="E18" s="47" t="inlineStr">
        <is>
          <t>常用型派遣事業(Ready Career)</t>
        </is>
      </c>
      <c r="F18" s="55" t="n"/>
      <c r="G18" s="55" t="n"/>
    </row>
    <row r="19" hidden="1" outlineLevel="1" s="185">
      <c r="A19" s="52">
        <f>row()-2</f>
        <v/>
      </c>
      <c r="B19" s="55" t="inlineStr">
        <is>
          <t>法人</t>
        </is>
      </c>
      <c r="C19" s="55" t="inlineStr">
        <is>
          <t>人材</t>
        </is>
      </c>
      <c r="D19" s="53" t="inlineStr">
        <is>
          <t>https://dym.asia/services/new-graduates/Former-graduate/</t>
        </is>
      </c>
      <c r="E19" s="47" t="inlineStr">
        <is>
          <t>第二新卒紹介・既卒・中途紹介事業(DYM就職)</t>
        </is>
      </c>
      <c r="F19" s="55" t="n"/>
      <c r="G19" s="55" t="n"/>
    </row>
    <row r="20" hidden="1" outlineLevel="1" s="185">
      <c r="A20" s="52">
        <f>row()-2</f>
        <v/>
      </c>
      <c r="B20" s="55" t="inlineStr">
        <is>
          <t>法人</t>
        </is>
      </c>
      <c r="C20" s="55" t="inlineStr">
        <is>
          <t>人材</t>
        </is>
      </c>
      <c r="D20" s="53" t="inlineStr">
        <is>
          <t>https://dym.asia/services/new-graduates/with-disabilities/</t>
        </is>
      </c>
      <c r="E20" s="47" t="inlineStr">
        <is>
          <t>障がい者雇用・採用事業</t>
        </is>
      </c>
      <c r="F20" s="55" t="n"/>
      <c r="G20" s="55" t="n"/>
    </row>
    <row r="21" hidden="1" outlineLevel="1" s="185">
      <c r="A21" s="52">
        <f>row()-2</f>
        <v/>
      </c>
      <c r="B21" s="55" t="inlineStr">
        <is>
          <t>法人</t>
        </is>
      </c>
      <c r="C21" s="55" t="inlineStr">
        <is>
          <t>人材</t>
        </is>
      </c>
      <c r="D21" s="53" t="inlineStr">
        <is>
          <t>https://dym.asia/services/new-graduates/high-class/</t>
        </is>
      </c>
      <c r="E21" s="47" t="inlineStr">
        <is>
          <t>ハイクラス転職事業(DYMハイクラス)</t>
        </is>
      </c>
      <c r="F21" s="55" t="n"/>
      <c r="G21" s="55" t="n"/>
    </row>
    <row r="22" hidden="1" outlineLevel="1" s="185">
      <c r="A22" s="52">
        <f>row()-2</f>
        <v/>
      </c>
      <c r="B22" s="55" t="inlineStr">
        <is>
          <t>法人</t>
        </is>
      </c>
      <c r="C22" s="55" t="inlineStr">
        <is>
          <t>人材</t>
        </is>
      </c>
      <c r="D22" s="53" t="inlineStr">
        <is>
          <t>https://dym.asia/services/new-graduates/welfare/</t>
        </is>
      </c>
      <c r="E22" s="47" t="inlineStr">
        <is>
          <t>取得エラー</t>
        </is>
      </c>
      <c r="F22" s="55" t="n"/>
      <c r="G22" s="55" t="n"/>
    </row>
    <row r="23" hidden="1" outlineLevel="1" s="185">
      <c r="A23" s="52">
        <f>row()-2</f>
        <v/>
      </c>
      <c r="B23" s="55" t="inlineStr">
        <is>
          <t>法人</t>
        </is>
      </c>
      <c r="C23" s="55" t="inlineStr">
        <is>
          <t>人材</t>
        </is>
      </c>
      <c r="D23" s="53" t="inlineStr">
        <is>
          <t>https://dym.asia/services/new-graduates/development-training/</t>
        </is>
      </c>
      <c r="E23" s="47" t="inlineStr">
        <is>
          <t>取得エラー</t>
        </is>
      </c>
      <c r="F23" s="55" t="n"/>
      <c r="G23" s="55" t="n"/>
    </row>
    <row r="24" hidden="1" outlineLevel="1" s="185">
      <c r="A24" s="52">
        <f>row()-2</f>
        <v/>
      </c>
      <c r="B24" s="55" t="inlineStr">
        <is>
          <t>法人</t>
        </is>
      </c>
      <c r="C24" s="55" t="inlineStr">
        <is>
          <t>人材</t>
        </is>
      </c>
      <c r="D24" s="53" t="inlineStr">
        <is>
          <t>https://dym.asia/services/new-graduates/care-haken/</t>
        </is>
      </c>
      <c r="E24" s="47" t="inlineStr">
        <is>
          <t>介護派遣事業</t>
        </is>
      </c>
      <c r="F24" s="55" t="n"/>
      <c r="G24" s="55" t="n"/>
    </row>
    <row r="25" hidden="1" outlineLevel="1" s="185">
      <c r="A25" s="52">
        <f>row()-2</f>
        <v/>
      </c>
      <c r="B25" s="55" t="inlineStr">
        <is>
          <t>法人</t>
        </is>
      </c>
      <c r="C25" s="55" t="inlineStr">
        <is>
          <t>人材</t>
        </is>
      </c>
      <c r="D25" s="53" t="inlineStr">
        <is>
          <t>https://dym.asia/services/new-graduates/recruitment-thailand/</t>
        </is>
      </c>
      <c r="E25" s="47" t="inlineStr">
        <is>
          <t>取得エラー</t>
        </is>
      </c>
      <c r="F25" s="55" t="n"/>
      <c r="G25" s="55" t="n"/>
    </row>
    <row r="26" hidden="1" outlineLevel="1" s="185">
      <c r="A26" s="52">
        <f>row()-2</f>
        <v/>
      </c>
      <c r="B26" s="55" t="inlineStr">
        <is>
          <t>法人</t>
        </is>
      </c>
      <c r="C26" s="55" t="inlineStr">
        <is>
          <t>HR Tech</t>
        </is>
      </c>
      <c r="D26" s="53" t="inlineStr">
        <is>
          <t>https://dym.asia/services/hr-tech/indeed/</t>
        </is>
      </c>
      <c r="E26" s="47" t="inlineStr">
        <is>
          <t>取得エラー</t>
        </is>
      </c>
      <c r="F26" s="55" t="n"/>
      <c r="G26" s="55" t="n"/>
    </row>
    <row r="27" hidden="1" outlineLevel="1" s="185">
      <c r="A27" s="52">
        <f>row()-2</f>
        <v/>
      </c>
      <c r="B27" s="55" t="inlineStr">
        <is>
          <t>法人</t>
        </is>
      </c>
      <c r="C27" s="55" t="inlineStr">
        <is>
          <t>HR Tech</t>
        </is>
      </c>
      <c r="D27" s="53" t="inlineStr">
        <is>
          <t>https://dym.asia/services/hr-tech/stanby/</t>
        </is>
      </c>
      <c r="E27" s="47" t="inlineStr">
        <is>
          <t>取得エラー</t>
        </is>
      </c>
      <c r="F27" s="55" t="n"/>
      <c r="G27" s="55" t="n"/>
    </row>
    <row r="28" hidden="1" outlineLevel="1" s="185">
      <c r="A28" s="52">
        <f>row()-2</f>
        <v/>
      </c>
      <c r="B28" s="55" t="inlineStr">
        <is>
          <t>法人</t>
        </is>
      </c>
      <c r="C28" s="55" t="inlineStr">
        <is>
          <t>HR Tech</t>
        </is>
      </c>
      <c r="D28" s="53" t="inlineStr">
        <is>
          <t>https://dym.asia/services/hr-tech/kyujinbox/</t>
        </is>
      </c>
      <c r="E28" s="47" t="inlineStr">
        <is>
          <t>取得エラー</t>
        </is>
      </c>
      <c r="F28" s="55" t="n"/>
      <c r="G28" s="55" t="n"/>
    </row>
    <row r="29" hidden="1" outlineLevel="1" s="185">
      <c r="A29" s="52">
        <f>row()-2</f>
        <v/>
      </c>
      <c r="B29" s="55" t="inlineStr">
        <is>
          <t>法人</t>
        </is>
      </c>
      <c r="C29" s="55" t="inlineStr">
        <is>
          <t>HR Tech</t>
        </is>
      </c>
      <c r="D29" s="53" t="inlineStr">
        <is>
          <t>https://dym.asia/services/hr-tech/rakusai/</t>
        </is>
      </c>
      <c r="E29" s="47" t="inlineStr">
        <is>
          <t>取得エラー</t>
        </is>
      </c>
      <c r="F29" s="55" t="n"/>
      <c r="G29" s="55" t="n"/>
    </row>
    <row r="30" hidden="1" outlineLevel="1" s="185">
      <c r="A30" s="52">
        <f>row()-2</f>
        <v/>
      </c>
      <c r="B30" s="55" t="inlineStr">
        <is>
          <t>法人</t>
        </is>
      </c>
      <c r="C30" s="55" t="inlineStr">
        <is>
          <t>HR Tech</t>
        </is>
      </c>
      <c r="D30" s="53" t="inlineStr">
        <is>
          <t>https://dym.asia/services/hr-tech/aishow-plus/</t>
        </is>
      </c>
      <c r="E30" s="47" t="inlineStr">
        <is>
          <t>性格診断サービス事業</t>
        </is>
      </c>
      <c r="F30" s="55" t="n"/>
      <c r="G30" s="55" t="n"/>
    </row>
    <row r="31" hidden="1" outlineLevel="1" s="185">
      <c r="A31" s="52">
        <f>row()-2</f>
        <v/>
      </c>
      <c r="B31" s="55" t="inlineStr">
        <is>
          <t>法人</t>
        </is>
      </c>
      <c r="C31" s="55" t="inlineStr">
        <is>
          <t>BPO</t>
        </is>
      </c>
      <c r="D31" s="53" t="inlineStr">
        <is>
          <t>https://dym.asia/services/hr-tech/offshore-development/</t>
        </is>
      </c>
      <c r="E31" s="47" t="inlineStr">
        <is>
          <t>オフショア開発事業</t>
        </is>
      </c>
      <c r="F31" s="55" t="n"/>
      <c r="G31" s="55" t="n"/>
    </row>
    <row r="32" hidden="1" outlineLevel="1" s="185">
      <c r="A32" s="52">
        <f>row()-2</f>
        <v/>
      </c>
      <c r="B32" s="55" t="inlineStr">
        <is>
          <t>法人</t>
        </is>
      </c>
      <c r="C32" s="55" t="inlineStr">
        <is>
          <t>BPO</t>
        </is>
      </c>
      <c r="D32" s="53" t="inlineStr">
        <is>
          <t>https://dym.asia/services/hr-tech/office-work-outsourcing/</t>
        </is>
      </c>
      <c r="E32" s="47" t="inlineStr">
        <is>
          <t>事務代行事業</t>
        </is>
      </c>
      <c r="F32" s="55" t="n"/>
      <c r="G32" s="55" t="n"/>
    </row>
    <row r="33" hidden="1" outlineLevel="1" s="185">
      <c r="A33" s="52">
        <f>row()-2</f>
        <v/>
      </c>
      <c r="B33" s="55" t="inlineStr">
        <is>
          <t>法人</t>
        </is>
      </c>
      <c r="C33" s="55" t="inlineStr">
        <is>
          <t>M&amp;A</t>
        </is>
      </c>
      <c r="D33" s="53" t="inlineStr">
        <is>
          <t>https://dym.asia/services/m&amp;a/consulting/</t>
        </is>
      </c>
      <c r="E33" s="47" t="inlineStr">
        <is>
          <t>M&amp;Aコンサルティング事業</t>
        </is>
      </c>
      <c r="F33" s="55" t="n"/>
      <c r="G33" s="55" t="n"/>
    </row>
    <row r="34" hidden="1" outlineLevel="1" s="185">
      <c r="A34" s="52">
        <f>row()-2</f>
        <v/>
      </c>
      <c r="B34" s="55" t="inlineStr">
        <is>
          <t>法人</t>
        </is>
      </c>
      <c r="C34" s="55" t="inlineStr">
        <is>
          <t>M&amp;A</t>
        </is>
      </c>
      <c r="D34" s="53" t="inlineStr">
        <is>
          <t>https://dym.asia/services/mdining/intellctuary/</t>
        </is>
      </c>
      <c r="E34" s="47" t="inlineStr">
        <is>
          <t>intellctuary</t>
        </is>
      </c>
      <c r="F34" s="55" t="n"/>
      <c r="G34" s="55" t="n"/>
    </row>
    <row r="35" hidden="1" outlineLevel="1" s="185">
      <c r="A35" s="52">
        <f>row()-2</f>
        <v/>
      </c>
      <c r="B35" s="55" t="inlineStr">
        <is>
          <t>法人</t>
        </is>
      </c>
      <c r="C35" s="55" t="inlineStr">
        <is>
          <t>M&amp;A</t>
        </is>
      </c>
      <c r="D35" s="53" t="inlineStr">
        <is>
          <t>https://dym.asia/services/mdining/tokyoramen/</t>
        </is>
      </c>
      <c r="E35" s="47" t="inlineStr">
        <is>
          <t>取得エラー</t>
        </is>
      </c>
      <c r="F35" s="55" t="n"/>
      <c r="G35" s="55" t="n"/>
    </row>
    <row r="36" hidden="1" outlineLevel="1" s="185">
      <c r="A36" s="52">
        <f>row()-2</f>
        <v/>
      </c>
      <c r="B36" s="55" t="inlineStr">
        <is>
          <t>法人</t>
        </is>
      </c>
      <c r="C36" s="55" t="inlineStr">
        <is>
          <t>Dリーグ</t>
        </is>
      </c>
      <c r="D36" s="53" t="inlineStr">
        <is>
          <t>https://dym.asia/services/sports/</t>
        </is>
      </c>
      <c r="E36" s="47" t="inlineStr">
        <is>
          <t>スポーツ事業</t>
        </is>
      </c>
      <c r="F36" s="55" t="n"/>
      <c r="G36" s="55" t="n"/>
    </row>
    <row r="37" hidden="1" outlineLevel="1" s="185">
      <c r="A37" s="52">
        <f>row()-2</f>
        <v/>
      </c>
      <c r="B37" s="55" t="inlineStr">
        <is>
          <t>法人</t>
        </is>
      </c>
      <c r="C37" s="55" t="inlineStr">
        <is>
          <t>Dリーグ</t>
        </is>
      </c>
      <c r="D37" s="53" t="inlineStr">
        <is>
          <t>https://dym.asia/services/m&amp;a/investment/</t>
        </is>
      </c>
      <c r="E37" s="47" t="inlineStr">
        <is>
          <t>取得エラー</t>
        </is>
      </c>
      <c r="F37" s="55" t="n"/>
      <c r="G37" s="55" t="n"/>
    </row>
    <row r="38" hidden="1" outlineLevel="1" s="185">
      <c r="A38" s="52">
        <f>row()-2</f>
        <v/>
      </c>
      <c r="B38" s="55" t="inlineStr">
        <is>
          <t>法人</t>
        </is>
      </c>
      <c r="C38" s="55" t="inlineStr">
        <is>
          <t>クリニック</t>
        </is>
      </c>
      <c r="D38" s="53" t="inlineStr">
        <is>
          <t>https://dym.asia/services/medicine/vietnam-clinic/</t>
        </is>
      </c>
      <c r="E38" s="47" t="inlineStr">
        <is>
          <t>ベトナム（ホーチミン・ハノイ）</t>
        </is>
      </c>
      <c r="F38" s="55" t="n"/>
      <c r="G38" s="55" t="n"/>
    </row>
    <row r="39" hidden="1" outlineLevel="1" s="185">
      <c r="A39" s="52">
        <f>row()-2</f>
        <v/>
      </c>
      <c r="B39" s="55" t="inlineStr">
        <is>
          <t>法人</t>
        </is>
      </c>
      <c r="C39" s="55" t="inlineStr">
        <is>
          <t>クリニック</t>
        </is>
      </c>
      <c r="D39" s="53" t="inlineStr">
        <is>
          <t>https://dym.asia/services/medicine/thailand-clinic/</t>
        </is>
      </c>
      <c r="E39" s="47" t="inlineStr">
        <is>
          <t>タイ（バンコク）クリニック</t>
        </is>
      </c>
      <c r="F39" s="55" t="n"/>
      <c r="G39" s="55" t="n"/>
    </row>
    <row r="40" hidden="1" outlineLevel="1" s="185">
      <c r="A40" s="52">
        <f>row()-2</f>
        <v/>
      </c>
      <c r="B40" s="55" t="inlineStr">
        <is>
          <t>法人</t>
        </is>
      </c>
      <c r="C40" s="55" t="inlineStr">
        <is>
          <t>クリニック</t>
        </is>
      </c>
      <c r="D40" s="53" t="inlineStr">
        <is>
          <t>https://dym.asia/services/medicine/america-clinic/</t>
        </is>
      </c>
      <c r="E40" s="47" t="inlineStr">
        <is>
          <t>アメリカ（ニューヨーク）クリニック</t>
        </is>
      </c>
      <c r="F40" s="55" t="n"/>
      <c r="G40" s="55" t="n"/>
    </row>
    <row r="41" hidden="1" outlineLevel="1" s="185">
      <c r="A41" s="52">
        <f>row()-2</f>
        <v/>
      </c>
      <c r="B41" s="55" t="inlineStr">
        <is>
          <t>法人</t>
        </is>
      </c>
      <c r="C41" s="55" t="inlineStr">
        <is>
          <t>クリニック</t>
        </is>
      </c>
      <c r="D41" s="53" t="inlineStr">
        <is>
          <t>https://dym.asia/services/medicine/hongkong/</t>
        </is>
      </c>
      <c r="E41" s="47" t="inlineStr">
        <is>
          <t>取得エラー</t>
        </is>
      </c>
      <c r="F41" s="55" t="n"/>
      <c r="G41" s="55" t="n"/>
    </row>
    <row r="42" hidden="1" outlineLevel="1" s="185">
      <c r="A42" s="52">
        <f>row()-2</f>
        <v/>
      </c>
      <c r="B42" s="55" t="inlineStr">
        <is>
          <t>法人</t>
        </is>
      </c>
      <c r="C42" s="55" t="inlineStr">
        <is>
          <t>クリニック</t>
        </is>
      </c>
      <c r="D42" s="53" t="inlineStr">
        <is>
          <t>https://dym.asia/services/medicine/indonesia-clinic/</t>
        </is>
      </c>
      <c r="E42" s="47" t="inlineStr">
        <is>
          <t>取得エラー</t>
        </is>
      </c>
      <c r="F42" s="55" t="n"/>
      <c r="G42" s="55" t="n"/>
    </row>
    <row r="43" hidden="1" outlineLevel="1" s="185">
      <c r="A43" s="52">
        <f>row()-2</f>
        <v/>
      </c>
      <c r="B43" s="55" t="inlineStr">
        <is>
          <t>法人</t>
        </is>
      </c>
      <c r="C43" s="55" t="inlineStr">
        <is>
          <t>リアルエステート</t>
        </is>
      </c>
      <c r="D43" s="53" t="inlineStr">
        <is>
          <t>https://dym.asia/services/new-business/relocation/</t>
        </is>
      </c>
      <c r="E43" s="47" t="inlineStr">
        <is>
          <t>取得エラー</t>
        </is>
      </c>
      <c r="F43" s="55" t="n"/>
      <c r="G43" s="55" t="n"/>
    </row>
    <row r="44" hidden="1" outlineLevel="1" s="185">
      <c r="A44" s="52">
        <f>row()-2</f>
        <v/>
      </c>
      <c r="B44" s="55" t="inlineStr">
        <is>
          <t>求職者</t>
        </is>
      </c>
      <c r="C44" s="55" t="inlineStr">
        <is>
          <t>タグ選別不可</t>
        </is>
      </c>
      <c r="D44" s="53" t="inlineStr">
        <is>
          <t>https://talk.dshu.jp/6838/</t>
        </is>
      </c>
      <c r="E44" s="47" t="inlineStr">
        <is>
          <t>DYM就職</t>
        </is>
      </c>
      <c r="F44" s="55" t="n"/>
      <c r="G44" s="55" t="n"/>
    </row>
    <row r="45" hidden="1" outlineLevel="1" s="185">
      <c r="A45" s="52">
        <f>row()-2</f>
        <v/>
      </c>
      <c r="B45" s="55" t="inlineStr">
        <is>
          <t>求職者</t>
        </is>
      </c>
      <c r="C45" s="55" t="inlineStr">
        <is>
          <t>タグ選別不可</t>
        </is>
      </c>
      <c r="D45" s="53" t="inlineStr">
        <is>
          <t>https://talk.dshu.jp/6902/</t>
        </is>
      </c>
      <c r="E45" s="47" t="inlineStr">
        <is>
          <t>DYM就職（ハイクラス）</t>
        </is>
      </c>
      <c r="F45" s="55" t="n"/>
      <c r="G45" s="55" t="n"/>
    </row>
    <row r="46" hidden="1" outlineLevel="1" s="185">
      <c r="A46" s="52">
        <f>row()-2</f>
        <v/>
      </c>
      <c r="B46" s="55" t="inlineStr">
        <is>
          <t>求職者</t>
        </is>
      </c>
      <c r="C46" s="55" t="inlineStr">
        <is>
          <t>タグ選別不可</t>
        </is>
      </c>
      <c r="D46" s="53" t="inlineStr">
        <is>
          <t>https://dym.asia/exepart/lp2/</t>
        </is>
      </c>
      <c r="E46" s="47" t="inlineStr">
        <is>
          <t>エグゼパート</t>
        </is>
      </c>
      <c r="F46" s="55" t="n"/>
      <c r="G46" s="55" t="n"/>
    </row>
    <row r="47" hidden="1" outlineLevel="1" s="185">
      <c r="A47" s="52">
        <f>row()-2</f>
        <v/>
      </c>
      <c r="B47" s="55" t="inlineStr">
        <is>
          <t>求職者</t>
        </is>
      </c>
      <c r="C47" s="55" t="inlineStr">
        <is>
          <t>タグ選別不可</t>
        </is>
      </c>
      <c r="D47" s="53" t="inlineStr">
        <is>
          <t>https://dymtech.jp/2859/</t>
        </is>
      </c>
      <c r="E47" s="47" t="inlineStr">
        <is>
          <t>DYMテック（WEBマーケター）</t>
        </is>
      </c>
      <c r="F47" s="55" t="n"/>
      <c r="G47" s="55" t="n"/>
    </row>
    <row r="48" hidden="1" outlineLevel="1" s="185">
      <c r="A48" s="52">
        <f>row()-2</f>
        <v/>
      </c>
      <c r="B48" s="55" t="inlineStr">
        <is>
          <t>求職者</t>
        </is>
      </c>
      <c r="C48" s="55" t="inlineStr">
        <is>
          <t>タグ選別不可</t>
        </is>
      </c>
      <c r="D48" s="53" t="inlineStr">
        <is>
          <t>https://dymtech.jp/2865/</t>
        </is>
      </c>
      <c r="E48" s="47" t="inlineStr">
        <is>
          <t>DYMテック（ITエンジニア）</t>
        </is>
      </c>
      <c r="F48" s="55" t="n"/>
      <c r="G48" s="55" t="n"/>
    </row>
    <row r="49" hidden="1" outlineLevel="1" s="185">
      <c r="A49" s="52">
        <f>row()-2</f>
        <v/>
      </c>
      <c r="B49" s="55" t="inlineStr">
        <is>
          <t>求職者</t>
        </is>
      </c>
      <c r="C49" s="55" t="inlineStr">
        <is>
          <t>タグ選別不可</t>
        </is>
      </c>
      <c r="D49" s="53" t="inlineStr">
        <is>
          <t>https://dymcareer.jp/engineer/dymtech-hp/</t>
        </is>
      </c>
      <c r="E49" s="47" t="inlineStr">
        <is>
          <t>DYMキャリア（ITエンジニア）</t>
        </is>
      </c>
      <c r="F49" s="55" t="n"/>
      <c r="G49" s="55" t="n"/>
    </row>
    <row r="50" hidden="1" outlineLevel="1" s="185">
      <c r="A50" s="52">
        <f>row()-2</f>
        <v/>
      </c>
      <c r="B50" s="55" t="inlineStr">
        <is>
          <t>求職者</t>
        </is>
      </c>
      <c r="C50" s="55" t="inlineStr">
        <is>
          <t>タグ選別不可</t>
        </is>
      </c>
      <c r="D50" s="53" t="inlineStr">
        <is>
          <t>https://dymcareer.jp/ready_career-lp_dym-asia/</t>
        </is>
      </c>
      <c r="E50" s="47" t="inlineStr">
        <is>
          <t>Ready Career</t>
        </is>
      </c>
      <c r="F50" s="55" t="n"/>
      <c r="G50" s="55" t="n"/>
    </row>
    <row r="51" hidden="1" outlineLevel="1" s="185">
      <c r="A51" s="52">
        <f>row()-2</f>
        <v/>
      </c>
      <c r="B51" s="55" t="inlineStr">
        <is>
          <t>求職者</t>
        </is>
      </c>
      <c r="C51" s="55" t="inlineStr">
        <is>
          <t>タグ選別不可</t>
        </is>
      </c>
      <c r="D51" s="53" t="inlineStr">
        <is>
          <t>https://worksbarrierfree.jp/lpchp01/</t>
        </is>
      </c>
      <c r="E51" s="47" t="inlineStr">
        <is>
          <t>ワークスバリアフリー</t>
        </is>
      </c>
      <c r="F51" s="55" t="n"/>
      <c r="G51" s="55" t="n"/>
    </row>
    <row r="52" hidden="1" outlineLevel="1" s="185">
      <c r="A52" s="52">
        <f>row()-2</f>
        <v/>
      </c>
      <c r="B52" s="55" t="inlineStr">
        <is>
          <t>求職者</t>
        </is>
      </c>
      <c r="C52" s="55" t="inlineStr">
        <is>
          <t>タグ選別不可</t>
        </is>
      </c>
      <c r="D52" s="53" t="inlineStr">
        <is>
          <t>https://dymcareer.jp/dymcare-lphp01/</t>
        </is>
      </c>
      <c r="E52" s="47" t="inlineStr">
        <is>
          <t>DYM介護</t>
        </is>
      </c>
      <c r="F52" s="55" t="n"/>
      <c r="G52" s="55" t="n"/>
    </row>
    <row r="53" hidden="1" outlineLevel="1" s="185">
      <c r="A53" s="52">
        <f>row()-2</f>
        <v/>
      </c>
      <c r="B53" s="55" t="inlineStr">
        <is>
          <t>求職者</t>
        </is>
      </c>
      <c r="C53" s="55" t="inlineStr">
        <is>
          <t>タグ選別不可</t>
        </is>
      </c>
      <c r="D53" s="53" t="inlineStr">
        <is>
          <t>https://tssa.jp/</t>
        </is>
      </c>
      <c r="E53" s="47" t="inlineStr">
        <is>
          <t>寿司職人アカデミー</t>
        </is>
      </c>
      <c r="F53" s="55" t="n"/>
      <c r="G53" s="55" t="n"/>
    </row>
    <row r="54">
      <c r="A54" s="52">
        <f>row()-2</f>
        <v/>
      </c>
      <c r="B54" s="55" t="n"/>
      <c r="C54" s="55" t="n"/>
      <c r="D54" s="55" t="n"/>
      <c r="E54" s="47" t="n"/>
      <c r="F54" s="55" t="n"/>
      <c r="G54" s="55" t="n"/>
    </row>
    <row r="55">
      <c r="A55" s="52">
        <f>row()-2</f>
        <v/>
      </c>
      <c r="B55" s="55" t="n"/>
      <c r="C55" s="55" t="n"/>
      <c r="D55" s="55" t="n"/>
      <c r="E55" s="47" t="n"/>
      <c r="F55" s="55" t="n"/>
      <c r="G55" s="55" t="n"/>
    </row>
    <row r="56">
      <c r="A56" s="52">
        <f>row()-2</f>
        <v/>
      </c>
      <c r="B56" s="55" t="n"/>
      <c r="C56" s="55" t="n"/>
      <c r="D56" s="55" t="n"/>
      <c r="E56" s="47" t="n"/>
      <c r="F56" s="55" t="n"/>
      <c r="G56" s="55" t="n"/>
    </row>
    <row r="57">
      <c r="A57" s="52">
        <f>row()-2</f>
        <v/>
      </c>
      <c r="B57" s="55" t="n"/>
      <c r="C57" s="55" t="n"/>
      <c r="D57" s="55" t="n"/>
      <c r="E57" s="47" t="n"/>
      <c r="F57" s="55" t="n"/>
      <c r="G57" s="55" t="n"/>
    </row>
    <row r="58">
      <c r="A58" s="52">
        <f>row()-2</f>
        <v/>
      </c>
      <c r="B58" s="55" t="n"/>
      <c r="C58" s="55" t="n"/>
      <c r="D58" s="55" t="n"/>
      <c r="E58" s="47" t="n"/>
      <c r="F58" s="55" t="n"/>
      <c r="G58" s="55" t="n"/>
    </row>
    <row r="59">
      <c r="A59" s="52">
        <f>row()-2</f>
        <v/>
      </c>
      <c r="B59" s="55" t="n"/>
      <c r="C59" s="55" t="n"/>
      <c r="D59" s="55" t="n"/>
      <c r="E59" s="47" t="n"/>
      <c r="F59" s="55" t="n"/>
      <c r="G59" s="55" t="n"/>
    </row>
    <row r="60">
      <c r="A60" s="52">
        <f>row()-2</f>
        <v/>
      </c>
      <c r="B60" s="55" t="n"/>
      <c r="C60" s="55" t="n"/>
      <c r="D60" s="55" t="n"/>
      <c r="E60" s="47" t="n"/>
      <c r="F60" s="55" t="n"/>
      <c r="G60" s="55" t="n"/>
    </row>
    <row r="61">
      <c r="A61" s="52">
        <f>row()-2</f>
        <v/>
      </c>
      <c r="B61" s="55" t="n"/>
      <c r="C61" s="55" t="n"/>
      <c r="D61" s="55" t="n"/>
      <c r="E61" s="47" t="n"/>
      <c r="F61" s="55" t="n"/>
      <c r="G61" s="55" t="n"/>
    </row>
    <row r="62">
      <c r="A62" s="52">
        <f>row()-2</f>
        <v/>
      </c>
      <c r="B62" s="55" t="n"/>
      <c r="C62" s="55" t="n"/>
      <c r="D62" s="55" t="n"/>
      <c r="E62" s="47" t="n"/>
      <c r="F62" s="55" t="n"/>
      <c r="G62" s="55" t="n"/>
    </row>
    <row r="63">
      <c r="A63" s="52">
        <f>row()-2</f>
        <v/>
      </c>
      <c r="B63" s="55" t="n"/>
      <c r="C63" s="55" t="n"/>
      <c r="D63" s="55" t="n"/>
      <c r="E63" s="47" t="n"/>
      <c r="F63" s="55" t="n"/>
      <c r="G63" s="55" t="n"/>
    </row>
    <row r="64">
      <c r="A64" s="52">
        <f>row()-2</f>
        <v/>
      </c>
      <c r="B64" s="55" t="n"/>
      <c r="C64" s="55" t="n"/>
      <c r="D64" s="55" t="n"/>
      <c r="E64" s="47" t="n"/>
      <c r="F64" s="55" t="n"/>
      <c r="G64" s="55" t="n"/>
    </row>
    <row r="65">
      <c r="A65" s="52">
        <f>row()-2</f>
        <v/>
      </c>
      <c r="B65" s="55" t="n"/>
      <c r="C65" s="55" t="n"/>
      <c r="D65" s="55" t="n"/>
      <c r="E65" s="47" t="n"/>
      <c r="F65" s="55" t="n"/>
      <c r="G65" s="55" t="n"/>
    </row>
    <row r="66">
      <c r="A66" s="52">
        <f>row()-2</f>
        <v/>
      </c>
      <c r="B66" s="55" t="n"/>
      <c r="C66" s="55" t="n"/>
      <c r="D66" s="55" t="n"/>
      <c r="E66" s="47" t="n"/>
      <c r="F66" s="55" t="n"/>
      <c r="G66" s="55" t="n"/>
    </row>
    <row r="67">
      <c r="A67" s="52">
        <f>row()-2</f>
        <v/>
      </c>
      <c r="B67" s="55" t="n"/>
      <c r="C67" s="55" t="n"/>
      <c r="D67" s="55" t="n"/>
      <c r="E67" s="47" t="n"/>
      <c r="F67" s="55" t="n"/>
      <c r="G67" s="55" t="n"/>
    </row>
    <row r="68">
      <c r="A68" s="52">
        <f>row()-2</f>
        <v/>
      </c>
      <c r="B68" s="55" t="n"/>
      <c r="C68" s="55" t="n"/>
      <c r="D68" s="55" t="n"/>
      <c r="E68" s="47" t="n"/>
      <c r="F68" s="55" t="n"/>
      <c r="G68" s="55" t="n"/>
    </row>
    <row r="69">
      <c r="A69" s="52">
        <f>row()-2</f>
        <v/>
      </c>
      <c r="B69" s="55" t="n"/>
      <c r="C69" s="55" t="n"/>
      <c r="D69" s="55" t="n"/>
      <c r="E69" s="47" t="n"/>
      <c r="F69" s="55" t="n"/>
      <c r="G69" s="55" t="n"/>
    </row>
    <row r="70">
      <c r="A70" s="52">
        <f>row()-2</f>
        <v/>
      </c>
      <c r="B70" s="55" t="n"/>
      <c r="C70" s="55" t="n"/>
      <c r="D70" s="55" t="n"/>
      <c r="E70" s="47">
        <f>IFERROR(__xludf.DUMMYFUNCTION("IF(D70="""","""",IFERROR(INDEX(IMPORTXML(D70,""//h1""),1,1),""取得エラー""))
"),"")</f>
        <v/>
      </c>
      <c r="F70" s="55" t="n"/>
      <c r="G70" s="55" t="n"/>
    </row>
    <row r="71">
      <c r="A71" s="52">
        <f>row()-2</f>
        <v/>
      </c>
      <c r="B71" s="55" t="n"/>
      <c r="C71" s="55" t="n"/>
      <c r="D71" s="55" t="n"/>
      <c r="E71" s="47">
        <f>IFERROR(__xludf.DUMMYFUNCTION("IF(D71="""","""",IFERROR(INDEX(IMPORTXML(D71,""//h1""),1,1),""取得エラー""))
"),"")</f>
        <v/>
      </c>
      <c r="F71" s="55" t="n"/>
      <c r="G71" s="55" t="n"/>
    </row>
    <row r="72">
      <c r="A72" s="52">
        <f>row()-2</f>
        <v/>
      </c>
      <c r="B72" s="55" t="n"/>
      <c r="C72" s="55" t="n"/>
      <c r="D72" s="55" t="n"/>
      <c r="E72" s="47">
        <f>IFERROR(__xludf.DUMMYFUNCTION("IF(D72="""","""",IFERROR(INDEX(IMPORTXML(D72,""//h1""),1,1),""取得エラー""))
"),"")</f>
        <v/>
      </c>
      <c r="F72" s="55" t="n"/>
      <c r="G72" s="55" t="n"/>
    </row>
    <row r="73">
      <c r="A73" s="52">
        <f>row()-2</f>
        <v/>
      </c>
      <c r="B73" s="55" t="n"/>
      <c r="C73" s="55" t="n"/>
      <c r="D73" s="55" t="n"/>
      <c r="E73" s="47">
        <f>IFERROR(__xludf.DUMMYFUNCTION("IF(D73="""","""",IFERROR(INDEX(IMPORTXML(D73,""//h1""),1,1),""取得エラー""))
"),"")</f>
        <v/>
      </c>
      <c r="F73" s="55" t="n"/>
      <c r="G73" s="55" t="n"/>
    </row>
    <row r="74">
      <c r="A74" s="52">
        <f>row()-2</f>
        <v/>
      </c>
      <c r="B74" s="55" t="n"/>
      <c r="C74" s="55" t="n"/>
      <c r="D74" s="55" t="n"/>
      <c r="E74" s="47">
        <f>IFERROR(__xludf.DUMMYFUNCTION("IF(D74="""","""",IFERROR(INDEX(IMPORTXML(D74,""//h1""),1,1),""取得エラー""))
"),"")</f>
        <v/>
      </c>
      <c r="F74" s="55" t="n"/>
      <c r="G74" s="55" t="n"/>
    </row>
    <row r="75">
      <c r="A75" s="52">
        <f>row()-2</f>
        <v/>
      </c>
      <c r="B75" s="55" t="n"/>
      <c r="C75" s="55" t="n"/>
      <c r="D75" s="55" t="n"/>
      <c r="E75" s="47">
        <f>IFERROR(__xludf.DUMMYFUNCTION("IF(D75="""","""",IFERROR(INDEX(IMPORTXML(D75,""//h1""),1,1),""取得エラー""))
"),"")</f>
        <v/>
      </c>
      <c r="F75" s="55" t="n"/>
      <c r="G75" s="55" t="n"/>
    </row>
    <row r="76">
      <c r="A76" s="52">
        <f>row()-2</f>
        <v/>
      </c>
      <c r="B76" s="55" t="n"/>
      <c r="C76" s="55" t="n"/>
      <c r="D76" s="55" t="n"/>
      <c r="E76" s="47">
        <f>IFERROR(__xludf.DUMMYFUNCTION("IF(D76="""","""",IFERROR(INDEX(IMPORTXML(D76,""//h1""),1,1),""取得エラー""))
"),"")</f>
        <v/>
      </c>
      <c r="F76" s="55" t="n"/>
      <c r="G76" s="55" t="n"/>
    </row>
    <row r="77">
      <c r="A77" s="52">
        <f>row()-2</f>
        <v/>
      </c>
      <c r="B77" s="55" t="n"/>
      <c r="C77" s="55" t="n"/>
      <c r="D77" s="55" t="n"/>
      <c r="E77" s="47">
        <f>IFERROR(__xludf.DUMMYFUNCTION("IF(D77="""","""",IFERROR(INDEX(IMPORTXML(D77,""//h1""),1,1),""取得エラー""))
"),"")</f>
        <v/>
      </c>
      <c r="F77" s="55" t="n"/>
      <c r="G77" s="55" t="n"/>
    </row>
    <row r="78">
      <c r="A78" s="52">
        <f>row()-2</f>
        <v/>
      </c>
      <c r="B78" s="55" t="n"/>
      <c r="C78" s="55" t="n"/>
      <c r="D78" s="55" t="n"/>
      <c r="E78" s="47">
        <f>IFERROR(__xludf.DUMMYFUNCTION("IF(D78="""","""",IFERROR(INDEX(IMPORTXML(D78,""//h1""),1,1),""取得エラー""))
"),"")</f>
        <v/>
      </c>
      <c r="F78" s="55" t="n"/>
      <c r="G78" s="55" t="n"/>
    </row>
    <row r="79">
      <c r="A79" s="52">
        <f>row()-2</f>
        <v/>
      </c>
      <c r="B79" s="55" t="n"/>
      <c r="C79" s="55" t="n"/>
      <c r="D79" s="55" t="n"/>
      <c r="E79" s="47">
        <f>IFERROR(__xludf.DUMMYFUNCTION("IF(D79="""","""",IFERROR(INDEX(IMPORTXML(D79,""//h1""),1,1),""取得エラー""))
"),"")</f>
        <v/>
      </c>
      <c r="F79" s="55" t="n"/>
      <c r="G79" s="55" t="n"/>
    </row>
    <row r="80">
      <c r="A80" s="52">
        <f>row()-2</f>
        <v/>
      </c>
      <c r="B80" s="55" t="n"/>
      <c r="C80" s="55" t="n"/>
      <c r="D80" s="55" t="n"/>
      <c r="E80" s="47">
        <f>IFERROR(__xludf.DUMMYFUNCTION("IF(D80="""","""",IFERROR(INDEX(IMPORTXML(D80,""//h1""),1,1),""取得エラー""))
"),"")</f>
        <v/>
      </c>
      <c r="F80" s="55" t="n"/>
      <c r="G80" s="55" t="n"/>
    </row>
    <row r="81">
      <c r="A81" s="52">
        <f>row()-2</f>
        <v/>
      </c>
      <c r="B81" s="55" t="n"/>
      <c r="C81" s="55" t="n"/>
      <c r="D81" s="55" t="n"/>
      <c r="E81" s="47">
        <f>IFERROR(__xludf.DUMMYFUNCTION("IF(D81="""","""",IFERROR(INDEX(IMPORTXML(D81,""//h1""),1,1),""取得エラー""))
"),"")</f>
        <v/>
      </c>
      <c r="F81" s="55" t="n"/>
      <c r="G81" s="55" t="n"/>
    </row>
    <row r="82">
      <c r="A82" s="52">
        <f>row()-2</f>
        <v/>
      </c>
      <c r="B82" s="55" t="n"/>
      <c r="C82" s="55" t="n"/>
      <c r="D82" s="55" t="n"/>
      <c r="E82" s="47">
        <f>IFERROR(__xludf.DUMMYFUNCTION("IF(D82="""","""",IFERROR(INDEX(IMPORTXML(D82,""//h1""),1,1),""取得エラー""))
"),"")</f>
        <v/>
      </c>
      <c r="F82" s="55" t="n"/>
      <c r="G82" s="55" t="n"/>
    </row>
    <row r="83">
      <c r="A83" s="52">
        <f>row()-2</f>
        <v/>
      </c>
      <c r="B83" s="55" t="n"/>
      <c r="C83" s="55" t="n"/>
      <c r="D83" s="55" t="n"/>
      <c r="E83" s="47">
        <f>IFERROR(__xludf.DUMMYFUNCTION("IF(D83="""","""",IFERROR(INDEX(IMPORTXML(D83,""//h1""),1,1),""取得エラー""))
"),"")</f>
        <v/>
      </c>
      <c r="F83" s="55" t="n"/>
      <c r="G83" s="55" t="n"/>
    </row>
    <row r="84">
      <c r="A84" s="52">
        <f>row()-2</f>
        <v/>
      </c>
      <c r="B84" s="55" t="n"/>
      <c r="C84" s="55" t="n"/>
      <c r="D84" s="55" t="n"/>
      <c r="E84" s="47">
        <f>IFERROR(__xludf.DUMMYFUNCTION("IF(D84="""","""",IFERROR(INDEX(IMPORTXML(D84,""//h1""),1,1),""取得エラー""))
"),"")</f>
        <v/>
      </c>
      <c r="F84" s="55" t="n"/>
      <c r="G84" s="55" t="n"/>
    </row>
    <row r="85">
      <c r="A85" s="52">
        <f>row()-2</f>
        <v/>
      </c>
      <c r="B85" s="55" t="n"/>
      <c r="C85" s="55" t="n"/>
      <c r="D85" s="55" t="n"/>
      <c r="E85" s="47">
        <f>IFERROR(__xludf.DUMMYFUNCTION("IF(D85="""","""",IFERROR(INDEX(IMPORTXML(D85,""//h1""),1,1),""取得エラー""))
"),"")</f>
        <v/>
      </c>
      <c r="F85" s="55" t="n"/>
      <c r="G85" s="55" t="n"/>
    </row>
    <row r="86">
      <c r="A86" s="52">
        <f>row()-2</f>
        <v/>
      </c>
      <c r="B86" s="55" t="n"/>
      <c r="C86" s="55" t="n"/>
      <c r="D86" s="55" t="n"/>
      <c r="E86" s="47">
        <f>IFERROR(__xludf.DUMMYFUNCTION("IF(D86="""","""",IFERROR(INDEX(IMPORTXML(D86,""//h1""),1,1),""取得エラー""))
"),"")</f>
        <v/>
      </c>
      <c r="F86" s="55" t="n"/>
      <c r="G86" s="55" t="n"/>
    </row>
    <row r="87">
      <c r="A87" s="52">
        <f>row()-2</f>
        <v/>
      </c>
      <c r="B87" s="55" t="n"/>
      <c r="C87" s="55" t="n"/>
      <c r="D87" s="55" t="n"/>
      <c r="E87" s="47">
        <f>IFERROR(__xludf.DUMMYFUNCTION("IF(D87="""","""",IFERROR(INDEX(IMPORTXML(D87,""//h1""),1,1),""取得エラー""))
"),"")</f>
        <v/>
      </c>
      <c r="F87" s="55" t="n"/>
      <c r="G87" s="55" t="n"/>
    </row>
    <row r="88">
      <c r="A88" s="52">
        <f>row()-2</f>
        <v/>
      </c>
      <c r="B88" s="55" t="n"/>
      <c r="C88" s="55" t="n"/>
      <c r="D88" s="55" t="n"/>
      <c r="E88" s="47">
        <f>IFERROR(__xludf.DUMMYFUNCTION("IF(D88="""","""",IFERROR(INDEX(IMPORTXML(D88,""//h1""),1,1),""取得エラー""))
"),"")</f>
        <v/>
      </c>
      <c r="F88" s="55" t="n"/>
      <c r="G88" s="55" t="n"/>
    </row>
    <row r="89">
      <c r="A89" s="52">
        <f>row()-2</f>
        <v/>
      </c>
      <c r="B89" s="55" t="n"/>
      <c r="C89" s="55" t="n"/>
      <c r="D89" s="55" t="n"/>
      <c r="E89" s="47">
        <f>IFERROR(__xludf.DUMMYFUNCTION("IF(D89="""","""",IFERROR(INDEX(IMPORTXML(D89,""//h1""),1,1),""取得エラー""))
"),"")</f>
        <v/>
      </c>
      <c r="F89" s="55" t="n"/>
      <c r="G89" s="55" t="n"/>
    </row>
    <row r="90">
      <c r="A90" s="52">
        <f>row()-2</f>
        <v/>
      </c>
      <c r="B90" s="55" t="n"/>
      <c r="C90" s="55" t="n"/>
      <c r="D90" s="55" t="n"/>
      <c r="E90" s="47">
        <f>IFERROR(__xludf.DUMMYFUNCTION("IF(D90="""","""",IFERROR(INDEX(IMPORTXML(D90,""//h1""),1,1),""取得エラー""))
"),"")</f>
        <v/>
      </c>
      <c r="F90" s="55" t="n"/>
      <c r="G90" s="55" t="n"/>
    </row>
    <row r="91">
      <c r="A91" s="52">
        <f>row()-2</f>
        <v/>
      </c>
      <c r="B91" s="55" t="n"/>
      <c r="C91" s="55" t="n"/>
      <c r="D91" s="55" t="n"/>
      <c r="E91" s="47">
        <f>IFERROR(__xludf.DUMMYFUNCTION("IF(D91="""","""",IFERROR(INDEX(IMPORTXML(D91,""//h1""),1,1),""取得エラー""))
"),"")</f>
        <v/>
      </c>
      <c r="F91" s="55" t="n"/>
      <c r="G91" s="55" t="n"/>
    </row>
    <row r="92">
      <c r="A92" s="52">
        <f>row()-2</f>
        <v/>
      </c>
      <c r="B92" s="55" t="n"/>
      <c r="C92" s="55" t="n"/>
      <c r="D92" s="55" t="n"/>
      <c r="E92" s="47">
        <f>IFERROR(__xludf.DUMMYFUNCTION("IF(D92="""","""",IFERROR(INDEX(IMPORTXML(D92,""//h1""),1,1),""取得エラー""))
"),"")</f>
        <v/>
      </c>
      <c r="F92" s="55" t="n"/>
      <c r="G92" s="55" t="n"/>
    </row>
    <row r="93">
      <c r="A93" s="52">
        <f>row()-2</f>
        <v/>
      </c>
      <c r="B93" s="55" t="n"/>
      <c r="C93" s="55" t="n"/>
      <c r="D93" s="55" t="n"/>
      <c r="E93" s="47">
        <f>IFERROR(__xludf.DUMMYFUNCTION("IF(D93="""","""",IFERROR(INDEX(IMPORTXML(D93,""//h1""),1,1),""取得エラー""))
"),"")</f>
        <v/>
      </c>
      <c r="F93" s="55" t="n"/>
      <c r="G93" s="55" t="n"/>
    </row>
    <row r="94">
      <c r="A94" s="52">
        <f>row()-2</f>
        <v/>
      </c>
      <c r="B94" s="55" t="n"/>
      <c r="C94" s="55" t="n"/>
      <c r="D94" s="55" t="n"/>
      <c r="E94" s="47">
        <f>IFERROR(__xludf.DUMMYFUNCTION("IF(D94="""","""",IFERROR(INDEX(IMPORTXML(D94,""//h1""),1,1),""取得エラー""))
"),"")</f>
        <v/>
      </c>
      <c r="F94" s="55" t="n"/>
      <c r="G94" s="55" t="n"/>
    </row>
    <row r="95">
      <c r="A95" s="52">
        <f>row()-2</f>
        <v/>
      </c>
      <c r="B95" s="55" t="n"/>
      <c r="C95" s="55" t="n"/>
      <c r="D95" s="55" t="n"/>
      <c r="E95" s="47">
        <f>IFERROR(__xludf.DUMMYFUNCTION("IF(D95="""","""",IFERROR(INDEX(IMPORTXML(D95,""//h1""),1,1),""取得エラー""))
"),"")</f>
        <v/>
      </c>
      <c r="F95" s="55" t="n"/>
      <c r="G95" s="55" t="n"/>
    </row>
    <row r="96">
      <c r="A96" s="52">
        <f>row()-2</f>
        <v/>
      </c>
      <c r="B96" s="55" t="n"/>
      <c r="C96" s="55" t="n"/>
      <c r="D96" s="55" t="n"/>
      <c r="E96" s="47">
        <f>IFERROR(__xludf.DUMMYFUNCTION("IF(D96="""","""",IFERROR(INDEX(IMPORTXML(D96,""//h1""),1,1),""取得エラー""))
"),"")</f>
        <v/>
      </c>
      <c r="F96" s="55" t="n"/>
      <c r="G96" s="55" t="n"/>
    </row>
    <row r="97">
      <c r="A97" s="52">
        <f>row()-2</f>
        <v/>
      </c>
      <c r="B97" s="55" t="n"/>
      <c r="C97" s="55" t="n"/>
      <c r="D97" s="55" t="n"/>
      <c r="E97" s="47">
        <f>IFERROR(__xludf.DUMMYFUNCTION("IF(D97="""","""",IFERROR(INDEX(IMPORTXML(D97,""//h1""),1,1),""取得エラー""))
"),"")</f>
        <v/>
      </c>
      <c r="F97" s="55" t="n"/>
      <c r="G97" s="55" t="n"/>
    </row>
    <row r="98">
      <c r="A98" s="52">
        <f>row()-2</f>
        <v/>
      </c>
      <c r="B98" s="55" t="n"/>
      <c r="C98" s="55" t="n"/>
      <c r="D98" s="55" t="n"/>
      <c r="E98" s="47">
        <f>IFERROR(__xludf.DUMMYFUNCTION("IF(D98="""","""",IFERROR(INDEX(IMPORTXML(D98,""//h1""),1,1),""取得エラー""))
"),"")</f>
        <v/>
      </c>
      <c r="F98" s="55" t="n"/>
      <c r="G98" s="55" t="n"/>
    </row>
    <row r="99">
      <c r="A99" s="52">
        <f>row()-2</f>
        <v/>
      </c>
      <c r="B99" s="55" t="n"/>
      <c r="C99" s="55" t="n"/>
      <c r="D99" s="55" t="n"/>
      <c r="E99" s="47">
        <f>IFERROR(__xludf.DUMMYFUNCTION("IF(D99="""","""",IFERROR(INDEX(IMPORTXML(D99,""//h1""),1,1),""取得エラー""))
"),"")</f>
        <v/>
      </c>
      <c r="F99" s="55" t="n"/>
      <c r="G99" s="55" t="n"/>
    </row>
    <row r="100">
      <c r="A100" s="52">
        <f>row()-2</f>
        <v/>
      </c>
      <c r="B100" s="55" t="n"/>
      <c r="C100" s="55" t="n"/>
      <c r="D100" s="55" t="n"/>
      <c r="E100" s="47">
        <f>IFERROR(__xludf.DUMMYFUNCTION("IF(D100="""","""",IFERROR(INDEX(IMPORTXML(D100,""//h1""),1,1),""取得エラー""))
"),"")</f>
        <v/>
      </c>
      <c r="F100" s="55" t="n"/>
      <c r="G100" s="55" t="n"/>
    </row>
    <row r="101">
      <c r="A101" s="52">
        <f>row()-2</f>
        <v/>
      </c>
      <c r="B101" s="55" t="n"/>
      <c r="C101" s="55" t="n"/>
      <c r="D101" s="55" t="n"/>
      <c r="E101" s="47">
        <f>IFERROR(__xludf.DUMMYFUNCTION("IF(D101="""","""",IFERROR(INDEX(IMPORTXML(D101,""//h1""),1,1),""取得エラー""))
"),"")</f>
        <v/>
      </c>
      <c r="F101" s="55" t="n"/>
      <c r="G101" s="55" t="n"/>
    </row>
    <row r="102">
      <c r="A102" s="52">
        <f>row()-2</f>
        <v/>
      </c>
      <c r="B102" s="55" t="n"/>
      <c r="C102" s="55" t="n"/>
      <c r="D102" s="55" t="n"/>
      <c r="E102" s="47">
        <f>IFERROR(__xludf.DUMMYFUNCTION("IF(D102="""","""",IFERROR(INDEX(IMPORTXML(D102,""//h1""),1,1),""取得エラー""))
"),"")</f>
        <v/>
      </c>
      <c r="F102" s="55" t="n"/>
      <c r="G102" s="55" t="n"/>
    </row>
    <row r="103">
      <c r="A103" s="52">
        <f>row()-2</f>
        <v/>
      </c>
      <c r="B103" s="55" t="n"/>
      <c r="C103" s="55" t="n"/>
      <c r="D103" s="55" t="n"/>
      <c r="E103" s="47">
        <f>IFERROR(__xludf.DUMMYFUNCTION("IF(D103="""","""",IFERROR(INDEX(IMPORTXML(D103,""//h1""),1,1),""取得エラー""))
"),"")</f>
        <v/>
      </c>
      <c r="F103" s="55" t="n"/>
      <c r="G103" s="55" t="n"/>
    </row>
    <row r="104">
      <c r="A104" s="52">
        <f>row()-2</f>
        <v/>
      </c>
      <c r="B104" s="55" t="n"/>
      <c r="C104" s="55" t="n"/>
      <c r="D104" s="55" t="n"/>
      <c r="E104" s="47">
        <f>IFERROR(__xludf.DUMMYFUNCTION("IF(D104="""","""",IFERROR(INDEX(IMPORTXML(D104,""//h1""),1,1),""取得エラー""))
"),"")</f>
        <v/>
      </c>
      <c r="F104" s="55" t="n"/>
      <c r="G104" s="55" t="n"/>
    </row>
    <row r="105">
      <c r="A105" s="52">
        <f>row()-2</f>
        <v/>
      </c>
      <c r="B105" s="55" t="n"/>
      <c r="C105" s="55" t="n"/>
      <c r="D105" s="55" t="n"/>
      <c r="E105" s="47">
        <f>IFERROR(__xludf.DUMMYFUNCTION("IF(D105="""","""",IFERROR(INDEX(IMPORTXML(D105,""//h1""),1,1),""取得エラー""))
"),"")</f>
        <v/>
      </c>
      <c r="F105" s="55" t="n"/>
      <c r="G105" s="55" t="n"/>
    </row>
    <row r="106">
      <c r="A106" s="52">
        <f>row()-2</f>
        <v/>
      </c>
      <c r="B106" s="55" t="n"/>
      <c r="C106" s="55" t="n"/>
      <c r="D106" s="55" t="n"/>
      <c r="E106" s="47">
        <f>IFERROR(__xludf.DUMMYFUNCTION("IF(D106="""","""",IFERROR(INDEX(IMPORTXML(D106,""//h1""),1,1),""取得エラー""))
"),"")</f>
        <v/>
      </c>
      <c r="F106" s="55" t="n"/>
      <c r="G106" s="55" t="n"/>
    </row>
    <row r="107">
      <c r="A107" s="52">
        <f>row()-2</f>
        <v/>
      </c>
      <c r="B107" s="55" t="n"/>
      <c r="C107" s="55" t="n"/>
      <c r="D107" s="55" t="n"/>
      <c r="E107" s="47">
        <f>IFERROR(__xludf.DUMMYFUNCTION("IF(D107="""","""",IFERROR(INDEX(IMPORTXML(D107,""//h1""),1,1),""取得エラー""))
"),"")</f>
        <v/>
      </c>
      <c r="F107" s="55" t="n"/>
      <c r="G107" s="55" t="n"/>
    </row>
    <row r="108">
      <c r="A108" s="52">
        <f>row()-2</f>
        <v/>
      </c>
      <c r="B108" s="55" t="n"/>
      <c r="C108" s="55" t="n"/>
      <c r="D108" s="55" t="n"/>
      <c r="E108" s="47">
        <f>IFERROR(__xludf.DUMMYFUNCTION("IF(D108="""","""",IFERROR(INDEX(IMPORTXML(D108,""//h1""),1,1),""取得エラー""))
"),"")</f>
        <v/>
      </c>
      <c r="F108" s="55" t="n"/>
      <c r="G108" s="55" t="n"/>
    </row>
    <row r="109">
      <c r="A109" s="52">
        <f>row()-2</f>
        <v/>
      </c>
      <c r="B109" s="55" t="n"/>
      <c r="C109" s="55" t="n"/>
      <c r="D109" s="55" t="n"/>
      <c r="E109" s="47">
        <f>IFERROR(__xludf.DUMMYFUNCTION("IF(D109="""","""",IFERROR(INDEX(IMPORTXML(D109,""//h1""),1,1),""取得エラー""))
"),"")</f>
        <v/>
      </c>
      <c r="F109" s="55" t="n"/>
      <c r="G109" s="55" t="n"/>
    </row>
    <row r="110">
      <c r="A110" s="52">
        <f>row()-2</f>
        <v/>
      </c>
      <c r="B110" s="55" t="n"/>
      <c r="C110" s="55" t="n"/>
      <c r="D110" s="55" t="n"/>
      <c r="E110" s="47">
        <f>IFERROR(__xludf.DUMMYFUNCTION("IF(D110="""","""",IFERROR(INDEX(IMPORTXML(D110,""//h1""),1,1),""取得エラー""))
"),"")</f>
        <v/>
      </c>
      <c r="F110" s="55" t="n"/>
      <c r="G110" s="55" t="n"/>
    </row>
    <row r="111">
      <c r="A111" s="52">
        <f>row()-2</f>
        <v/>
      </c>
      <c r="B111" s="55" t="n"/>
      <c r="C111" s="55" t="n"/>
      <c r="D111" s="55" t="n"/>
      <c r="E111" s="47">
        <f>IFERROR(__xludf.DUMMYFUNCTION("IF(D111="""","""",IFERROR(INDEX(IMPORTXML(D111,""//h1""),1,1),""取得エラー""))
"),"")</f>
        <v/>
      </c>
      <c r="F111" s="55" t="n"/>
      <c r="G111" s="55" t="n"/>
    </row>
    <row r="112">
      <c r="A112" s="52">
        <f>row()-2</f>
        <v/>
      </c>
      <c r="B112" s="55" t="n"/>
      <c r="C112" s="55" t="n"/>
      <c r="D112" s="55" t="n"/>
      <c r="E112" s="47">
        <f>IFERROR(__xludf.DUMMYFUNCTION("IF(D112="""","""",IFERROR(INDEX(IMPORTXML(D112,""//h1""),1,1),""取得エラー""))
"),"")</f>
        <v/>
      </c>
      <c r="F112" s="55" t="n"/>
      <c r="G112" s="55" t="n"/>
    </row>
    <row r="113">
      <c r="A113" s="52">
        <f>row()-2</f>
        <v/>
      </c>
      <c r="B113" s="55" t="n"/>
      <c r="C113" s="55" t="n"/>
      <c r="D113" s="55" t="n"/>
      <c r="E113" s="47">
        <f>IFERROR(__xludf.DUMMYFUNCTION("IF(D113="""","""",IFERROR(INDEX(IMPORTXML(D113,""//h1""),1,1),""取得エラー""))
"),"")</f>
        <v/>
      </c>
      <c r="F113" s="55" t="n"/>
      <c r="G113" s="55" t="n"/>
    </row>
    <row r="114">
      <c r="A114" s="52">
        <f>row()-2</f>
        <v/>
      </c>
      <c r="B114" s="55" t="n"/>
      <c r="C114" s="55" t="n"/>
      <c r="D114" s="55" t="n"/>
      <c r="E114" s="47">
        <f>IFERROR(__xludf.DUMMYFUNCTION("IF(D114="""","""",IFERROR(INDEX(IMPORTXML(D114,""//h1""),1,1),""取得エラー""))
"),"")</f>
        <v/>
      </c>
      <c r="F114" s="55" t="n"/>
      <c r="G114" s="55" t="n"/>
    </row>
    <row r="115">
      <c r="A115" s="52">
        <f>row()-2</f>
        <v/>
      </c>
      <c r="B115" s="55" t="n"/>
      <c r="C115" s="55" t="n"/>
      <c r="D115" s="55" t="n"/>
      <c r="E115" s="47">
        <f>IFERROR(__xludf.DUMMYFUNCTION("IF(D115="""","""",IFERROR(INDEX(IMPORTXML(D115,""//h1""),1,1),""取得エラー""))
"),"")</f>
        <v/>
      </c>
      <c r="F115" s="55" t="n"/>
      <c r="G115" s="55" t="n"/>
    </row>
    <row r="116">
      <c r="A116" s="52">
        <f>row()-2</f>
        <v/>
      </c>
      <c r="B116" s="55" t="n"/>
      <c r="C116" s="55" t="n"/>
      <c r="D116" s="55" t="n"/>
      <c r="E116" s="47">
        <f>IFERROR(__xludf.DUMMYFUNCTION("IF(D116="""","""",IFERROR(INDEX(IMPORTXML(D116,""//h1""),1,1),""取得エラー""))
"),"")</f>
        <v/>
      </c>
      <c r="F116" s="55" t="n"/>
      <c r="G116" s="55" t="n"/>
    </row>
    <row r="117">
      <c r="A117" s="52">
        <f>row()-2</f>
        <v/>
      </c>
      <c r="B117" s="55" t="n"/>
      <c r="C117" s="55" t="n"/>
      <c r="D117" s="55" t="n"/>
      <c r="E117" s="47">
        <f>IFERROR(__xludf.DUMMYFUNCTION("IF(D117="""","""",IFERROR(INDEX(IMPORTXML(D117,""//h1""),1,1),""取得エラー""))
"),"")</f>
        <v/>
      </c>
      <c r="F117" s="55" t="n"/>
      <c r="G117" s="55" t="n"/>
    </row>
    <row r="118">
      <c r="A118" s="52">
        <f>row()-2</f>
        <v/>
      </c>
      <c r="B118" s="55" t="n"/>
      <c r="C118" s="55" t="n"/>
      <c r="D118" s="55" t="n"/>
      <c r="E118" s="47">
        <f>IFERROR(__xludf.DUMMYFUNCTION("IF(D118="""","""",IFERROR(INDEX(IMPORTXML(D118,""//h1""),1,1),""取得エラー""))
"),"")</f>
        <v/>
      </c>
      <c r="F118" s="55" t="n"/>
      <c r="G118" s="55" t="n"/>
    </row>
    <row r="119">
      <c r="A119" s="52">
        <f>row()-2</f>
        <v/>
      </c>
      <c r="B119" s="55" t="n"/>
      <c r="C119" s="55" t="n"/>
      <c r="D119" s="55" t="n"/>
      <c r="E119" s="47">
        <f>IFERROR(__xludf.DUMMYFUNCTION("IF(D119="""","""",IFERROR(INDEX(IMPORTXML(D119,""//h1""),1,1),""取得エラー""))
"),"")</f>
        <v/>
      </c>
      <c r="F119" s="55" t="n"/>
      <c r="G119" s="55" t="n"/>
    </row>
    <row r="120">
      <c r="A120" s="52">
        <f>row()-2</f>
        <v/>
      </c>
      <c r="B120" s="55" t="n"/>
      <c r="C120" s="55" t="n"/>
      <c r="D120" s="55" t="n"/>
      <c r="E120" s="47">
        <f>IFERROR(__xludf.DUMMYFUNCTION("IF(D120="""","""",IFERROR(INDEX(IMPORTXML(D120,""//h1""),1,1),""取得エラー""))
"),"")</f>
        <v/>
      </c>
      <c r="F120" s="55" t="n"/>
      <c r="G120" s="55" t="n"/>
    </row>
    <row r="121">
      <c r="A121" s="52">
        <f>row()-2</f>
        <v/>
      </c>
      <c r="B121" s="55" t="n"/>
      <c r="C121" s="55" t="n"/>
      <c r="D121" s="55" t="n"/>
      <c r="E121" s="47">
        <f>IFERROR(__xludf.DUMMYFUNCTION("IF(D121="""","""",IFERROR(INDEX(IMPORTXML(D121,""//h1""),1,1),""取得エラー""))
"),"")</f>
        <v/>
      </c>
      <c r="F121" s="55" t="n"/>
      <c r="G121" s="55" t="n"/>
    </row>
    <row r="122">
      <c r="A122" s="52">
        <f>row()-2</f>
        <v/>
      </c>
      <c r="B122" s="55" t="n"/>
      <c r="C122" s="55" t="n"/>
      <c r="D122" s="55" t="n"/>
      <c r="E122" s="47">
        <f>IFERROR(__xludf.DUMMYFUNCTION("IF(D122="""","""",IFERROR(INDEX(IMPORTXML(D122,""//h1""),1,1),""取得エラー""))
"),"")</f>
        <v/>
      </c>
      <c r="F122" s="55" t="n"/>
      <c r="G122" s="55" t="n"/>
    </row>
    <row r="123">
      <c r="A123" s="52">
        <f>row()-2</f>
        <v/>
      </c>
      <c r="B123" s="55" t="n"/>
      <c r="C123" s="55" t="n"/>
      <c r="D123" s="55" t="n"/>
      <c r="E123" s="47">
        <f>IFERROR(__xludf.DUMMYFUNCTION("IF(D123="""","""",IFERROR(INDEX(IMPORTXML(D123,""//h1""),1,1),""取得エラー""))
"),"")</f>
        <v/>
      </c>
      <c r="F123" s="55" t="n"/>
      <c r="G123" s="55" t="n"/>
    </row>
    <row r="124">
      <c r="A124" s="52">
        <f>row()-2</f>
        <v/>
      </c>
      <c r="B124" s="55" t="n"/>
      <c r="C124" s="55" t="n"/>
      <c r="D124" s="55" t="n"/>
      <c r="E124" s="47">
        <f>IFERROR(__xludf.DUMMYFUNCTION("IF(D124="""","""",IFERROR(INDEX(IMPORTXML(D124,""//h1""),1,1),""取得エラー""))
"),"")</f>
        <v/>
      </c>
      <c r="F124" s="55" t="n"/>
      <c r="G124" s="55" t="n"/>
    </row>
    <row r="125">
      <c r="A125" s="52">
        <f>row()-2</f>
        <v/>
      </c>
      <c r="B125" s="55" t="n"/>
      <c r="C125" s="55" t="n"/>
      <c r="D125" s="55" t="n"/>
      <c r="E125" s="47">
        <f>IFERROR(__xludf.DUMMYFUNCTION("IF(D125="""","""",IFERROR(INDEX(IMPORTXML(D125,""//h1""),1,1),""取得エラー""))
"),"")</f>
        <v/>
      </c>
      <c r="F125" s="55" t="n"/>
      <c r="G125" s="55" t="n"/>
    </row>
    <row r="126">
      <c r="A126" s="52">
        <f>row()-2</f>
        <v/>
      </c>
      <c r="B126" s="55" t="n"/>
      <c r="C126" s="55" t="n"/>
      <c r="D126" s="55" t="n"/>
      <c r="E126" s="47">
        <f>IFERROR(__xludf.DUMMYFUNCTION("IF(D126="""","""",IFERROR(INDEX(IMPORTXML(D126,""//h1""),1,1),""取得エラー""))
"),"")</f>
        <v/>
      </c>
      <c r="F126" s="55" t="n"/>
      <c r="G126" s="55" t="n"/>
    </row>
    <row r="127">
      <c r="A127" s="52">
        <f>row()-2</f>
        <v/>
      </c>
      <c r="B127" s="55" t="n"/>
      <c r="C127" s="55" t="n"/>
      <c r="D127" s="55" t="n"/>
      <c r="E127" s="47">
        <f>IFERROR(__xludf.DUMMYFUNCTION("IF(D127="""","""",IFERROR(INDEX(IMPORTXML(D127,""//h1""),1,1),""取得エラー""))
"),"")</f>
        <v/>
      </c>
      <c r="F127" s="55" t="n"/>
      <c r="G127" s="55" t="n"/>
    </row>
    <row r="128">
      <c r="A128" s="52">
        <f>row()-2</f>
        <v/>
      </c>
      <c r="B128" s="55" t="n"/>
      <c r="C128" s="55" t="n"/>
      <c r="D128" s="55" t="n"/>
      <c r="E128" s="47">
        <f>IFERROR(__xludf.DUMMYFUNCTION("IF(D128="""","""",IFERROR(INDEX(IMPORTXML(D128,""//h1""),1,1),""取得エラー""))
"),"")</f>
        <v/>
      </c>
      <c r="F128" s="55" t="n"/>
      <c r="G128" s="55" t="n"/>
    </row>
    <row r="129">
      <c r="A129" s="52">
        <f>row()-2</f>
        <v/>
      </c>
      <c r="B129" s="55" t="n"/>
      <c r="C129" s="55" t="n"/>
      <c r="D129" s="55" t="n"/>
      <c r="E129" s="47">
        <f>IFERROR(__xludf.DUMMYFUNCTION("IF(D129="""","""",IFERROR(INDEX(IMPORTXML(D129,""//h1""),1,1),""取得エラー""))
"),"")</f>
        <v/>
      </c>
      <c r="F129" s="55" t="n"/>
      <c r="G129" s="55" t="n"/>
    </row>
    <row r="130">
      <c r="A130" s="52">
        <f>row()-2</f>
        <v/>
      </c>
      <c r="B130" s="55" t="n"/>
      <c r="C130" s="55" t="n"/>
      <c r="D130" s="55" t="n"/>
      <c r="E130" s="47">
        <f>IFERROR(__xludf.DUMMYFUNCTION("IF(D130="""","""",IFERROR(INDEX(IMPORTXML(D130,""//h1""),1,1),""取得エラー""))
"),"")</f>
        <v/>
      </c>
      <c r="F130" s="55" t="n"/>
      <c r="G130" s="55" t="n"/>
    </row>
    <row r="131">
      <c r="A131" s="52">
        <f>row()-2</f>
        <v/>
      </c>
      <c r="B131" s="55" t="n"/>
      <c r="C131" s="55" t="n"/>
      <c r="D131" s="55" t="n"/>
      <c r="E131" s="47">
        <f>IFERROR(__xludf.DUMMYFUNCTION("IF(D131="""","""",IFERROR(INDEX(IMPORTXML(D131,""//h1""),1,1),""取得エラー""))
"),"")</f>
        <v/>
      </c>
      <c r="F131" s="55" t="n"/>
      <c r="G131" s="55" t="n"/>
    </row>
    <row r="132">
      <c r="A132" s="52">
        <f>row()-2</f>
        <v/>
      </c>
      <c r="B132" s="55" t="n"/>
      <c r="C132" s="55" t="n"/>
      <c r="D132" s="55" t="n"/>
      <c r="E132" s="47">
        <f>IFERROR(__xludf.DUMMYFUNCTION("IF(D132="""","""",IFERROR(INDEX(IMPORTXML(D132,""//h1""),1,1),""取得エラー""))
"),"")</f>
        <v/>
      </c>
      <c r="F132" s="55" t="n"/>
      <c r="G132" s="55" t="n"/>
    </row>
    <row r="133">
      <c r="A133" s="52">
        <f>row()-2</f>
        <v/>
      </c>
      <c r="B133" s="55" t="n"/>
      <c r="C133" s="55" t="n"/>
      <c r="D133" s="55" t="n"/>
      <c r="E133" s="47">
        <f>IFERROR(__xludf.DUMMYFUNCTION("IF(D133="""","""",IFERROR(INDEX(IMPORTXML(D133,""//h1""),1,1),""取得エラー""))
"),"")</f>
        <v/>
      </c>
      <c r="F133" s="55" t="n"/>
      <c r="G133" s="55" t="n"/>
    </row>
    <row r="134">
      <c r="A134" s="52">
        <f>row()-2</f>
        <v/>
      </c>
      <c r="B134" s="55" t="n"/>
      <c r="C134" s="55" t="n"/>
      <c r="D134" s="55" t="n"/>
      <c r="E134" s="47">
        <f>IFERROR(__xludf.DUMMYFUNCTION("IF(D134="""","""",IFERROR(INDEX(IMPORTXML(D134,""//h1""),1,1),""取得エラー""))
"),"")</f>
        <v/>
      </c>
      <c r="F134" s="55" t="n"/>
      <c r="G134" s="55" t="n"/>
    </row>
    <row r="135">
      <c r="A135" s="52">
        <f>row()-2</f>
        <v/>
      </c>
      <c r="B135" s="55" t="n"/>
      <c r="C135" s="55" t="n"/>
      <c r="D135" s="55" t="n"/>
      <c r="E135" s="47">
        <f>IFERROR(__xludf.DUMMYFUNCTION("IF(D135="""","""",IFERROR(INDEX(IMPORTXML(D135,""//h1""),1,1),""取得エラー""))
"),"")</f>
        <v/>
      </c>
      <c r="F135" s="55" t="n"/>
      <c r="G135" s="55" t="n"/>
    </row>
    <row r="136">
      <c r="A136" s="52">
        <f>row()-2</f>
        <v/>
      </c>
      <c r="B136" s="55" t="n"/>
      <c r="C136" s="55" t="n"/>
      <c r="D136" s="55" t="n"/>
      <c r="E136" s="47">
        <f>IFERROR(__xludf.DUMMYFUNCTION("IF(D136="""","""",IFERROR(INDEX(IMPORTXML(D136,""//h1""),1,1),""取得エラー""))
"),"")</f>
        <v/>
      </c>
      <c r="F136" s="55" t="n"/>
      <c r="G136" s="55" t="n"/>
    </row>
    <row r="137">
      <c r="A137" s="52">
        <f>row()-2</f>
        <v/>
      </c>
      <c r="B137" s="55" t="n"/>
      <c r="C137" s="55" t="n"/>
      <c r="D137" s="55" t="n"/>
      <c r="E137" s="47">
        <f>IFERROR(__xludf.DUMMYFUNCTION("IF(D137="""","""",IFERROR(INDEX(IMPORTXML(D137,""//h1""),1,1),""取得エラー""))
"),"")</f>
        <v/>
      </c>
      <c r="F137" s="55" t="n"/>
      <c r="G137" s="55" t="n"/>
    </row>
    <row r="138">
      <c r="A138" s="52">
        <f>row()-2</f>
        <v/>
      </c>
      <c r="B138" s="55" t="n"/>
      <c r="C138" s="55" t="n"/>
      <c r="D138" s="55" t="n"/>
      <c r="E138" s="47">
        <f>IFERROR(__xludf.DUMMYFUNCTION("IF(D138="""","""",IFERROR(INDEX(IMPORTXML(D138,""//h1""),1,1),""取得エラー""))
"),"")</f>
        <v/>
      </c>
      <c r="F138" s="55" t="n"/>
      <c r="G138" s="55" t="n"/>
    </row>
    <row r="139">
      <c r="A139" s="52">
        <f>row()-2</f>
        <v/>
      </c>
      <c r="B139" s="55" t="n"/>
      <c r="C139" s="55" t="n"/>
      <c r="D139" s="55" t="n"/>
      <c r="E139" s="47">
        <f>IFERROR(__xludf.DUMMYFUNCTION("IF(D139="""","""",IFERROR(INDEX(IMPORTXML(D139,""//h1""),1,1),""取得エラー""))
"),"")</f>
        <v/>
      </c>
      <c r="F139" s="55" t="n"/>
      <c r="G139" s="55" t="n"/>
    </row>
    <row r="140">
      <c r="A140" s="52">
        <f>row()-2</f>
        <v/>
      </c>
      <c r="B140" s="55" t="n"/>
      <c r="C140" s="55" t="n"/>
      <c r="D140" s="55" t="n"/>
      <c r="E140" s="47">
        <f>IFERROR(__xludf.DUMMYFUNCTION("IF(D140="""","""",IFERROR(INDEX(IMPORTXML(D140,""//h1""),1,1),""取得エラー""))
"),"")</f>
        <v/>
      </c>
      <c r="F140" s="55" t="n"/>
      <c r="G140" s="55" t="n"/>
    </row>
    <row r="141">
      <c r="A141" s="52">
        <f>row()-2</f>
        <v/>
      </c>
      <c r="B141" s="55" t="n"/>
      <c r="C141" s="55" t="n"/>
      <c r="D141" s="55" t="n"/>
      <c r="E141" s="47">
        <f>IFERROR(__xludf.DUMMYFUNCTION("IF(D141="""","""",IFERROR(INDEX(IMPORTXML(D141,""//h1""),1,1),""取得エラー""))
"),"")</f>
        <v/>
      </c>
      <c r="F141" s="55" t="n"/>
      <c r="G141" s="55" t="n"/>
    </row>
    <row r="142">
      <c r="A142" s="52">
        <f>row()-2</f>
        <v/>
      </c>
      <c r="B142" s="55" t="n"/>
      <c r="C142" s="55" t="n"/>
      <c r="D142" s="55" t="n"/>
      <c r="E142" s="47">
        <f>IFERROR(__xludf.DUMMYFUNCTION("IF(D142="""","""",IFERROR(INDEX(IMPORTXML(D142,""//h1""),1,1),""取得エラー""))
"),"")</f>
        <v/>
      </c>
      <c r="F142" s="55" t="n"/>
      <c r="G142" s="55" t="n"/>
    </row>
    <row r="143">
      <c r="A143" s="52">
        <f>row()-2</f>
        <v/>
      </c>
      <c r="B143" s="55" t="n"/>
      <c r="C143" s="55" t="n"/>
      <c r="D143" s="55" t="n"/>
      <c r="E143" s="47">
        <f>IFERROR(__xludf.DUMMYFUNCTION("IF(D143="""","""",IFERROR(INDEX(IMPORTXML(D143,""//h1""),1,1),""取得エラー""))
"),"")</f>
        <v/>
      </c>
      <c r="F143" s="55" t="n"/>
      <c r="G143" s="55" t="n"/>
    </row>
    <row r="144">
      <c r="A144" s="52">
        <f>row()-2</f>
        <v/>
      </c>
      <c r="B144" s="55" t="n"/>
      <c r="C144" s="55" t="n"/>
      <c r="D144" s="55" t="n"/>
      <c r="E144" s="47">
        <f>IFERROR(__xludf.DUMMYFUNCTION("IF(D144="""","""",IFERROR(INDEX(IMPORTXML(D144,""//h1""),1,1),""取得エラー""))
"),"")</f>
        <v/>
      </c>
      <c r="F144" s="55" t="n"/>
      <c r="G144" s="55" t="n"/>
    </row>
    <row r="145">
      <c r="A145" s="52">
        <f>row()-2</f>
        <v/>
      </c>
      <c r="B145" s="55" t="n"/>
      <c r="C145" s="55" t="n"/>
      <c r="D145" s="55" t="n"/>
      <c r="E145" s="47">
        <f>IFERROR(__xludf.DUMMYFUNCTION("IF(D145="""","""",IFERROR(INDEX(IMPORTXML(D145,""//h1""),1,1),""取得エラー""))
"),"")</f>
        <v/>
      </c>
      <c r="F145" s="55" t="n"/>
      <c r="G145" s="55" t="n"/>
    </row>
    <row r="146">
      <c r="A146" s="52">
        <f>row()-2</f>
        <v/>
      </c>
      <c r="B146" s="55" t="n"/>
      <c r="C146" s="55" t="n"/>
      <c r="D146" s="55" t="n"/>
      <c r="E146" s="47">
        <f>IFERROR(__xludf.DUMMYFUNCTION("IF(D146="""","""",IFERROR(INDEX(IMPORTXML(D146,""//h1""),1,1),""取得エラー""))
"),"")</f>
        <v/>
      </c>
      <c r="F146" s="55" t="n"/>
      <c r="G146" s="55" t="n"/>
    </row>
    <row r="147">
      <c r="A147" s="52">
        <f>row()-2</f>
        <v/>
      </c>
      <c r="B147" s="55" t="n"/>
      <c r="C147" s="55" t="n"/>
      <c r="D147" s="55" t="n"/>
      <c r="E147" s="47">
        <f>IFERROR(__xludf.DUMMYFUNCTION("IF(D147="""","""",IFERROR(INDEX(IMPORTXML(D147,""//h1""),1,1),""取得エラー""))
"),"")</f>
        <v/>
      </c>
      <c r="F147" s="55" t="n"/>
      <c r="G147" s="55" t="n"/>
    </row>
    <row r="148">
      <c r="A148" s="52">
        <f>row()-2</f>
        <v/>
      </c>
      <c r="B148" s="55" t="n"/>
      <c r="C148" s="55" t="n"/>
      <c r="D148" s="55" t="n"/>
      <c r="E148" s="47">
        <f>IFERROR(__xludf.DUMMYFUNCTION("IF(D148="""","""",IFERROR(INDEX(IMPORTXML(D148,""//h1""),1,1),""取得エラー""))
"),"")</f>
        <v/>
      </c>
      <c r="F148" s="55" t="n"/>
      <c r="G148" s="55" t="n"/>
    </row>
    <row r="149">
      <c r="A149" s="52">
        <f>row()-2</f>
        <v/>
      </c>
      <c r="B149" s="55" t="n"/>
      <c r="C149" s="55" t="n"/>
      <c r="D149" s="55" t="n"/>
      <c r="E149" s="47">
        <f>IFERROR(__xludf.DUMMYFUNCTION("IF(D149="""","""",IFERROR(INDEX(IMPORTXML(D149,""//h1""),1,1),""取得エラー""))
"),"")</f>
        <v/>
      </c>
      <c r="F149" s="55" t="n"/>
      <c r="G149" s="55" t="n"/>
    </row>
    <row r="150">
      <c r="A150" s="52">
        <f>row()-2</f>
        <v/>
      </c>
      <c r="B150" s="55" t="n"/>
      <c r="C150" s="55" t="n"/>
      <c r="D150" s="55" t="n"/>
      <c r="E150" s="47">
        <f>IFERROR(__xludf.DUMMYFUNCTION("IF(D150="""","""",IFERROR(INDEX(IMPORTXML(D150,""//h1""),1,1),""取得エラー""))
"),"")</f>
        <v/>
      </c>
      <c r="F150" s="55" t="n"/>
      <c r="G150" s="55" t="n"/>
    </row>
    <row r="151">
      <c r="A151" s="52">
        <f>row()-2</f>
        <v/>
      </c>
      <c r="B151" s="55" t="n"/>
      <c r="C151" s="55" t="n"/>
      <c r="D151" s="55" t="n"/>
      <c r="E151" s="47">
        <f>IFERROR(__xludf.DUMMYFUNCTION("IF(D151="""","""",IFERROR(INDEX(IMPORTXML(D151,""//h1""),1,1),""取得エラー""))
"),"")</f>
        <v/>
      </c>
      <c r="F151" s="55" t="n"/>
      <c r="G151" s="55" t="n"/>
    </row>
    <row r="152">
      <c r="A152" s="52">
        <f>row()-2</f>
        <v/>
      </c>
      <c r="B152" s="55" t="n"/>
      <c r="C152" s="55" t="n"/>
      <c r="D152" s="55" t="n"/>
      <c r="E152" s="47">
        <f>IFERROR(__xludf.DUMMYFUNCTION("IF(D152="""","""",IFERROR(INDEX(IMPORTXML(D152,""//h1""),1,1),""取得エラー""))
"),"")</f>
        <v/>
      </c>
      <c r="F152" s="55" t="n"/>
      <c r="G152" s="55" t="n"/>
    </row>
    <row r="153">
      <c r="A153" s="52">
        <f>row()-2</f>
        <v/>
      </c>
      <c r="B153" s="55" t="n"/>
      <c r="C153" s="55" t="n"/>
      <c r="D153" s="55" t="n"/>
      <c r="E153" s="47">
        <f>IFERROR(__xludf.DUMMYFUNCTION("IF(D153="""","""",IFERROR(INDEX(IMPORTXML(D153,""//h1""),1,1),""取得エラー""))
"),"")</f>
        <v/>
      </c>
      <c r="F153" s="55" t="n"/>
      <c r="G153" s="55" t="n"/>
    </row>
    <row r="154">
      <c r="A154" s="52">
        <f>row()-2</f>
        <v/>
      </c>
      <c r="B154" s="55" t="n"/>
      <c r="C154" s="55" t="n"/>
      <c r="D154" s="55" t="n"/>
      <c r="E154" s="47">
        <f>IFERROR(__xludf.DUMMYFUNCTION("IF(D154="""","""",IFERROR(INDEX(IMPORTXML(D154,""//h1""),1,1),""取得エラー""))
"),"")</f>
        <v/>
      </c>
      <c r="F154" s="55" t="n"/>
      <c r="G154" s="55" t="n"/>
    </row>
    <row r="155">
      <c r="A155" s="52">
        <f>row()-2</f>
        <v/>
      </c>
      <c r="B155" s="55" t="n"/>
      <c r="C155" s="55" t="n"/>
      <c r="D155" s="55" t="n"/>
      <c r="E155" s="47">
        <f>IFERROR(__xludf.DUMMYFUNCTION("IF(D155="""","""",IFERROR(INDEX(IMPORTXML(D155,""//h1""),1,1),""取得エラー""))
"),"")</f>
        <v/>
      </c>
      <c r="F155" s="55" t="n"/>
      <c r="G155" s="55" t="n"/>
    </row>
    <row r="156">
      <c r="A156" s="52">
        <f>row()-2</f>
        <v/>
      </c>
      <c r="B156" s="55" t="n"/>
      <c r="C156" s="55" t="n"/>
      <c r="D156" s="55" t="n"/>
      <c r="E156" s="47">
        <f>IFERROR(__xludf.DUMMYFUNCTION("IF(D156="""","""",IFERROR(INDEX(IMPORTXML(D156,""//h1""),1,1),""取得エラー""))
"),"")</f>
        <v/>
      </c>
      <c r="F156" s="55" t="n"/>
      <c r="G156" s="55" t="n"/>
    </row>
    <row r="157">
      <c r="A157" s="52">
        <f>row()-2</f>
        <v/>
      </c>
      <c r="B157" s="55" t="n"/>
      <c r="C157" s="55" t="n"/>
      <c r="D157" s="55" t="n"/>
      <c r="E157" s="47">
        <f>IFERROR(__xludf.DUMMYFUNCTION("IF(D157="""","""",IFERROR(INDEX(IMPORTXML(D157,""//h1""),1,1),""取得エラー""))
"),"")</f>
        <v/>
      </c>
      <c r="F157" s="55" t="n"/>
      <c r="G157" s="55" t="n"/>
    </row>
    <row r="158">
      <c r="A158" s="52">
        <f>row()-2</f>
        <v/>
      </c>
      <c r="B158" s="55" t="n"/>
      <c r="C158" s="55" t="n"/>
      <c r="D158" s="55" t="n"/>
      <c r="E158" s="47">
        <f>IFERROR(__xludf.DUMMYFUNCTION("IF(D158="""","""",IFERROR(INDEX(IMPORTXML(D158,""//h1""),1,1),""取得エラー""))
"),"")</f>
        <v/>
      </c>
      <c r="F158" s="55" t="n"/>
      <c r="G158" s="55" t="n"/>
    </row>
    <row r="159">
      <c r="A159" s="52">
        <f>row()-2</f>
        <v/>
      </c>
      <c r="B159" s="55" t="n"/>
      <c r="C159" s="55" t="n"/>
      <c r="D159" s="55" t="n"/>
      <c r="E159" s="47">
        <f>IFERROR(__xludf.DUMMYFUNCTION("IF(D159="""","""",IFERROR(INDEX(IMPORTXML(D159,""//h1""),1,1),""取得エラー""))
"),"")</f>
        <v/>
      </c>
      <c r="F159" s="55" t="n"/>
      <c r="G159" s="55" t="n"/>
    </row>
    <row r="160">
      <c r="A160" s="52">
        <f>row()-2</f>
        <v/>
      </c>
      <c r="B160" s="55" t="n"/>
      <c r="C160" s="55" t="n"/>
      <c r="D160" s="55" t="n"/>
      <c r="E160" s="47">
        <f>IFERROR(__xludf.DUMMYFUNCTION("IF(D160="""","""",IFERROR(INDEX(IMPORTXML(D160,""//h1""),1,1),""取得エラー""))
"),"")</f>
        <v/>
      </c>
      <c r="F160" s="55" t="n"/>
      <c r="G160" s="55" t="n"/>
    </row>
    <row r="161">
      <c r="A161" s="52">
        <f>row()-2</f>
        <v/>
      </c>
      <c r="B161" s="55" t="n"/>
      <c r="C161" s="55" t="n"/>
      <c r="D161" s="55" t="n"/>
      <c r="E161" s="47">
        <f>IFERROR(__xludf.DUMMYFUNCTION("IF(D161="""","""",IFERROR(INDEX(IMPORTXML(D161,""//h1""),1,1),""取得エラー""))
"),"")</f>
        <v/>
      </c>
      <c r="F161" s="55" t="n"/>
      <c r="G161" s="55" t="n"/>
    </row>
    <row r="162">
      <c r="A162" s="52">
        <f>row()-2</f>
        <v/>
      </c>
      <c r="B162" s="55" t="n"/>
      <c r="C162" s="55" t="n"/>
      <c r="D162" s="55" t="n"/>
      <c r="E162" s="47">
        <f>IFERROR(__xludf.DUMMYFUNCTION("IF(D162="""","""",IFERROR(INDEX(IMPORTXML(D162,""//h1""),1,1),""取得エラー""))
"),"")</f>
        <v/>
      </c>
      <c r="F162" s="55" t="n"/>
      <c r="G162" s="55" t="n"/>
    </row>
    <row r="163">
      <c r="A163" s="52">
        <f>row()-2</f>
        <v/>
      </c>
      <c r="B163" s="55" t="n"/>
      <c r="C163" s="55" t="n"/>
      <c r="D163" s="55" t="n"/>
      <c r="E163" s="47">
        <f>IFERROR(__xludf.DUMMYFUNCTION("IF(D163="""","""",IFERROR(INDEX(IMPORTXML(D163,""//h1""),1,1),""取得エラー""))
"),"")</f>
        <v/>
      </c>
      <c r="F163" s="55" t="n"/>
      <c r="G163" s="55" t="n"/>
    </row>
    <row r="164">
      <c r="A164" s="52">
        <f>row()-2</f>
        <v/>
      </c>
      <c r="B164" s="55" t="n"/>
      <c r="C164" s="55" t="n"/>
      <c r="D164" s="55" t="n"/>
      <c r="E164" s="47">
        <f>IFERROR(__xludf.DUMMYFUNCTION("IF(D164="""","""",IFERROR(INDEX(IMPORTXML(D164,""//h1""),1,1),""取得エラー""))
"),"")</f>
        <v/>
      </c>
      <c r="F164" s="55" t="n"/>
      <c r="G164" s="55" t="n"/>
    </row>
    <row r="165">
      <c r="A165" s="52">
        <f>row()-2</f>
        <v/>
      </c>
      <c r="B165" s="55" t="n"/>
      <c r="C165" s="55" t="n"/>
      <c r="D165" s="55" t="n"/>
      <c r="E165" s="47">
        <f>IFERROR(__xludf.DUMMYFUNCTION("IF(D165="""","""",IFERROR(INDEX(IMPORTXML(D165,""//h1""),1,1),""取得エラー""))
"),"")</f>
        <v/>
      </c>
      <c r="F165" s="55" t="n"/>
      <c r="G165" s="55" t="n"/>
    </row>
    <row r="166">
      <c r="A166" s="52">
        <f>row()-2</f>
        <v/>
      </c>
      <c r="B166" s="55" t="n"/>
      <c r="C166" s="55" t="n"/>
      <c r="D166" s="55" t="n"/>
      <c r="E166" s="47">
        <f>IFERROR(__xludf.DUMMYFUNCTION("IF(D166="""","""",IFERROR(INDEX(IMPORTXML(D166,""//h1""),1,1),""取得エラー""))
"),"")</f>
        <v/>
      </c>
      <c r="F166" s="55" t="n"/>
      <c r="G166" s="55" t="n"/>
    </row>
    <row r="167">
      <c r="A167" s="52">
        <f>row()-2</f>
        <v/>
      </c>
      <c r="B167" s="55" t="n"/>
      <c r="C167" s="55" t="n"/>
      <c r="D167" s="55" t="n"/>
      <c r="E167" s="47">
        <f>IFERROR(__xludf.DUMMYFUNCTION("IF(D167="""","""",IFERROR(INDEX(IMPORTXML(D167,""//h1""),1,1),""取得エラー""))
"),"")</f>
        <v/>
      </c>
      <c r="F167" s="55" t="n"/>
      <c r="G167" s="55" t="n"/>
    </row>
    <row r="168">
      <c r="A168" s="52">
        <f>row()-2</f>
        <v/>
      </c>
      <c r="B168" s="55" t="n"/>
      <c r="C168" s="55" t="n"/>
      <c r="D168" s="55" t="n"/>
      <c r="E168" s="47">
        <f>IFERROR(__xludf.DUMMYFUNCTION("IF(D168="""","""",IFERROR(INDEX(IMPORTXML(D168,""//h1""),1,1),""取得エラー""))
"),"")</f>
        <v/>
      </c>
      <c r="F168" s="55" t="n"/>
      <c r="G168" s="55" t="n"/>
    </row>
    <row r="169">
      <c r="A169" s="52">
        <f>row()-2</f>
        <v/>
      </c>
      <c r="B169" s="55" t="n"/>
      <c r="C169" s="55" t="n"/>
      <c r="D169" s="55" t="n"/>
      <c r="E169" s="47">
        <f>IFERROR(__xludf.DUMMYFUNCTION("IF(D169="""","""",IFERROR(INDEX(IMPORTXML(D169,""//h1""),1,1),""取得エラー""))
"),"")</f>
        <v/>
      </c>
      <c r="F169" s="55" t="n"/>
      <c r="G169" s="55" t="n"/>
    </row>
    <row r="170">
      <c r="A170" s="52">
        <f>row()-2</f>
        <v/>
      </c>
      <c r="B170" s="55" t="n"/>
      <c r="C170" s="55" t="n"/>
      <c r="D170" s="55" t="n"/>
      <c r="E170" s="47">
        <f>IFERROR(__xludf.DUMMYFUNCTION("IF(D170="""","""",IFERROR(INDEX(IMPORTXML(D170,""//h1""),1,1),""取得エラー""))
"),"")</f>
        <v/>
      </c>
      <c r="F170" s="55" t="n"/>
      <c r="G170" s="55" t="n"/>
    </row>
    <row r="171">
      <c r="A171" s="52">
        <f>row()-2</f>
        <v/>
      </c>
      <c r="B171" s="55" t="n"/>
      <c r="C171" s="55" t="n"/>
      <c r="D171" s="55" t="n"/>
      <c r="E171" s="47">
        <f>IFERROR(__xludf.DUMMYFUNCTION("IF(D171="""","""",IFERROR(INDEX(IMPORTXML(D171,""//h1""),1,1),""取得エラー""))
"),"")</f>
        <v/>
      </c>
      <c r="F171" s="55" t="n"/>
      <c r="G171" s="55" t="n"/>
    </row>
    <row r="172">
      <c r="A172" s="52">
        <f>row()-2</f>
        <v/>
      </c>
      <c r="B172" s="55" t="n"/>
      <c r="C172" s="55" t="n"/>
      <c r="D172" s="55" t="n"/>
      <c r="E172" s="47">
        <f>IFERROR(__xludf.DUMMYFUNCTION("IF(D172="""","""",IFERROR(INDEX(IMPORTXML(D172,""//h1""),1,1),""取得エラー""))
"),"")</f>
        <v/>
      </c>
      <c r="F172" s="55" t="n"/>
      <c r="G172" s="55" t="n"/>
    </row>
    <row r="173">
      <c r="A173" s="52">
        <f>row()-2</f>
        <v/>
      </c>
      <c r="B173" s="55" t="n"/>
      <c r="C173" s="55" t="n"/>
      <c r="D173" s="55" t="n"/>
      <c r="E173" s="47">
        <f>IFERROR(__xludf.DUMMYFUNCTION("IF(D173="""","""",IFERROR(INDEX(IMPORTXML(D173,""//h1""),1,1),""取得エラー""))
"),"")</f>
        <v/>
      </c>
      <c r="F173" s="55" t="n"/>
      <c r="G173" s="55" t="n"/>
    </row>
    <row r="174">
      <c r="A174" s="52">
        <f>row()-2</f>
        <v/>
      </c>
      <c r="B174" s="55" t="n"/>
      <c r="C174" s="55" t="n"/>
      <c r="D174" s="55" t="n"/>
      <c r="E174" s="47">
        <f>IFERROR(__xludf.DUMMYFUNCTION("IF(D174="""","""",IFERROR(INDEX(IMPORTXML(D174,""//h1""),1,1),""取得エラー""))
"),"")</f>
        <v/>
      </c>
      <c r="F174" s="55" t="n"/>
      <c r="G174" s="55" t="n"/>
    </row>
    <row r="175">
      <c r="A175" s="52">
        <f>row()-2</f>
        <v/>
      </c>
      <c r="B175" s="55" t="n"/>
      <c r="C175" s="55" t="n"/>
      <c r="D175" s="55" t="n"/>
      <c r="E175" s="47">
        <f>IFERROR(__xludf.DUMMYFUNCTION("IF(D175="""","""",IFERROR(INDEX(IMPORTXML(D175,""//h1""),1,1),""取得エラー""))
"),"")</f>
        <v/>
      </c>
      <c r="F175" s="55" t="n"/>
      <c r="G175" s="55" t="n"/>
    </row>
    <row r="176">
      <c r="A176" s="52">
        <f>row()-2</f>
        <v/>
      </c>
      <c r="B176" s="55" t="n"/>
      <c r="C176" s="55" t="n"/>
      <c r="D176" s="55" t="n"/>
      <c r="E176" s="47">
        <f>IFERROR(__xludf.DUMMYFUNCTION("IF(D176="""","""",IFERROR(INDEX(IMPORTXML(D176,""//h1""),1,1),""取得エラー""))
"),"")</f>
        <v/>
      </c>
      <c r="F176" s="55" t="n"/>
      <c r="G176" s="55" t="n"/>
    </row>
    <row r="177">
      <c r="A177" s="52">
        <f>row()-2</f>
        <v/>
      </c>
      <c r="B177" s="55" t="n"/>
      <c r="C177" s="55" t="n"/>
      <c r="D177" s="55" t="n"/>
      <c r="E177" s="47">
        <f>IFERROR(__xludf.DUMMYFUNCTION("IF(D177="""","""",IFERROR(INDEX(IMPORTXML(D177,""//h1""),1,1),""取得エラー""))
"),"")</f>
        <v/>
      </c>
      <c r="F177" s="55" t="n"/>
      <c r="G177" s="55" t="n"/>
    </row>
    <row r="178">
      <c r="A178" s="52">
        <f>row()-2</f>
        <v/>
      </c>
      <c r="B178" s="55" t="n"/>
      <c r="C178" s="55" t="n"/>
      <c r="D178" s="55" t="n"/>
      <c r="E178" s="47">
        <f>IFERROR(__xludf.DUMMYFUNCTION("IF(D178="""","""",IFERROR(INDEX(IMPORTXML(D178,""//h1""),1,1),""取得エラー""))
"),"")</f>
        <v/>
      </c>
      <c r="F178" s="55" t="n"/>
      <c r="G178" s="55" t="n"/>
    </row>
    <row r="179">
      <c r="A179" s="52">
        <f>row()-2</f>
        <v/>
      </c>
      <c r="B179" s="55" t="n"/>
      <c r="C179" s="55" t="n"/>
      <c r="D179" s="55" t="n"/>
      <c r="E179" s="47">
        <f>IFERROR(__xludf.DUMMYFUNCTION("IF(D179="""","""",IFERROR(INDEX(IMPORTXML(D179,""//h1""),1,1),""取得エラー""))
"),"")</f>
        <v/>
      </c>
      <c r="F179" s="55" t="n"/>
      <c r="G179" s="55" t="n"/>
    </row>
    <row r="180">
      <c r="A180" s="52">
        <f>row()-2</f>
        <v/>
      </c>
      <c r="B180" s="55" t="n"/>
      <c r="C180" s="55" t="n"/>
      <c r="D180" s="55" t="n"/>
      <c r="E180" s="47">
        <f>IFERROR(__xludf.DUMMYFUNCTION("IF(D180="""","""",IFERROR(INDEX(IMPORTXML(D180,""//h1""),1,1),""取得エラー""))
"),"")</f>
        <v/>
      </c>
      <c r="F180" s="55" t="n"/>
      <c r="G180" s="55" t="n"/>
    </row>
    <row r="181">
      <c r="A181" s="52">
        <f>row()-2</f>
        <v/>
      </c>
      <c r="B181" s="55" t="n"/>
      <c r="C181" s="55" t="n"/>
      <c r="D181" s="55" t="n"/>
      <c r="E181" s="47">
        <f>IFERROR(__xludf.DUMMYFUNCTION("IF(D181="""","""",IFERROR(INDEX(IMPORTXML(D181,""//h1""),1,1),""取得エラー""))
"),"")</f>
        <v/>
      </c>
      <c r="F181" s="55" t="n"/>
      <c r="G181" s="55" t="n"/>
    </row>
    <row r="182">
      <c r="A182" s="52">
        <f>row()-2</f>
        <v/>
      </c>
      <c r="B182" s="55" t="n"/>
      <c r="C182" s="55" t="n"/>
      <c r="D182" s="55" t="n"/>
      <c r="E182" s="47">
        <f>IFERROR(__xludf.DUMMYFUNCTION("IF(D182="""","""",IFERROR(INDEX(IMPORTXML(D182,""//h1""),1,1),""取得エラー""))
"),"")</f>
        <v/>
      </c>
      <c r="F182" s="55" t="n"/>
      <c r="G182" s="55" t="n"/>
    </row>
    <row r="183">
      <c r="A183" s="52">
        <f>row()-2</f>
        <v/>
      </c>
      <c r="B183" s="55" t="n"/>
      <c r="C183" s="55" t="n"/>
      <c r="D183" s="55" t="n"/>
      <c r="E183" s="47">
        <f>IFERROR(__xludf.DUMMYFUNCTION("IF(D183="""","""",IFERROR(INDEX(IMPORTXML(D183,""//h1""),1,1),""取得エラー""))
"),"")</f>
        <v/>
      </c>
      <c r="F183" s="55" t="n"/>
      <c r="G183" s="55" t="n"/>
    </row>
    <row r="184">
      <c r="A184" s="52">
        <f>row()-2</f>
        <v/>
      </c>
      <c r="B184" s="55" t="n"/>
      <c r="C184" s="55" t="n"/>
      <c r="D184" s="55" t="n"/>
      <c r="E184" s="47">
        <f>IFERROR(__xludf.DUMMYFUNCTION("IF(D184="""","""",IFERROR(INDEX(IMPORTXML(D184,""//h1""),1,1),""取得エラー""))
"),"")</f>
        <v/>
      </c>
      <c r="F184" s="55" t="n"/>
      <c r="G184" s="55" t="n"/>
    </row>
    <row r="185">
      <c r="A185" s="52">
        <f>row()-2</f>
        <v/>
      </c>
      <c r="B185" s="55" t="n"/>
      <c r="C185" s="55" t="n"/>
      <c r="D185" s="55" t="n"/>
      <c r="E185" s="47">
        <f>IFERROR(__xludf.DUMMYFUNCTION("IF(D185="""","""",IFERROR(INDEX(IMPORTXML(D185,""//h1""),1,1),""取得エラー""))
"),"")</f>
        <v/>
      </c>
      <c r="F185" s="55" t="n"/>
      <c r="G185" s="55" t="n"/>
    </row>
    <row r="186">
      <c r="A186" s="52">
        <f>row()-2</f>
        <v/>
      </c>
      <c r="B186" s="55" t="n"/>
      <c r="C186" s="55" t="n"/>
      <c r="D186" s="55" t="n"/>
      <c r="E186" s="47">
        <f>IFERROR(__xludf.DUMMYFUNCTION("IF(D186="""","""",IFERROR(INDEX(IMPORTXML(D186,""//h1""),1,1),""取得エラー""))
"),"")</f>
        <v/>
      </c>
      <c r="F186" s="55" t="n"/>
      <c r="G186" s="55" t="n"/>
    </row>
    <row r="187">
      <c r="A187" s="52">
        <f>row()-2</f>
        <v/>
      </c>
      <c r="B187" s="55" t="n"/>
      <c r="C187" s="55" t="n"/>
      <c r="D187" s="55" t="n"/>
      <c r="E187" s="47">
        <f>IFERROR(__xludf.DUMMYFUNCTION("IF(D187="""","""",IFERROR(INDEX(IMPORTXML(D187,""//h1""),1,1),""取得エラー""))
"),"")</f>
        <v/>
      </c>
      <c r="F187" s="55" t="n"/>
      <c r="G187" s="55" t="n"/>
    </row>
    <row r="188">
      <c r="A188" s="52">
        <f>row()-2</f>
        <v/>
      </c>
      <c r="B188" s="55" t="n"/>
      <c r="C188" s="55" t="n"/>
      <c r="D188" s="55" t="n"/>
      <c r="E188" s="47">
        <f>IFERROR(__xludf.DUMMYFUNCTION("IF(D188="""","""",IFERROR(INDEX(IMPORTXML(D188,""//h1""),1,1),""取得エラー""))
"),"")</f>
        <v/>
      </c>
      <c r="F188" s="55" t="n"/>
      <c r="G188" s="55" t="n"/>
    </row>
    <row r="189">
      <c r="A189" s="52">
        <f>row()-2</f>
        <v/>
      </c>
      <c r="B189" s="55" t="n"/>
      <c r="C189" s="55" t="n"/>
      <c r="D189" s="55" t="n"/>
      <c r="E189" s="47">
        <f>IFERROR(__xludf.DUMMYFUNCTION("IF(D189="""","""",IFERROR(INDEX(IMPORTXML(D189,""//h1""),1,1),""取得エラー""))
"),"")</f>
        <v/>
      </c>
      <c r="F189" s="55" t="n"/>
      <c r="G189" s="55" t="n"/>
    </row>
    <row r="190">
      <c r="A190" s="52">
        <f>row()-2</f>
        <v/>
      </c>
      <c r="B190" s="55" t="n"/>
      <c r="C190" s="55" t="n"/>
      <c r="D190" s="55" t="n"/>
      <c r="E190" s="47">
        <f>IFERROR(__xludf.DUMMYFUNCTION("IF(D190="""","""",IFERROR(INDEX(IMPORTXML(D190,""//h1""),1,1),""取得エラー""))
"),"")</f>
        <v/>
      </c>
      <c r="F190" s="55" t="n"/>
      <c r="G190" s="55" t="n"/>
    </row>
    <row r="191">
      <c r="A191" s="52">
        <f>row()-2</f>
        <v/>
      </c>
      <c r="B191" s="55" t="n"/>
      <c r="C191" s="55" t="n"/>
      <c r="D191" s="55" t="n"/>
      <c r="E191" s="47">
        <f>IFERROR(__xludf.DUMMYFUNCTION("IF(D191="""","""",IFERROR(INDEX(IMPORTXML(D191,""//h1""),1,1),""取得エラー""))
"),"")</f>
        <v/>
      </c>
      <c r="F191" s="55" t="n"/>
      <c r="G191" s="55" t="n"/>
    </row>
    <row r="192">
      <c r="A192" s="52">
        <f>row()-2</f>
        <v/>
      </c>
      <c r="B192" s="55" t="n"/>
      <c r="C192" s="55" t="n"/>
      <c r="D192" s="55" t="n"/>
      <c r="E192" s="47">
        <f>IFERROR(__xludf.DUMMYFUNCTION("IF(D192="""","""",IFERROR(INDEX(IMPORTXML(D192,""//h1""),1,1),""取得エラー""))
"),"")</f>
        <v/>
      </c>
      <c r="F192" s="55" t="n"/>
      <c r="G192" s="55" t="n"/>
    </row>
    <row r="193">
      <c r="A193" s="52">
        <f>row()-2</f>
        <v/>
      </c>
      <c r="B193" s="55" t="n"/>
      <c r="C193" s="55" t="n"/>
      <c r="D193" s="55" t="n"/>
      <c r="E193" s="47">
        <f>IFERROR(__xludf.DUMMYFUNCTION("IF(D193="""","""",IFERROR(INDEX(IMPORTXML(D193,""//h1""),1,1),""取得エラー""))
"),"")</f>
        <v/>
      </c>
      <c r="F193" s="55" t="n"/>
      <c r="G193" s="55" t="n"/>
    </row>
    <row r="194">
      <c r="A194" s="52">
        <f>row()-2</f>
        <v/>
      </c>
      <c r="B194" s="55" t="n"/>
      <c r="C194" s="55" t="n"/>
      <c r="D194" s="55" t="n"/>
      <c r="E194" s="47">
        <f>IFERROR(__xludf.DUMMYFUNCTION("IF(D194="""","""",IFERROR(INDEX(IMPORTXML(D194,""//h1""),1,1),""取得エラー""))
"),"")</f>
        <v/>
      </c>
      <c r="F194" s="55" t="n"/>
      <c r="G194" s="55" t="n"/>
    </row>
    <row r="195">
      <c r="A195" s="52">
        <f>row()-2</f>
        <v/>
      </c>
      <c r="B195" s="55" t="n"/>
      <c r="C195" s="55" t="n"/>
      <c r="D195" s="55" t="n"/>
      <c r="E195" s="47">
        <f>IFERROR(__xludf.DUMMYFUNCTION("IF(D195="""","""",IFERROR(INDEX(IMPORTXML(D195,""//h1""),1,1),""取得エラー""))
"),"")</f>
        <v/>
      </c>
      <c r="F195" s="55" t="n"/>
      <c r="G195" s="55" t="n"/>
    </row>
    <row r="196">
      <c r="A196" s="52">
        <f>row()-2</f>
        <v/>
      </c>
      <c r="B196" s="55" t="n"/>
      <c r="C196" s="55" t="n"/>
      <c r="D196" s="55" t="n"/>
      <c r="E196" s="47">
        <f>IFERROR(__xludf.DUMMYFUNCTION("IF(D196="""","""",IFERROR(INDEX(IMPORTXML(D196,""//h1""),1,1),""取得エラー""))
"),"")</f>
        <v/>
      </c>
      <c r="F196" s="55" t="n"/>
      <c r="G196" s="55" t="n"/>
    </row>
    <row r="197">
      <c r="A197" s="52">
        <f>row()-2</f>
        <v/>
      </c>
      <c r="B197" s="55" t="n"/>
      <c r="C197" s="55" t="n"/>
      <c r="D197" s="55" t="n"/>
      <c r="E197" s="47">
        <f>IFERROR(__xludf.DUMMYFUNCTION("IF(D197="""","""",IFERROR(INDEX(IMPORTXML(D197,""//h1""),1,1),""取得エラー""))
"),"")</f>
        <v/>
      </c>
      <c r="F197" s="55" t="n"/>
      <c r="G197" s="55" t="n"/>
    </row>
    <row r="198">
      <c r="A198" s="52">
        <f>row()-2</f>
        <v/>
      </c>
      <c r="B198" s="55" t="n"/>
      <c r="C198" s="55" t="n"/>
      <c r="D198" s="55" t="n"/>
      <c r="E198" s="47">
        <f>IFERROR(__xludf.DUMMYFUNCTION("IF(D198="""","""",IFERROR(INDEX(IMPORTXML(D198,""//h1""),1,1),""取得エラー""))
"),"")</f>
        <v/>
      </c>
      <c r="F198" s="55" t="n"/>
      <c r="G198" s="55" t="n"/>
    </row>
    <row r="199">
      <c r="A199" s="52">
        <f>row()-2</f>
        <v/>
      </c>
      <c r="B199" s="55" t="n"/>
      <c r="C199" s="55" t="n"/>
      <c r="D199" s="55" t="n"/>
      <c r="E199" s="47">
        <f>IFERROR(__xludf.DUMMYFUNCTION("IF(D199="""","""",IFERROR(INDEX(IMPORTXML(D199,""//h1""),1,1),""取得エラー""))
"),"")</f>
        <v/>
      </c>
      <c r="F199" s="55" t="n"/>
      <c r="G199" s="55" t="n"/>
    </row>
    <row r="200">
      <c r="A200" s="52">
        <f>row()-2</f>
        <v/>
      </c>
      <c r="B200" s="55" t="n"/>
      <c r="C200" s="55" t="n"/>
      <c r="D200" s="55" t="n"/>
      <c r="E200" s="47">
        <f>IFERROR(__xludf.DUMMYFUNCTION("IF(D200="""","""",IFERROR(INDEX(IMPORTXML(D200,""//h1""),1,1),""取得エラー""))
"),"")</f>
        <v/>
      </c>
      <c r="F200" s="55" t="n"/>
      <c r="G200" s="55" t="n"/>
    </row>
    <row r="201">
      <c r="A201" s="52">
        <f>row()-2</f>
        <v/>
      </c>
      <c r="B201" s="55" t="n"/>
      <c r="C201" s="55" t="n"/>
      <c r="D201" s="55" t="n"/>
      <c r="E201" s="47">
        <f>IFERROR(__xludf.DUMMYFUNCTION("IF(D201="""","""",IFERROR(INDEX(IMPORTXML(D201,""//h1""),1,1),""取得エラー""))
"),"")</f>
        <v/>
      </c>
      <c r="F201" s="55" t="n"/>
      <c r="G201" s="55" t="n"/>
    </row>
    <row r="202">
      <c r="A202" s="52">
        <f>row()-2</f>
        <v/>
      </c>
      <c r="B202" s="55" t="n"/>
      <c r="C202" s="55" t="n"/>
      <c r="D202" s="55" t="n"/>
      <c r="E202" s="47">
        <f>IFERROR(__xludf.DUMMYFUNCTION("IF(D202="""","""",IFERROR(INDEX(IMPORTXML(D202,""//h1""),1,1),""取得エラー""))
"),"")</f>
        <v/>
      </c>
      <c r="F202" s="55" t="n"/>
      <c r="G202" s="55" t="n"/>
    </row>
    <row r="203">
      <c r="A203" s="52">
        <f>row()-2</f>
        <v/>
      </c>
      <c r="B203" s="55" t="n"/>
      <c r="C203" s="55" t="n"/>
      <c r="D203" s="55" t="n"/>
      <c r="E203" s="47">
        <f>IFERROR(__xludf.DUMMYFUNCTION("IF(D203="""","""",IFERROR(INDEX(IMPORTXML(D203,""//h1""),1,1),""取得エラー""))
"),"")</f>
        <v/>
      </c>
      <c r="F203" s="55" t="n"/>
      <c r="G203" s="55" t="n"/>
    </row>
    <row r="204">
      <c r="A204" s="52">
        <f>row()-2</f>
        <v/>
      </c>
      <c r="B204" s="55" t="n"/>
      <c r="C204" s="55" t="n"/>
      <c r="D204" s="55" t="n"/>
      <c r="E204" s="47">
        <f>IFERROR(__xludf.DUMMYFUNCTION("IF(D204="""","""",IFERROR(INDEX(IMPORTXML(D204,""//h1""),1,1),""取得エラー""))
"),"")</f>
        <v/>
      </c>
      <c r="F204" s="55" t="n"/>
      <c r="G204" s="55" t="n"/>
    </row>
    <row r="205">
      <c r="A205" s="52">
        <f>row()-2</f>
        <v/>
      </c>
      <c r="B205" s="55" t="n"/>
      <c r="C205" s="55" t="n"/>
      <c r="D205" s="55" t="n"/>
      <c r="E205" s="47">
        <f>IFERROR(__xludf.DUMMYFUNCTION("IF(D205="""","""",IFERROR(INDEX(IMPORTXML(D205,""//h1""),1,1),""取得エラー""))
"),"")</f>
        <v/>
      </c>
      <c r="F205" s="55" t="n"/>
      <c r="G205" s="55" t="n"/>
    </row>
    <row r="206">
      <c r="A206" s="52">
        <f>row()-2</f>
        <v/>
      </c>
      <c r="B206" s="55" t="n"/>
      <c r="C206" s="55" t="n"/>
      <c r="D206" s="55" t="n"/>
      <c r="E206" s="47">
        <f>IFERROR(__xludf.DUMMYFUNCTION("IF(D206="""","""",IFERROR(INDEX(IMPORTXML(D206,""//h1""),1,1),""取得エラー""))
"),"")</f>
        <v/>
      </c>
      <c r="F206" s="55" t="n"/>
      <c r="G206" s="55" t="n"/>
    </row>
    <row r="207">
      <c r="A207" s="52">
        <f>row()-2</f>
        <v/>
      </c>
      <c r="B207" s="55" t="n"/>
      <c r="C207" s="55" t="n"/>
      <c r="D207" s="55" t="n"/>
      <c r="E207" s="47">
        <f>IFERROR(__xludf.DUMMYFUNCTION("IF(D207="""","""",IFERROR(INDEX(IMPORTXML(D207,""//h1""),1,1),""取得エラー""))
"),"")</f>
        <v/>
      </c>
      <c r="F207" s="55" t="n"/>
      <c r="G207" s="55" t="n"/>
    </row>
    <row r="208">
      <c r="A208" s="52">
        <f>row()-2</f>
        <v/>
      </c>
      <c r="B208" s="55" t="n"/>
      <c r="C208" s="55" t="n"/>
      <c r="D208" s="55" t="n"/>
      <c r="E208" s="47">
        <f>IFERROR(__xludf.DUMMYFUNCTION("IF(D208="""","""",IFERROR(INDEX(IMPORTXML(D208,""//h1""),1,1),""取得エラー""))
"),"")</f>
        <v/>
      </c>
      <c r="F208" s="55" t="n"/>
      <c r="G208" s="55" t="n"/>
    </row>
    <row r="209">
      <c r="A209" s="52">
        <f>row()-2</f>
        <v/>
      </c>
      <c r="B209" s="55" t="n"/>
      <c r="C209" s="55" t="n"/>
      <c r="D209" s="55" t="n"/>
      <c r="E209" s="47">
        <f>IFERROR(__xludf.DUMMYFUNCTION("IF(D209="""","""",IFERROR(INDEX(IMPORTXML(D209,""//h1""),1,1),""取得エラー""))
"),"")</f>
        <v/>
      </c>
      <c r="F209" s="55" t="n"/>
      <c r="G209" s="55" t="n"/>
    </row>
    <row r="210">
      <c r="A210" s="52">
        <f>row()-2</f>
        <v/>
      </c>
      <c r="B210" s="55" t="n"/>
      <c r="C210" s="55" t="n"/>
      <c r="D210" s="55" t="n"/>
      <c r="E210" s="47">
        <f>IFERROR(__xludf.DUMMYFUNCTION("IF(D210="""","""",IFERROR(INDEX(IMPORTXML(D210,""//h1""),1,1),""取得エラー""))
"),"")</f>
        <v/>
      </c>
      <c r="F210" s="55" t="n"/>
      <c r="G210" s="55" t="n"/>
    </row>
    <row r="211">
      <c r="A211" s="52">
        <f>row()-2</f>
        <v/>
      </c>
      <c r="B211" s="55" t="n"/>
      <c r="C211" s="55" t="n"/>
      <c r="D211" s="55" t="n"/>
      <c r="E211" s="47">
        <f>IFERROR(__xludf.DUMMYFUNCTION("IF(D211="""","""",IFERROR(INDEX(IMPORTXML(D211,""//h1""),1,1),""取得エラー""))
"),"")</f>
        <v/>
      </c>
      <c r="F211" s="55" t="n"/>
      <c r="G211" s="55" t="n"/>
    </row>
    <row r="212">
      <c r="A212" s="52">
        <f>row()-2</f>
        <v/>
      </c>
      <c r="B212" s="55" t="n"/>
      <c r="C212" s="55" t="n"/>
      <c r="D212" s="55" t="n"/>
      <c r="E212" s="47">
        <f>IFERROR(__xludf.DUMMYFUNCTION("IF(D212="""","""",IFERROR(INDEX(IMPORTXML(D212,""//h1""),1,1),""取得エラー""))
"),"")</f>
        <v/>
      </c>
      <c r="F212" s="55" t="n"/>
      <c r="G212" s="55" t="n"/>
    </row>
    <row r="213">
      <c r="A213" s="52">
        <f>row()-2</f>
        <v/>
      </c>
      <c r="B213" s="55" t="n"/>
      <c r="C213" s="55" t="n"/>
      <c r="D213" s="55" t="n"/>
      <c r="E213" s="47">
        <f>IFERROR(__xludf.DUMMYFUNCTION("IF(D213="""","""",IFERROR(INDEX(IMPORTXML(D213,""//h1""),1,1),""取得エラー""))
"),"")</f>
        <v/>
      </c>
      <c r="F213" s="55" t="n"/>
      <c r="G213" s="55" t="n"/>
    </row>
    <row r="214">
      <c r="A214" s="52">
        <f>row()-2</f>
        <v/>
      </c>
      <c r="B214" s="55" t="n"/>
      <c r="C214" s="55" t="n"/>
      <c r="D214" s="55" t="n"/>
      <c r="E214" s="47">
        <f>IFERROR(__xludf.DUMMYFUNCTION("IF(D214="""","""",IFERROR(INDEX(IMPORTXML(D214,""//h1""),1,1),""取得エラー""))
"),"")</f>
        <v/>
      </c>
      <c r="F214" s="55" t="n"/>
      <c r="G214" s="55" t="n"/>
    </row>
    <row r="215">
      <c r="A215" s="52">
        <f>row()-2</f>
        <v/>
      </c>
      <c r="B215" s="55" t="n"/>
      <c r="C215" s="55" t="n"/>
      <c r="D215" s="55" t="n"/>
      <c r="E215" s="47">
        <f>IFERROR(__xludf.DUMMYFUNCTION("IF(D215="""","""",IFERROR(INDEX(IMPORTXML(D215,""//h1""),1,1),""取得エラー""))
"),"")</f>
        <v/>
      </c>
      <c r="F215" s="55" t="n"/>
      <c r="G215" s="55" t="n"/>
    </row>
    <row r="216">
      <c r="A216" s="52">
        <f>row()-2</f>
        <v/>
      </c>
      <c r="B216" s="55" t="n"/>
      <c r="C216" s="55" t="n"/>
      <c r="D216" s="55" t="n"/>
      <c r="E216" s="47">
        <f>IFERROR(__xludf.DUMMYFUNCTION("IF(D216="""","""",IFERROR(INDEX(IMPORTXML(D216,""//h1""),1,1),""取得エラー""))
"),"")</f>
        <v/>
      </c>
      <c r="F216" s="55" t="n"/>
      <c r="G216" s="55" t="n"/>
    </row>
    <row r="217">
      <c r="A217" s="52">
        <f>row()-2</f>
        <v/>
      </c>
      <c r="B217" s="55" t="n"/>
      <c r="C217" s="55" t="n"/>
      <c r="D217" s="55" t="n"/>
      <c r="E217" s="47">
        <f>IFERROR(__xludf.DUMMYFUNCTION("IF(D217="""","""",IFERROR(INDEX(IMPORTXML(D217,""//h1""),1,1),""取得エラー""))
"),"")</f>
        <v/>
      </c>
      <c r="F217" s="55" t="n"/>
      <c r="G217" s="55" t="n"/>
    </row>
    <row r="218">
      <c r="A218" s="52">
        <f>row()-2</f>
        <v/>
      </c>
      <c r="B218" s="55" t="n"/>
      <c r="C218" s="55" t="n"/>
      <c r="D218" s="55" t="n"/>
      <c r="E218" s="47">
        <f>IFERROR(__xludf.DUMMYFUNCTION("IF(D218="""","""",IFERROR(INDEX(IMPORTXML(D218,""//h1""),1,1),""取得エラー""))
"),"")</f>
        <v/>
      </c>
      <c r="F218" s="55" t="n"/>
      <c r="G218" s="55" t="n"/>
    </row>
    <row r="219">
      <c r="A219" s="52">
        <f>row()-2</f>
        <v/>
      </c>
      <c r="B219" s="55" t="n"/>
      <c r="C219" s="55" t="n"/>
      <c r="D219" s="55" t="n"/>
      <c r="E219" s="47">
        <f>IFERROR(__xludf.DUMMYFUNCTION("IF(D219="""","""",IFERROR(INDEX(IMPORTXML(D219,""//h1""),1,1),""取得エラー""))
"),"")</f>
        <v/>
      </c>
      <c r="F219" s="55" t="n"/>
      <c r="G219" s="55" t="n"/>
    </row>
    <row r="220">
      <c r="A220" s="52">
        <f>row()-2</f>
        <v/>
      </c>
      <c r="B220" s="55" t="n"/>
      <c r="C220" s="55" t="n"/>
      <c r="D220" s="55" t="n"/>
      <c r="E220" s="47">
        <f>IFERROR(__xludf.DUMMYFUNCTION("IF(D220="""","""",IFERROR(INDEX(IMPORTXML(D220,""//h1""),1,1),""取得エラー""))
"),"")</f>
        <v/>
      </c>
      <c r="F220" s="55" t="n"/>
      <c r="G220" s="55" t="n"/>
    </row>
    <row r="221">
      <c r="A221" s="52">
        <f>row()-2</f>
        <v/>
      </c>
      <c r="B221" s="55" t="n"/>
      <c r="C221" s="55" t="n"/>
      <c r="D221" s="55" t="n"/>
      <c r="E221" s="47">
        <f>IFERROR(__xludf.DUMMYFUNCTION("IF(D221="""","""",IFERROR(INDEX(IMPORTXML(D221,""//h1""),1,1),""取得エラー""))
"),"")</f>
        <v/>
      </c>
      <c r="F221" s="55" t="n"/>
      <c r="G221" s="55" t="n"/>
    </row>
    <row r="222">
      <c r="A222" s="52">
        <f>row()-2</f>
        <v/>
      </c>
      <c r="B222" s="55" t="n"/>
      <c r="C222" s="55" t="n"/>
      <c r="D222" s="55" t="n"/>
      <c r="E222" s="47">
        <f>IFERROR(__xludf.DUMMYFUNCTION("IF(D222="""","""",IFERROR(INDEX(IMPORTXML(D222,""//h1""),1,1),""取得エラー""))
"),"")</f>
        <v/>
      </c>
      <c r="F222" s="55" t="n"/>
      <c r="G222" s="55" t="n"/>
    </row>
    <row r="223">
      <c r="A223" s="52">
        <f>row()-2</f>
        <v/>
      </c>
      <c r="B223" s="55" t="n"/>
      <c r="C223" s="55" t="n"/>
      <c r="D223" s="55" t="n"/>
      <c r="E223" s="47">
        <f>IFERROR(__xludf.DUMMYFUNCTION("IF(D223="""","""",IFERROR(INDEX(IMPORTXML(D223,""//h1""),1,1),""取得エラー""))
"),"")</f>
        <v/>
      </c>
      <c r="F223" s="55" t="n"/>
      <c r="G223" s="55" t="n"/>
    </row>
    <row r="224">
      <c r="A224" s="52">
        <f>row()-2</f>
        <v/>
      </c>
      <c r="B224" s="55" t="n"/>
      <c r="C224" s="55" t="n"/>
      <c r="D224" s="55" t="n"/>
      <c r="E224" s="47">
        <f>IFERROR(__xludf.DUMMYFUNCTION("IF(D224="""","""",IFERROR(INDEX(IMPORTXML(D224,""//h1""),1,1),""取得エラー""))
"),"")</f>
        <v/>
      </c>
      <c r="F224" s="55" t="n"/>
      <c r="G224" s="55" t="n"/>
    </row>
    <row r="225">
      <c r="A225" s="52">
        <f>row()-2</f>
        <v/>
      </c>
      <c r="B225" s="55" t="n"/>
      <c r="C225" s="55" t="n"/>
      <c r="D225" s="55" t="n"/>
      <c r="E225" s="47">
        <f>IFERROR(__xludf.DUMMYFUNCTION("IF(D225="""","""",IFERROR(INDEX(IMPORTXML(D225,""//h1""),1,1),""取得エラー""))
"),"")</f>
        <v/>
      </c>
      <c r="F225" s="55" t="n"/>
      <c r="G225" s="55" t="n"/>
    </row>
    <row r="226">
      <c r="A226" s="52">
        <f>row()-2</f>
        <v/>
      </c>
      <c r="B226" s="55" t="n"/>
      <c r="C226" s="55" t="n"/>
      <c r="D226" s="55" t="n"/>
      <c r="E226" s="47">
        <f>IFERROR(__xludf.DUMMYFUNCTION("IF(D226="""","""",IFERROR(INDEX(IMPORTXML(D226,""//h1""),1,1),""取得エラー""))
"),"")</f>
        <v/>
      </c>
      <c r="F226" s="55" t="n"/>
      <c r="G226" s="55" t="n"/>
    </row>
    <row r="227">
      <c r="A227" s="52">
        <f>row()-2</f>
        <v/>
      </c>
      <c r="B227" s="55" t="n"/>
      <c r="C227" s="55" t="n"/>
      <c r="D227" s="55" t="n"/>
      <c r="E227" s="47">
        <f>IFERROR(__xludf.DUMMYFUNCTION("IF(D227="""","""",IFERROR(INDEX(IMPORTXML(D227,""//h1""),1,1),""取得エラー""))
"),"")</f>
        <v/>
      </c>
      <c r="F227" s="55" t="n"/>
      <c r="G227" s="55" t="n"/>
    </row>
    <row r="228">
      <c r="A228" s="52">
        <f>row()-2</f>
        <v/>
      </c>
      <c r="B228" s="55" t="n"/>
      <c r="C228" s="55" t="n"/>
      <c r="D228" s="55" t="n"/>
      <c r="E228" s="47">
        <f>IFERROR(__xludf.DUMMYFUNCTION("IF(D228="""","""",IFERROR(INDEX(IMPORTXML(D228,""//h1""),1,1),""取得エラー""))
"),"")</f>
        <v/>
      </c>
      <c r="F228" s="55" t="n"/>
      <c r="G228" s="55" t="n"/>
    </row>
    <row r="229">
      <c r="A229" s="52">
        <f>row()-2</f>
        <v/>
      </c>
      <c r="B229" s="55" t="n"/>
      <c r="C229" s="55" t="n"/>
      <c r="D229" s="55" t="n"/>
      <c r="E229" s="47">
        <f>IFERROR(__xludf.DUMMYFUNCTION("IF(D229="""","""",IFERROR(INDEX(IMPORTXML(D229,""//h1""),1,1),""取得エラー""))
"),"")</f>
        <v/>
      </c>
      <c r="F229" s="55" t="n"/>
      <c r="G229" s="55" t="n"/>
    </row>
    <row r="230">
      <c r="A230" s="52">
        <f>row()-2</f>
        <v/>
      </c>
      <c r="B230" s="55" t="n"/>
      <c r="C230" s="55" t="n"/>
      <c r="D230" s="55" t="n"/>
      <c r="E230" s="47">
        <f>IFERROR(__xludf.DUMMYFUNCTION("IF(D230="""","""",IFERROR(INDEX(IMPORTXML(D230,""//h1""),1,1),""取得エラー""))
"),"")</f>
        <v/>
      </c>
      <c r="F230" s="55" t="n"/>
      <c r="G230" s="55" t="n"/>
    </row>
    <row r="231">
      <c r="A231" s="55" t="n"/>
      <c r="B231" s="55" t="n"/>
      <c r="C231" s="55" t="n"/>
      <c r="D231" s="55" t="n"/>
      <c r="E231" s="55" t="n"/>
      <c r="F231" s="55" t="n"/>
      <c r="G231" s="55" t="n"/>
    </row>
    <row r="232">
      <c r="A232" s="55" t="n"/>
      <c r="B232" s="55" t="n"/>
      <c r="C232" s="55" t="n"/>
      <c r="D232" s="55" t="n"/>
      <c r="E232" s="55" t="n"/>
      <c r="F232" s="55" t="n"/>
      <c r="G232" s="55" t="n"/>
    </row>
    <row r="233">
      <c r="A233" s="55" t="n"/>
      <c r="B233" s="55" t="n"/>
      <c r="C233" s="55" t="n"/>
      <c r="D233" s="55" t="n"/>
      <c r="E233" s="55" t="n"/>
      <c r="F233" s="55" t="n"/>
      <c r="G233" s="55" t="n"/>
    </row>
    <row r="234">
      <c r="A234" s="55" t="n"/>
      <c r="B234" s="55" t="n"/>
      <c r="C234" s="55" t="n"/>
      <c r="D234" s="55" t="n"/>
      <c r="E234" s="55" t="n"/>
      <c r="F234" s="55" t="n"/>
      <c r="G234" s="55" t="n"/>
    </row>
    <row r="235">
      <c r="A235" s="55" t="n"/>
      <c r="B235" s="55" t="n"/>
      <c r="C235" s="55" t="n"/>
      <c r="D235" s="55" t="n"/>
      <c r="E235" s="55" t="n"/>
      <c r="F235" s="55" t="n"/>
      <c r="G235" s="55" t="n"/>
    </row>
    <row r="236">
      <c r="A236" s="55" t="n"/>
      <c r="B236" s="55" t="n"/>
      <c r="C236" s="55" t="n"/>
      <c r="D236" s="55" t="n"/>
      <c r="E236" s="55" t="n"/>
      <c r="F236" s="55" t="n"/>
      <c r="G236" s="55" t="n"/>
    </row>
    <row r="237">
      <c r="A237" s="55" t="n"/>
      <c r="B237" s="55" t="n"/>
      <c r="C237" s="55" t="n"/>
      <c r="D237" s="55" t="n"/>
      <c r="E237" s="55" t="n"/>
      <c r="F237" s="55" t="n"/>
      <c r="G237" s="55" t="n"/>
    </row>
    <row r="238">
      <c r="A238" s="55" t="n"/>
      <c r="B238" s="55" t="n"/>
      <c r="C238" s="55" t="n"/>
      <c r="D238" s="55" t="n"/>
      <c r="E238" s="55" t="n"/>
      <c r="F238" s="55" t="n"/>
      <c r="G238" s="55" t="n"/>
    </row>
    <row r="239">
      <c r="A239" s="55" t="n"/>
      <c r="B239" s="55" t="n"/>
      <c r="C239" s="55" t="n"/>
      <c r="D239" s="55" t="n"/>
      <c r="E239" s="55" t="n"/>
      <c r="F239" s="55" t="n"/>
      <c r="G239" s="55" t="n"/>
    </row>
    <row r="240">
      <c r="A240" s="55" t="n"/>
      <c r="B240" s="55" t="n"/>
      <c r="C240" s="55" t="n"/>
      <c r="D240" s="55" t="n"/>
      <c r="E240" s="55" t="n"/>
      <c r="F240" s="55" t="n"/>
      <c r="G240" s="55" t="n"/>
    </row>
    <row r="241">
      <c r="A241" s="55" t="n"/>
      <c r="B241" s="55" t="n"/>
      <c r="C241" s="55" t="n"/>
      <c r="D241" s="55" t="n"/>
      <c r="E241" s="55" t="n"/>
      <c r="F241" s="55" t="n"/>
      <c r="G241" s="55" t="n"/>
    </row>
    <row r="242">
      <c r="A242" s="55" t="n"/>
      <c r="B242" s="55" t="n"/>
      <c r="C242" s="55" t="n"/>
      <c r="D242" s="55" t="n"/>
      <c r="E242" s="55" t="n"/>
      <c r="F242" s="55" t="n"/>
      <c r="G242" s="55" t="n"/>
    </row>
    <row r="243">
      <c r="A243" s="55" t="n"/>
      <c r="B243" s="55" t="n"/>
      <c r="C243" s="55" t="n"/>
      <c r="D243" s="55" t="n"/>
      <c r="E243" s="55" t="n"/>
      <c r="F243" s="55" t="n"/>
      <c r="G243" s="55" t="n"/>
    </row>
    <row r="244">
      <c r="A244" s="55" t="n"/>
      <c r="B244" s="55" t="n"/>
      <c r="C244" s="55" t="n"/>
      <c r="D244" s="55" t="n"/>
      <c r="E244" s="55" t="n"/>
      <c r="F244" s="55" t="n"/>
      <c r="G244" s="55" t="n"/>
    </row>
    <row r="245">
      <c r="A245" s="55" t="n"/>
      <c r="B245" s="55" t="n"/>
      <c r="C245" s="55" t="n"/>
      <c r="D245" s="55" t="n"/>
      <c r="E245" s="55" t="n"/>
      <c r="F245" s="55" t="n"/>
      <c r="G245" s="55" t="n"/>
    </row>
    <row r="246">
      <c r="A246" s="55" t="n"/>
      <c r="B246" s="55" t="n"/>
      <c r="C246" s="55" t="n"/>
      <c r="D246" s="55" t="n"/>
      <c r="E246" s="55" t="n"/>
      <c r="F246" s="55" t="n"/>
      <c r="G246" s="55" t="n"/>
    </row>
    <row r="247">
      <c r="A247" s="55" t="n"/>
      <c r="B247" s="55" t="n"/>
      <c r="C247" s="55" t="n"/>
      <c r="D247" s="55" t="n"/>
      <c r="E247" s="55" t="n"/>
      <c r="F247" s="55" t="n"/>
      <c r="G247" s="55" t="n"/>
    </row>
    <row r="248">
      <c r="A248" s="55" t="n"/>
      <c r="B248" s="55" t="n"/>
      <c r="C248" s="55" t="n"/>
      <c r="D248" s="55" t="n"/>
      <c r="E248" s="55" t="n"/>
      <c r="F248" s="55" t="n"/>
      <c r="G248" s="55" t="n"/>
    </row>
    <row r="249">
      <c r="A249" s="55" t="n"/>
      <c r="B249" s="55" t="n"/>
      <c r="C249" s="55" t="n"/>
      <c r="D249" s="55" t="n"/>
      <c r="E249" s="55" t="n"/>
      <c r="F249" s="55" t="n"/>
      <c r="G249" s="55" t="n"/>
    </row>
    <row r="250">
      <c r="A250" s="55" t="n"/>
      <c r="B250" s="55" t="n"/>
      <c r="C250" s="55" t="n"/>
      <c r="D250" s="55" t="n"/>
      <c r="E250" s="55" t="n"/>
      <c r="F250" s="55" t="n"/>
      <c r="G250" s="55" t="n"/>
    </row>
    <row r="251">
      <c r="A251" s="55" t="n"/>
      <c r="B251" s="55" t="n"/>
      <c r="C251" s="55" t="n"/>
      <c r="D251" s="55" t="n"/>
      <c r="E251" s="55" t="n"/>
      <c r="F251" s="55" t="n"/>
      <c r="G251" s="55" t="n"/>
    </row>
    <row r="252">
      <c r="A252" s="55" t="n"/>
      <c r="B252" s="55" t="n"/>
      <c r="C252" s="55" t="n"/>
      <c r="D252" s="55" t="n"/>
      <c r="E252" s="55" t="n"/>
      <c r="F252" s="55" t="n"/>
      <c r="G252" s="55" t="n"/>
    </row>
    <row r="253">
      <c r="A253" s="55" t="n"/>
      <c r="B253" s="55" t="n"/>
      <c r="C253" s="55" t="n"/>
      <c r="D253" s="55" t="n"/>
      <c r="E253" s="55" t="n"/>
      <c r="F253" s="55" t="n"/>
      <c r="G253" s="55" t="n"/>
    </row>
    <row r="254">
      <c r="A254" s="55" t="n"/>
      <c r="B254" s="55" t="n"/>
      <c r="C254" s="55" t="n"/>
      <c r="D254" s="55" t="n"/>
      <c r="E254" s="55" t="n"/>
      <c r="F254" s="55" t="n"/>
      <c r="G254" s="55" t="n"/>
    </row>
    <row r="255">
      <c r="A255" s="55" t="n"/>
      <c r="B255" s="55" t="n"/>
      <c r="C255" s="55" t="n"/>
      <c r="D255" s="55" t="n"/>
      <c r="E255" s="55" t="n"/>
      <c r="F255" s="55" t="n"/>
      <c r="G255" s="55" t="n"/>
    </row>
    <row r="256">
      <c r="A256" s="55" t="n"/>
      <c r="B256" s="55" t="n"/>
      <c r="C256" s="55" t="n"/>
      <c r="D256" s="55" t="n"/>
      <c r="E256" s="55" t="n"/>
      <c r="F256" s="55" t="n"/>
      <c r="G256" s="55" t="n"/>
    </row>
    <row r="257">
      <c r="A257" s="55" t="n"/>
      <c r="B257" s="55" t="n"/>
      <c r="C257" s="55" t="n"/>
      <c r="D257" s="55" t="n"/>
      <c r="E257" s="55" t="n"/>
      <c r="F257" s="55" t="n"/>
      <c r="G257" s="55" t="n"/>
    </row>
    <row r="258">
      <c r="A258" s="55" t="n"/>
      <c r="B258" s="55" t="n"/>
      <c r="C258" s="55" t="n"/>
      <c r="D258" s="55" t="n"/>
      <c r="E258" s="55" t="n"/>
      <c r="F258" s="55" t="n"/>
      <c r="G258" s="55" t="n"/>
    </row>
    <row r="259">
      <c r="A259" s="55" t="n"/>
      <c r="B259" s="55" t="n"/>
      <c r="C259" s="55" t="n"/>
      <c r="D259" s="55" t="n"/>
      <c r="E259" s="55" t="n"/>
      <c r="F259" s="55" t="n"/>
      <c r="G259" s="55" t="n"/>
    </row>
    <row r="260">
      <c r="A260" s="55" t="n"/>
      <c r="B260" s="55" t="n"/>
      <c r="C260" s="55" t="n"/>
      <c r="D260" s="55" t="n"/>
      <c r="E260" s="55" t="n"/>
      <c r="F260" s="55" t="n"/>
      <c r="G260" s="55" t="n"/>
    </row>
    <row r="261">
      <c r="A261" s="55" t="n"/>
      <c r="B261" s="55" t="n"/>
      <c r="C261" s="55" t="n"/>
      <c r="D261" s="55" t="n"/>
      <c r="E261" s="55" t="n"/>
      <c r="F261" s="55" t="n"/>
      <c r="G261" s="55" t="n"/>
    </row>
    <row r="262">
      <c r="A262" s="55" t="n"/>
      <c r="B262" s="55" t="n"/>
      <c r="C262" s="55" t="n"/>
      <c r="D262" s="55" t="n"/>
      <c r="E262" s="55" t="n"/>
      <c r="F262" s="55" t="n"/>
      <c r="G262" s="55" t="n"/>
    </row>
    <row r="263">
      <c r="A263" s="55" t="n"/>
      <c r="B263" s="55" t="n"/>
      <c r="C263" s="55" t="n"/>
      <c r="D263" s="55" t="n"/>
      <c r="E263" s="55" t="n"/>
      <c r="F263" s="55" t="n"/>
      <c r="G263" s="55" t="n"/>
    </row>
    <row r="264">
      <c r="A264" s="55" t="n"/>
      <c r="B264" s="55" t="n"/>
      <c r="C264" s="55" t="n"/>
      <c r="D264" s="55" t="n"/>
      <c r="E264" s="55" t="n"/>
      <c r="F264" s="55" t="n"/>
      <c r="G264" s="55" t="n"/>
    </row>
    <row r="265">
      <c r="A265" s="55" t="n"/>
      <c r="B265" s="55" t="n"/>
      <c r="C265" s="55" t="n"/>
      <c r="D265" s="55" t="n"/>
      <c r="E265" s="55" t="n"/>
      <c r="F265" s="55" t="n"/>
      <c r="G265" s="55" t="n"/>
    </row>
    <row r="266">
      <c r="A266" s="55" t="n"/>
      <c r="B266" s="55" t="n"/>
      <c r="C266" s="55" t="n"/>
      <c r="D266" s="55" t="n"/>
      <c r="E266" s="55" t="n"/>
      <c r="F266" s="55" t="n"/>
      <c r="G266" s="55" t="n"/>
    </row>
    <row r="267">
      <c r="A267" s="55" t="n"/>
      <c r="B267" s="55" t="n"/>
      <c r="C267" s="55" t="n"/>
      <c r="D267" s="55" t="n"/>
      <c r="E267" s="55" t="n"/>
      <c r="F267" s="55" t="n"/>
      <c r="G267" s="55" t="n"/>
    </row>
    <row r="268">
      <c r="A268" s="55" t="n"/>
      <c r="B268" s="55" t="n"/>
      <c r="C268" s="55" t="n"/>
      <c r="D268" s="55" t="n"/>
      <c r="E268" s="55" t="n"/>
      <c r="F268" s="55" t="n"/>
      <c r="G268" s="55" t="n"/>
    </row>
    <row r="269">
      <c r="A269" s="55" t="n"/>
      <c r="B269" s="55" t="n"/>
      <c r="C269" s="55" t="n"/>
      <c r="D269" s="55" t="n"/>
      <c r="E269" s="55" t="n"/>
      <c r="F269" s="55" t="n"/>
      <c r="G269" s="55" t="n"/>
    </row>
    <row r="270">
      <c r="A270" s="55" t="n"/>
      <c r="B270" s="55" t="n"/>
      <c r="C270" s="55" t="n"/>
      <c r="D270" s="55" t="n"/>
      <c r="E270" s="55" t="n"/>
      <c r="F270" s="55" t="n"/>
      <c r="G270" s="55" t="n"/>
    </row>
    <row r="271">
      <c r="A271" s="55" t="n"/>
      <c r="B271" s="55" t="n"/>
      <c r="C271" s="55" t="n"/>
      <c r="D271" s="55" t="n"/>
      <c r="E271" s="55" t="n"/>
      <c r="F271" s="55" t="n"/>
      <c r="G271" s="55" t="n"/>
    </row>
    <row r="272">
      <c r="A272" s="55" t="n"/>
      <c r="B272" s="55" t="n"/>
      <c r="C272" s="55" t="n"/>
      <c r="D272" s="55" t="n"/>
      <c r="E272" s="55" t="n"/>
      <c r="F272" s="55" t="n"/>
      <c r="G272" s="55" t="n"/>
    </row>
    <row r="273">
      <c r="A273" s="55" t="n"/>
      <c r="B273" s="55" t="n"/>
      <c r="C273" s="55" t="n"/>
      <c r="D273" s="55" t="n"/>
      <c r="E273" s="55" t="n"/>
      <c r="F273" s="55" t="n"/>
      <c r="G273" s="55" t="n"/>
    </row>
    <row r="274">
      <c r="A274" s="55" t="n"/>
      <c r="B274" s="55" t="n"/>
      <c r="C274" s="55" t="n"/>
      <c r="D274" s="55" t="n"/>
      <c r="E274" s="55" t="n"/>
      <c r="F274" s="55" t="n"/>
      <c r="G274" s="55" t="n"/>
    </row>
    <row r="275">
      <c r="A275" s="55" t="n"/>
      <c r="B275" s="55" t="n"/>
      <c r="C275" s="55" t="n"/>
      <c r="D275" s="55" t="n"/>
      <c r="E275" s="55" t="n"/>
      <c r="F275" s="55" t="n"/>
      <c r="G275" s="55" t="n"/>
    </row>
    <row r="276">
      <c r="A276" s="55" t="n"/>
      <c r="B276" s="55" t="n"/>
      <c r="C276" s="55" t="n"/>
      <c r="D276" s="55" t="n"/>
      <c r="E276" s="55" t="n"/>
      <c r="F276" s="55" t="n"/>
      <c r="G276" s="55" t="n"/>
    </row>
    <row r="277">
      <c r="A277" s="55" t="n"/>
      <c r="B277" s="55" t="n"/>
      <c r="C277" s="55" t="n"/>
      <c r="D277" s="55" t="n"/>
      <c r="E277" s="55" t="n"/>
      <c r="F277" s="55" t="n"/>
      <c r="G277" s="55" t="n"/>
    </row>
    <row r="278">
      <c r="A278" s="55" t="n"/>
      <c r="B278" s="55" t="n"/>
      <c r="C278" s="55" t="n"/>
      <c r="D278" s="55" t="n"/>
      <c r="E278" s="55" t="n"/>
      <c r="F278" s="55" t="n"/>
      <c r="G278" s="55" t="n"/>
    </row>
    <row r="279">
      <c r="A279" s="55" t="n"/>
      <c r="B279" s="55" t="n"/>
      <c r="C279" s="55" t="n"/>
      <c r="D279" s="55" t="n"/>
      <c r="E279" s="55" t="n"/>
      <c r="F279" s="55" t="n"/>
      <c r="G279" s="55" t="n"/>
    </row>
    <row r="280">
      <c r="A280" s="55" t="n"/>
      <c r="B280" s="55" t="n"/>
      <c r="C280" s="55" t="n"/>
      <c r="D280" s="55" t="n"/>
      <c r="E280" s="55" t="n"/>
      <c r="F280" s="55" t="n"/>
      <c r="G280" s="55" t="n"/>
    </row>
    <row r="281">
      <c r="A281" s="55" t="n"/>
      <c r="B281" s="55" t="n"/>
      <c r="C281" s="55" t="n"/>
      <c r="D281" s="55" t="n"/>
      <c r="E281" s="55" t="n"/>
      <c r="F281" s="55" t="n"/>
      <c r="G281" s="55" t="n"/>
    </row>
    <row r="282">
      <c r="A282" s="55" t="n"/>
      <c r="B282" s="55" t="n"/>
      <c r="C282" s="55" t="n"/>
      <c r="D282" s="55" t="n"/>
      <c r="E282" s="55" t="n"/>
      <c r="F282" s="55" t="n"/>
      <c r="G282" s="55" t="n"/>
    </row>
    <row r="283">
      <c r="A283" s="55" t="n"/>
      <c r="B283" s="55" t="n"/>
      <c r="C283" s="55" t="n"/>
      <c r="D283" s="55" t="n"/>
      <c r="E283" s="55" t="n"/>
      <c r="F283" s="55" t="n"/>
      <c r="G283" s="55" t="n"/>
    </row>
    <row r="284">
      <c r="A284" s="55" t="n"/>
      <c r="B284" s="55" t="n"/>
      <c r="C284" s="55" t="n"/>
      <c r="D284" s="55" t="n"/>
      <c r="E284" s="55" t="n"/>
      <c r="F284" s="55" t="n"/>
      <c r="G284" s="55" t="n"/>
    </row>
    <row r="285">
      <c r="A285" s="55" t="n"/>
      <c r="B285" s="55" t="n"/>
      <c r="C285" s="55" t="n"/>
      <c r="D285" s="55" t="n"/>
      <c r="E285" s="55" t="n"/>
      <c r="F285" s="55" t="n"/>
      <c r="G285" s="55" t="n"/>
    </row>
    <row r="286">
      <c r="A286" s="55" t="n"/>
      <c r="B286" s="55" t="n"/>
      <c r="C286" s="55" t="n"/>
      <c r="D286" s="55" t="n"/>
      <c r="E286" s="55" t="n"/>
      <c r="F286" s="55" t="n"/>
      <c r="G286" s="55" t="n"/>
    </row>
    <row r="287">
      <c r="A287" s="55" t="n"/>
      <c r="B287" s="55" t="n"/>
      <c r="C287" s="55" t="n"/>
      <c r="D287" s="55" t="n"/>
      <c r="E287" s="55" t="n"/>
      <c r="F287" s="55" t="n"/>
      <c r="G287" s="55" t="n"/>
    </row>
    <row r="288">
      <c r="A288" s="55" t="n"/>
      <c r="B288" s="55" t="n"/>
      <c r="C288" s="55" t="n"/>
      <c r="D288" s="55" t="n"/>
      <c r="E288" s="55" t="n"/>
      <c r="F288" s="55" t="n"/>
      <c r="G288" s="55" t="n"/>
    </row>
    <row r="289">
      <c r="A289" s="55" t="n"/>
      <c r="B289" s="55" t="n"/>
      <c r="C289" s="55" t="n"/>
      <c r="D289" s="55" t="n"/>
      <c r="E289" s="55" t="n"/>
      <c r="F289" s="55" t="n"/>
      <c r="G289" s="55" t="n"/>
    </row>
    <row r="290">
      <c r="A290" s="55" t="n"/>
      <c r="B290" s="55" t="n"/>
      <c r="C290" s="55" t="n"/>
      <c r="D290" s="55" t="n"/>
      <c r="E290" s="55" t="n"/>
      <c r="F290" s="55" t="n"/>
      <c r="G290" s="55" t="n"/>
    </row>
    <row r="291">
      <c r="A291" s="55" t="n"/>
      <c r="B291" s="55" t="n"/>
      <c r="C291" s="55" t="n"/>
      <c r="D291" s="55" t="n"/>
      <c r="E291" s="55" t="n"/>
      <c r="F291" s="55" t="n"/>
      <c r="G291" s="55" t="n"/>
    </row>
    <row r="292">
      <c r="A292" s="55" t="n"/>
      <c r="B292" s="55" t="n"/>
      <c r="C292" s="55" t="n"/>
      <c r="D292" s="55" t="n"/>
      <c r="E292" s="55" t="n"/>
      <c r="F292" s="55" t="n"/>
      <c r="G292" s="55" t="n"/>
    </row>
    <row r="293">
      <c r="A293" s="55" t="n"/>
      <c r="B293" s="55" t="n"/>
      <c r="C293" s="55" t="n"/>
      <c r="D293" s="55" t="n"/>
      <c r="E293" s="55" t="n"/>
      <c r="F293" s="55" t="n"/>
      <c r="G293" s="55" t="n"/>
    </row>
    <row r="294">
      <c r="A294" s="55" t="n"/>
      <c r="B294" s="55" t="n"/>
      <c r="C294" s="55" t="n"/>
      <c r="D294" s="55" t="n"/>
      <c r="E294" s="55" t="n"/>
      <c r="F294" s="55" t="n"/>
      <c r="G294" s="55" t="n"/>
    </row>
    <row r="295">
      <c r="A295" s="55" t="n"/>
      <c r="B295" s="55" t="n"/>
      <c r="C295" s="55" t="n"/>
      <c r="D295" s="55" t="n"/>
      <c r="E295" s="55" t="n"/>
      <c r="F295" s="55" t="n"/>
      <c r="G295" s="55" t="n"/>
    </row>
    <row r="296">
      <c r="A296" s="55" t="n"/>
      <c r="B296" s="55" t="n"/>
      <c r="C296" s="55" t="n"/>
      <c r="D296" s="55" t="n"/>
      <c r="E296" s="55" t="n"/>
      <c r="F296" s="55" t="n"/>
      <c r="G296" s="55" t="n"/>
    </row>
    <row r="297">
      <c r="A297" s="55" t="n"/>
      <c r="B297" s="55" t="n"/>
      <c r="C297" s="55" t="n"/>
      <c r="D297" s="55" t="n"/>
      <c r="E297" s="55" t="n"/>
      <c r="F297" s="55" t="n"/>
      <c r="G297" s="55" t="n"/>
    </row>
    <row r="298">
      <c r="A298" s="55" t="n"/>
      <c r="B298" s="55" t="n"/>
      <c r="C298" s="55" t="n"/>
      <c r="D298" s="55" t="n"/>
      <c r="E298" s="55" t="n"/>
      <c r="F298" s="55" t="n"/>
      <c r="G298" s="55" t="n"/>
    </row>
    <row r="299">
      <c r="A299" s="55" t="n"/>
      <c r="B299" s="55" t="n"/>
      <c r="C299" s="55" t="n"/>
      <c r="D299" s="55" t="n"/>
      <c r="E299" s="55" t="n"/>
      <c r="F299" s="55" t="n"/>
      <c r="G299" s="55" t="n"/>
    </row>
    <row r="300">
      <c r="A300" s="55" t="n"/>
      <c r="B300" s="55" t="n"/>
      <c r="C300" s="55" t="n"/>
      <c r="D300" s="55" t="n"/>
      <c r="E300" s="55" t="n"/>
      <c r="F300" s="55" t="n"/>
      <c r="G300" s="55" t="n"/>
    </row>
    <row r="301">
      <c r="A301" s="55" t="n"/>
      <c r="B301" s="55" t="n"/>
      <c r="C301" s="55" t="n"/>
      <c r="D301" s="55" t="n"/>
      <c r="E301" s="55" t="n"/>
      <c r="F301" s="55" t="n"/>
      <c r="G301" s="55" t="n"/>
    </row>
    <row r="302">
      <c r="A302" s="55" t="n"/>
      <c r="B302" s="55" t="n"/>
      <c r="C302" s="55" t="n"/>
      <c r="D302" s="55" t="n"/>
      <c r="E302" s="55" t="n"/>
      <c r="F302" s="55" t="n"/>
      <c r="G302" s="55" t="n"/>
    </row>
    <row r="303">
      <c r="A303" s="55" t="n"/>
      <c r="B303" s="55" t="n"/>
      <c r="C303" s="55" t="n"/>
      <c r="D303" s="55" t="n"/>
      <c r="E303" s="55" t="n"/>
      <c r="F303" s="55" t="n"/>
      <c r="G303" s="55" t="n"/>
    </row>
    <row r="304">
      <c r="A304" s="55" t="n"/>
      <c r="B304" s="55" t="n"/>
      <c r="C304" s="55" t="n"/>
      <c r="D304" s="55" t="n"/>
      <c r="E304" s="55" t="n"/>
      <c r="F304" s="55" t="n"/>
      <c r="G304" s="55" t="n"/>
    </row>
    <row r="305">
      <c r="A305" s="55" t="n"/>
      <c r="B305" s="55" t="n"/>
      <c r="C305" s="55" t="n"/>
      <c r="D305" s="55" t="n"/>
      <c r="E305" s="55" t="n"/>
      <c r="F305" s="55" t="n"/>
      <c r="G305" s="55" t="n"/>
    </row>
    <row r="306">
      <c r="A306" s="55" t="n"/>
      <c r="B306" s="55" t="n"/>
      <c r="C306" s="55" t="n"/>
      <c r="D306" s="55" t="n"/>
      <c r="E306" s="55" t="n"/>
      <c r="F306" s="55" t="n"/>
      <c r="G306" s="55" t="n"/>
    </row>
    <row r="307">
      <c r="A307" s="55" t="n"/>
      <c r="B307" s="55" t="n"/>
      <c r="C307" s="55" t="n"/>
      <c r="D307" s="55" t="n"/>
      <c r="E307" s="55" t="n"/>
      <c r="F307" s="55" t="n"/>
      <c r="G307" s="55" t="n"/>
    </row>
    <row r="308">
      <c r="A308" s="55" t="n"/>
      <c r="B308" s="55" t="n"/>
      <c r="C308" s="55" t="n"/>
      <c r="D308" s="55" t="n"/>
      <c r="E308" s="55" t="n"/>
      <c r="F308" s="55" t="n"/>
      <c r="G308" s="55" t="n"/>
    </row>
    <row r="309">
      <c r="A309" s="55" t="n"/>
      <c r="B309" s="55" t="n"/>
      <c r="C309" s="55" t="n"/>
      <c r="D309" s="55" t="n"/>
      <c r="E309" s="55" t="n"/>
      <c r="F309" s="55" t="n"/>
      <c r="G309" s="55" t="n"/>
    </row>
    <row r="310">
      <c r="A310" s="55" t="n"/>
      <c r="B310" s="55" t="n"/>
      <c r="C310" s="55" t="n"/>
      <c r="D310" s="55" t="n"/>
      <c r="E310" s="55" t="n"/>
      <c r="F310" s="55" t="n"/>
      <c r="G310" s="55" t="n"/>
    </row>
    <row r="311">
      <c r="A311" s="55" t="n"/>
      <c r="B311" s="55" t="n"/>
      <c r="C311" s="55" t="n"/>
      <c r="D311" s="55" t="n"/>
      <c r="E311" s="55" t="n"/>
      <c r="F311" s="55" t="n"/>
      <c r="G311" s="55" t="n"/>
    </row>
    <row r="312">
      <c r="A312" s="55" t="n"/>
      <c r="B312" s="55" t="n"/>
      <c r="C312" s="55" t="n"/>
      <c r="D312" s="55" t="n"/>
      <c r="E312" s="55" t="n"/>
      <c r="F312" s="55" t="n"/>
      <c r="G312" s="55" t="n"/>
    </row>
    <row r="313">
      <c r="A313" s="55" t="n"/>
      <c r="B313" s="55" t="n"/>
      <c r="C313" s="55" t="n"/>
      <c r="D313" s="55" t="n"/>
      <c r="E313" s="55" t="n"/>
      <c r="F313" s="55" t="n"/>
      <c r="G313" s="55" t="n"/>
    </row>
    <row r="314">
      <c r="A314" s="55" t="n"/>
      <c r="B314" s="55" t="n"/>
      <c r="C314" s="55" t="n"/>
      <c r="D314" s="55" t="n"/>
      <c r="E314" s="55" t="n"/>
      <c r="F314" s="55" t="n"/>
      <c r="G314" s="55" t="n"/>
    </row>
    <row r="315">
      <c r="A315" s="55" t="n"/>
      <c r="B315" s="55" t="n"/>
      <c r="C315" s="55" t="n"/>
      <c r="D315" s="55" t="n"/>
      <c r="E315" s="55" t="n"/>
      <c r="F315" s="55" t="n"/>
      <c r="G315" s="55" t="n"/>
    </row>
    <row r="316">
      <c r="A316" s="55" t="n"/>
      <c r="B316" s="55" t="n"/>
      <c r="C316" s="55" t="n"/>
      <c r="D316" s="55" t="n"/>
      <c r="E316" s="55" t="n"/>
      <c r="F316" s="55" t="n"/>
      <c r="G316" s="55" t="n"/>
    </row>
    <row r="317">
      <c r="A317" s="55" t="n"/>
      <c r="B317" s="55" t="n"/>
      <c r="C317" s="55" t="n"/>
      <c r="D317" s="55" t="n"/>
      <c r="E317" s="55" t="n"/>
      <c r="F317" s="55" t="n"/>
      <c r="G317" s="55" t="n"/>
    </row>
    <row r="318">
      <c r="A318" s="55" t="n"/>
      <c r="B318" s="55" t="n"/>
      <c r="C318" s="55" t="n"/>
      <c r="D318" s="55" t="n"/>
      <c r="E318" s="55" t="n"/>
      <c r="F318" s="55" t="n"/>
      <c r="G318" s="55" t="n"/>
    </row>
    <row r="319">
      <c r="A319" s="55" t="n"/>
      <c r="B319" s="55" t="n"/>
      <c r="C319" s="55" t="n"/>
      <c r="D319" s="55" t="n"/>
      <c r="E319" s="55" t="n"/>
      <c r="F319" s="55" t="n"/>
      <c r="G319" s="55" t="n"/>
    </row>
    <row r="320">
      <c r="A320" s="55" t="n"/>
      <c r="B320" s="55" t="n"/>
      <c r="C320" s="55" t="n"/>
      <c r="D320" s="55" t="n"/>
      <c r="E320" s="55" t="n"/>
      <c r="F320" s="55" t="n"/>
      <c r="G320" s="55" t="n"/>
    </row>
    <row r="321">
      <c r="A321" s="55" t="n"/>
      <c r="B321" s="55" t="n"/>
      <c r="C321" s="55" t="n"/>
      <c r="D321" s="55" t="n"/>
      <c r="E321" s="55" t="n"/>
      <c r="F321" s="55" t="n"/>
      <c r="G321" s="55" t="n"/>
    </row>
    <row r="322">
      <c r="A322" s="55" t="n"/>
      <c r="B322" s="55" t="n"/>
      <c r="C322" s="55" t="n"/>
      <c r="D322" s="55" t="n"/>
      <c r="E322" s="55" t="n"/>
      <c r="F322" s="55" t="n"/>
      <c r="G322" s="55" t="n"/>
    </row>
    <row r="323">
      <c r="A323" s="55" t="n"/>
      <c r="B323" s="55" t="n"/>
      <c r="C323" s="55" t="n"/>
      <c r="D323" s="55" t="n"/>
      <c r="E323" s="55" t="n"/>
      <c r="F323" s="55" t="n"/>
      <c r="G323" s="55" t="n"/>
    </row>
    <row r="324">
      <c r="A324" s="55" t="n"/>
      <c r="B324" s="55" t="n"/>
      <c r="C324" s="55" t="n"/>
      <c r="D324" s="55" t="n"/>
      <c r="E324" s="55" t="n"/>
      <c r="F324" s="55" t="n"/>
      <c r="G324" s="55" t="n"/>
    </row>
    <row r="325">
      <c r="A325" s="55" t="n"/>
      <c r="B325" s="55" t="n"/>
      <c r="C325" s="55" t="n"/>
      <c r="D325" s="55" t="n"/>
      <c r="E325" s="55" t="n"/>
      <c r="F325" s="55" t="n"/>
      <c r="G325" s="55" t="n"/>
    </row>
    <row r="326">
      <c r="A326" s="55" t="n"/>
      <c r="B326" s="55" t="n"/>
      <c r="C326" s="55" t="n"/>
      <c r="D326" s="55" t="n"/>
      <c r="E326" s="55" t="n"/>
      <c r="F326" s="55" t="n"/>
      <c r="G326" s="55" t="n"/>
    </row>
    <row r="327">
      <c r="A327" s="55" t="n"/>
      <c r="B327" s="55" t="n"/>
      <c r="C327" s="55" t="n"/>
      <c r="D327" s="55" t="n"/>
      <c r="E327" s="55" t="n"/>
      <c r="F327" s="55" t="n"/>
      <c r="G327" s="55" t="n"/>
    </row>
    <row r="328">
      <c r="A328" s="55" t="n"/>
      <c r="B328" s="55" t="n"/>
      <c r="C328" s="55" t="n"/>
      <c r="D328" s="55" t="n"/>
      <c r="E328" s="55" t="n"/>
      <c r="F328" s="55" t="n"/>
      <c r="G328" s="55" t="n"/>
    </row>
    <row r="329">
      <c r="A329" s="55" t="n"/>
      <c r="B329" s="55" t="n"/>
      <c r="C329" s="55" t="n"/>
      <c r="D329" s="55" t="n"/>
      <c r="E329" s="55" t="n"/>
      <c r="F329" s="55" t="n"/>
      <c r="G329" s="55" t="n"/>
    </row>
    <row r="330">
      <c r="A330" s="55" t="n"/>
      <c r="B330" s="55" t="n"/>
      <c r="C330" s="55" t="n"/>
      <c r="D330" s="55" t="n"/>
      <c r="E330" s="55" t="n"/>
      <c r="F330" s="55" t="n"/>
      <c r="G330" s="55" t="n"/>
    </row>
    <row r="331">
      <c r="A331" s="55" t="n"/>
      <c r="B331" s="55" t="n"/>
      <c r="C331" s="55" t="n"/>
      <c r="D331" s="55" t="n"/>
      <c r="E331" s="55" t="n"/>
      <c r="F331" s="55" t="n"/>
      <c r="G331" s="55" t="n"/>
    </row>
    <row r="332">
      <c r="A332" s="55" t="n"/>
      <c r="B332" s="55" t="n"/>
      <c r="C332" s="55" t="n"/>
      <c r="D332" s="55" t="n"/>
      <c r="E332" s="55" t="n"/>
      <c r="F332" s="55" t="n"/>
      <c r="G332" s="55" t="n"/>
    </row>
    <row r="333">
      <c r="A333" s="55" t="n"/>
      <c r="B333" s="55" t="n"/>
      <c r="C333" s="55" t="n"/>
      <c r="D333" s="55" t="n"/>
      <c r="E333" s="55" t="n"/>
      <c r="F333" s="55" t="n"/>
      <c r="G333" s="55" t="n"/>
    </row>
    <row r="334">
      <c r="A334" s="55" t="n"/>
      <c r="B334" s="55" t="n"/>
      <c r="C334" s="55" t="n"/>
      <c r="D334" s="55" t="n"/>
      <c r="E334" s="55" t="n"/>
      <c r="F334" s="55" t="n"/>
      <c r="G334" s="55" t="n"/>
    </row>
    <row r="335">
      <c r="A335" s="55" t="n"/>
      <c r="B335" s="55" t="n"/>
      <c r="C335" s="55" t="n"/>
      <c r="D335" s="55" t="n"/>
      <c r="E335" s="55" t="n"/>
      <c r="F335" s="55" t="n"/>
      <c r="G335" s="55" t="n"/>
    </row>
    <row r="336">
      <c r="A336" s="55" t="n"/>
      <c r="B336" s="55" t="n"/>
      <c r="C336" s="55" t="n"/>
      <c r="D336" s="55" t="n"/>
      <c r="E336" s="55" t="n"/>
      <c r="F336" s="55" t="n"/>
      <c r="G336" s="55" t="n"/>
    </row>
    <row r="337">
      <c r="A337" s="55" t="n"/>
      <c r="B337" s="55" t="n"/>
      <c r="C337" s="55" t="n"/>
      <c r="D337" s="55" t="n"/>
      <c r="E337" s="55" t="n"/>
      <c r="F337" s="55" t="n"/>
      <c r="G337" s="55" t="n"/>
    </row>
    <row r="338">
      <c r="A338" s="55" t="n"/>
      <c r="B338" s="55" t="n"/>
      <c r="C338" s="55" t="n"/>
      <c r="D338" s="55" t="n"/>
      <c r="E338" s="55" t="n"/>
      <c r="F338" s="55" t="n"/>
      <c r="G338" s="55" t="n"/>
    </row>
    <row r="339">
      <c r="A339" s="55" t="n"/>
      <c r="B339" s="55" t="n"/>
      <c r="C339" s="55" t="n"/>
      <c r="D339" s="55" t="n"/>
      <c r="E339" s="55" t="n"/>
      <c r="F339" s="55" t="n"/>
      <c r="G339" s="55" t="n"/>
    </row>
    <row r="340">
      <c r="A340" s="55" t="n"/>
      <c r="B340" s="55" t="n"/>
      <c r="C340" s="55" t="n"/>
      <c r="D340" s="55" t="n"/>
      <c r="E340" s="55" t="n"/>
      <c r="F340" s="55" t="n"/>
      <c r="G340" s="55" t="n"/>
    </row>
    <row r="341">
      <c r="A341" s="55" t="n"/>
      <c r="B341" s="55" t="n"/>
      <c r="C341" s="55" t="n"/>
      <c r="D341" s="55" t="n"/>
      <c r="E341" s="55" t="n"/>
      <c r="F341" s="55" t="n"/>
      <c r="G341" s="55" t="n"/>
    </row>
    <row r="342">
      <c r="A342" s="55" t="n"/>
      <c r="B342" s="55" t="n"/>
      <c r="C342" s="55" t="n"/>
      <c r="D342" s="55" t="n"/>
      <c r="E342" s="55" t="n"/>
      <c r="F342" s="55" t="n"/>
      <c r="G342" s="55" t="n"/>
    </row>
    <row r="343">
      <c r="A343" s="55" t="n"/>
      <c r="B343" s="55" t="n"/>
      <c r="C343" s="55" t="n"/>
      <c r="D343" s="55" t="n"/>
      <c r="E343" s="55" t="n"/>
      <c r="F343" s="55" t="n"/>
      <c r="G343" s="55" t="n"/>
    </row>
    <row r="344">
      <c r="A344" s="55" t="n"/>
      <c r="B344" s="55" t="n"/>
      <c r="C344" s="55" t="n"/>
      <c r="D344" s="55" t="n"/>
      <c r="E344" s="55" t="n"/>
      <c r="F344" s="55" t="n"/>
      <c r="G344" s="55" t="n"/>
    </row>
    <row r="345">
      <c r="A345" s="55" t="n"/>
      <c r="B345" s="55" t="n"/>
      <c r="C345" s="55" t="n"/>
      <c r="D345" s="55" t="n"/>
      <c r="E345" s="55" t="n"/>
      <c r="F345" s="55" t="n"/>
      <c r="G345" s="55" t="n"/>
    </row>
    <row r="346">
      <c r="A346" s="55" t="n"/>
      <c r="B346" s="55" t="n"/>
      <c r="C346" s="55" t="n"/>
      <c r="D346" s="55" t="n"/>
      <c r="E346" s="55" t="n"/>
      <c r="F346" s="55" t="n"/>
      <c r="G346" s="55" t="n"/>
    </row>
    <row r="347">
      <c r="A347" s="55" t="n"/>
      <c r="B347" s="55" t="n"/>
      <c r="C347" s="55" t="n"/>
      <c r="D347" s="55" t="n"/>
      <c r="E347" s="55" t="n"/>
      <c r="F347" s="55" t="n"/>
      <c r="G347" s="55" t="n"/>
    </row>
    <row r="348">
      <c r="A348" s="55" t="n"/>
      <c r="B348" s="55" t="n"/>
      <c r="C348" s="55" t="n"/>
      <c r="D348" s="55" t="n"/>
      <c r="E348" s="55" t="n"/>
      <c r="F348" s="55" t="n"/>
      <c r="G348" s="55" t="n"/>
    </row>
    <row r="349">
      <c r="A349" s="55" t="n"/>
      <c r="B349" s="55" t="n"/>
      <c r="C349" s="55" t="n"/>
      <c r="D349" s="55" t="n"/>
      <c r="E349" s="55" t="n"/>
      <c r="F349" s="55" t="n"/>
      <c r="G349" s="55" t="n"/>
    </row>
    <row r="350">
      <c r="A350" s="55" t="n"/>
      <c r="B350" s="55" t="n"/>
      <c r="C350" s="55" t="n"/>
      <c r="D350" s="55" t="n"/>
      <c r="E350" s="55" t="n"/>
      <c r="F350" s="55" t="n"/>
      <c r="G350" s="55" t="n"/>
    </row>
    <row r="351">
      <c r="A351" s="55" t="n"/>
      <c r="B351" s="55" t="n"/>
      <c r="C351" s="55" t="n"/>
      <c r="D351" s="55" t="n"/>
      <c r="E351" s="55" t="n"/>
      <c r="F351" s="55" t="n"/>
      <c r="G351" s="55" t="n"/>
    </row>
    <row r="352">
      <c r="A352" s="55" t="n"/>
      <c r="B352" s="55" t="n"/>
      <c r="C352" s="55" t="n"/>
      <c r="D352" s="55" t="n"/>
      <c r="E352" s="55" t="n"/>
      <c r="F352" s="55" t="n"/>
      <c r="G352" s="55" t="n"/>
    </row>
    <row r="353">
      <c r="A353" s="55" t="n"/>
      <c r="B353" s="55" t="n"/>
      <c r="C353" s="55" t="n"/>
      <c r="D353" s="55" t="n"/>
      <c r="E353" s="55" t="n"/>
      <c r="F353" s="55" t="n"/>
      <c r="G353" s="55" t="n"/>
    </row>
    <row r="354">
      <c r="A354" s="55" t="n"/>
      <c r="B354" s="55" t="n"/>
      <c r="C354" s="55" t="n"/>
      <c r="D354" s="55" t="n"/>
      <c r="E354" s="55" t="n"/>
      <c r="F354" s="55" t="n"/>
      <c r="G354" s="55" t="n"/>
    </row>
    <row r="355">
      <c r="A355" s="55" t="n"/>
      <c r="B355" s="55" t="n"/>
      <c r="C355" s="55" t="n"/>
      <c r="D355" s="55" t="n"/>
      <c r="E355" s="55" t="n"/>
      <c r="F355" s="55" t="n"/>
      <c r="G355" s="55" t="n"/>
    </row>
    <row r="356">
      <c r="A356" s="55" t="n"/>
      <c r="B356" s="55" t="n"/>
      <c r="C356" s="55" t="n"/>
      <c r="D356" s="55" t="n"/>
      <c r="E356" s="55" t="n"/>
      <c r="F356" s="55" t="n"/>
      <c r="G356" s="55" t="n"/>
    </row>
    <row r="357">
      <c r="A357" s="55" t="n"/>
      <c r="B357" s="55" t="n"/>
      <c r="C357" s="55" t="n"/>
      <c r="D357" s="55" t="n"/>
      <c r="E357" s="55" t="n"/>
      <c r="F357" s="55" t="n"/>
      <c r="G357" s="55" t="n"/>
    </row>
    <row r="358">
      <c r="A358" s="55" t="n"/>
      <c r="B358" s="55" t="n"/>
      <c r="C358" s="55" t="n"/>
      <c r="D358" s="55" t="n"/>
      <c r="E358" s="55" t="n"/>
      <c r="F358" s="55" t="n"/>
      <c r="G358" s="55" t="n"/>
    </row>
    <row r="359">
      <c r="A359" s="55" t="n"/>
      <c r="B359" s="55" t="n"/>
      <c r="C359" s="55" t="n"/>
      <c r="D359" s="55" t="n"/>
      <c r="E359" s="55" t="n"/>
      <c r="F359" s="55" t="n"/>
      <c r="G359" s="55" t="n"/>
    </row>
    <row r="360">
      <c r="A360" s="55" t="n"/>
      <c r="B360" s="55" t="n"/>
      <c r="C360" s="55" t="n"/>
      <c r="D360" s="55" t="n"/>
      <c r="E360" s="55" t="n"/>
      <c r="F360" s="55" t="n"/>
      <c r="G360" s="55" t="n"/>
    </row>
    <row r="361">
      <c r="A361" s="55" t="n"/>
      <c r="B361" s="55" t="n"/>
      <c r="C361" s="55" t="n"/>
      <c r="D361" s="55" t="n"/>
      <c r="E361" s="55" t="n"/>
      <c r="F361" s="55" t="n"/>
      <c r="G361" s="55" t="n"/>
    </row>
    <row r="362">
      <c r="A362" s="55" t="n"/>
      <c r="B362" s="55" t="n"/>
      <c r="C362" s="55" t="n"/>
      <c r="D362" s="55" t="n"/>
      <c r="E362" s="55" t="n"/>
      <c r="F362" s="55" t="n"/>
      <c r="G362" s="55" t="n"/>
    </row>
    <row r="363">
      <c r="A363" s="55" t="n"/>
      <c r="B363" s="55" t="n"/>
      <c r="C363" s="55" t="n"/>
      <c r="D363" s="55" t="n"/>
      <c r="E363" s="55" t="n"/>
      <c r="F363" s="55" t="n"/>
      <c r="G363" s="55" t="n"/>
    </row>
    <row r="364">
      <c r="A364" s="55" t="n"/>
      <c r="B364" s="55" t="n"/>
      <c r="C364" s="55" t="n"/>
      <c r="D364" s="55" t="n"/>
      <c r="E364" s="55" t="n"/>
      <c r="F364" s="55" t="n"/>
      <c r="G364" s="55" t="n"/>
    </row>
    <row r="365">
      <c r="A365" s="55" t="n"/>
      <c r="B365" s="55" t="n"/>
      <c r="C365" s="55" t="n"/>
      <c r="D365" s="55" t="n"/>
      <c r="E365" s="55" t="n"/>
      <c r="F365" s="55" t="n"/>
      <c r="G365" s="55" t="n"/>
    </row>
    <row r="366">
      <c r="A366" s="55" t="n"/>
      <c r="B366" s="55" t="n"/>
      <c r="C366" s="55" t="n"/>
      <c r="D366" s="55" t="n"/>
      <c r="E366" s="55" t="n"/>
      <c r="F366" s="55" t="n"/>
      <c r="G366" s="55" t="n"/>
    </row>
    <row r="367">
      <c r="A367" s="55" t="n"/>
      <c r="B367" s="55" t="n"/>
      <c r="C367" s="55" t="n"/>
      <c r="D367" s="55" t="n"/>
      <c r="E367" s="55" t="n"/>
      <c r="F367" s="55" t="n"/>
      <c r="G367" s="55" t="n"/>
    </row>
    <row r="368">
      <c r="A368" s="55" t="n"/>
      <c r="B368" s="55" t="n"/>
      <c r="C368" s="55" t="n"/>
      <c r="D368" s="55" t="n"/>
      <c r="E368" s="55" t="n"/>
      <c r="F368" s="55" t="n"/>
      <c r="G368" s="55" t="n"/>
    </row>
    <row r="369">
      <c r="A369" s="55" t="n"/>
      <c r="B369" s="55" t="n"/>
      <c r="C369" s="55" t="n"/>
      <c r="D369" s="55" t="n"/>
      <c r="E369" s="55" t="n"/>
      <c r="F369" s="55" t="n"/>
      <c r="G369" s="55" t="n"/>
    </row>
    <row r="370">
      <c r="A370" s="55" t="n"/>
      <c r="B370" s="55" t="n"/>
      <c r="C370" s="55" t="n"/>
      <c r="D370" s="55" t="n"/>
      <c r="E370" s="55" t="n"/>
      <c r="F370" s="55" t="n"/>
      <c r="G370" s="55" t="n"/>
    </row>
    <row r="371">
      <c r="A371" s="55" t="n"/>
      <c r="B371" s="55" t="n"/>
      <c r="C371" s="55" t="n"/>
      <c r="D371" s="55" t="n"/>
      <c r="E371" s="55" t="n"/>
      <c r="F371" s="55" t="n"/>
      <c r="G371" s="55" t="n"/>
    </row>
    <row r="372">
      <c r="A372" s="55" t="n"/>
      <c r="B372" s="55" t="n"/>
      <c r="C372" s="55" t="n"/>
      <c r="D372" s="55" t="n"/>
      <c r="E372" s="55" t="n"/>
      <c r="F372" s="55" t="n"/>
      <c r="G372" s="55" t="n"/>
    </row>
    <row r="373">
      <c r="A373" s="55" t="n"/>
      <c r="B373" s="55" t="n"/>
      <c r="C373" s="55" t="n"/>
      <c r="D373" s="55" t="n"/>
      <c r="E373" s="55" t="n"/>
      <c r="F373" s="55" t="n"/>
      <c r="G373" s="55" t="n"/>
    </row>
    <row r="374">
      <c r="A374" s="55" t="n"/>
      <c r="B374" s="55" t="n"/>
      <c r="C374" s="55" t="n"/>
      <c r="D374" s="55" t="n"/>
      <c r="E374" s="55" t="n"/>
      <c r="F374" s="55" t="n"/>
      <c r="G374" s="55" t="n"/>
    </row>
    <row r="375">
      <c r="A375" s="55" t="n"/>
      <c r="B375" s="55" t="n"/>
      <c r="C375" s="55" t="n"/>
      <c r="D375" s="55" t="n"/>
      <c r="E375" s="55" t="n"/>
      <c r="F375" s="55" t="n"/>
      <c r="G375" s="55" t="n"/>
    </row>
    <row r="376">
      <c r="A376" s="55" t="n"/>
      <c r="B376" s="55" t="n"/>
      <c r="C376" s="55" t="n"/>
      <c r="D376" s="55" t="n"/>
      <c r="E376" s="55" t="n"/>
      <c r="F376" s="55" t="n"/>
      <c r="G376" s="55" t="n"/>
    </row>
    <row r="377">
      <c r="A377" s="55" t="n"/>
      <c r="B377" s="55" t="n"/>
      <c r="C377" s="55" t="n"/>
      <c r="D377" s="55" t="n"/>
      <c r="E377" s="55" t="n"/>
      <c r="F377" s="55" t="n"/>
      <c r="G377" s="55" t="n"/>
    </row>
    <row r="378">
      <c r="A378" s="55" t="n"/>
      <c r="B378" s="55" t="n"/>
      <c r="C378" s="55" t="n"/>
      <c r="D378" s="55" t="n"/>
      <c r="E378" s="55" t="n"/>
      <c r="F378" s="55" t="n"/>
      <c r="G378" s="55" t="n"/>
    </row>
    <row r="379">
      <c r="A379" s="55" t="n"/>
      <c r="B379" s="55" t="n"/>
      <c r="C379" s="55" t="n"/>
      <c r="D379" s="55" t="n"/>
      <c r="E379" s="55" t="n"/>
      <c r="F379" s="55" t="n"/>
      <c r="G379" s="55" t="n"/>
    </row>
    <row r="380">
      <c r="A380" s="55" t="n"/>
      <c r="B380" s="55" t="n"/>
      <c r="C380" s="55" t="n"/>
      <c r="D380" s="55" t="n"/>
      <c r="E380" s="55" t="n"/>
      <c r="F380" s="55" t="n"/>
      <c r="G380" s="55" t="n"/>
    </row>
    <row r="381">
      <c r="A381" s="55" t="n"/>
      <c r="B381" s="55" t="n"/>
      <c r="C381" s="55" t="n"/>
      <c r="D381" s="55" t="n"/>
      <c r="E381" s="55" t="n"/>
      <c r="F381" s="55" t="n"/>
      <c r="G381" s="55" t="n"/>
    </row>
    <row r="382">
      <c r="A382" s="55" t="n"/>
      <c r="B382" s="55" t="n"/>
      <c r="C382" s="55" t="n"/>
      <c r="D382" s="55" t="n"/>
      <c r="E382" s="55" t="n"/>
      <c r="F382" s="55" t="n"/>
      <c r="G382" s="55" t="n"/>
    </row>
    <row r="383">
      <c r="A383" s="55" t="n"/>
      <c r="B383" s="55" t="n"/>
      <c r="C383" s="55" t="n"/>
      <c r="D383" s="55" t="n"/>
      <c r="E383" s="55" t="n"/>
      <c r="F383" s="55" t="n"/>
      <c r="G383" s="55" t="n"/>
    </row>
    <row r="384">
      <c r="A384" s="55" t="n"/>
      <c r="B384" s="55" t="n"/>
      <c r="C384" s="55" t="n"/>
      <c r="D384" s="55" t="n"/>
      <c r="E384" s="55" t="n"/>
      <c r="F384" s="55" t="n"/>
      <c r="G384" s="55" t="n"/>
    </row>
    <row r="385">
      <c r="A385" s="55" t="n"/>
      <c r="B385" s="55" t="n"/>
      <c r="C385" s="55" t="n"/>
      <c r="D385" s="55" t="n"/>
      <c r="E385" s="55" t="n"/>
      <c r="F385" s="55" t="n"/>
      <c r="G385" s="55" t="n"/>
    </row>
    <row r="386">
      <c r="A386" s="55" t="n"/>
      <c r="B386" s="55" t="n"/>
      <c r="C386" s="55" t="n"/>
      <c r="D386" s="55" t="n"/>
      <c r="E386" s="55" t="n"/>
      <c r="F386" s="55" t="n"/>
      <c r="G386" s="55" t="n"/>
    </row>
    <row r="387">
      <c r="A387" s="55" t="n"/>
      <c r="B387" s="55" t="n"/>
      <c r="C387" s="55" t="n"/>
      <c r="D387" s="55" t="n"/>
      <c r="E387" s="55" t="n"/>
      <c r="F387" s="55" t="n"/>
      <c r="G387" s="55" t="n"/>
    </row>
    <row r="388">
      <c r="A388" s="55" t="n"/>
      <c r="B388" s="55" t="n"/>
      <c r="C388" s="55" t="n"/>
      <c r="D388" s="55" t="n"/>
      <c r="E388" s="55" t="n"/>
      <c r="F388" s="55" t="n"/>
      <c r="G388" s="55" t="n"/>
    </row>
    <row r="389">
      <c r="A389" s="55" t="n"/>
      <c r="B389" s="55" t="n"/>
      <c r="C389" s="55" t="n"/>
      <c r="D389" s="55" t="n"/>
      <c r="E389" s="55" t="n"/>
      <c r="F389" s="55" t="n"/>
      <c r="G389" s="55" t="n"/>
    </row>
    <row r="390">
      <c r="A390" s="55" t="n"/>
      <c r="B390" s="55" t="n"/>
      <c r="C390" s="55" t="n"/>
      <c r="D390" s="55" t="n"/>
      <c r="E390" s="55" t="n"/>
      <c r="F390" s="55" t="n"/>
      <c r="G390" s="55" t="n"/>
    </row>
    <row r="391">
      <c r="A391" s="55" t="n"/>
      <c r="B391" s="55" t="n"/>
      <c r="C391" s="55" t="n"/>
      <c r="D391" s="55" t="n"/>
      <c r="E391" s="55" t="n"/>
      <c r="F391" s="55" t="n"/>
      <c r="G391" s="55" t="n"/>
    </row>
    <row r="392">
      <c r="A392" s="55" t="n"/>
      <c r="B392" s="55" t="n"/>
      <c r="C392" s="55" t="n"/>
      <c r="D392" s="55" t="n"/>
      <c r="E392" s="55" t="n"/>
      <c r="F392" s="55" t="n"/>
      <c r="G392" s="55" t="n"/>
    </row>
    <row r="393">
      <c r="A393" s="55" t="n"/>
      <c r="B393" s="55" t="n"/>
      <c r="C393" s="55" t="n"/>
      <c r="D393" s="55" t="n"/>
      <c r="E393" s="55" t="n"/>
      <c r="F393" s="55" t="n"/>
      <c r="G393" s="55" t="n"/>
    </row>
    <row r="394">
      <c r="A394" s="55" t="n"/>
      <c r="B394" s="55" t="n"/>
      <c r="C394" s="55" t="n"/>
      <c r="D394" s="55" t="n"/>
      <c r="E394" s="55" t="n"/>
      <c r="F394" s="55" t="n"/>
      <c r="G394" s="55" t="n"/>
    </row>
    <row r="395">
      <c r="A395" s="55" t="n"/>
      <c r="B395" s="55" t="n"/>
      <c r="C395" s="55" t="n"/>
      <c r="D395" s="55" t="n"/>
      <c r="E395" s="55" t="n"/>
      <c r="F395" s="55" t="n"/>
      <c r="G395" s="55" t="n"/>
    </row>
    <row r="396">
      <c r="A396" s="55" t="n"/>
      <c r="B396" s="55" t="n"/>
      <c r="C396" s="55" t="n"/>
      <c r="D396" s="55" t="n"/>
      <c r="E396" s="55" t="n"/>
      <c r="F396" s="55" t="n"/>
      <c r="G396" s="55" t="n"/>
    </row>
    <row r="397">
      <c r="A397" s="55" t="n"/>
      <c r="B397" s="55" t="n"/>
      <c r="C397" s="55" t="n"/>
      <c r="D397" s="55" t="n"/>
      <c r="E397" s="55" t="n"/>
      <c r="F397" s="55" t="n"/>
      <c r="G397" s="55" t="n"/>
    </row>
    <row r="398">
      <c r="A398" s="55" t="n"/>
      <c r="B398" s="55" t="n"/>
      <c r="C398" s="55" t="n"/>
      <c r="D398" s="55" t="n"/>
      <c r="E398" s="55" t="n"/>
      <c r="F398" s="55" t="n"/>
      <c r="G398" s="55" t="n"/>
    </row>
    <row r="399">
      <c r="A399" s="55" t="n"/>
      <c r="B399" s="55" t="n"/>
      <c r="C399" s="55" t="n"/>
      <c r="D399" s="55" t="n"/>
      <c r="E399" s="55" t="n"/>
      <c r="F399" s="55" t="n"/>
      <c r="G399" s="55" t="n"/>
    </row>
    <row r="400">
      <c r="A400" s="55" t="n"/>
      <c r="B400" s="55" t="n"/>
      <c r="C400" s="55" t="n"/>
      <c r="D400" s="55" t="n"/>
      <c r="E400" s="55" t="n"/>
      <c r="F400" s="55" t="n"/>
      <c r="G400" s="55" t="n"/>
    </row>
    <row r="401">
      <c r="A401" s="55" t="n"/>
      <c r="B401" s="55" t="n"/>
      <c r="C401" s="55" t="n"/>
      <c r="D401" s="55" t="n"/>
      <c r="E401" s="55" t="n"/>
      <c r="F401" s="55" t="n"/>
      <c r="G401" s="55" t="n"/>
    </row>
    <row r="402">
      <c r="A402" s="55" t="n"/>
      <c r="B402" s="55" t="n"/>
      <c r="C402" s="55" t="n"/>
      <c r="D402" s="55" t="n"/>
      <c r="E402" s="55" t="n"/>
      <c r="F402" s="55" t="n"/>
      <c r="G402" s="55" t="n"/>
    </row>
    <row r="403">
      <c r="A403" s="55" t="n"/>
      <c r="B403" s="55" t="n"/>
      <c r="C403" s="55" t="n"/>
      <c r="D403" s="55" t="n"/>
      <c r="E403" s="55" t="n"/>
      <c r="F403" s="55" t="n"/>
      <c r="G403" s="55" t="n"/>
    </row>
    <row r="404">
      <c r="A404" s="55" t="n"/>
      <c r="B404" s="55" t="n"/>
      <c r="C404" s="55" t="n"/>
      <c r="D404" s="55" t="n"/>
      <c r="E404" s="55" t="n"/>
      <c r="F404" s="55" t="n"/>
      <c r="G404" s="55" t="n"/>
    </row>
    <row r="405">
      <c r="A405" s="55" t="n"/>
      <c r="B405" s="55" t="n"/>
      <c r="C405" s="55" t="n"/>
      <c r="D405" s="55" t="n"/>
      <c r="E405" s="55" t="n"/>
      <c r="F405" s="55" t="n"/>
      <c r="G405" s="55" t="n"/>
    </row>
    <row r="406">
      <c r="A406" s="55" t="n"/>
      <c r="B406" s="55" t="n"/>
      <c r="C406" s="55" t="n"/>
      <c r="D406" s="55" t="n"/>
      <c r="E406" s="55" t="n"/>
      <c r="F406" s="55" t="n"/>
      <c r="G406" s="55" t="n"/>
    </row>
    <row r="407">
      <c r="A407" s="55" t="n"/>
      <c r="B407" s="55" t="n"/>
      <c r="C407" s="55" t="n"/>
      <c r="D407" s="55" t="n"/>
      <c r="E407" s="55" t="n"/>
      <c r="F407" s="55" t="n"/>
      <c r="G407" s="55" t="n"/>
    </row>
    <row r="408">
      <c r="A408" s="55" t="n"/>
      <c r="B408" s="55" t="n"/>
      <c r="C408" s="55" t="n"/>
      <c r="D408" s="55" t="n"/>
      <c r="E408" s="55" t="n"/>
      <c r="F408" s="55" t="n"/>
      <c r="G408" s="55" t="n"/>
    </row>
    <row r="409">
      <c r="A409" s="55" t="n"/>
      <c r="B409" s="55" t="n"/>
      <c r="C409" s="55" t="n"/>
      <c r="D409" s="55" t="n"/>
      <c r="E409" s="55" t="n"/>
      <c r="F409" s="55" t="n"/>
      <c r="G409" s="55" t="n"/>
    </row>
    <row r="410">
      <c r="A410" s="55" t="n"/>
      <c r="B410" s="55" t="n"/>
      <c r="C410" s="55" t="n"/>
      <c r="D410" s="55" t="n"/>
      <c r="E410" s="55" t="n"/>
      <c r="F410" s="55" t="n"/>
      <c r="G410" s="55" t="n"/>
    </row>
    <row r="411">
      <c r="A411" s="55" t="n"/>
      <c r="B411" s="55" t="n"/>
      <c r="C411" s="55" t="n"/>
      <c r="D411" s="55" t="n"/>
      <c r="E411" s="55" t="n"/>
      <c r="F411" s="55" t="n"/>
      <c r="G411" s="55" t="n"/>
    </row>
    <row r="412">
      <c r="A412" s="55" t="n"/>
      <c r="B412" s="55" t="n"/>
      <c r="C412" s="55" t="n"/>
      <c r="D412" s="55" t="n"/>
      <c r="E412" s="55" t="n"/>
      <c r="F412" s="55" t="n"/>
      <c r="G412" s="55" t="n"/>
    </row>
    <row r="413">
      <c r="A413" s="55" t="n"/>
      <c r="B413" s="55" t="n"/>
      <c r="C413" s="55" t="n"/>
      <c r="D413" s="55" t="n"/>
      <c r="E413" s="55" t="n"/>
      <c r="F413" s="55" t="n"/>
      <c r="G413" s="55" t="n"/>
    </row>
    <row r="414">
      <c r="A414" s="55" t="n"/>
      <c r="B414" s="55" t="n"/>
      <c r="C414" s="55" t="n"/>
      <c r="D414" s="55" t="n"/>
      <c r="E414" s="55" t="n"/>
      <c r="F414" s="55" t="n"/>
      <c r="G414" s="55" t="n"/>
    </row>
    <row r="415">
      <c r="A415" s="55" t="n"/>
      <c r="B415" s="55" t="n"/>
      <c r="C415" s="55" t="n"/>
      <c r="D415" s="55" t="n"/>
      <c r="E415" s="55" t="n"/>
      <c r="F415" s="55" t="n"/>
      <c r="G415" s="55" t="n"/>
    </row>
    <row r="416">
      <c r="A416" s="55" t="n"/>
      <c r="B416" s="55" t="n"/>
      <c r="C416" s="55" t="n"/>
      <c r="D416" s="55" t="n"/>
      <c r="E416" s="55" t="n"/>
      <c r="F416" s="55" t="n"/>
      <c r="G416" s="55" t="n"/>
    </row>
    <row r="417">
      <c r="A417" s="55" t="n"/>
      <c r="B417" s="55" t="n"/>
      <c r="C417" s="55" t="n"/>
      <c r="D417" s="55" t="n"/>
      <c r="E417" s="55" t="n"/>
      <c r="F417" s="55" t="n"/>
      <c r="G417" s="55" t="n"/>
    </row>
    <row r="418">
      <c r="A418" s="55" t="n"/>
      <c r="B418" s="55" t="n"/>
      <c r="C418" s="55" t="n"/>
      <c r="D418" s="55" t="n"/>
      <c r="E418" s="55" t="n"/>
      <c r="F418" s="55" t="n"/>
      <c r="G418" s="55" t="n"/>
    </row>
    <row r="419">
      <c r="A419" s="55" t="n"/>
      <c r="B419" s="55" t="n"/>
      <c r="C419" s="55" t="n"/>
      <c r="D419" s="55" t="n"/>
      <c r="E419" s="55" t="n"/>
      <c r="F419" s="55" t="n"/>
      <c r="G419" s="55" t="n"/>
    </row>
    <row r="420">
      <c r="A420" s="55" t="n"/>
      <c r="B420" s="55" t="n"/>
      <c r="C420" s="55" t="n"/>
      <c r="D420" s="55" t="n"/>
      <c r="E420" s="55" t="n"/>
      <c r="F420" s="55" t="n"/>
      <c r="G420" s="55" t="n"/>
    </row>
    <row r="421">
      <c r="A421" s="55" t="n"/>
      <c r="B421" s="55" t="n"/>
      <c r="C421" s="55" t="n"/>
      <c r="D421" s="55" t="n"/>
      <c r="E421" s="55" t="n"/>
      <c r="F421" s="55" t="n"/>
      <c r="G421" s="55" t="n"/>
    </row>
    <row r="422">
      <c r="A422" s="55" t="n"/>
      <c r="B422" s="55" t="n"/>
      <c r="C422" s="55" t="n"/>
      <c r="D422" s="55" t="n"/>
      <c r="E422" s="55" t="n"/>
      <c r="F422" s="55" t="n"/>
      <c r="G422" s="55" t="n"/>
    </row>
    <row r="423">
      <c r="A423" s="55" t="n"/>
      <c r="B423" s="55" t="n"/>
      <c r="C423" s="55" t="n"/>
      <c r="D423" s="55" t="n"/>
      <c r="E423" s="55" t="n"/>
      <c r="F423" s="55" t="n"/>
      <c r="G423" s="55" t="n"/>
    </row>
    <row r="424">
      <c r="A424" s="55" t="n"/>
      <c r="B424" s="55" t="n"/>
      <c r="C424" s="55" t="n"/>
      <c r="D424" s="55" t="n"/>
      <c r="E424" s="55" t="n"/>
      <c r="F424" s="55" t="n"/>
      <c r="G424" s="55" t="n"/>
    </row>
    <row r="425">
      <c r="A425" s="55" t="n"/>
      <c r="B425" s="55" t="n"/>
      <c r="C425" s="55" t="n"/>
      <c r="D425" s="55" t="n"/>
      <c r="E425" s="55" t="n"/>
      <c r="F425" s="55" t="n"/>
      <c r="G425" s="55" t="n"/>
    </row>
    <row r="426">
      <c r="A426" s="55" t="n"/>
      <c r="B426" s="55" t="n"/>
      <c r="C426" s="55" t="n"/>
      <c r="D426" s="55" t="n"/>
      <c r="E426" s="55" t="n"/>
      <c r="F426" s="55" t="n"/>
      <c r="G426" s="55" t="n"/>
    </row>
    <row r="427">
      <c r="A427" s="55" t="n"/>
      <c r="B427" s="55" t="n"/>
      <c r="C427" s="55" t="n"/>
      <c r="D427" s="55" t="n"/>
      <c r="E427" s="55" t="n"/>
      <c r="F427" s="55" t="n"/>
      <c r="G427" s="55" t="n"/>
    </row>
    <row r="428">
      <c r="A428" s="55" t="n"/>
      <c r="B428" s="55" t="n"/>
      <c r="C428" s="55" t="n"/>
      <c r="D428" s="55" t="n"/>
      <c r="E428" s="55" t="n"/>
      <c r="F428" s="55" t="n"/>
      <c r="G428" s="55" t="n"/>
    </row>
    <row r="429">
      <c r="A429" s="55" t="n"/>
      <c r="B429" s="55" t="n"/>
      <c r="C429" s="55" t="n"/>
      <c r="D429" s="55" t="n"/>
      <c r="E429" s="55" t="n"/>
      <c r="F429" s="55" t="n"/>
      <c r="G429" s="55" t="n"/>
    </row>
    <row r="430">
      <c r="A430" s="55" t="n"/>
      <c r="B430" s="55" t="n"/>
      <c r="C430" s="55" t="n"/>
      <c r="D430" s="55" t="n"/>
      <c r="E430" s="55" t="n"/>
      <c r="F430" s="55" t="n"/>
      <c r="G430" s="55" t="n"/>
    </row>
    <row r="431">
      <c r="A431" s="55" t="n"/>
      <c r="B431" s="55" t="n"/>
      <c r="C431" s="55" t="n"/>
      <c r="D431" s="55" t="n"/>
      <c r="E431" s="55" t="n"/>
      <c r="F431" s="55" t="n"/>
      <c r="G431" s="55" t="n"/>
    </row>
    <row r="432">
      <c r="A432" s="55" t="n"/>
      <c r="B432" s="55" t="n"/>
      <c r="C432" s="55" t="n"/>
      <c r="D432" s="55" t="n"/>
      <c r="E432" s="55" t="n"/>
      <c r="F432" s="55" t="n"/>
      <c r="G432" s="55" t="n"/>
    </row>
    <row r="433">
      <c r="A433" s="55" t="n"/>
      <c r="B433" s="55" t="n"/>
      <c r="C433" s="55" t="n"/>
      <c r="D433" s="55" t="n"/>
      <c r="E433" s="55" t="n"/>
      <c r="F433" s="55" t="n"/>
      <c r="G433" s="55" t="n"/>
    </row>
    <row r="434">
      <c r="A434" s="55" t="n"/>
      <c r="B434" s="55" t="n"/>
      <c r="C434" s="55" t="n"/>
      <c r="D434" s="55" t="n"/>
      <c r="E434" s="55" t="n"/>
      <c r="F434" s="55" t="n"/>
      <c r="G434" s="55" t="n"/>
    </row>
    <row r="435">
      <c r="A435" s="55" t="n"/>
      <c r="B435" s="55" t="n"/>
      <c r="C435" s="55" t="n"/>
      <c r="D435" s="55" t="n"/>
      <c r="E435" s="55" t="n"/>
      <c r="F435" s="55" t="n"/>
      <c r="G435" s="55" t="n"/>
    </row>
    <row r="436">
      <c r="A436" s="55" t="n"/>
      <c r="B436" s="55" t="n"/>
      <c r="C436" s="55" t="n"/>
      <c r="D436" s="55" t="n"/>
      <c r="E436" s="55" t="n"/>
      <c r="F436" s="55" t="n"/>
      <c r="G436" s="55" t="n"/>
    </row>
    <row r="437">
      <c r="A437" s="55" t="n"/>
      <c r="B437" s="55" t="n"/>
      <c r="C437" s="55" t="n"/>
      <c r="D437" s="55" t="n"/>
      <c r="E437" s="55" t="n"/>
      <c r="F437" s="55" t="n"/>
      <c r="G437" s="55" t="n"/>
    </row>
    <row r="438">
      <c r="A438" s="55" t="n"/>
      <c r="B438" s="55" t="n"/>
      <c r="C438" s="55" t="n"/>
      <c r="D438" s="55" t="n"/>
      <c r="E438" s="55" t="n"/>
      <c r="F438" s="55" t="n"/>
      <c r="G438" s="55" t="n"/>
    </row>
    <row r="439">
      <c r="A439" s="55" t="n"/>
      <c r="B439" s="55" t="n"/>
      <c r="C439" s="55" t="n"/>
      <c r="D439" s="55" t="n"/>
      <c r="E439" s="55" t="n"/>
      <c r="F439" s="55" t="n"/>
      <c r="G439" s="55" t="n"/>
    </row>
    <row r="440">
      <c r="A440" s="55" t="n"/>
      <c r="B440" s="55" t="n"/>
      <c r="C440" s="55" t="n"/>
      <c r="D440" s="55" t="n"/>
      <c r="E440" s="55" t="n"/>
      <c r="F440" s="55" t="n"/>
      <c r="G440" s="55" t="n"/>
    </row>
    <row r="441">
      <c r="A441" s="55" t="n"/>
      <c r="B441" s="55" t="n"/>
      <c r="C441" s="55" t="n"/>
      <c r="D441" s="55" t="n"/>
      <c r="E441" s="55" t="n"/>
      <c r="F441" s="55" t="n"/>
      <c r="G441" s="55" t="n"/>
    </row>
    <row r="442">
      <c r="A442" s="55" t="n"/>
      <c r="B442" s="55" t="n"/>
      <c r="C442" s="55" t="n"/>
      <c r="D442" s="55" t="n"/>
      <c r="E442" s="55" t="n"/>
      <c r="F442" s="55" t="n"/>
      <c r="G442" s="55" t="n"/>
    </row>
    <row r="443">
      <c r="A443" s="55" t="n"/>
      <c r="B443" s="55" t="n"/>
      <c r="C443" s="55" t="n"/>
      <c r="D443" s="55" t="n"/>
      <c r="E443" s="55" t="n"/>
      <c r="F443" s="55" t="n"/>
      <c r="G443" s="55" t="n"/>
    </row>
    <row r="444">
      <c r="A444" s="55" t="n"/>
      <c r="B444" s="55" t="n"/>
      <c r="C444" s="55" t="n"/>
      <c r="D444" s="55" t="n"/>
      <c r="E444" s="55" t="n"/>
      <c r="F444" s="55" t="n"/>
      <c r="G444" s="55" t="n"/>
    </row>
    <row r="445">
      <c r="A445" s="55" t="n"/>
      <c r="B445" s="55" t="n"/>
      <c r="C445" s="55" t="n"/>
      <c r="D445" s="55" t="n"/>
      <c r="E445" s="55" t="n"/>
      <c r="F445" s="55" t="n"/>
      <c r="G445" s="55" t="n"/>
    </row>
    <row r="446">
      <c r="A446" s="55" t="n"/>
      <c r="B446" s="55" t="n"/>
      <c r="C446" s="55" t="n"/>
      <c r="D446" s="55" t="n"/>
      <c r="E446" s="55" t="n"/>
      <c r="F446" s="55" t="n"/>
      <c r="G446" s="55" t="n"/>
    </row>
    <row r="447">
      <c r="A447" s="55" t="n"/>
      <c r="B447" s="55" t="n"/>
      <c r="C447" s="55" t="n"/>
      <c r="D447" s="55" t="n"/>
      <c r="E447" s="55" t="n"/>
      <c r="F447" s="55" t="n"/>
      <c r="G447" s="55" t="n"/>
    </row>
    <row r="448">
      <c r="A448" s="55" t="n"/>
      <c r="B448" s="55" t="n"/>
      <c r="C448" s="55" t="n"/>
      <c r="D448" s="55" t="n"/>
      <c r="E448" s="55" t="n"/>
      <c r="F448" s="55" t="n"/>
      <c r="G448" s="55" t="n"/>
    </row>
    <row r="449">
      <c r="A449" s="55" t="n"/>
      <c r="B449" s="55" t="n"/>
      <c r="C449" s="55" t="n"/>
      <c r="D449" s="55" t="n"/>
      <c r="E449" s="55" t="n"/>
      <c r="F449" s="55" t="n"/>
      <c r="G449" s="55" t="n"/>
    </row>
    <row r="450">
      <c r="A450" s="55" t="n"/>
      <c r="B450" s="55" t="n"/>
      <c r="C450" s="55" t="n"/>
      <c r="D450" s="55" t="n"/>
      <c r="E450" s="55" t="n"/>
      <c r="F450" s="55" t="n"/>
      <c r="G450" s="55" t="n"/>
    </row>
    <row r="451">
      <c r="A451" s="55" t="n"/>
      <c r="B451" s="55" t="n"/>
      <c r="C451" s="55" t="n"/>
      <c r="D451" s="55" t="n"/>
      <c r="E451" s="55" t="n"/>
      <c r="F451" s="55" t="n"/>
      <c r="G451" s="55" t="n"/>
    </row>
    <row r="452">
      <c r="A452" s="55" t="n"/>
      <c r="B452" s="55" t="n"/>
      <c r="C452" s="55" t="n"/>
      <c r="D452" s="55" t="n"/>
      <c r="E452" s="55" t="n"/>
      <c r="F452" s="55" t="n"/>
      <c r="G452" s="55" t="n"/>
    </row>
    <row r="453">
      <c r="A453" s="55" t="n"/>
      <c r="B453" s="55" t="n"/>
      <c r="C453" s="55" t="n"/>
      <c r="D453" s="55" t="n"/>
      <c r="E453" s="55" t="n"/>
      <c r="F453" s="55" t="n"/>
      <c r="G453" s="55" t="n"/>
    </row>
    <row r="454">
      <c r="A454" s="55" t="n"/>
      <c r="B454" s="55" t="n"/>
      <c r="C454" s="55" t="n"/>
      <c r="D454" s="55" t="n"/>
      <c r="E454" s="55" t="n"/>
      <c r="F454" s="55" t="n"/>
      <c r="G454" s="55" t="n"/>
    </row>
    <row r="455">
      <c r="A455" s="55" t="n"/>
      <c r="B455" s="55" t="n"/>
      <c r="C455" s="55" t="n"/>
      <c r="D455" s="55" t="n"/>
      <c r="E455" s="55" t="n"/>
      <c r="F455" s="55" t="n"/>
      <c r="G455" s="55" t="n"/>
    </row>
    <row r="456">
      <c r="A456" s="55" t="n"/>
      <c r="B456" s="55" t="n"/>
      <c r="C456" s="55" t="n"/>
      <c r="D456" s="55" t="n"/>
      <c r="E456" s="55" t="n"/>
      <c r="F456" s="55" t="n"/>
      <c r="G456" s="55" t="n"/>
    </row>
    <row r="457">
      <c r="A457" s="55" t="n"/>
      <c r="B457" s="55" t="n"/>
      <c r="C457" s="55" t="n"/>
      <c r="D457" s="55" t="n"/>
      <c r="E457" s="55" t="n"/>
      <c r="F457" s="55" t="n"/>
      <c r="G457" s="55" t="n"/>
    </row>
    <row r="458">
      <c r="A458" s="55" t="n"/>
      <c r="B458" s="55" t="n"/>
      <c r="C458" s="55" t="n"/>
      <c r="D458" s="55" t="n"/>
      <c r="E458" s="55" t="n"/>
      <c r="F458" s="55" t="n"/>
      <c r="G458" s="55" t="n"/>
    </row>
    <row r="459">
      <c r="A459" s="55" t="n"/>
      <c r="B459" s="55" t="n"/>
      <c r="C459" s="55" t="n"/>
      <c r="D459" s="55" t="n"/>
      <c r="E459" s="55" t="n"/>
      <c r="F459" s="55" t="n"/>
      <c r="G459" s="55" t="n"/>
    </row>
    <row r="460">
      <c r="A460" s="55" t="n"/>
      <c r="B460" s="55" t="n"/>
      <c r="C460" s="55" t="n"/>
      <c r="D460" s="55" t="n"/>
      <c r="E460" s="55" t="n"/>
      <c r="F460" s="55" t="n"/>
      <c r="G460" s="55" t="n"/>
    </row>
    <row r="461">
      <c r="A461" s="55" t="n"/>
      <c r="B461" s="55" t="n"/>
      <c r="C461" s="55" t="n"/>
      <c r="D461" s="55" t="n"/>
      <c r="E461" s="55" t="n"/>
      <c r="F461" s="55" t="n"/>
      <c r="G461" s="55" t="n"/>
    </row>
    <row r="462">
      <c r="A462" s="55" t="n"/>
      <c r="B462" s="55" t="n"/>
      <c r="C462" s="55" t="n"/>
      <c r="D462" s="55" t="n"/>
      <c r="E462" s="55" t="n"/>
      <c r="F462" s="55" t="n"/>
      <c r="G462" s="55" t="n"/>
    </row>
    <row r="463">
      <c r="A463" s="55" t="n"/>
      <c r="B463" s="55" t="n"/>
      <c r="C463" s="55" t="n"/>
      <c r="D463" s="55" t="n"/>
      <c r="E463" s="55" t="n"/>
      <c r="F463" s="55" t="n"/>
      <c r="G463" s="55" t="n"/>
    </row>
    <row r="464">
      <c r="A464" s="55" t="n"/>
      <c r="B464" s="55" t="n"/>
      <c r="C464" s="55" t="n"/>
      <c r="D464" s="55" t="n"/>
      <c r="E464" s="55" t="n"/>
      <c r="F464" s="55" t="n"/>
      <c r="G464" s="55" t="n"/>
    </row>
    <row r="465">
      <c r="A465" s="55" t="n"/>
      <c r="B465" s="55" t="n"/>
      <c r="C465" s="55" t="n"/>
      <c r="D465" s="55" t="n"/>
      <c r="E465" s="55" t="n"/>
      <c r="F465" s="55" t="n"/>
      <c r="G465" s="55" t="n"/>
    </row>
    <row r="466">
      <c r="A466" s="55" t="n"/>
      <c r="B466" s="55" t="n"/>
      <c r="C466" s="55" t="n"/>
      <c r="D466" s="55" t="n"/>
      <c r="E466" s="55" t="n"/>
      <c r="F466" s="55" t="n"/>
      <c r="G466" s="55" t="n"/>
    </row>
    <row r="467">
      <c r="A467" s="55" t="n"/>
      <c r="B467" s="55" t="n"/>
      <c r="C467" s="55" t="n"/>
      <c r="D467" s="55" t="n"/>
      <c r="E467" s="55" t="n"/>
      <c r="F467" s="55" t="n"/>
      <c r="G467" s="55" t="n"/>
    </row>
    <row r="468">
      <c r="A468" s="55" t="n"/>
      <c r="B468" s="55" t="n"/>
      <c r="C468" s="55" t="n"/>
      <c r="D468" s="55" t="n"/>
      <c r="E468" s="55" t="n"/>
      <c r="F468" s="55" t="n"/>
      <c r="G468" s="55" t="n"/>
    </row>
    <row r="469">
      <c r="A469" s="55" t="n"/>
      <c r="B469" s="55" t="n"/>
      <c r="C469" s="55" t="n"/>
      <c r="D469" s="55" t="n"/>
      <c r="E469" s="55" t="n"/>
      <c r="F469" s="55" t="n"/>
      <c r="G469" s="55" t="n"/>
    </row>
    <row r="470">
      <c r="A470" s="55" t="n"/>
      <c r="B470" s="55" t="n"/>
      <c r="C470" s="55" t="n"/>
      <c r="D470" s="55" t="n"/>
      <c r="E470" s="55" t="n"/>
      <c r="F470" s="55" t="n"/>
      <c r="G470" s="55" t="n"/>
    </row>
    <row r="471">
      <c r="A471" s="55" t="n"/>
      <c r="B471" s="55" t="n"/>
      <c r="C471" s="55" t="n"/>
      <c r="D471" s="55" t="n"/>
      <c r="E471" s="55" t="n"/>
      <c r="F471" s="55" t="n"/>
      <c r="G471" s="55" t="n"/>
    </row>
    <row r="472">
      <c r="A472" s="55" t="n"/>
      <c r="B472" s="55" t="n"/>
      <c r="C472" s="55" t="n"/>
      <c r="D472" s="55" t="n"/>
      <c r="E472" s="55" t="n"/>
      <c r="F472" s="55" t="n"/>
      <c r="G472" s="55" t="n"/>
    </row>
    <row r="473">
      <c r="A473" s="55" t="n"/>
      <c r="B473" s="55" t="n"/>
      <c r="C473" s="55" t="n"/>
      <c r="D473" s="55" t="n"/>
      <c r="E473" s="55" t="n"/>
      <c r="F473" s="55" t="n"/>
      <c r="G473" s="55" t="n"/>
    </row>
    <row r="474">
      <c r="A474" s="55" t="n"/>
      <c r="B474" s="55" t="n"/>
      <c r="C474" s="55" t="n"/>
      <c r="D474" s="55" t="n"/>
      <c r="E474" s="55" t="n"/>
      <c r="F474" s="55" t="n"/>
      <c r="G474" s="55" t="n"/>
    </row>
    <row r="475">
      <c r="A475" s="55" t="n"/>
      <c r="B475" s="55" t="n"/>
      <c r="C475" s="55" t="n"/>
      <c r="D475" s="55" t="n"/>
      <c r="E475" s="55" t="n"/>
      <c r="F475" s="55" t="n"/>
      <c r="G475" s="55" t="n"/>
    </row>
    <row r="476">
      <c r="A476" s="55" t="n"/>
      <c r="B476" s="55" t="n"/>
      <c r="C476" s="55" t="n"/>
      <c r="D476" s="55" t="n"/>
      <c r="E476" s="55" t="n"/>
      <c r="F476" s="55" t="n"/>
      <c r="G476" s="55" t="n"/>
    </row>
    <row r="477">
      <c r="A477" s="55" t="n"/>
      <c r="B477" s="55" t="n"/>
      <c r="C477" s="55" t="n"/>
      <c r="D477" s="55" t="n"/>
      <c r="E477" s="55" t="n"/>
      <c r="F477" s="55" t="n"/>
      <c r="G477" s="55" t="n"/>
    </row>
    <row r="478">
      <c r="A478" s="55" t="n"/>
      <c r="B478" s="55" t="n"/>
      <c r="C478" s="55" t="n"/>
      <c r="D478" s="55" t="n"/>
      <c r="E478" s="55" t="n"/>
      <c r="F478" s="55" t="n"/>
      <c r="G478" s="55" t="n"/>
    </row>
    <row r="479">
      <c r="A479" s="55" t="n"/>
      <c r="B479" s="55" t="n"/>
      <c r="C479" s="55" t="n"/>
      <c r="D479" s="55" t="n"/>
      <c r="E479" s="55" t="n"/>
      <c r="F479" s="55" t="n"/>
      <c r="G479" s="55" t="n"/>
    </row>
    <row r="480">
      <c r="A480" s="55" t="n"/>
      <c r="B480" s="55" t="n"/>
      <c r="C480" s="55" t="n"/>
      <c r="D480" s="55" t="n"/>
      <c r="E480" s="55" t="n"/>
      <c r="F480" s="55" t="n"/>
      <c r="G480" s="55" t="n"/>
    </row>
    <row r="481">
      <c r="A481" s="55" t="n"/>
      <c r="B481" s="55" t="n"/>
      <c r="C481" s="55" t="n"/>
      <c r="D481" s="55" t="n"/>
      <c r="E481" s="55" t="n"/>
      <c r="F481" s="55" t="n"/>
      <c r="G481" s="55" t="n"/>
    </row>
    <row r="482">
      <c r="A482" s="55" t="n"/>
      <c r="B482" s="55" t="n"/>
      <c r="C482" s="55" t="n"/>
      <c r="D482" s="55" t="n"/>
      <c r="E482" s="55" t="n"/>
      <c r="F482" s="55" t="n"/>
      <c r="G482" s="55" t="n"/>
    </row>
    <row r="483">
      <c r="A483" s="55" t="n"/>
      <c r="B483" s="55" t="n"/>
      <c r="C483" s="55" t="n"/>
      <c r="D483" s="55" t="n"/>
      <c r="E483" s="55" t="n"/>
      <c r="F483" s="55" t="n"/>
      <c r="G483" s="55" t="n"/>
    </row>
    <row r="484">
      <c r="A484" s="55" t="n"/>
      <c r="B484" s="55" t="n"/>
      <c r="C484" s="55" t="n"/>
      <c r="D484" s="55" t="n"/>
      <c r="E484" s="55" t="n"/>
      <c r="F484" s="55" t="n"/>
      <c r="G484" s="55" t="n"/>
    </row>
    <row r="485">
      <c r="A485" s="55" t="n"/>
      <c r="B485" s="55" t="n"/>
      <c r="C485" s="55" t="n"/>
      <c r="D485" s="55" t="n"/>
      <c r="E485" s="55" t="n"/>
      <c r="F485" s="55" t="n"/>
      <c r="G485" s="55" t="n"/>
    </row>
    <row r="486">
      <c r="A486" s="55" t="n"/>
      <c r="B486" s="55" t="n"/>
      <c r="C486" s="55" t="n"/>
      <c r="D486" s="55" t="n"/>
      <c r="E486" s="55" t="n"/>
      <c r="F486" s="55" t="n"/>
      <c r="G486" s="55" t="n"/>
    </row>
    <row r="487">
      <c r="A487" s="55" t="n"/>
      <c r="B487" s="55" t="n"/>
      <c r="C487" s="55" t="n"/>
      <c r="D487" s="55" t="n"/>
      <c r="E487" s="55" t="n"/>
      <c r="F487" s="55" t="n"/>
      <c r="G487" s="55" t="n"/>
    </row>
    <row r="488">
      <c r="A488" s="55" t="n"/>
      <c r="B488" s="55" t="n"/>
      <c r="C488" s="55" t="n"/>
      <c r="D488" s="55" t="n"/>
      <c r="E488" s="55" t="n"/>
      <c r="F488" s="55" t="n"/>
      <c r="G488" s="55" t="n"/>
    </row>
    <row r="489">
      <c r="A489" s="55" t="n"/>
      <c r="B489" s="55" t="n"/>
      <c r="C489" s="55" t="n"/>
      <c r="D489" s="55" t="n"/>
      <c r="E489" s="55" t="n"/>
      <c r="F489" s="55" t="n"/>
      <c r="G489" s="55" t="n"/>
    </row>
    <row r="490">
      <c r="A490" s="55" t="n"/>
      <c r="B490" s="55" t="n"/>
      <c r="C490" s="55" t="n"/>
      <c r="D490" s="55" t="n"/>
      <c r="E490" s="55" t="n"/>
      <c r="F490" s="55" t="n"/>
      <c r="G490" s="55" t="n"/>
    </row>
    <row r="491">
      <c r="A491" s="55" t="n"/>
      <c r="B491" s="55" t="n"/>
      <c r="C491" s="55" t="n"/>
      <c r="D491" s="55" t="n"/>
      <c r="E491" s="55" t="n"/>
      <c r="F491" s="55" t="n"/>
      <c r="G491" s="55" t="n"/>
    </row>
    <row r="492">
      <c r="A492" s="55" t="n"/>
      <c r="B492" s="55" t="n"/>
      <c r="C492" s="55" t="n"/>
      <c r="D492" s="55" t="n"/>
      <c r="E492" s="55" t="n"/>
      <c r="F492" s="55" t="n"/>
      <c r="G492" s="55" t="n"/>
    </row>
    <row r="493">
      <c r="A493" s="55" t="n"/>
      <c r="B493" s="55" t="n"/>
      <c r="C493" s="55" t="n"/>
      <c r="D493" s="55" t="n"/>
      <c r="E493" s="55" t="n"/>
      <c r="F493" s="55" t="n"/>
      <c r="G493" s="55" t="n"/>
    </row>
    <row r="494">
      <c r="A494" s="55" t="n"/>
      <c r="B494" s="55" t="n"/>
      <c r="C494" s="55" t="n"/>
      <c r="D494" s="55" t="n"/>
      <c r="E494" s="55" t="n"/>
      <c r="F494" s="55" t="n"/>
      <c r="G494" s="55" t="n"/>
    </row>
    <row r="495">
      <c r="A495" s="55" t="n"/>
      <c r="B495" s="55" t="n"/>
      <c r="C495" s="55" t="n"/>
      <c r="D495" s="55" t="n"/>
      <c r="E495" s="55" t="n"/>
      <c r="F495" s="55" t="n"/>
      <c r="G495" s="55" t="n"/>
    </row>
    <row r="496">
      <c r="A496" s="55" t="n"/>
      <c r="B496" s="55" t="n"/>
      <c r="C496" s="55" t="n"/>
      <c r="D496" s="55" t="n"/>
      <c r="E496" s="55" t="n"/>
      <c r="F496" s="55" t="n"/>
      <c r="G496" s="55" t="n"/>
    </row>
    <row r="497">
      <c r="A497" s="55" t="n"/>
      <c r="B497" s="55" t="n"/>
      <c r="C497" s="55" t="n"/>
      <c r="D497" s="55" t="n"/>
      <c r="E497" s="55" t="n"/>
      <c r="F497" s="55" t="n"/>
      <c r="G497" s="55" t="n"/>
    </row>
    <row r="498">
      <c r="A498" s="55" t="n"/>
      <c r="B498" s="55" t="n"/>
      <c r="C498" s="55" t="n"/>
      <c r="D498" s="55" t="n"/>
      <c r="E498" s="55" t="n"/>
      <c r="F498" s="55" t="n"/>
      <c r="G498" s="55" t="n"/>
    </row>
    <row r="499">
      <c r="A499" s="55" t="n"/>
      <c r="B499" s="55" t="n"/>
      <c r="C499" s="55" t="n"/>
      <c r="D499" s="55" t="n"/>
      <c r="E499" s="55" t="n"/>
      <c r="F499" s="55" t="n"/>
      <c r="G499" s="55" t="n"/>
    </row>
    <row r="500">
      <c r="A500" s="55" t="n"/>
      <c r="B500" s="55" t="n"/>
      <c r="C500" s="55" t="n"/>
      <c r="D500" s="55" t="n"/>
      <c r="E500" s="55" t="n"/>
      <c r="F500" s="55" t="n"/>
      <c r="G500" s="55" t="n"/>
    </row>
    <row r="501">
      <c r="A501" s="55" t="n"/>
      <c r="B501" s="55" t="n"/>
      <c r="C501" s="55" t="n"/>
      <c r="D501" s="55" t="n"/>
      <c r="E501" s="55" t="n"/>
      <c r="F501" s="55" t="n"/>
      <c r="G501" s="55" t="n"/>
    </row>
    <row r="502">
      <c r="A502" s="55" t="n"/>
      <c r="B502" s="55" t="n"/>
      <c r="C502" s="55" t="n"/>
      <c r="D502" s="55" t="n"/>
      <c r="E502" s="55" t="n"/>
      <c r="F502" s="55" t="n"/>
      <c r="G502" s="55" t="n"/>
    </row>
    <row r="503">
      <c r="A503" s="55" t="n"/>
      <c r="B503" s="55" t="n"/>
      <c r="C503" s="55" t="n"/>
      <c r="D503" s="55" t="n"/>
      <c r="E503" s="55" t="n"/>
      <c r="F503" s="55" t="n"/>
      <c r="G503" s="55" t="n"/>
    </row>
    <row r="504">
      <c r="A504" s="55" t="n"/>
      <c r="B504" s="55" t="n"/>
      <c r="C504" s="55" t="n"/>
      <c r="D504" s="55" t="n"/>
      <c r="E504" s="55" t="n"/>
      <c r="F504" s="55" t="n"/>
      <c r="G504" s="55" t="n"/>
    </row>
    <row r="505">
      <c r="A505" s="55" t="n"/>
      <c r="B505" s="55" t="n"/>
      <c r="C505" s="55" t="n"/>
      <c r="D505" s="55" t="n"/>
      <c r="E505" s="55" t="n"/>
      <c r="F505" s="55" t="n"/>
      <c r="G505" s="55" t="n"/>
    </row>
    <row r="506">
      <c r="A506" s="55" t="n"/>
      <c r="B506" s="55" t="n"/>
      <c r="C506" s="55" t="n"/>
      <c r="D506" s="55" t="n"/>
      <c r="E506" s="55" t="n"/>
      <c r="F506" s="55" t="n"/>
      <c r="G506" s="55" t="n"/>
    </row>
    <row r="507">
      <c r="A507" s="55" t="n"/>
      <c r="B507" s="55" t="n"/>
      <c r="C507" s="55" t="n"/>
      <c r="D507" s="55" t="n"/>
      <c r="E507" s="55" t="n"/>
      <c r="F507" s="55" t="n"/>
      <c r="G507" s="55" t="n"/>
    </row>
    <row r="508">
      <c r="A508" s="55" t="n"/>
      <c r="B508" s="55" t="n"/>
      <c r="C508" s="55" t="n"/>
      <c r="D508" s="55" t="n"/>
      <c r="E508" s="55" t="n"/>
      <c r="F508" s="55" t="n"/>
      <c r="G508" s="55" t="n"/>
    </row>
    <row r="509">
      <c r="A509" s="55" t="n"/>
      <c r="B509" s="55" t="n"/>
      <c r="C509" s="55" t="n"/>
      <c r="D509" s="55" t="n"/>
      <c r="E509" s="55" t="n"/>
      <c r="F509" s="55" t="n"/>
      <c r="G509" s="55" t="n"/>
    </row>
    <row r="510">
      <c r="A510" s="55" t="n"/>
      <c r="B510" s="55" t="n"/>
      <c r="C510" s="55" t="n"/>
      <c r="D510" s="55" t="n"/>
      <c r="E510" s="55" t="n"/>
      <c r="F510" s="55" t="n"/>
      <c r="G510" s="55" t="n"/>
    </row>
    <row r="511">
      <c r="A511" s="55" t="n"/>
      <c r="B511" s="55" t="n"/>
      <c r="C511" s="55" t="n"/>
      <c r="D511" s="55" t="n"/>
      <c r="E511" s="55" t="n"/>
      <c r="F511" s="55" t="n"/>
      <c r="G511" s="55" t="n"/>
    </row>
    <row r="512">
      <c r="A512" s="55" t="n"/>
      <c r="B512" s="55" t="n"/>
      <c r="C512" s="55" t="n"/>
      <c r="D512" s="55" t="n"/>
      <c r="E512" s="55" t="n"/>
      <c r="F512" s="55" t="n"/>
      <c r="G512" s="55" t="n"/>
    </row>
    <row r="513">
      <c r="A513" s="55" t="n"/>
      <c r="B513" s="55" t="n"/>
      <c r="C513" s="55" t="n"/>
      <c r="D513" s="55" t="n"/>
      <c r="E513" s="55" t="n"/>
      <c r="F513" s="55" t="n"/>
      <c r="G513" s="55" t="n"/>
    </row>
    <row r="514">
      <c r="A514" s="55" t="n"/>
      <c r="B514" s="55" t="n"/>
      <c r="C514" s="55" t="n"/>
      <c r="D514" s="55" t="n"/>
      <c r="E514" s="55" t="n"/>
      <c r="F514" s="55" t="n"/>
      <c r="G514" s="55" t="n"/>
    </row>
    <row r="515">
      <c r="A515" s="55" t="n"/>
      <c r="B515" s="55" t="n"/>
      <c r="C515" s="55" t="n"/>
      <c r="D515" s="55" t="n"/>
      <c r="E515" s="55" t="n"/>
      <c r="F515" s="55" t="n"/>
      <c r="G515" s="55" t="n"/>
    </row>
    <row r="516">
      <c r="A516" s="55" t="n"/>
      <c r="B516" s="55" t="n"/>
      <c r="C516" s="55" t="n"/>
      <c r="D516" s="55" t="n"/>
      <c r="E516" s="55" t="n"/>
      <c r="F516" s="55" t="n"/>
      <c r="G516" s="55" t="n"/>
    </row>
    <row r="517">
      <c r="A517" s="55" t="n"/>
      <c r="B517" s="55" t="n"/>
      <c r="C517" s="55" t="n"/>
      <c r="D517" s="55" t="n"/>
      <c r="E517" s="55" t="n"/>
      <c r="F517" s="55" t="n"/>
      <c r="G517" s="55" t="n"/>
    </row>
    <row r="518">
      <c r="A518" s="55" t="n"/>
      <c r="B518" s="55" t="n"/>
      <c r="C518" s="55" t="n"/>
      <c r="D518" s="55" t="n"/>
      <c r="E518" s="55" t="n"/>
      <c r="F518" s="55" t="n"/>
      <c r="G518" s="55" t="n"/>
    </row>
    <row r="519">
      <c r="A519" s="55" t="n"/>
      <c r="B519" s="55" t="n"/>
      <c r="C519" s="55" t="n"/>
      <c r="D519" s="55" t="n"/>
      <c r="E519" s="55" t="n"/>
      <c r="F519" s="55" t="n"/>
      <c r="G519" s="55" t="n"/>
    </row>
    <row r="520">
      <c r="A520" s="55" t="n"/>
      <c r="B520" s="55" t="n"/>
      <c r="C520" s="55" t="n"/>
      <c r="D520" s="55" t="n"/>
      <c r="E520" s="55" t="n"/>
      <c r="F520" s="55" t="n"/>
      <c r="G520" s="55" t="n"/>
    </row>
    <row r="521">
      <c r="A521" s="55" t="n"/>
      <c r="B521" s="55" t="n"/>
      <c r="C521" s="55" t="n"/>
      <c r="D521" s="55" t="n"/>
      <c r="E521" s="55" t="n"/>
      <c r="F521" s="55" t="n"/>
      <c r="G521" s="55" t="n"/>
    </row>
    <row r="522">
      <c r="A522" s="55" t="n"/>
      <c r="B522" s="55" t="n"/>
      <c r="C522" s="55" t="n"/>
      <c r="D522" s="55" t="n"/>
      <c r="E522" s="55" t="n"/>
      <c r="F522" s="55" t="n"/>
      <c r="G522" s="55" t="n"/>
    </row>
    <row r="523">
      <c r="A523" s="55" t="n"/>
      <c r="B523" s="55" t="n"/>
      <c r="C523" s="55" t="n"/>
      <c r="D523" s="55" t="n"/>
      <c r="E523" s="55" t="n"/>
      <c r="F523" s="55" t="n"/>
      <c r="G523" s="55" t="n"/>
    </row>
    <row r="524">
      <c r="A524" s="55" t="n"/>
      <c r="B524" s="55" t="n"/>
      <c r="C524" s="55" t="n"/>
      <c r="D524" s="55" t="n"/>
      <c r="E524" s="55" t="n"/>
      <c r="F524" s="55" t="n"/>
      <c r="G524" s="55" t="n"/>
    </row>
    <row r="525">
      <c r="A525" s="55" t="n"/>
      <c r="B525" s="55" t="n"/>
      <c r="C525" s="55" t="n"/>
      <c r="D525" s="55" t="n"/>
      <c r="E525" s="55" t="n"/>
      <c r="F525" s="55" t="n"/>
      <c r="G525" s="55" t="n"/>
    </row>
    <row r="526">
      <c r="A526" s="55" t="n"/>
      <c r="B526" s="55" t="n"/>
      <c r="C526" s="55" t="n"/>
      <c r="D526" s="55" t="n"/>
      <c r="E526" s="55" t="n"/>
      <c r="F526" s="55" t="n"/>
      <c r="G526" s="55" t="n"/>
    </row>
    <row r="527">
      <c r="A527" s="55" t="n"/>
      <c r="B527" s="55" t="n"/>
      <c r="C527" s="55" t="n"/>
      <c r="D527" s="55" t="n"/>
      <c r="E527" s="55" t="n"/>
      <c r="F527" s="55" t="n"/>
      <c r="G527" s="55" t="n"/>
    </row>
    <row r="528">
      <c r="A528" s="55" t="n"/>
      <c r="B528" s="55" t="n"/>
      <c r="C528" s="55" t="n"/>
      <c r="D528" s="55" t="n"/>
      <c r="E528" s="55" t="n"/>
      <c r="F528" s="55" t="n"/>
      <c r="G528" s="55" t="n"/>
    </row>
    <row r="529">
      <c r="A529" s="55" t="n"/>
      <c r="B529" s="55" t="n"/>
      <c r="C529" s="55" t="n"/>
      <c r="D529" s="55" t="n"/>
      <c r="E529" s="55" t="n"/>
      <c r="F529" s="55" t="n"/>
      <c r="G529" s="55" t="n"/>
    </row>
    <row r="530">
      <c r="A530" s="55" t="n"/>
      <c r="B530" s="55" t="n"/>
      <c r="C530" s="55" t="n"/>
      <c r="D530" s="55" t="n"/>
      <c r="E530" s="55" t="n"/>
      <c r="F530" s="55" t="n"/>
      <c r="G530" s="55" t="n"/>
    </row>
    <row r="531">
      <c r="A531" s="55" t="n"/>
      <c r="B531" s="55" t="n"/>
      <c r="C531" s="55" t="n"/>
      <c r="D531" s="55" t="n"/>
      <c r="E531" s="55" t="n"/>
      <c r="F531" s="55" t="n"/>
      <c r="G531" s="55" t="n"/>
    </row>
    <row r="532">
      <c r="A532" s="55" t="n"/>
      <c r="B532" s="55" t="n"/>
      <c r="C532" s="55" t="n"/>
      <c r="D532" s="55" t="n"/>
      <c r="E532" s="55" t="n"/>
      <c r="F532" s="55" t="n"/>
      <c r="G532" s="55" t="n"/>
    </row>
    <row r="533">
      <c r="A533" s="55" t="n"/>
      <c r="B533" s="55" t="n"/>
      <c r="C533" s="55" t="n"/>
      <c r="D533" s="55" t="n"/>
      <c r="E533" s="55" t="n"/>
      <c r="F533" s="55" t="n"/>
      <c r="G533" s="55" t="n"/>
    </row>
    <row r="534">
      <c r="A534" s="55" t="n"/>
      <c r="B534" s="55" t="n"/>
      <c r="C534" s="55" t="n"/>
      <c r="D534" s="55" t="n"/>
      <c r="E534" s="55" t="n"/>
      <c r="F534" s="55" t="n"/>
      <c r="G534" s="55" t="n"/>
    </row>
    <row r="535">
      <c r="A535" s="55" t="n"/>
      <c r="B535" s="55" t="n"/>
      <c r="C535" s="55" t="n"/>
      <c r="D535" s="55" t="n"/>
      <c r="E535" s="55" t="n"/>
      <c r="F535" s="55" t="n"/>
      <c r="G535" s="55" t="n"/>
    </row>
    <row r="536">
      <c r="A536" s="55" t="n"/>
      <c r="B536" s="55" t="n"/>
      <c r="C536" s="55" t="n"/>
      <c r="D536" s="55" t="n"/>
      <c r="E536" s="55" t="n"/>
      <c r="F536" s="55" t="n"/>
      <c r="G536" s="55" t="n"/>
    </row>
    <row r="537">
      <c r="A537" s="55" t="n"/>
      <c r="B537" s="55" t="n"/>
      <c r="C537" s="55" t="n"/>
      <c r="D537" s="55" t="n"/>
      <c r="E537" s="55" t="n"/>
      <c r="F537" s="55" t="n"/>
      <c r="G537" s="55" t="n"/>
    </row>
    <row r="538">
      <c r="A538" s="55" t="n"/>
      <c r="B538" s="55" t="n"/>
      <c r="C538" s="55" t="n"/>
      <c r="D538" s="55" t="n"/>
      <c r="E538" s="55" t="n"/>
      <c r="F538" s="55" t="n"/>
      <c r="G538" s="55" t="n"/>
    </row>
    <row r="539">
      <c r="A539" s="55" t="n"/>
      <c r="B539" s="55" t="n"/>
      <c r="C539" s="55" t="n"/>
      <c r="D539" s="55" t="n"/>
      <c r="E539" s="55" t="n"/>
      <c r="F539" s="55" t="n"/>
      <c r="G539" s="55" t="n"/>
    </row>
    <row r="540">
      <c r="A540" s="55" t="n"/>
      <c r="B540" s="55" t="n"/>
      <c r="C540" s="55" t="n"/>
      <c r="D540" s="55" t="n"/>
      <c r="E540" s="55" t="n"/>
      <c r="F540" s="55" t="n"/>
      <c r="G540" s="55" t="n"/>
    </row>
    <row r="541">
      <c r="A541" s="55" t="n"/>
      <c r="B541" s="55" t="n"/>
      <c r="C541" s="55" t="n"/>
      <c r="D541" s="55" t="n"/>
      <c r="E541" s="55" t="n"/>
      <c r="F541" s="55" t="n"/>
      <c r="G541" s="55" t="n"/>
    </row>
    <row r="542">
      <c r="A542" s="55" t="n"/>
      <c r="B542" s="55" t="n"/>
      <c r="C542" s="55" t="n"/>
      <c r="D542" s="55" t="n"/>
      <c r="E542" s="55" t="n"/>
      <c r="F542" s="55" t="n"/>
      <c r="G542" s="55" t="n"/>
    </row>
    <row r="543">
      <c r="A543" s="55" t="n"/>
      <c r="B543" s="55" t="n"/>
      <c r="C543" s="55" t="n"/>
      <c r="D543" s="55" t="n"/>
      <c r="E543" s="55" t="n"/>
      <c r="F543" s="55" t="n"/>
      <c r="G543" s="55" t="n"/>
    </row>
    <row r="544">
      <c r="A544" s="55" t="n"/>
      <c r="B544" s="55" t="n"/>
      <c r="C544" s="55" t="n"/>
      <c r="D544" s="55" t="n"/>
      <c r="E544" s="55" t="n"/>
      <c r="F544" s="55" t="n"/>
      <c r="G544" s="55" t="n"/>
    </row>
    <row r="545">
      <c r="A545" s="55" t="n"/>
      <c r="B545" s="55" t="n"/>
      <c r="C545" s="55" t="n"/>
      <c r="D545" s="55" t="n"/>
      <c r="E545" s="55" t="n"/>
      <c r="F545" s="55" t="n"/>
      <c r="G545" s="55" t="n"/>
    </row>
    <row r="546">
      <c r="A546" s="55" t="n"/>
      <c r="B546" s="55" t="n"/>
      <c r="C546" s="55" t="n"/>
      <c r="D546" s="55" t="n"/>
      <c r="E546" s="55" t="n"/>
      <c r="F546" s="55" t="n"/>
      <c r="G546" s="55" t="n"/>
    </row>
    <row r="547">
      <c r="A547" s="55" t="n"/>
      <c r="B547" s="55" t="n"/>
      <c r="C547" s="55" t="n"/>
      <c r="D547" s="55" t="n"/>
      <c r="E547" s="55" t="n"/>
      <c r="F547" s="55" t="n"/>
      <c r="G547" s="55" t="n"/>
    </row>
    <row r="548">
      <c r="A548" s="55" t="n"/>
      <c r="B548" s="55" t="n"/>
      <c r="C548" s="55" t="n"/>
      <c r="D548" s="55" t="n"/>
      <c r="E548" s="55" t="n"/>
      <c r="F548" s="55" t="n"/>
      <c r="G548" s="55" t="n"/>
    </row>
    <row r="549">
      <c r="A549" s="55" t="n"/>
      <c r="B549" s="55" t="n"/>
      <c r="C549" s="55" t="n"/>
      <c r="D549" s="55" t="n"/>
      <c r="E549" s="55" t="n"/>
      <c r="F549" s="55" t="n"/>
      <c r="G549" s="55" t="n"/>
    </row>
    <row r="550">
      <c r="A550" s="55" t="n"/>
      <c r="B550" s="55" t="n"/>
      <c r="C550" s="55" t="n"/>
      <c r="D550" s="55" t="n"/>
      <c r="E550" s="55" t="n"/>
      <c r="F550" s="55" t="n"/>
      <c r="G550" s="55" t="n"/>
    </row>
    <row r="551">
      <c r="A551" s="55" t="n"/>
      <c r="B551" s="55" t="n"/>
      <c r="C551" s="55" t="n"/>
      <c r="D551" s="55" t="n"/>
      <c r="E551" s="55" t="n"/>
      <c r="F551" s="55" t="n"/>
      <c r="G551" s="55" t="n"/>
    </row>
    <row r="552">
      <c r="A552" s="55" t="n"/>
      <c r="B552" s="55" t="n"/>
      <c r="C552" s="55" t="n"/>
      <c r="D552" s="55" t="n"/>
      <c r="E552" s="55" t="n"/>
      <c r="F552" s="55" t="n"/>
      <c r="G552" s="55" t="n"/>
    </row>
    <row r="553">
      <c r="A553" s="55" t="n"/>
      <c r="B553" s="55" t="n"/>
      <c r="C553" s="55" t="n"/>
      <c r="D553" s="55" t="n"/>
      <c r="E553" s="55" t="n"/>
      <c r="F553" s="55" t="n"/>
      <c r="G553" s="55" t="n"/>
    </row>
    <row r="554">
      <c r="A554" s="55" t="n"/>
      <c r="B554" s="55" t="n"/>
      <c r="C554" s="55" t="n"/>
      <c r="D554" s="55" t="n"/>
      <c r="E554" s="55" t="n"/>
      <c r="F554" s="55" t="n"/>
      <c r="G554" s="55" t="n"/>
    </row>
    <row r="555">
      <c r="A555" s="55" t="n"/>
      <c r="B555" s="55" t="n"/>
      <c r="C555" s="55" t="n"/>
      <c r="D555" s="55" t="n"/>
      <c r="E555" s="55" t="n"/>
      <c r="F555" s="55" t="n"/>
      <c r="G555" s="55" t="n"/>
    </row>
    <row r="556">
      <c r="A556" s="55" t="n"/>
      <c r="B556" s="55" t="n"/>
      <c r="C556" s="55" t="n"/>
      <c r="D556" s="55" t="n"/>
      <c r="E556" s="55" t="n"/>
      <c r="F556" s="55" t="n"/>
      <c r="G556" s="55" t="n"/>
    </row>
    <row r="557">
      <c r="A557" s="55" t="n"/>
      <c r="B557" s="55" t="n"/>
      <c r="C557" s="55" t="n"/>
      <c r="D557" s="55" t="n"/>
      <c r="E557" s="55" t="n"/>
      <c r="F557" s="55" t="n"/>
      <c r="G557" s="55" t="n"/>
    </row>
    <row r="558">
      <c r="A558" s="55" t="n"/>
      <c r="B558" s="55" t="n"/>
      <c r="C558" s="55" t="n"/>
      <c r="D558" s="55" t="n"/>
      <c r="E558" s="55" t="n"/>
      <c r="F558" s="55" t="n"/>
      <c r="G558" s="55" t="n"/>
    </row>
    <row r="559">
      <c r="A559" s="55" t="n"/>
      <c r="B559" s="55" t="n"/>
      <c r="C559" s="55" t="n"/>
      <c r="D559" s="55" t="n"/>
      <c r="E559" s="55" t="n"/>
      <c r="F559" s="55" t="n"/>
      <c r="G559" s="55" t="n"/>
    </row>
    <row r="560">
      <c r="A560" s="55" t="n"/>
      <c r="B560" s="55" t="n"/>
      <c r="C560" s="55" t="n"/>
      <c r="D560" s="55" t="n"/>
      <c r="E560" s="55" t="n"/>
      <c r="F560" s="55" t="n"/>
      <c r="G560" s="55" t="n"/>
    </row>
    <row r="561">
      <c r="A561" s="55" t="n"/>
      <c r="B561" s="55" t="n"/>
      <c r="C561" s="55" t="n"/>
      <c r="D561" s="55" t="n"/>
      <c r="E561" s="55" t="n"/>
      <c r="F561" s="55" t="n"/>
      <c r="G561" s="55" t="n"/>
    </row>
    <row r="562">
      <c r="A562" s="55" t="n"/>
      <c r="B562" s="55" t="n"/>
      <c r="C562" s="55" t="n"/>
      <c r="D562" s="55" t="n"/>
      <c r="E562" s="55" t="n"/>
      <c r="F562" s="55" t="n"/>
      <c r="G562" s="55" t="n"/>
    </row>
    <row r="563">
      <c r="A563" s="55" t="n"/>
      <c r="B563" s="55" t="n"/>
      <c r="C563" s="55" t="n"/>
      <c r="D563" s="55" t="n"/>
      <c r="E563" s="55" t="n"/>
      <c r="F563" s="55" t="n"/>
      <c r="G563" s="55" t="n"/>
    </row>
    <row r="564">
      <c r="A564" s="55" t="n"/>
      <c r="B564" s="55" t="n"/>
      <c r="C564" s="55" t="n"/>
      <c r="D564" s="55" t="n"/>
      <c r="E564" s="55" t="n"/>
      <c r="F564" s="55" t="n"/>
      <c r="G564" s="55" t="n"/>
    </row>
    <row r="565">
      <c r="A565" s="55" t="n"/>
      <c r="B565" s="55" t="n"/>
      <c r="C565" s="55" t="n"/>
      <c r="D565" s="55" t="n"/>
      <c r="E565" s="55" t="n"/>
      <c r="F565" s="55" t="n"/>
      <c r="G565" s="55" t="n"/>
    </row>
    <row r="566">
      <c r="A566" s="55" t="n"/>
      <c r="B566" s="55" t="n"/>
      <c r="C566" s="55" t="n"/>
      <c r="D566" s="55" t="n"/>
      <c r="E566" s="55" t="n"/>
      <c r="F566" s="55" t="n"/>
      <c r="G566" s="55" t="n"/>
    </row>
    <row r="567">
      <c r="A567" s="55" t="n"/>
      <c r="B567" s="55" t="n"/>
      <c r="C567" s="55" t="n"/>
      <c r="D567" s="55" t="n"/>
      <c r="E567" s="55" t="n"/>
      <c r="F567" s="55" t="n"/>
      <c r="G567" s="55" t="n"/>
    </row>
    <row r="568">
      <c r="A568" s="55" t="n"/>
      <c r="B568" s="55" t="n"/>
      <c r="C568" s="55" t="n"/>
      <c r="D568" s="55" t="n"/>
      <c r="E568" s="55" t="n"/>
      <c r="F568" s="55" t="n"/>
      <c r="G568" s="55" t="n"/>
    </row>
    <row r="569">
      <c r="A569" s="55" t="n"/>
      <c r="B569" s="55" t="n"/>
      <c r="C569" s="55" t="n"/>
      <c r="D569" s="55" t="n"/>
      <c r="E569" s="55" t="n"/>
      <c r="F569" s="55" t="n"/>
      <c r="G569" s="55" t="n"/>
    </row>
    <row r="570">
      <c r="A570" s="55" t="n"/>
      <c r="B570" s="55" t="n"/>
      <c r="C570" s="55" t="n"/>
      <c r="D570" s="55" t="n"/>
      <c r="E570" s="55" t="n"/>
      <c r="F570" s="55" t="n"/>
      <c r="G570" s="55" t="n"/>
    </row>
    <row r="571">
      <c r="A571" s="55" t="n"/>
      <c r="B571" s="55" t="n"/>
      <c r="C571" s="55" t="n"/>
      <c r="D571" s="55" t="n"/>
      <c r="E571" s="55" t="n"/>
      <c r="F571" s="55" t="n"/>
      <c r="G571" s="55" t="n"/>
    </row>
    <row r="572">
      <c r="A572" s="55" t="n"/>
      <c r="B572" s="55" t="n"/>
      <c r="C572" s="55" t="n"/>
      <c r="D572" s="55" t="n"/>
      <c r="E572" s="55" t="n"/>
      <c r="F572" s="55" t="n"/>
      <c r="G572" s="55" t="n"/>
    </row>
    <row r="573">
      <c r="A573" s="55" t="n"/>
      <c r="B573" s="55" t="n"/>
      <c r="C573" s="55" t="n"/>
      <c r="D573" s="55" t="n"/>
      <c r="E573" s="55" t="n"/>
      <c r="F573" s="55" t="n"/>
      <c r="G573" s="55" t="n"/>
    </row>
    <row r="574">
      <c r="A574" s="55" t="n"/>
      <c r="B574" s="55" t="n"/>
      <c r="C574" s="55" t="n"/>
      <c r="D574" s="55" t="n"/>
      <c r="E574" s="55" t="n"/>
      <c r="F574" s="55" t="n"/>
      <c r="G574" s="55" t="n"/>
    </row>
    <row r="575">
      <c r="A575" s="55" t="n"/>
      <c r="B575" s="55" t="n"/>
      <c r="C575" s="55" t="n"/>
      <c r="D575" s="55" t="n"/>
      <c r="E575" s="55" t="n"/>
      <c r="F575" s="55" t="n"/>
      <c r="G575" s="55" t="n"/>
    </row>
    <row r="576">
      <c r="A576" s="55" t="n"/>
      <c r="B576" s="55" t="n"/>
      <c r="C576" s="55" t="n"/>
      <c r="D576" s="55" t="n"/>
      <c r="E576" s="55" t="n"/>
      <c r="F576" s="55" t="n"/>
      <c r="G576" s="55" t="n"/>
    </row>
    <row r="577">
      <c r="A577" s="55" t="n"/>
      <c r="B577" s="55" t="n"/>
      <c r="C577" s="55" t="n"/>
      <c r="D577" s="55" t="n"/>
      <c r="E577" s="55" t="n"/>
      <c r="F577" s="55" t="n"/>
      <c r="G577" s="55" t="n"/>
    </row>
    <row r="578">
      <c r="A578" s="55" t="n"/>
      <c r="B578" s="55" t="n"/>
      <c r="C578" s="55" t="n"/>
      <c r="D578" s="55" t="n"/>
      <c r="E578" s="55" t="n"/>
      <c r="F578" s="55" t="n"/>
      <c r="G578" s="55" t="n"/>
    </row>
    <row r="579">
      <c r="A579" s="55" t="n"/>
      <c r="B579" s="55" t="n"/>
      <c r="C579" s="55" t="n"/>
      <c r="D579" s="55" t="n"/>
      <c r="E579" s="55" t="n"/>
      <c r="F579" s="55" t="n"/>
      <c r="G579" s="55" t="n"/>
    </row>
    <row r="580">
      <c r="A580" s="55" t="n"/>
      <c r="B580" s="55" t="n"/>
      <c r="C580" s="55" t="n"/>
      <c r="D580" s="55" t="n"/>
      <c r="E580" s="55" t="n"/>
      <c r="F580" s="55" t="n"/>
      <c r="G580" s="55" t="n"/>
    </row>
    <row r="581">
      <c r="A581" s="55" t="n"/>
      <c r="B581" s="55" t="n"/>
      <c r="C581" s="55" t="n"/>
      <c r="D581" s="55" t="n"/>
      <c r="E581" s="55" t="n"/>
      <c r="F581" s="55" t="n"/>
      <c r="G581" s="55" t="n"/>
    </row>
    <row r="582">
      <c r="A582" s="55" t="n"/>
      <c r="B582" s="55" t="n"/>
      <c r="C582" s="55" t="n"/>
      <c r="D582" s="55" t="n"/>
      <c r="E582" s="55" t="n"/>
      <c r="F582" s="55" t="n"/>
      <c r="G582" s="55" t="n"/>
    </row>
    <row r="583">
      <c r="A583" s="55" t="n"/>
      <c r="B583" s="55" t="n"/>
      <c r="C583" s="55" t="n"/>
      <c r="D583" s="55" t="n"/>
      <c r="E583" s="55" t="n"/>
      <c r="F583" s="55" t="n"/>
      <c r="G583" s="55" t="n"/>
    </row>
    <row r="584">
      <c r="A584" s="55" t="n"/>
      <c r="B584" s="55" t="n"/>
      <c r="C584" s="55" t="n"/>
      <c r="D584" s="55" t="n"/>
      <c r="E584" s="55" t="n"/>
      <c r="F584" s="55" t="n"/>
      <c r="G584" s="55" t="n"/>
    </row>
    <row r="585">
      <c r="A585" s="55" t="n"/>
      <c r="B585" s="55" t="n"/>
      <c r="C585" s="55" t="n"/>
      <c r="D585" s="55" t="n"/>
      <c r="E585" s="55" t="n"/>
      <c r="F585" s="55" t="n"/>
      <c r="G585" s="55" t="n"/>
    </row>
    <row r="586">
      <c r="A586" s="55" t="n"/>
      <c r="B586" s="55" t="n"/>
      <c r="C586" s="55" t="n"/>
      <c r="D586" s="55" t="n"/>
      <c r="E586" s="55" t="n"/>
      <c r="F586" s="55" t="n"/>
      <c r="G586" s="55" t="n"/>
    </row>
    <row r="587">
      <c r="A587" s="55" t="n"/>
      <c r="B587" s="55" t="n"/>
      <c r="C587" s="55" t="n"/>
      <c r="D587" s="55" t="n"/>
      <c r="E587" s="55" t="n"/>
      <c r="F587" s="55" t="n"/>
      <c r="G587" s="55" t="n"/>
    </row>
    <row r="588">
      <c r="A588" s="55" t="n"/>
      <c r="B588" s="55" t="n"/>
      <c r="C588" s="55" t="n"/>
      <c r="D588" s="55" t="n"/>
      <c r="E588" s="55" t="n"/>
      <c r="F588" s="55" t="n"/>
      <c r="G588" s="55" t="n"/>
    </row>
    <row r="589">
      <c r="A589" s="55" t="n"/>
      <c r="B589" s="55" t="n"/>
      <c r="C589" s="55" t="n"/>
      <c r="D589" s="55" t="n"/>
      <c r="E589" s="55" t="n"/>
      <c r="F589" s="55" t="n"/>
      <c r="G589" s="55" t="n"/>
    </row>
    <row r="590">
      <c r="A590" s="55" t="n"/>
      <c r="B590" s="55" t="n"/>
      <c r="C590" s="55" t="n"/>
      <c r="D590" s="55" t="n"/>
      <c r="E590" s="55" t="n"/>
      <c r="F590" s="55" t="n"/>
      <c r="G590" s="55" t="n"/>
    </row>
    <row r="591">
      <c r="A591" s="55" t="n"/>
      <c r="B591" s="55" t="n"/>
      <c r="C591" s="55" t="n"/>
      <c r="D591" s="55" t="n"/>
      <c r="E591" s="55" t="n"/>
      <c r="F591" s="55" t="n"/>
      <c r="G591" s="55" t="n"/>
    </row>
    <row r="592">
      <c r="A592" s="55" t="n"/>
      <c r="B592" s="55" t="n"/>
      <c r="C592" s="55" t="n"/>
      <c r="D592" s="55" t="n"/>
      <c r="E592" s="55" t="n"/>
      <c r="F592" s="55" t="n"/>
      <c r="G592" s="55" t="n"/>
    </row>
    <row r="593">
      <c r="A593" s="55" t="n"/>
      <c r="B593" s="55" t="n"/>
      <c r="C593" s="55" t="n"/>
      <c r="D593" s="55" t="n"/>
      <c r="E593" s="55" t="n"/>
      <c r="F593" s="55" t="n"/>
      <c r="G593" s="55" t="n"/>
    </row>
    <row r="594">
      <c r="A594" s="55" t="n"/>
      <c r="B594" s="55" t="n"/>
      <c r="C594" s="55" t="n"/>
      <c r="D594" s="55" t="n"/>
      <c r="E594" s="55" t="n"/>
      <c r="F594" s="55" t="n"/>
      <c r="G594" s="55" t="n"/>
    </row>
    <row r="595">
      <c r="A595" s="55" t="n"/>
      <c r="B595" s="55" t="n"/>
      <c r="C595" s="55" t="n"/>
      <c r="D595" s="55" t="n"/>
      <c r="E595" s="55" t="n"/>
      <c r="F595" s="55" t="n"/>
      <c r="G595" s="55" t="n"/>
    </row>
    <row r="596">
      <c r="A596" s="55" t="n"/>
      <c r="B596" s="55" t="n"/>
      <c r="C596" s="55" t="n"/>
      <c r="D596" s="55" t="n"/>
      <c r="E596" s="55" t="n"/>
      <c r="F596" s="55" t="n"/>
      <c r="G596" s="55" t="n"/>
    </row>
    <row r="597">
      <c r="A597" s="55" t="n"/>
      <c r="B597" s="55" t="n"/>
      <c r="C597" s="55" t="n"/>
      <c r="D597" s="55" t="n"/>
      <c r="E597" s="55" t="n"/>
      <c r="F597" s="55" t="n"/>
      <c r="G597" s="55" t="n"/>
    </row>
    <row r="598">
      <c r="A598" s="55" t="n"/>
      <c r="B598" s="55" t="n"/>
      <c r="C598" s="55" t="n"/>
      <c r="D598" s="55" t="n"/>
      <c r="E598" s="55" t="n"/>
      <c r="F598" s="55" t="n"/>
      <c r="G598" s="55" t="n"/>
    </row>
    <row r="599">
      <c r="A599" s="55" t="n"/>
      <c r="B599" s="55" t="n"/>
      <c r="C599" s="55" t="n"/>
      <c r="D599" s="55" t="n"/>
      <c r="E599" s="55" t="n"/>
      <c r="F599" s="55" t="n"/>
      <c r="G599" s="55" t="n"/>
    </row>
    <row r="600">
      <c r="A600" s="55" t="n"/>
      <c r="B600" s="55" t="n"/>
      <c r="C600" s="55" t="n"/>
      <c r="D600" s="55" t="n"/>
      <c r="E600" s="55" t="n"/>
      <c r="F600" s="55" t="n"/>
      <c r="G600" s="55" t="n"/>
    </row>
    <row r="601">
      <c r="A601" s="55" t="n"/>
      <c r="B601" s="55" t="n"/>
      <c r="C601" s="55" t="n"/>
      <c r="D601" s="55" t="n"/>
      <c r="E601" s="55" t="n"/>
      <c r="F601" s="55" t="n"/>
      <c r="G601" s="55" t="n"/>
    </row>
    <row r="602">
      <c r="A602" s="55" t="n"/>
      <c r="B602" s="55" t="n"/>
      <c r="C602" s="55" t="n"/>
      <c r="D602" s="55" t="n"/>
      <c r="E602" s="55" t="n"/>
      <c r="F602" s="55" t="n"/>
      <c r="G602" s="55" t="n"/>
    </row>
    <row r="603">
      <c r="A603" s="55" t="n"/>
      <c r="B603" s="55" t="n"/>
      <c r="C603" s="55" t="n"/>
      <c r="D603" s="55" t="n"/>
      <c r="E603" s="55" t="n"/>
      <c r="F603" s="55" t="n"/>
      <c r="G603" s="55" t="n"/>
    </row>
    <row r="604">
      <c r="A604" s="55" t="n"/>
      <c r="B604" s="55" t="n"/>
      <c r="C604" s="55" t="n"/>
      <c r="D604" s="55" t="n"/>
      <c r="E604" s="55" t="n"/>
      <c r="F604" s="55" t="n"/>
      <c r="G604" s="55" t="n"/>
    </row>
    <row r="605">
      <c r="A605" s="55" t="n"/>
      <c r="B605" s="55" t="n"/>
      <c r="C605" s="55" t="n"/>
      <c r="D605" s="55" t="n"/>
      <c r="E605" s="55" t="n"/>
      <c r="F605" s="55" t="n"/>
      <c r="G605" s="55" t="n"/>
    </row>
    <row r="606">
      <c r="A606" s="55" t="n"/>
      <c r="B606" s="55" t="n"/>
      <c r="C606" s="55" t="n"/>
      <c r="D606" s="55" t="n"/>
      <c r="E606" s="55" t="n"/>
      <c r="F606" s="55" t="n"/>
      <c r="G606" s="55" t="n"/>
    </row>
    <row r="607">
      <c r="A607" s="55" t="n"/>
      <c r="B607" s="55" t="n"/>
      <c r="C607" s="55" t="n"/>
      <c r="D607" s="55" t="n"/>
      <c r="E607" s="55" t="n"/>
      <c r="F607" s="55" t="n"/>
      <c r="G607" s="55" t="n"/>
    </row>
    <row r="608">
      <c r="A608" s="55" t="n"/>
      <c r="B608" s="55" t="n"/>
      <c r="C608" s="55" t="n"/>
      <c r="D608" s="55" t="n"/>
      <c r="E608" s="55" t="n"/>
      <c r="F608" s="55" t="n"/>
      <c r="G608" s="55" t="n"/>
    </row>
    <row r="609">
      <c r="A609" s="55" t="n"/>
      <c r="B609" s="55" t="n"/>
      <c r="C609" s="55" t="n"/>
      <c r="D609" s="55" t="n"/>
      <c r="E609" s="55" t="n"/>
      <c r="F609" s="55" t="n"/>
      <c r="G609" s="55" t="n"/>
    </row>
    <row r="610">
      <c r="A610" s="55" t="n"/>
      <c r="B610" s="55" t="n"/>
      <c r="C610" s="55" t="n"/>
      <c r="D610" s="55" t="n"/>
      <c r="E610" s="55" t="n"/>
      <c r="F610" s="55" t="n"/>
      <c r="G610" s="55" t="n"/>
    </row>
    <row r="611">
      <c r="A611" s="55" t="n"/>
      <c r="B611" s="55" t="n"/>
      <c r="C611" s="55" t="n"/>
      <c r="D611" s="55" t="n"/>
      <c r="E611" s="55" t="n"/>
      <c r="F611" s="55" t="n"/>
      <c r="G611" s="55" t="n"/>
    </row>
    <row r="612">
      <c r="A612" s="55" t="n"/>
      <c r="B612" s="55" t="n"/>
      <c r="C612" s="55" t="n"/>
      <c r="D612" s="55" t="n"/>
      <c r="E612" s="55" t="n"/>
      <c r="F612" s="55" t="n"/>
      <c r="G612" s="55" t="n"/>
    </row>
    <row r="613">
      <c r="A613" s="55" t="n"/>
      <c r="B613" s="55" t="n"/>
      <c r="C613" s="55" t="n"/>
      <c r="D613" s="55" t="n"/>
      <c r="E613" s="55" t="n"/>
      <c r="F613" s="55" t="n"/>
      <c r="G613" s="55" t="n"/>
    </row>
    <row r="614">
      <c r="A614" s="55" t="n"/>
      <c r="B614" s="55" t="n"/>
      <c r="C614" s="55" t="n"/>
      <c r="D614" s="55" t="n"/>
      <c r="E614" s="55" t="n"/>
      <c r="F614" s="55" t="n"/>
      <c r="G614" s="55" t="n"/>
    </row>
    <row r="615">
      <c r="A615" s="55" t="n"/>
      <c r="B615" s="55" t="n"/>
      <c r="C615" s="55" t="n"/>
      <c r="D615" s="55" t="n"/>
      <c r="E615" s="55" t="n"/>
      <c r="F615" s="55" t="n"/>
      <c r="G615" s="55" t="n"/>
    </row>
    <row r="616">
      <c r="A616" s="55" t="n"/>
      <c r="B616" s="55" t="n"/>
      <c r="C616" s="55" t="n"/>
      <c r="D616" s="55" t="n"/>
      <c r="E616" s="55" t="n"/>
      <c r="F616" s="55" t="n"/>
      <c r="G616" s="55" t="n"/>
    </row>
    <row r="617">
      <c r="A617" s="55" t="n"/>
      <c r="B617" s="55" t="n"/>
      <c r="C617" s="55" t="n"/>
      <c r="D617" s="55" t="n"/>
      <c r="E617" s="55" t="n"/>
      <c r="F617" s="55" t="n"/>
      <c r="G617" s="55" t="n"/>
    </row>
    <row r="618">
      <c r="A618" s="55" t="n"/>
      <c r="B618" s="55" t="n"/>
      <c r="C618" s="55" t="n"/>
      <c r="D618" s="55" t="n"/>
      <c r="E618" s="55" t="n"/>
      <c r="F618" s="55" t="n"/>
      <c r="G618" s="55" t="n"/>
    </row>
    <row r="619">
      <c r="A619" s="55" t="n"/>
      <c r="B619" s="55" t="n"/>
      <c r="C619" s="55" t="n"/>
      <c r="D619" s="55" t="n"/>
      <c r="E619" s="55" t="n"/>
      <c r="F619" s="55" t="n"/>
      <c r="G619" s="55" t="n"/>
    </row>
    <row r="620">
      <c r="A620" s="55" t="n"/>
      <c r="B620" s="55" t="n"/>
      <c r="C620" s="55" t="n"/>
      <c r="D620" s="55" t="n"/>
      <c r="E620" s="55" t="n"/>
      <c r="F620" s="55" t="n"/>
      <c r="G620" s="55" t="n"/>
    </row>
    <row r="621">
      <c r="A621" s="55" t="n"/>
      <c r="B621" s="55" t="n"/>
      <c r="C621" s="55" t="n"/>
      <c r="D621" s="55" t="n"/>
      <c r="E621" s="55" t="n"/>
      <c r="F621" s="55" t="n"/>
      <c r="G621" s="55" t="n"/>
    </row>
    <row r="622">
      <c r="A622" s="55" t="n"/>
      <c r="B622" s="55" t="n"/>
      <c r="C622" s="55" t="n"/>
      <c r="D622" s="55" t="n"/>
      <c r="E622" s="55" t="n"/>
      <c r="F622" s="55" t="n"/>
      <c r="G622" s="55" t="n"/>
    </row>
    <row r="623">
      <c r="A623" s="55" t="n"/>
      <c r="B623" s="55" t="n"/>
      <c r="C623" s="55" t="n"/>
      <c r="D623" s="55" t="n"/>
      <c r="E623" s="55" t="n"/>
      <c r="F623" s="55" t="n"/>
      <c r="G623" s="55" t="n"/>
    </row>
    <row r="624">
      <c r="A624" s="55" t="n"/>
      <c r="B624" s="55" t="n"/>
      <c r="C624" s="55" t="n"/>
      <c r="D624" s="55" t="n"/>
      <c r="E624" s="55" t="n"/>
      <c r="F624" s="55" t="n"/>
      <c r="G624" s="55" t="n"/>
    </row>
    <row r="625">
      <c r="A625" s="55" t="n"/>
      <c r="B625" s="55" t="n"/>
      <c r="C625" s="55" t="n"/>
      <c r="D625" s="55" t="n"/>
      <c r="E625" s="55" t="n"/>
      <c r="F625" s="55" t="n"/>
      <c r="G625" s="55" t="n"/>
    </row>
    <row r="626">
      <c r="A626" s="55" t="n"/>
      <c r="B626" s="55" t="n"/>
      <c r="C626" s="55" t="n"/>
      <c r="D626" s="55" t="n"/>
      <c r="E626" s="55" t="n"/>
      <c r="F626" s="55" t="n"/>
      <c r="G626" s="55" t="n"/>
    </row>
    <row r="627">
      <c r="A627" s="55" t="n"/>
      <c r="B627" s="55" t="n"/>
      <c r="C627" s="55" t="n"/>
      <c r="D627" s="55" t="n"/>
      <c r="E627" s="55" t="n"/>
      <c r="F627" s="55" t="n"/>
      <c r="G627" s="55" t="n"/>
    </row>
    <row r="628">
      <c r="A628" s="55" t="n"/>
      <c r="B628" s="55" t="n"/>
      <c r="C628" s="55" t="n"/>
      <c r="D628" s="55" t="n"/>
      <c r="E628" s="55" t="n"/>
      <c r="F628" s="55" t="n"/>
      <c r="G628" s="55" t="n"/>
    </row>
    <row r="629">
      <c r="A629" s="55" t="n"/>
      <c r="B629" s="55" t="n"/>
      <c r="C629" s="55" t="n"/>
      <c r="D629" s="55" t="n"/>
      <c r="E629" s="55" t="n"/>
      <c r="F629" s="55" t="n"/>
      <c r="G629" s="55" t="n"/>
    </row>
    <row r="630">
      <c r="A630" s="55" t="n"/>
      <c r="B630" s="55" t="n"/>
      <c r="C630" s="55" t="n"/>
      <c r="D630" s="55" t="n"/>
      <c r="E630" s="55" t="n"/>
      <c r="F630" s="55" t="n"/>
      <c r="G630" s="55" t="n"/>
    </row>
    <row r="631">
      <c r="A631" s="55" t="n"/>
      <c r="B631" s="55" t="n"/>
      <c r="C631" s="55" t="n"/>
      <c r="D631" s="55" t="n"/>
      <c r="E631" s="55" t="n"/>
      <c r="F631" s="55" t="n"/>
      <c r="G631" s="55" t="n"/>
    </row>
    <row r="632">
      <c r="A632" s="55" t="n"/>
      <c r="B632" s="55" t="n"/>
      <c r="C632" s="55" t="n"/>
      <c r="D632" s="55" t="n"/>
      <c r="E632" s="55" t="n"/>
      <c r="F632" s="55" t="n"/>
      <c r="G632" s="55" t="n"/>
    </row>
    <row r="633">
      <c r="A633" s="55" t="n"/>
      <c r="B633" s="55" t="n"/>
      <c r="C633" s="55" t="n"/>
      <c r="D633" s="55" t="n"/>
      <c r="E633" s="55" t="n"/>
      <c r="F633" s="55" t="n"/>
      <c r="G633" s="55" t="n"/>
    </row>
    <row r="634">
      <c r="A634" s="55" t="n"/>
      <c r="B634" s="55" t="n"/>
      <c r="C634" s="55" t="n"/>
      <c r="D634" s="55" t="n"/>
      <c r="E634" s="55" t="n"/>
      <c r="F634" s="55" t="n"/>
      <c r="G634" s="55" t="n"/>
    </row>
    <row r="635">
      <c r="A635" s="55" t="n"/>
      <c r="B635" s="55" t="n"/>
      <c r="C635" s="55" t="n"/>
      <c r="D635" s="55" t="n"/>
      <c r="E635" s="55" t="n"/>
      <c r="F635" s="55" t="n"/>
      <c r="G635" s="55" t="n"/>
    </row>
    <row r="636">
      <c r="A636" s="55" t="n"/>
      <c r="B636" s="55" t="n"/>
      <c r="C636" s="55" t="n"/>
      <c r="D636" s="55" t="n"/>
      <c r="E636" s="55" t="n"/>
      <c r="F636" s="55" t="n"/>
      <c r="G636" s="55" t="n"/>
    </row>
    <row r="637">
      <c r="A637" s="55" t="n"/>
      <c r="B637" s="55" t="n"/>
      <c r="C637" s="55" t="n"/>
      <c r="D637" s="55" t="n"/>
      <c r="E637" s="55" t="n"/>
      <c r="F637" s="55" t="n"/>
      <c r="G637" s="55" t="n"/>
    </row>
    <row r="638">
      <c r="A638" s="55" t="n"/>
      <c r="B638" s="55" t="n"/>
      <c r="C638" s="55" t="n"/>
      <c r="D638" s="55" t="n"/>
      <c r="E638" s="55" t="n"/>
      <c r="F638" s="55" t="n"/>
      <c r="G638" s="55" t="n"/>
    </row>
    <row r="639">
      <c r="A639" s="55" t="n"/>
      <c r="B639" s="55" t="n"/>
      <c r="C639" s="55" t="n"/>
      <c r="D639" s="55" t="n"/>
      <c r="E639" s="55" t="n"/>
      <c r="F639" s="55" t="n"/>
      <c r="G639" s="55" t="n"/>
    </row>
    <row r="640">
      <c r="A640" s="55" t="n"/>
      <c r="B640" s="55" t="n"/>
      <c r="C640" s="55" t="n"/>
      <c r="D640" s="55" t="n"/>
      <c r="E640" s="55" t="n"/>
      <c r="F640" s="55" t="n"/>
      <c r="G640" s="55" t="n"/>
    </row>
    <row r="641">
      <c r="A641" s="55" t="n"/>
      <c r="B641" s="55" t="n"/>
      <c r="C641" s="55" t="n"/>
      <c r="D641" s="55" t="n"/>
      <c r="E641" s="55" t="n"/>
      <c r="F641" s="55" t="n"/>
      <c r="G641" s="55" t="n"/>
    </row>
    <row r="642">
      <c r="A642" s="55" t="n"/>
      <c r="B642" s="55" t="n"/>
      <c r="C642" s="55" t="n"/>
      <c r="D642" s="55" t="n"/>
      <c r="E642" s="55" t="n"/>
      <c r="F642" s="55" t="n"/>
      <c r="G642" s="55" t="n"/>
    </row>
    <row r="643">
      <c r="A643" s="55" t="n"/>
      <c r="B643" s="55" t="n"/>
      <c r="C643" s="55" t="n"/>
      <c r="D643" s="55" t="n"/>
      <c r="E643" s="55" t="n"/>
      <c r="F643" s="55" t="n"/>
      <c r="G643" s="55" t="n"/>
    </row>
    <row r="644">
      <c r="A644" s="55" t="n"/>
      <c r="B644" s="55" t="n"/>
      <c r="C644" s="55" t="n"/>
      <c r="D644" s="55" t="n"/>
      <c r="E644" s="55" t="n"/>
      <c r="F644" s="55" t="n"/>
      <c r="G644" s="55" t="n"/>
    </row>
    <row r="645">
      <c r="A645" s="55" t="n"/>
      <c r="B645" s="55" t="n"/>
      <c r="C645" s="55" t="n"/>
      <c r="D645" s="55" t="n"/>
      <c r="E645" s="55" t="n"/>
      <c r="F645" s="55" t="n"/>
      <c r="G645" s="55" t="n"/>
    </row>
    <row r="646">
      <c r="A646" s="55" t="n"/>
      <c r="B646" s="55" t="n"/>
      <c r="C646" s="55" t="n"/>
      <c r="D646" s="55" t="n"/>
      <c r="E646" s="55" t="n"/>
      <c r="F646" s="55" t="n"/>
      <c r="G646" s="55" t="n"/>
    </row>
    <row r="647">
      <c r="A647" s="55" t="n"/>
      <c r="B647" s="55" t="n"/>
      <c r="C647" s="55" t="n"/>
      <c r="D647" s="55" t="n"/>
      <c r="E647" s="55" t="n"/>
      <c r="F647" s="55" t="n"/>
      <c r="G647" s="55" t="n"/>
    </row>
    <row r="648">
      <c r="A648" s="55" t="n"/>
      <c r="B648" s="55" t="n"/>
      <c r="C648" s="55" t="n"/>
      <c r="D648" s="55" t="n"/>
      <c r="E648" s="55" t="n"/>
      <c r="F648" s="55" t="n"/>
      <c r="G648" s="55" t="n"/>
    </row>
    <row r="649">
      <c r="A649" s="55" t="n"/>
      <c r="B649" s="55" t="n"/>
      <c r="C649" s="55" t="n"/>
      <c r="D649" s="55" t="n"/>
      <c r="E649" s="55" t="n"/>
      <c r="F649" s="55" t="n"/>
      <c r="G649" s="55" t="n"/>
    </row>
    <row r="650">
      <c r="A650" s="55" t="n"/>
      <c r="B650" s="55" t="n"/>
      <c r="C650" s="55" t="n"/>
      <c r="D650" s="55" t="n"/>
      <c r="E650" s="55" t="n"/>
      <c r="F650" s="55" t="n"/>
      <c r="G650" s="55" t="n"/>
    </row>
    <row r="651">
      <c r="A651" s="55" t="n"/>
      <c r="B651" s="55" t="n"/>
      <c r="C651" s="55" t="n"/>
      <c r="D651" s="55" t="n"/>
      <c r="E651" s="55" t="n"/>
      <c r="F651" s="55" t="n"/>
      <c r="G651" s="55" t="n"/>
    </row>
    <row r="652">
      <c r="A652" s="55" t="n"/>
      <c r="B652" s="55" t="n"/>
      <c r="C652" s="55" t="n"/>
      <c r="D652" s="55" t="n"/>
      <c r="E652" s="55" t="n"/>
      <c r="F652" s="55" t="n"/>
      <c r="G652" s="55" t="n"/>
    </row>
    <row r="653">
      <c r="A653" s="55" t="n"/>
      <c r="B653" s="55" t="n"/>
      <c r="C653" s="55" t="n"/>
      <c r="D653" s="55" t="n"/>
      <c r="E653" s="55" t="n"/>
      <c r="F653" s="55" t="n"/>
      <c r="G653" s="55" t="n"/>
    </row>
    <row r="654">
      <c r="A654" s="55" t="n"/>
      <c r="B654" s="55" t="n"/>
      <c r="C654" s="55" t="n"/>
      <c r="D654" s="55" t="n"/>
      <c r="E654" s="55" t="n"/>
      <c r="F654" s="55" t="n"/>
      <c r="G654" s="55" t="n"/>
    </row>
    <row r="655">
      <c r="A655" s="55" t="n"/>
      <c r="B655" s="55" t="n"/>
      <c r="C655" s="55" t="n"/>
      <c r="D655" s="55" t="n"/>
      <c r="E655" s="55" t="n"/>
      <c r="F655" s="55" t="n"/>
      <c r="G655" s="55" t="n"/>
    </row>
    <row r="656">
      <c r="A656" s="55" t="n"/>
      <c r="B656" s="55" t="n"/>
      <c r="C656" s="55" t="n"/>
      <c r="D656" s="55" t="n"/>
      <c r="E656" s="55" t="n"/>
      <c r="F656" s="55" t="n"/>
      <c r="G656" s="55" t="n"/>
    </row>
    <row r="657">
      <c r="A657" s="55" t="n"/>
      <c r="B657" s="55" t="n"/>
      <c r="C657" s="55" t="n"/>
      <c r="D657" s="55" t="n"/>
      <c r="E657" s="55" t="n"/>
      <c r="F657" s="55" t="n"/>
      <c r="G657" s="55" t="n"/>
    </row>
    <row r="658">
      <c r="A658" s="55" t="n"/>
      <c r="B658" s="55" t="n"/>
      <c r="C658" s="55" t="n"/>
      <c r="D658" s="55" t="n"/>
      <c r="E658" s="55" t="n"/>
      <c r="F658" s="55" t="n"/>
      <c r="G658" s="55" t="n"/>
    </row>
    <row r="659">
      <c r="A659" s="55" t="n"/>
      <c r="B659" s="55" t="n"/>
      <c r="C659" s="55" t="n"/>
      <c r="D659" s="55" t="n"/>
      <c r="E659" s="55" t="n"/>
      <c r="F659" s="55" t="n"/>
      <c r="G659" s="55" t="n"/>
    </row>
    <row r="660">
      <c r="A660" s="55" t="n"/>
      <c r="B660" s="55" t="n"/>
      <c r="C660" s="55" t="n"/>
      <c r="D660" s="55" t="n"/>
      <c r="E660" s="55" t="n"/>
      <c r="F660" s="55" t="n"/>
      <c r="G660" s="55" t="n"/>
    </row>
    <row r="661">
      <c r="A661" s="55" t="n"/>
      <c r="B661" s="55" t="n"/>
      <c r="C661" s="55" t="n"/>
      <c r="D661" s="55" t="n"/>
      <c r="E661" s="55" t="n"/>
      <c r="F661" s="55" t="n"/>
      <c r="G661" s="55" t="n"/>
    </row>
    <row r="662">
      <c r="A662" s="55" t="n"/>
      <c r="B662" s="55" t="n"/>
      <c r="C662" s="55" t="n"/>
      <c r="D662" s="55" t="n"/>
      <c r="E662" s="55" t="n"/>
      <c r="F662" s="55" t="n"/>
      <c r="G662" s="55" t="n"/>
    </row>
    <row r="663">
      <c r="A663" s="55" t="n"/>
      <c r="B663" s="55" t="n"/>
      <c r="C663" s="55" t="n"/>
      <c r="D663" s="55" t="n"/>
      <c r="E663" s="55" t="n"/>
      <c r="F663" s="55" t="n"/>
      <c r="G663" s="55" t="n"/>
    </row>
    <row r="664">
      <c r="A664" s="55" t="n"/>
      <c r="B664" s="55" t="n"/>
      <c r="C664" s="55" t="n"/>
      <c r="D664" s="55" t="n"/>
      <c r="E664" s="55" t="n"/>
      <c r="F664" s="55" t="n"/>
      <c r="G664" s="55" t="n"/>
    </row>
    <row r="665">
      <c r="A665" s="55" t="n"/>
      <c r="B665" s="55" t="n"/>
      <c r="C665" s="55" t="n"/>
      <c r="D665" s="55" t="n"/>
      <c r="E665" s="55" t="n"/>
      <c r="F665" s="55" t="n"/>
      <c r="G665" s="55" t="n"/>
    </row>
    <row r="666">
      <c r="A666" s="55" t="n"/>
      <c r="B666" s="55" t="n"/>
      <c r="C666" s="55" t="n"/>
      <c r="D666" s="55" t="n"/>
      <c r="E666" s="55" t="n"/>
      <c r="F666" s="55" t="n"/>
      <c r="G666" s="55" t="n"/>
    </row>
    <row r="667">
      <c r="A667" s="55" t="n"/>
      <c r="B667" s="55" t="n"/>
      <c r="C667" s="55" t="n"/>
      <c r="D667" s="55" t="n"/>
      <c r="E667" s="55" t="n"/>
      <c r="F667" s="55" t="n"/>
      <c r="G667" s="55" t="n"/>
    </row>
    <row r="668">
      <c r="A668" s="55" t="n"/>
      <c r="B668" s="55" t="n"/>
      <c r="C668" s="55" t="n"/>
      <c r="D668" s="55" t="n"/>
      <c r="E668" s="55" t="n"/>
      <c r="F668" s="55" t="n"/>
      <c r="G668" s="55" t="n"/>
    </row>
    <row r="669">
      <c r="A669" s="55" t="n"/>
      <c r="B669" s="55" t="n"/>
      <c r="C669" s="55" t="n"/>
      <c r="D669" s="55" t="n"/>
      <c r="E669" s="55" t="n"/>
      <c r="F669" s="55" t="n"/>
      <c r="G669" s="55" t="n"/>
    </row>
    <row r="670">
      <c r="A670" s="55" t="n"/>
      <c r="B670" s="55" t="n"/>
      <c r="C670" s="55" t="n"/>
      <c r="D670" s="55" t="n"/>
      <c r="E670" s="55" t="n"/>
      <c r="F670" s="55" t="n"/>
      <c r="G670" s="55" t="n"/>
    </row>
    <row r="671">
      <c r="A671" s="55" t="n"/>
      <c r="B671" s="55" t="n"/>
      <c r="C671" s="55" t="n"/>
      <c r="D671" s="55" t="n"/>
      <c r="E671" s="55" t="n"/>
      <c r="F671" s="55" t="n"/>
      <c r="G671" s="55" t="n"/>
    </row>
    <row r="672">
      <c r="A672" s="55" t="n"/>
      <c r="B672" s="55" t="n"/>
      <c r="C672" s="55" t="n"/>
      <c r="D672" s="55" t="n"/>
      <c r="E672" s="55" t="n"/>
      <c r="F672" s="55" t="n"/>
      <c r="G672" s="55" t="n"/>
    </row>
    <row r="673">
      <c r="A673" s="55" t="n"/>
      <c r="B673" s="55" t="n"/>
      <c r="C673" s="55" t="n"/>
      <c r="D673" s="55" t="n"/>
      <c r="E673" s="55" t="n"/>
      <c r="F673" s="55" t="n"/>
      <c r="G673" s="55" t="n"/>
    </row>
    <row r="674">
      <c r="A674" s="55" t="n"/>
      <c r="B674" s="55" t="n"/>
      <c r="C674" s="55" t="n"/>
      <c r="D674" s="55" t="n"/>
      <c r="E674" s="55" t="n"/>
      <c r="F674" s="55" t="n"/>
      <c r="G674" s="55" t="n"/>
    </row>
    <row r="675">
      <c r="A675" s="55" t="n"/>
      <c r="B675" s="55" t="n"/>
      <c r="C675" s="55" t="n"/>
      <c r="D675" s="55" t="n"/>
      <c r="E675" s="55" t="n"/>
      <c r="F675" s="55" t="n"/>
      <c r="G675" s="55" t="n"/>
    </row>
    <row r="676">
      <c r="A676" s="55" t="n"/>
      <c r="B676" s="55" t="n"/>
      <c r="C676" s="55" t="n"/>
      <c r="D676" s="55" t="n"/>
      <c r="E676" s="55" t="n"/>
      <c r="F676" s="55" t="n"/>
      <c r="G676" s="55" t="n"/>
    </row>
    <row r="677">
      <c r="A677" s="55" t="n"/>
      <c r="B677" s="55" t="n"/>
      <c r="C677" s="55" t="n"/>
      <c r="D677" s="55" t="n"/>
      <c r="E677" s="55" t="n"/>
      <c r="F677" s="55" t="n"/>
      <c r="G677" s="55" t="n"/>
    </row>
    <row r="678">
      <c r="A678" s="55" t="n"/>
      <c r="B678" s="55" t="n"/>
      <c r="C678" s="55" t="n"/>
      <c r="D678" s="55" t="n"/>
      <c r="E678" s="55" t="n"/>
      <c r="F678" s="55" t="n"/>
      <c r="G678" s="55" t="n"/>
    </row>
    <row r="679">
      <c r="A679" s="55" t="n"/>
      <c r="B679" s="55" t="n"/>
      <c r="C679" s="55" t="n"/>
      <c r="D679" s="55" t="n"/>
      <c r="E679" s="55" t="n"/>
      <c r="F679" s="55" t="n"/>
      <c r="G679" s="55" t="n"/>
    </row>
    <row r="680">
      <c r="A680" s="55" t="n"/>
      <c r="B680" s="55" t="n"/>
      <c r="C680" s="55" t="n"/>
      <c r="D680" s="55" t="n"/>
      <c r="E680" s="55" t="n"/>
      <c r="F680" s="55" t="n"/>
      <c r="G680" s="55" t="n"/>
    </row>
    <row r="681">
      <c r="A681" s="55" t="n"/>
      <c r="B681" s="55" t="n"/>
      <c r="C681" s="55" t="n"/>
      <c r="D681" s="55" t="n"/>
      <c r="E681" s="55" t="n"/>
      <c r="F681" s="55" t="n"/>
      <c r="G681" s="55" t="n"/>
    </row>
    <row r="682">
      <c r="A682" s="55" t="n"/>
      <c r="B682" s="55" t="n"/>
      <c r="C682" s="55" t="n"/>
      <c r="D682" s="55" t="n"/>
      <c r="E682" s="55" t="n"/>
      <c r="F682" s="55" t="n"/>
      <c r="G682" s="55" t="n"/>
    </row>
    <row r="683">
      <c r="A683" s="55" t="n"/>
      <c r="B683" s="55" t="n"/>
      <c r="C683" s="55" t="n"/>
      <c r="D683" s="55" t="n"/>
      <c r="E683" s="55" t="n"/>
      <c r="F683" s="55" t="n"/>
      <c r="G683" s="55" t="n"/>
    </row>
    <row r="684">
      <c r="A684" s="55" t="n"/>
      <c r="B684" s="55" t="n"/>
      <c r="C684" s="55" t="n"/>
      <c r="D684" s="55" t="n"/>
      <c r="E684" s="55" t="n"/>
      <c r="F684" s="55" t="n"/>
      <c r="G684" s="55" t="n"/>
    </row>
    <row r="685">
      <c r="A685" s="55" t="n"/>
      <c r="B685" s="55" t="n"/>
      <c r="C685" s="55" t="n"/>
      <c r="D685" s="55" t="n"/>
      <c r="E685" s="55" t="n"/>
      <c r="F685" s="55" t="n"/>
      <c r="G685" s="55" t="n"/>
    </row>
    <row r="686">
      <c r="A686" s="55" t="n"/>
      <c r="B686" s="55" t="n"/>
      <c r="C686" s="55" t="n"/>
      <c r="D686" s="55" t="n"/>
      <c r="E686" s="55" t="n"/>
      <c r="F686" s="55" t="n"/>
      <c r="G686" s="55" t="n"/>
    </row>
    <row r="687">
      <c r="A687" s="55" t="n"/>
      <c r="B687" s="55" t="n"/>
      <c r="C687" s="55" t="n"/>
      <c r="D687" s="55" t="n"/>
      <c r="E687" s="55" t="n"/>
      <c r="F687" s="55" t="n"/>
      <c r="G687" s="55" t="n"/>
    </row>
    <row r="688">
      <c r="A688" s="55" t="n"/>
      <c r="B688" s="55" t="n"/>
      <c r="C688" s="55" t="n"/>
      <c r="D688" s="55" t="n"/>
      <c r="E688" s="55" t="n"/>
      <c r="F688" s="55" t="n"/>
      <c r="G688" s="55" t="n"/>
    </row>
    <row r="689">
      <c r="A689" s="55" t="n"/>
      <c r="B689" s="55" t="n"/>
      <c r="C689" s="55" t="n"/>
      <c r="D689" s="55" t="n"/>
      <c r="E689" s="55" t="n"/>
      <c r="F689" s="55" t="n"/>
      <c r="G689" s="55" t="n"/>
    </row>
    <row r="690">
      <c r="A690" s="55" t="n"/>
      <c r="B690" s="55" t="n"/>
      <c r="C690" s="55" t="n"/>
      <c r="D690" s="55" t="n"/>
      <c r="E690" s="55" t="n"/>
      <c r="F690" s="55" t="n"/>
      <c r="G690" s="55" t="n"/>
    </row>
    <row r="691">
      <c r="A691" s="55" t="n"/>
      <c r="B691" s="55" t="n"/>
      <c r="C691" s="55" t="n"/>
      <c r="D691" s="55" t="n"/>
      <c r="E691" s="55" t="n"/>
      <c r="F691" s="55" t="n"/>
      <c r="G691" s="55" t="n"/>
    </row>
    <row r="692">
      <c r="A692" s="55" t="n"/>
      <c r="B692" s="55" t="n"/>
      <c r="C692" s="55" t="n"/>
      <c r="D692" s="55" t="n"/>
      <c r="E692" s="55" t="n"/>
      <c r="F692" s="55" t="n"/>
      <c r="G692" s="55" t="n"/>
    </row>
    <row r="693">
      <c r="A693" s="55" t="n"/>
      <c r="B693" s="55" t="n"/>
      <c r="C693" s="55" t="n"/>
      <c r="D693" s="55" t="n"/>
      <c r="E693" s="55" t="n"/>
      <c r="F693" s="55" t="n"/>
      <c r="G693" s="55" t="n"/>
    </row>
    <row r="694">
      <c r="A694" s="55" t="n"/>
      <c r="B694" s="55" t="n"/>
      <c r="C694" s="55" t="n"/>
      <c r="D694" s="55" t="n"/>
      <c r="E694" s="55" t="n"/>
      <c r="F694" s="55" t="n"/>
      <c r="G694" s="55" t="n"/>
    </row>
    <row r="695">
      <c r="A695" s="55" t="n"/>
      <c r="B695" s="55" t="n"/>
      <c r="C695" s="55" t="n"/>
      <c r="D695" s="55" t="n"/>
      <c r="E695" s="55" t="n"/>
      <c r="F695" s="55" t="n"/>
      <c r="G695" s="55" t="n"/>
    </row>
    <row r="696">
      <c r="A696" s="55" t="n"/>
      <c r="B696" s="55" t="n"/>
      <c r="C696" s="55" t="n"/>
      <c r="D696" s="55" t="n"/>
      <c r="E696" s="55" t="n"/>
      <c r="F696" s="55" t="n"/>
      <c r="G696" s="55" t="n"/>
    </row>
    <row r="697">
      <c r="A697" s="55" t="n"/>
      <c r="B697" s="55" t="n"/>
      <c r="C697" s="55" t="n"/>
      <c r="D697" s="55" t="n"/>
      <c r="E697" s="55" t="n"/>
      <c r="F697" s="55" t="n"/>
      <c r="G697" s="55" t="n"/>
    </row>
    <row r="698">
      <c r="A698" s="55" t="n"/>
      <c r="B698" s="55" t="n"/>
      <c r="C698" s="55" t="n"/>
      <c r="D698" s="55" t="n"/>
      <c r="E698" s="55" t="n"/>
      <c r="F698" s="55" t="n"/>
      <c r="G698" s="55" t="n"/>
    </row>
    <row r="699">
      <c r="A699" s="55" t="n"/>
      <c r="B699" s="55" t="n"/>
      <c r="C699" s="55" t="n"/>
      <c r="D699" s="55" t="n"/>
      <c r="E699" s="55" t="n"/>
      <c r="F699" s="55" t="n"/>
      <c r="G699" s="55" t="n"/>
    </row>
    <row r="700">
      <c r="A700" s="55" t="n"/>
      <c r="B700" s="55" t="n"/>
      <c r="C700" s="55" t="n"/>
      <c r="D700" s="55" t="n"/>
      <c r="E700" s="55" t="n"/>
      <c r="F700" s="55" t="n"/>
      <c r="G700" s="55" t="n"/>
    </row>
    <row r="701">
      <c r="A701" s="55" t="n"/>
      <c r="B701" s="55" t="n"/>
      <c r="C701" s="55" t="n"/>
      <c r="D701" s="55" t="n"/>
      <c r="E701" s="55" t="n"/>
      <c r="F701" s="55" t="n"/>
      <c r="G701" s="55" t="n"/>
    </row>
    <row r="702">
      <c r="A702" s="55" t="n"/>
      <c r="B702" s="55" t="n"/>
      <c r="C702" s="55" t="n"/>
      <c r="D702" s="55" t="n"/>
      <c r="E702" s="55" t="n"/>
      <c r="F702" s="55" t="n"/>
      <c r="G702" s="55" t="n"/>
    </row>
    <row r="703">
      <c r="A703" s="55" t="n"/>
      <c r="B703" s="55" t="n"/>
      <c r="C703" s="55" t="n"/>
      <c r="D703" s="55" t="n"/>
      <c r="E703" s="55" t="n"/>
      <c r="F703" s="55" t="n"/>
      <c r="G703" s="55" t="n"/>
    </row>
    <row r="704">
      <c r="A704" s="55" t="n"/>
      <c r="B704" s="55" t="n"/>
      <c r="C704" s="55" t="n"/>
      <c r="D704" s="55" t="n"/>
      <c r="E704" s="55" t="n"/>
      <c r="F704" s="55" t="n"/>
      <c r="G704" s="55" t="n"/>
    </row>
    <row r="705">
      <c r="A705" s="55" t="n"/>
      <c r="B705" s="55" t="n"/>
      <c r="C705" s="55" t="n"/>
      <c r="D705" s="55" t="n"/>
      <c r="E705" s="55" t="n"/>
      <c r="F705" s="55" t="n"/>
      <c r="G705" s="55" t="n"/>
    </row>
    <row r="706">
      <c r="A706" s="55" t="n"/>
      <c r="B706" s="55" t="n"/>
      <c r="C706" s="55" t="n"/>
      <c r="D706" s="55" t="n"/>
      <c r="E706" s="55" t="n"/>
      <c r="F706" s="55" t="n"/>
      <c r="G706" s="55" t="n"/>
    </row>
    <row r="707">
      <c r="A707" s="55" t="n"/>
      <c r="B707" s="55" t="n"/>
      <c r="C707" s="55" t="n"/>
      <c r="D707" s="55" t="n"/>
      <c r="E707" s="55" t="n"/>
      <c r="F707" s="55" t="n"/>
      <c r="G707" s="55" t="n"/>
    </row>
    <row r="708">
      <c r="A708" s="55" t="n"/>
      <c r="B708" s="55" t="n"/>
      <c r="C708" s="55" t="n"/>
      <c r="D708" s="55" t="n"/>
      <c r="E708" s="55" t="n"/>
      <c r="F708" s="55" t="n"/>
      <c r="G708" s="55" t="n"/>
    </row>
    <row r="709">
      <c r="A709" s="55" t="n"/>
      <c r="B709" s="55" t="n"/>
      <c r="C709" s="55" t="n"/>
      <c r="D709" s="55" t="n"/>
      <c r="E709" s="55" t="n"/>
      <c r="F709" s="55" t="n"/>
      <c r="G709" s="55" t="n"/>
    </row>
    <row r="710">
      <c r="A710" s="55" t="n"/>
      <c r="B710" s="55" t="n"/>
      <c r="C710" s="55" t="n"/>
      <c r="D710" s="55" t="n"/>
      <c r="E710" s="55" t="n"/>
      <c r="F710" s="55" t="n"/>
      <c r="G710" s="55" t="n"/>
    </row>
    <row r="711">
      <c r="A711" s="55" t="n"/>
      <c r="B711" s="55" t="n"/>
      <c r="C711" s="55" t="n"/>
      <c r="D711" s="55" t="n"/>
      <c r="E711" s="55" t="n"/>
      <c r="F711" s="55" t="n"/>
      <c r="G711" s="55" t="n"/>
    </row>
    <row r="712">
      <c r="A712" s="55" t="n"/>
      <c r="B712" s="55" t="n"/>
      <c r="C712" s="55" t="n"/>
      <c r="D712" s="55" t="n"/>
      <c r="E712" s="55" t="n"/>
      <c r="F712" s="55" t="n"/>
      <c r="G712" s="55" t="n"/>
    </row>
    <row r="713">
      <c r="A713" s="55" t="n"/>
      <c r="B713" s="55" t="n"/>
      <c r="C713" s="55" t="n"/>
      <c r="D713" s="55" t="n"/>
      <c r="E713" s="55" t="n"/>
      <c r="F713" s="55" t="n"/>
      <c r="G713" s="55" t="n"/>
    </row>
    <row r="714">
      <c r="A714" s="55" t="n"/>
      <c r="B714" s="55" t="n"/>
      <c r="C714" s="55" t="n"/>
      <c r="D714" s="55" t="n"/>
      <c r="E714" s="55" t="n"/>
      <c r="F714" s="55" t="n"/>
      <c r="G714" s="55" t="n"/>
    </row>
    <row r="715">
      <c r="A715" s="55" t="n"/>
      <c r="B715" s="55" t="n"/>
      <c r="C715" s="55" t="n"/>
      <c r="D715" s="55" t="n"/>
      <c r="E715" s="55" t="n"/>
      <c r="F715" s="55" t="n"/>
      <c r="G715" s="55" t="n"/>
    </row>
    <row r="716">
      <c r="A716" s="55" t="n"/>
      <c r="B716" s="55" t="n"/>
      <c r="C716" s="55" t="n"/>
      <c r="D716" s="55" t="n"/>
      <c r="E716" s="55" t="n"/>
      <c r="F716" s="55" t="n"/>
      <c r="G716" s="55" t="n"/>
    </row>
    <row r="717">
      <c r="A717" s="55" t="n"/>
      <c r="B717" s="55" t="n"/>
      <c r="C717" s="55" t="n"/>
      <c r="D717" s="55" t="n"/>
      <c r="E717" s="55" t="n"/>
      <c r="F717" s="55" t="n"/>
      <c r="G717" s="55" t="n"/>
    </row>
    <row r="718">
      <c r="A718" s="55" t="n"/>
      <c r="B718" s="55" t="n"/>
      <c r="C718" s="55" t="n"/>
      <c r="D718" s="55" t="n"/>
      <c r="E718" s="55" t="n"/>
      <c r="F718" s="55" t="n"/>
      <c r="G718" s="55" t="n"/>
    </row>
    <row r="719">
      <c r="A719" s="55" t="n"/>
      <c r="B719" s="55" t="n"/>
      <c r="C719" s="55" t="n"/>
      <c r="D719" s="55" t="n"/>
      <c r="E719" s="55" t="n"/>
      <c r="F719" s="55" t="n"/>
      <c r="G719" s="55" t="n"/>
    </row>
    <row r="720">
      <c r="A720" s="55" t="n"/>
      <c r="B720" s="55" t="n"/>
      <c r="C720" s="55" t="n"/>
      <c r="D720" s="55" t="n"/>
      <c r="E720" s="55" t="n"/>
      <c r="F720" s="55" t="n"/>
      <c r="G720" s="55" t="n"/>
    </row>
    <row r="721">
      <c r="A721" s="55" t="n"/>
      <c r="B721" s="55" t="n"/>
      <c r="C721" s="55" t="n"/>
      <c r="D721" s="55" t="n"/>
      <c r="E721" s="55" t="n"/>
      <c r="F721" s="55" t="n"/>
      <c r="G721" s="55" t="n"/>
    </row>
    <row r="722">
      <c r="A722" s="55" t="n"/>
      <c r="B722" s="55" t="n"/>
      <c r="C722" s="55" t="n"/>
      <c r="D722" s="55" t="n"/>
      <c r="E722" s="55" t="n"/>
      <c r="F722" s="55" t="n"/>
      <c r="G722" s="55" t="n"/>
    </row>
    <row r="723">
      <c r="A723" s="55" t="n"/>
      <c r="B723" s="55" t="n"/>
      <c r="C723" s="55" t="n"/>
      <c r="D723" s="55" t="n"/>
      <c r="E723" s="55" t="n"/>
      <c r="F723" s="55" t="n"/>
      <c r="G723" s="55" t="n"/>
    </row>
    <row r="724">
      <c r="A724" s="55" t="n"/>
      <c r="B724" s="55" t="n"/>
      <c r="C724" s="55" t="n"/>
      <c r="D724" s="55" t="n"/>
      <c r="E724" s="55" t="n"/>
      <c r="F724" s="55" t="n"/>
      <c r="G724" s="55" t="n"/>
    </row>
    <row r="725">
      <c r="A725" s="55" t="n"/>
      <c r="B725" s="55" t="n"/>
      <c r="C725" s="55" t="n"/>
      <c r="D725" s="55" t="n"/>
      <c r="E725" s="55" t="n"/>
      <c r="F725" s="55" t="n"/>
      <c r="G725" s="55" t="n"/>
    </row>
    <row r="726">
      <c r="A726" s="55" t="n"/>
      <c r="B726" s="55" t="n"/>
      <c r="C726" s="55" t="n"/>
      <c r="D726" s="55" t="n"/>
      <c r="E726" s="55" t="n"/>
      <c r="F726" s="55" t="n"/>
      <c r="G726" s="55" t="n"/>
    </row>
    <row r="727">
      <c r="A727" s="55" t="n"/>
      <c r="B727" s="55" t="n"/>
      <c r="C727" s="55" t="n"/>
      <c r="D727" s="55" t="n"/>
      <c r="E727" s="55" t="n"/>
      <c r="F727" s="55" t="n"/>
      <c r="G727" s="55" t="n"/>
    </row>
    <row r="728">
      <c r="A728" s="55" t="n"/>
      <c r="B728" s="55" t="n"/>
      <c r="C728" s="55" t="n"/>
      <c r="D728" s="55" t="n"/>
      <c r="E728" s="55" t="n"/>
      <c r="F728" s="55" t="n"/>
      <c r="G728" s="55" t="n"/>
    </row>
    <row r="729">
      <c r="A729" s="55" t="n"/>
      <c r="B729" s="55" t="n"/>
      <c r="C729" s="55" t="n"/>
      <c r="D729" s="55" t="n"/>
      <c r="E729" s="55" t="n"/>
      <c r="F729" s="55" t="n"/>
      <c r="G729" s="55" t="n"/>
    </row>
    <row r="730">
      <c r="A730" s="55" t="n"/>
      <c r="B730" s="55" t="n"/>
      <c r="C730" s="55" t="n"/>
      <c r="D730" s="55" t="n"/>
      <c r="E730" s="55" t="n"/>
      <c r="F730" s="55" t="n"/>
      <c r="G730" s="55" t="n"/>
    </row>
    <row r="731">
      <c r="A731" s="55" t="n"/>
      <c r="B731" s="55" t="n"/>
      <c r="C731" s="55" t="n"/>
      <c r="D731" s="55" t="n"/>
      <c r="E731" s="55" t="n"/>
      <c r="F731" s="55" t="n"/>
      <c r="G731" s="55" t="n"/>
    </row>
    <row r="732">
      <c r="A732" s="55" t="n"/>
      <c r="B732" s="55" t="n"/>
      <c r="C732" s="55" t="n"/>
      <c r="D732" s="55" t="n"/>
      <c r="E732" s="55" t="n"/>
      <c r="F732" s="55" t="n"/>
      <c r="G732" s="55" t="n"/>
    </row>
    <row r="733">
      <c r="A733" s="55" t="n"/>
      <c r="B733" s="55" t="n"/>
      <c r="C733" s="55" t="n"/>
      <c r="D733" s="55" t="n"/>
      <c r="E733" s="55" t="n"/>
      <c r="F733" s="55" t="n"/>
      <c r="G733" s="55" t="n"/>
    </row>
    <row r="734">
      <c r="A734" s="55" t="n"/>
      <c r="B734" s="55" t="n"/>
      <c r="C734" s="55" t="n"/>
      <c r="D734" s="55" t="n"/>
      <c r="E734" s="55" t="n"/>
      <c r="F734" s="55" t="n"/>
      <c r="G734" s="55" t="n"/>
    </row>
    <row r="735">
      <c r="A735" s="55" t="n"/>
      <c r="B735" s="55" t="n"/>
      <c r="C735" s="55" t="n"/>
      <c r="D735" s="55" t="n"/>
      <c r="E735" s="55" t="n"/>
      <c r="F735" s="55" t="n"/>
      <c r="G735" s="55" t="n"/>
    </row>
    <row r="736">
      <c r="A736" s="55" t="n"/>
      <c r="B736" s="55" t="n"/>
      <c r="C736" s="55" t="n"/>
      <c r="D736" s="55" t="n"/>
      <c r="E736" s="55" t="n"/>
      <c r="F736" s="55" t="n"/>
      <c r="G736" s="55" t="n"/>
    </row>
    <row r="737">
      <c r="A737" s="55" t="n"/>
      <c r="B737" s="55" t="n"/>
      <c r="C737" s="55" t="n"/>
      <c r="D737" s="55" t="n"/>
      <c r="E737" s="55" t="n"/>
      <c r="F737" s="55" t="n"/>
      <c r="G737" s="55" t="n"/>
    </row>
    <row r="738">
      <c r="A738" s="55" t="n"/>
      <c r="B738" s="55" t="n"/>
      <c r="C738" s="55" t="n"/>
      <c r="D738" s="55" t="n"/>
      <c r="E738" s="55" t="n"/>
      <c r="F738" s="55" t="n"/>
      <c r="G738" s="55" t="n"/>
    </row>
    <row r="739">
      <c r="A739" s="55" t="n"/>
      <c r="B739" s="55" t="n"/>
      <c r="C739" s="55" t="n"/>
      <c r="D739" s="55" t="n"/>
      <c r="E739" s="55" t="n"/>
      <c r="F739" s="55" t="n"/>
      <c r="G739" s="55" t="n"/>
    </row>
    <row r="740">
      <c r="A740" s="55" t="n"/>
      <c r="B740" s="55" t="n"/>
      <c r="C740" s="55" t="n"/>
      <c r="D740" s="55" t="n"/>
      <c r="E740" s="55" t="n"/>
      <c r="F740" s="55" t="n"/>
      <c r="G740" s="55" t="n"/>
    </row>
    <row r="741">
      <c r="A741" s="55" t="n"/>
      <c r="B741" s="55" t="n"/>
      <c r="C741" s="55" t="n"/>
      <c r="D741" s="55" t="n"/>
      <c r="E741" s="55" t="n"/>
      <c r="F741" s="55" t="n"/>
      <c r="G741" s="55" t="n"/>
    </row>
    <row r="742">
      <c r="A742" s="55" t="n"/>
      <c r="B742" s="55" t="n"/>
      <c r="C742" s="55" t="n"/>
      <c r="D742" s="55" t="n"/>
      <c r="E742" s="55" t="n"/>
      <c r="F742" s="55" t="n"/>
      <c r="G742" s="55" t="n"/>
    </row>
    <row r="743">
      <c r="A743" s="55" t="n"/>
      <c r="B743" s="55" t="n"/>
      <c r="C743" s="55" t="n"/>
      <c r="D743" s="55" t="n"/>
      <c r="E743" s="55" t="n"/>
      <c r="F743" s="55" t="n"/>
      <c r="G743" s="55" t="n"/>
    </row>
    <row r="744">
      <c r="A744" s="55" t="n"/>
      <c r="B744" s="55" t="n"/>
      <c r="C744" s="55" t="n"/>
      <c r="D744" s="55" t="n"/>
      <c r="E744" s="55" t="n"/>
      <c r="F744" s="55" t="n"/>
      <c r="G744" s="55" t="n"/>
    </row>
    <row r="745">
      <c r="A745" s="55" t="n"/>
      <c r="B745" s="55" t="n"/>
      <c r="C745" s="55" t="n"/>
      <c r="D745" s="55" t="n"/>
      <c r="E745" s="55" t="n"/>
      <c r="F745" s="55" t="n"/>
      <c r="G745" s="55" t="n"/>
    </row>
    <row r="746">
      <c r="A746" s="55" t="n"/>
      <c r="B746" s="55" t="n"/>
      <c r="C746" s="55" t="n"/>
      <c r="D746" s="55" t="n"/>
      <c r="E746" s="55" t="n"/>
      <c r="F746" s="55" t="n"/>
      <c r="G746" s="55" t="n"/>
    </row>
    <row r="747">
      <c r="A747" s="55" t="n"/>
      <c r="B747" s="55" t="n"/>
      <c r="C747" s="55" t="n"/>
      <c r="D747" s="55" t="n"/>
      <c r="E747" s="55" t="n"/>
      <c r="F747" s="55" t="n"/>
      <c r="G747" s="55" t="n"/>
    </row>
    <row r="748">
      <c r="A748" s="55" t="n"/>
      <c r="B748" s="55" t="n"/>
      <c r="C748" s="55" t="n"/>
      <c r="D748" s="55" t="n"/>
      <c r="E748" s="55" t="n"/>
      <c r="F748" s="55" t="n"/>
      <c r="G748" s="55" t="n"/>
    </row>
    <row r="749">
      <c r="A749" s="55" t="n"/>
      <c r="B749" s="55" t="n"/>
      <c r="C749" s="55" t="n"/>
      <c r="D749" s="55" t="n"/>
      <c r="E749" s="55" t="n"/>
      <c r="F749" s="55" t="n"/>
      <c r="G749" s="55" t="n"/>
    </row>
    <row r="750">
      <c r="A750" s="55" t="n"/>
      <c r="B750" s="55" t="n"/>
      <c r="C750" s="55" t="n"/>
      <c r="D750" s="55" t="n"/>
      <c r="E750" s="55" t="n"/>
      <c r="F750" s="55" t="n"/>
      <c r="G750" s="55" t="n"/>
    </row>
    <row r="751">
      <c r="A751" s="55" t="n"/>
      <c r="B751" s="55" t="n"/>
      <c r="C751" s="55" t="n"/>
      <c r="D751" s="55" t="n"/>
      <c r="E751" s="55" t="n"/>
      <c r="F751" s="55" t="n"/>
      <c r="G751" s="55" t="n"/>
    </row>
    <row r="752">
      <c r="A752" s="55" t="n"/>
      <c r="B752" s="55" t="n"/>
      <c r="C752" s="55" t="n"/>
      <c r="D752" s="55" t="n"/>
      <c r="E752" s="55" t="n"/>
      <c r="F752" s="55" t="n"/>
      <c r="G752" s="55" t="n"/>
    </row>
    <row r="753">
      <c r="A753" s="55" t="n"/>
      <c r="B753" s="55" t="n"/>
      <c r="C753" s="55" t="n"/>
      <c r="D753" s="55" t="n"/>
      <c r="E753" s="55" t="n"/>
      <c r="F753" s="55" t="n"/>
      <c r="G753" s="55" t="n"/>
    </row>
    <row r="754">
      <c r="A754" s="55" t="n"/>
      <c r="B754" s="55" t="n"/>
      <c r="C754" s="55" t="n"/>
      <c r="D754" s="55" t="n"/>
      <c r="E754" s="55" t="n"/>
      <c r="F754" s="55" t="n"/>
      <c r="G754" s="55" t="n"/>
    </row>
    <row r="755">
      <c r="A755" s="55" t="n"/>
      <c r="B755" s="55" t="n"/>
      <c r="C755" s="55" t="n"/>
      <c r="D755" s="55" t="n"/>
      <c r="E755" s="55" t="n"/>
      <c r="F755" s="55" t="n"/>
      <c r="G755" s="55" t="n"/>
    </row>
    <row r="756">
      <c r="A756" s="55" t="n"/>
      <c r="B756" s="55" t="n"/>
      <c r="C756" s="55" t="n"/>
      <c r="D756" s="55" t="n"/>
      <c r="E756" s="55" t="n"/>
      <c r="F756" s="55" t="n"/>
      <c r="G756" s="55" t="n"/>
    </row>
    <row r="757">
      <c r="A757" s="55" t="n"/>
      <c r="B757" s="55" t="n"/>
      <c r="C757" s="55" t="n"/>
      <c r="D757" s="55" t="n"/>
      <c r="E757" s="55" t="n"/>
      <c r="F757" s="55" t="n"/>
      <c r="G757" s="55" t="n"/>
    </row>
    <row r="758">
      <c r="A758" s="55" t="n"/>
      <c r="B758" s="55" t="n"/>
      <c r="C758" s="55" t="n"/>
      <c r="D758" s="55" t="n"/>
      <c r="E758" s="55" t="n"/>
      <c r="F758" s="55" t="n"/>
      <c r="G758" s="55" t="n"/>
    </row>
    <row r="759">
      <c r="A759" s="55" t="n"/>
      <c r="B759" s="55" t="n"/>
      <c r="C759" s="55" t="n"/>
      <c r="D759" s="55" t="n"/>
      <c r="E759" s="55" t="n"/>
      <c r="F759" s="55" t="n"/>
      <c r="G759" s="55" t="n"/>
    </row>
    <row r="760">
      <c r="A760" s="55" t="n"/>
      <c r="B760" s="55" t="n"/>
      <c r="C760" s="55" t="n"/>
      <c r="D760" s="55" t="n"/>
      <c r="E760" s="55" t="n"/>
      <c r="F760" s="55" t="n"/>
      <c r="G760" s="55" t="n"/>
    </row>
    <row r="761">
      <c r="A761" s="55" t="n"/>
      <c r="B761" s="55" t="n"/>
      <c r="C761" s="55" t="n"/>
      <c r="D761" s="55" t="n"/>
      <c r="E761" s="55" t="n"/>
      <c r="F761" s="55" t="n"/>
      <c r="G761" s="55" t="n"/>
    </row>
    <row r="762">
      <c r="A762" s="55" t="n"/>
      <c r="B762" s="55" t="n"/>
      <c r="C762" s="55" t="n"/>
      <c r="D762" s="55" t="n"/>
      <c r="E762" s="55" t="n"/>
      <c r="F762" s="55" t="n"/>
      <c r="G762" s="55" t="n"/>
    </row>
    <row r="763">
      <c r="A763" s="55" t="n"/>
      <c r="B763" s="55" t="n"/>
      <c r="C763" s="55" t="n"/>
      <c r="D763" s="55" t="n"/>
      <c r="E763" s="55" t="n"/>
      <c r="F763" s="55" t="n"/>
      <c r="G763" s="55" t="n"/>
    </row>
    <row r="764">
      <c r="A764" s="55" t="n"/>
      <c r="B764" s="55" t="n"/>
      <c r="C764" s="55" t="n"/>
      <c r="D764" s="55" t="n"/>
      <c r="E764" s="55" t="n"/>
      <c r="F764" s="55" t="n"/>
      <c r="G764" s="55" t="n"/>
    </row>
    <row r="765">
      <c r="A765" s="55" t="n"/>
      <c r="B765" s="55" t="n"/>
      <c r="C765" s="55" t="n"/>
      <c r="D765" s="55" t="n"/>
      <c r="E765" s="55" t="n"/>
      <c r="F765" s="55" t="n"/>
      <c r="G765" s="55" t="n"/>
    </row>
    <row r="766">
      <c r="A766" s="55" t="n"/>
      <c r="B766" s="55" t="n"/>
      <c r="C766" s="55" t="n"/>
      <c r="D766" s="55" t="n"/>
      <c r="E766" s="55" t="n"/>
      <c r="F766" s="55" t="n"/>
      <c r="G766" s="55" t="n"/>
    </row>
    <row r="767">
      <c r="A767" s="55" t="n"/>
      <c r="B767" s="55" t="n"/>
      <c r="C767" s="55" t="n"/>
      <c r="D767" s="55" t="n"/>
      <c r="E767" s="55" t="n"/>
      <c r="F767" s="55" t="n"/>
      <c r="G767" s="55" t="n"/>
    </row>
    <row r="768">
      <c r="A768" s="55" t="n"/>
      <c r="B768" s="55" t="n"/>
      <c r="C768" s="55" t="n"/>
      <c r="D768" s="55" t="n"/>
      <c r="E768" s="55" t="n"/>
      <c r="F768" s="55" t="n"/>
      <c r="G768" s="55" t="n"/>
    </row>
    <row r="769">
      <c r="A769" s="55" t="n"/>
      <c r="B769" s="55" t="n"/>
      <c r="C769" s="55" t="n"/>
      <c r="D769" s="55" t="n"/>
      <c r="E769" s="55" t="n"/>
      <c r="F769" s="55" t="n"/>
      <c r="G769" s="55" t="n"/>
    </row>
    <row r="770">
      <c r="A770" s="55" t="n"/>
      <c r="B770" s="55" t="n"/>
      <c r="C770" s="55" t="n"/>
      <c r="D770" s="55" t="n"/>
      <c r="E770" s="55" t="n"/>
      <c r="F770" s="55" t="n"/>
      <c r="G770" s="55" t="n"/>
    </row>
    <row r="771">
      <c r="A771" s="55" t="n"/>
      <c r="B771" s="55" t="n"/>
      <c r="C771" s="55" t="n"/>
      <c r="D771" s="55" t="n"/>
      <c r="E771" s="55" t="n"/>
      <c r="F771" s="55" t="n"/>
      <c r="G771" s="55" t="n"/>
    </row>
    <row r="772">
      <c r="A772" s="55" t="n"/>
      <c r="B772" s="55" t="n"/>
      <c r="C772" s="55" t="n"/>
      <c r="D772" s="55" t="n"/>
      <c r="E772" s="55" t="n"/>
      <c r="F772" s="55" t="n"/>
      <c r="G772" s="55" t="n"/>
    </row>
    <row r="773">
      <c r="A773" s="55" t="n"/>
      <c r="B773" s="55" t="n"/>
      <c r="C773" s="55" t="n"/>
      <c r="D773" s="55" t="n"/>
      <c r="E773" s="55" t="n"/>
      <c r="F773" s="55" t="n"/>
      <c r="G773" s="55" t="n"/>
    </row>
    <row r="774">
      <c r="A774" s="55" t="n"/>
      <c r="B774" s="55" t="n"/>
      <c r="C774" s="55" t="n"/>
      <c r="D774" s="55" t="n"/>
      <c r="E774" s="55" t="n"/>
      <c r="F774" s="55" t="n"/>
      <c r="G774" s="55" t="n"/>
    </row>
    <row r="775">
      <c r="A775" s="55" t="n"/>
      <c r="B775" s="55" t="n"/>
      <c r="C775" s="55" t="n"/>
      <c r="D775" s="55" t="n"/>
      <c r="E775" s="55" t="n"/>
      <c r="F775" s="55" t="n"/>
      <c r="G775" s="55" t="n"/>
    </row>
    <row r="776">
      <c r="A776" s="55" t="n"/>
      <c r="B776" s="55" t="n"/>
      <c r="C776" s="55" t="n"/>
      <c r="D776" s="55" t="n"/>
      <c r="E776" s="55" t="n"/>
      <c r="F776" s="55" t="n"/>
      <c r="G776" s="55" t="n"/>
    </row>
    <row r="777">
      <c r="A777" s="55" t="n"/>
      <c r="B777" s="55" t="n"/>
      <c r="C777" s="55" t="n"/>
      <c r="D777" s="55" t="n"/>
      <c r="E777" s="55" t="n"/>
      <c r="F777" s="55" t="n"/>
      <c r="G777" s="55" t="n"/>
    </row>
    <row r="778">
      <c r="A778" s="55" t="n"/>
      <c r="B778" s="55" t="n"/>
      <c r="C778" s="55" t="n"/>
      <c r="D778" s="55" t="n"/>
      <c r="E778" s="55" t="n"/>
      <c r="F778" s="55" t="n"/>
      <c r="G778" s="55" t="n"/>
    </row>
    <row r="779">
      <c r="A779" s="55" t="n"/>
      <c r="B779" s="55" t="n"/>
      <c r="C779" s="55" t="n"/>
      <c r="D779" s="55" t="n"/>
      <c r="E779" s="55" t="n"/>
      <c r="F779" s="55" t="n"/>
      <c r="G779" s="55" t="n"/>
    </row>
    <row r="780">
      <c r="A780" s="55" t="n"/>
      <c r="B780" s="55" t="n"/>
      <c r="C780" s="55" t="n"/>
      <c r="D780" s="55" t="n"/>
      <c r="E780" s="55" t="n"/>
      <c r="F780" s="55" t="n"/>
      <c r="G780" s="55" t="n"/>
    </row>
    <row r="781">
      <c r="A781" s="55" t="n"/>
      <c r="B781" s="55" t="n"/>
      <c r="C781" s="55" t="n"/>
      <c r="D781" s="55" t="n"/>
      <c r="E781" s="55" t="n"/>
      <c r="F781" s="55" t="n"/>
      <c r="G781" s="55" t="n"/>
    </row>
    <row r="782">
      <c r="A782" s="55" t="n"/>
      <c r="B782" s="55" t="n"/>
      <c r="C782" s="55" t="n"/>
      <c r="D782" s="55" t="n"/>
      <c r="E782" s="55" t="n"/>
      <c r="F782" s="55" t="n"/>
      <c r="G782" s="55" t="n"/>
    </row>
    <row r="783">
      <c r="A783" s="55" t="n"/>
      <c r="B783" s="55" t="n"/>
      <c r="C783" s="55" t="n"/>
      <c r="D783" s="55" t="n"/>
      <c r="E783" s="55" t="n"/>
      <c r="F783" s="55" t="n"/>
      <c r="G783" s="55" t="n"/>
    </row>
    <row r="784">
      <c r="A784" s="55" t="n"/>
      <c r="B784" s="55" t="n"/>
      <c r="C784" s="55" t="n"/>
      <c r="D784" s="55" t="n"/>
      <c r="E784" s="55" t="n"/>
      <c r="F784" s="55" t="n"/>
      <c r="G784" s="55" t="n"/>
    </row>
    <row r="785">
      <c r="A785" s="55" t="n"/>
      <c r="B785" s="55" t="n"/>
      <c r="C785" s="55" t="n"/>
      <c r="D785" s="55" t="n"/>
      <c r="E785" s="55" t="n"/>
      <c r="F785" s="55" t="n"/>
      <c r="G785" s="55" t="n"/>
    </row>
    <row r="786">
      <c r="A786" s="55" t="n"/>
      <c r="B786" s="55" t="n"/>
      <c r="C786" s="55" t="n"/>
      <c r="D786" s="55" t="n"/>
      <c r="E786" s="55" t="n"/>
      <c r="F786" s="55" t="n"/>
      <c r="G786" s="55" t="n"/>
    </row>
    <row r="787">
      <c r="A787" s="55" t="n"/>
      <c r="B787" s="55" t="n"/>
      <c r="C787" s="55" t="n"/>
      <c r="D787" s="55" t="n"/>
      <c r="E787" s="55" t="n"/>
      <c r="F787" s="55" t="n"/>
      <c r="G787" s="55" t="n"/>
    </row>
    <row r="788">
      <c r="A788" s="55" t="n"/>
      <c r="B788" s="55" t="n"/>
      <c r="C788" s="55" t="n"/>
      <c r="D788" s="55" t="n"/>
      <c r="E788" s="55" t="n"/>
      <c r="F788" s="55" t="n"/>
      <c r="G788" s="55" t="n"/>
    </row>
    <row r="789">
      <c r="A789" s="55" t="n"/>
      <c r="B789" s="55" t="n"/>
      <c r="C789" s="55" t="n"/>
      <c r="D789" s="55" t="n"/>
      <c r="E789" s="55" t="n"/>
      <c r="F789" s="55" t="n"/>
      <c r="G789" s="55" t="n"/>
    </row>
    <row r="790">
      <c r="A790" s="55" t="n"/>
      <c r="B790" s="55" t="n"/>
      <c r="C790" s="55" t="n"/>
      <c r="D790" s="55" t="n"/>
      <c r="E790" s="55" t="n"/>
      <c r="F790" s="55" t="n"/>
      <c r="G790" s="55" t="n"/>
    </row>
    <row r="791">
      <c r="A791" s="55" t="n"/>
      <c r="B791" s="55" t="n"/>
      <c r="C791" s="55" t="n"/>
      <c r="D791" s="55" t="n"/>
      <c r="E791" s="55" t="n"/>
      <c r="F791" s="55" t="n"/>
      <c r="G791" s="55" t="n"/>
    </row>
    <row r="792">
      <c r="A792" s="55" t="n"/>
      <c r="B792" s="55" t="n"/>
      <c r="C792" s="55" t="n"/>
      <c r="D792" s="55" t="n"/>
      <c r="E792" s="55" t="n"/>
      <c r="F792" s="55" t="n"/>
      <c r="G792" s="55" t="n"/>
    </row>
    <row r="793">
      <c r="A793" s="55" t="n"/>
      <c r="B793" s="55" t="n"/>
      <c r="C793" s="55" t="n"/>
      <c r="D793" s="55" t="n"/>
      <c r="E793" s="55" t="n"/>
      <c r="F793" s="55" t="n"/>
      <c r="G793" s="55" t="n"/>
    </row>
    <row r="794">
      <c r="A794" s="55" t="n"/>
      <c r="B794" s="55" t="n"/>
      <c r="C794" s="55" t="n"/>
      <c r="D794" s="55" t="n"/>
      <c r="E794" s="55" t="n"/>
      <c r="F794" s="55" t="n"/>
      <c r="G794" s="55" t="n"/>
    </row>
    <row r="795">
      <c r="A795" s="55" t="n"/>
      <c r="B795" s="55" t="n"/>
      <c r="C795" s="55" t="n"/>
      <c r="D795" s="55" t="n"/>
      <c r="E795" s="55" t="n"/>
      <c r="F795" s="55" t="n"/>
      <c r="G795" s="55" t="n"/>
    </row>
    <row r="796">
      <c r="A796" s="55" t="n"/>
      <c r="B796" s="55" t="n"/>
      <c r="C796" s="55" t="n"/>
      <c r="D796" s="55" t="n"/>
      <c r="E796" s="55" t="n"/>
      <c r="F796" s="55" t="n"/>
      <c r="G796" s="55" t="n"/>
    </row>
    <row r="797">
      <c r="A797" s="55" t="n"/>
      <c r="B797" s="55" t="n"/>
      <c r="C797" s="55" t="n"/>
      <c r="D797" s="55" t="n"/>
      <c r="E797" s="55" t="n"/>
      <c r="F797" s="55" t="n"/>
      <c r="G797" s="55" t="n"/>
    </row>
    <row r="798">
      <c r="A798" s="55" t="n"/>
      <c r="B798" s="55" t="n"/>
      <c r="C798" s="55" t="n"/>
      <c r="D798" s="55" t="n"/>
      <c r="E798" s="55" t="n"/>
      <c r="F798" s="55" t="n"/>
      <c r="G798" s="55" t="n"/>
    </row>
    <row r="799">
      <c r="A799" s="55" t="n"/>
      <c r="B799" s="55" t="n"/>
      <c r="C799" s="55" t="n"/>
      <c r="D799" s="55" t="n"/>
      <c r="E799" s="55" t="n"/>
      <c r="F799" s="55" t="n"/>
      <c r="G799" s="55" t="n"/>
    </row>
    <row r="800">
      <c r="A800" s="55" t="n"/>
      <c r="B800" s="55" t="n"/>
      <c r="C800" s="55" t="n"/>
      <c r="D800" s="55" t="n"/>
      <c r="E800" s="55" t="n"/>
      <c r="F800" s="55" t="n"/>
      <c r="G800" s="55" t="n"/>
    </row>
    <row r="801">
      <c r="A801" s="55" t="n"/>
      <c r="B801" s="55" t="n"/>
      <c r="C801" s="55" t="n"/>
      <c r="D801" s="55" t="n"/>
      <c r="E801" s="55" t="n"/>
      <c r="F801" s="55" t="n"/>
      <c r="G801" s="55" t="n"/>
    </row>
    <row r="802">
      <c r="A802" s="55" t="n"/>
      <c r="B802" s="55" t="n"/>
      <c r="C802" s="55" t="n"/>
      <c r="D802" s="55" t="n"/>
      <c r="E802" s="55" t="n"/>
      <c r="F802" s="55" t="n"/>
      <c r="G802" s="55" t="n"/>
    </row>
    <row r="803">
      <c r="A803" s="55" t="n"/>
      <c r="B803" s="55" t="n"/>
      <c r="C803" s="55" t="n"/>
      <c r="D803" s="55" t="n"/>
      <c r="E803" s="55" t="n"/>
      <c r="F803" s="55" t="n"/>
      <c r="G803" s="55" t="n"/>
    </row>
    <row r="804">
      <c r="A804" s="55" t="n"/>
      <c r="B804" s="55" t="n"/>
      <c r="C804" s="55" t="n"/>
      <c r="D804" s="55" t="n"/>
      <c r="E804" s="55" t="n"/>
      <c r="F804" s="55" t="n"/>
      <c r="G804" s="55" t="n"/>
    </row>
    <row r="805">
      <c r="A805" s="55" t="n"/>
      <c r="B805" s="55" t="n"/>
      <c r="C805" s="55" t="n"/>
      <c r="D805" s="55" t="n"/>
      <c r="E805" s="55" t="n"/>
      <c r="F805" s="55" t="n"/>
      <c r="G805" s="55" t="n"/>
    </row>
    <row r="806">
      <c r="A806" s="55" t="n"/>
      <c r="B806" s="55" t="n"/>
      <c r="C806" s="55" t="n"/>
      <c r="D806" s="55" t="n"/>
      <c r="E806" s="55" t="n"/>
      <c r="F806" s="55" t="n"/>
      <c r="G806" s="55" t="n"/>
    </row>
    <row r="807">
      <c r="A807" s="55" t="n"/>
      <c r="B807" s="55" t="n"/>
      <c r="C807" s="55" t="n"/>
      <c r="D807" s="55" t="n"/>
      <c r="E807" s="55" t="n"/>
      <c r="F807" s="55" t="n"/>
      <c r="G807" s="55" t="n"/>
    </row>
    <row r="808">
      <c r="A808" s="55" t="n"/>
      <c r="B808" s="55" t="n"/>
      <c r="C808" s="55" t="n"/>
      <c r="D808" s="55" t="n"/>
      <c r="E808" s="55" t="n"/>
      <c r="F808" s="55" t="n"/>
      <c r="G808" s="55" t="n"/>
    </row>
    <row r="809">
      <c r="A809" s="55" t="n"/>
      <c r="B809" s="55" t="n"/>
      <c r="C809" s="55" t="n"/>
      <c r="D809" s="55" t="n"/>
      <c r="E809" s="55" t="n"/>
      <c r="F809" s="55" t="n"/>
      <c r="G809" s="55" t="n"/>
    </row>
    <row r="810">
      <c r="A810" s="55" t="n"/>
      <c r="B810" s="55" t="n"/>
      <c r="C810" s="55" t="n"/>
      <c r="D810" s="55" t="n"/>
      <c r="E810" s="55" t="n"/>
      <c r="F810" s="55" t="n"/>
      <c r="G810" s="55" t="n"/>
    </row>
    <row r="811">
      <c r="A811" s="55" t="n"/>
      <c r="B811" s="55" t="n"/>
      <c r="C811" s="55" t="n"/>
      <c r="D811" s="55" t="n"/>
      <c r="E811" s="55" t="n"/>
      <c r="F811" s="55" t="n"/>
      <c r="G811" s="55" t="n"/>
    </row>
    <row r="812">
      <c r="A812" s="55" t="n"/>
      <c r="B812" s="55" t="n"/>
      <c r="C812" s="55" t="n"/>
      <c r="D812" s="55" t="n"/>
      <c r="E812" s="55" t="n"/>
      <c r="F812" s="55" t="n"/>
      <c r="G812" s="55" t="n"/>
    </row>
    <row r="813">
      <c r="A813" s="55" t="n"/>
      <c r="B813" s="55" t="n"/>
      <c r="C813" s="55" t="n"/>
      <c r="D813" s="55" t="n"/>
      <c r="E813" s="55" t="n"/>
      <c r="F813" s="55" t="n"/>
      <c r="G813" s="55" t="n"/>
    </row>
    <row r="814">
      <c r="A814" s="55" t="n"/>
      <c r="B814" s="55" t="n"/>
      <c r="C814" s="55" t="n"/>
      <c r="D814" s="55" t="n"/>
      <c r="E814" s="55" t="n"/>
      <c r="F814" s="55" t="n"/>
      <c r="G814" s="55" t="n"/>
    </row>
    <row r="815">
      <c r="A815" s="55" t="n"/>
      <c r="B815" s="55" t="n"/>
      <c r="C815" s="55" t="n"/>
      <c r="D815" s="55" t="n"/>
      <c r="E815" s="55" t="n"/>
      <c r="F815" s="55" t="n"/>
      <c r="G815" s="55" t="n"/>
    </row>
    <row r="816">
      <c r="A816" s="55" t="n"/>
      <c r="B816" s="55" t="n"/>
      <c r="C816" s="55" t="n"/>
      <c r="D816" s="55" t="n"/>
      <c r="E816" s="55" t="n"/>
      <c r="F816" s="55" t="n"/>
      <c r="G816" s="55" t="n"/>
    </row>
    <row r="817">
      <c r="A817" s="55" t="n"/>
      <c r="B817" s="55" t="n"/>
      <c r="C817" s="55" t="n"/>
      <c r="D817" s="55" t="n"/>
      <c r="E817" s="55" t="n"/>
      <c r="F817" s="55" t="n"/>
      <c r="G817" s="55" t="n"/>
    </row>
    <row r="818">
      <c r="A818" s="55" t="n"/>
      <c r="B818" s="55" t="n"/>
      <c r="C818" s="55" t="n"/>
      <c r="D818" s="55" t="n"/>
      <c r="E818" s="55" t="n"/>
      <c r="F818" s="55" t="n"/>
      <c r="G818" s="55" t="n"/>
    </row>
    <row r="819">
      <c r="A819" s="55" t="n"/>
      <c r="B819" s="55" t="n"/>
      <c r="C819" s="55" t="n"/>
      <c r="D819" s="55" t="n"/>
      <c r="E819" s="55" t="n"/>
      <c r="F819" s="55" t="n"/>
      <c r="G819" s="55" t="n"/>
    </row>
    <row r="820">
      <c r="A820" s="55" t="n"/>
      <c r="B820" s="55" t="n"/>
      <c r="C820" s="55" t="n"/>
      <c r="D820" s="55" t="n"/>
      <c r="E820" s="55" t="n"/>
      <c r="F820" s="55" t="n"/>
      <c r="G820" s="55" t="n"/>
    </row>
    <row r="821">
      <c r="A821" s="55" t="n"/>
      <c r="B821" s="55" t="n"/>
      <c r="C821" s="55" t="n"/>
      <c r="D821" s="55" t="n"/>
      <c r="E821" s="55" t="n"/>
      <c r="F821" s="55" t="n"/>
      <c r="G821" s="55" t="n"/>
    </row>
    <row r="822">
      <c r="A822" s="55" t="n"/>
      <c r="B822" s="55" t="n"/>
      <c r="C822" s="55" t="n"/>
      <c r="D822" s="55" t="n"/>
      <c r="E822" s="55" t="n"/>
      <c r="F822" s="55" t="n"/>
      <c r="G822" s="55" t="n"/>
    </row>
    <row r="823">
      <c r="A823" s="55" t="n"/>
      <c r="B823" s="55" t="n"/>
      <c r="C823" s="55" t="n"/>
      <c r="D823" s="55" t="n"/>
      <c r="E823" s="55" t="n"/>
      <c r="F823" s="55" t="n"/>
      <c r="G823" s="55" t="n"/>
    </row>
    <row r="824">
      <c r="A824" s="55" t="n"/>
      <c r="B824" s="55" t="n"/>
      <c r="C824" s="55" t="n"/>
      <c r="D824" s="55" t="n"/>
      <c r="E824" s="55" t="n"/>
      <c r="F824" s="55" t="n"/>
      <c r="G824" s="55" t="n"/>
    </row>
    <row r="825">
      <c r="A825" s="55" t="n"/>
      <c r="B825" s="55" t="n"/>
      <c r="C825" s="55" t="n"/>
      <c r="D825" s="55" t="n"/>
      <c r="E825" s="55" t="n"/>
      <c r="F825" s="55" t="n"/>
      <c r="G825" s="55" t="n"/>
    </row>
    <row r="826">
      <c r="A826" s="55" t="n"/>
      <c r="B826" s="55" t="n"/>
      <c r="C826" s="55" t="n"/>
      <c r="D826" s="55" t="n"/>
      <c r="E826" s="55" t="n"/>
      <c r="F826" s="55" t="n"/>
      <c r="G826" s="55" t="n"/>
    </row>
    <row r="827">
      <c r="A827" s="55" t="n"/>
      <c r="B827" s="55" t="n"/>
      <c r="C827" s="55" t="n"/>
      <c r="D827" s="55" t="n"/>
      <c r="E827" s="55" t="n"/>
      <c r="F827" s="55" t="n"/>
      <c r="G827" s="55" t="n"/>
    </row>
    <row r="828">
      <c r="A828" s="55" t="n"/>
      <c r="B828" s="55" t="n"/>
      <c r="C828" s="55" t="n"/>
      <c r="D828" s="55" t="n"/>
      <c r="E828" s="55" t="n"/>
      <c r="F828" s="55" t="n"/>
      <c r="G828" s="55" t="n"/>
    </row>
    <row r="829">
      <c r="A829" s="55" t="n"/>
      <c r="B829" s="55" t="n"/>
      <c r="C829" s="55" t="n"/>
      <c r="D829" s="55" t="n"/>
      <c r="E829" s="55" t="n"/>
      <c r="F829" s="55" t="n"/>
      <c r="G829" s="55" t="n"/>
    </row>
    <row r="830">
      <c r="A830" s="55" t="n"/>
      <c r="B830" s="55" t="n"/>
      <c r="C830" s="55" t="n"/>
      <c r="D830" s="55" t="n"/>
      <c r="E830" s="55" t="n"/>
      <c r="F830" s="55" t="n"/>
      <c r="G830" s="55" t="n"/>
    </row>
    <row r="831">
      <c r="A831" s="55" t="n"/>
      <c r="B831" s="55" t="n"/>
      <c r="C831" s="55" t="n"/>
      <c r="D831" s="55" t="n"/>
      <c r="E831" s="55" t="n"/>
      <c r="F831" s="55" t="n"/>
      <c r="G831" s="55" t="n"/>
    </row>
    <row r="832">
      <c r="A832" s="55" t="n"/>
      <c r="B832" s="55" t="n"/>
      <c r="C832" s="55" t="n"/>
      <c r="D832" s="55" t="n"/>
      <c r="E832" s="55" t="n"/>
      <c r="F832" s="55" t="n"/>
      <c r="G832" s="55" t="n"/>
    </row>
    <row r="833">
      <c r="A833" s="55" t="n"/>
      <c r="B833" s="55" t="n"/>
      <c r="C833" s="55" t="n"/>
      <c r="D833" s="55" t="n"/>
      <c r="E833" s="55" t="n"/>
      <c r="F833" s="55" t="n"/>
      <c r="G833" s="55" t="n"/>
    </row>
    <row r="834">
      <c r="A834" s="55" t="n"/>
      <c r="B834" s="55" t="n"/>
      <c r="C834" s="55" t="n"/>
      <c r="D834" s="55" t="n"/>
      <c r="E834" s="55" t="n"/>
      <c r="F834" s="55" t="n"/>
      <c r="G834" s="55" t="n"/>
    </row>
    <row r="835">
      <c r="A835" s="55" t="n"/>
      <c r="B835" s="55" t="n"/>
      <c r="C835" s="55" t="n"/>
      <c r="D835" s="55" t="n"/>
      <c r="E835" s="55" t="n"/>
      <c r="F835" s="55" t="n"/>
      <c r="G835" s="55" t="n"/>
    </row>
    <row r="836">
      <c r="A836" s="55" t="n"/>
      <c r="B836" s="55" t="n"/>
      <c r="C836" s="55" t="n"/>
      <c r="D836" s="55" t="n"/>
      <c r="E836" s="55" t="n"/>
      <c r="F836" s="55" t="n"/>
      <c r="G836" s="55" t="n"/>
    </row>
    <row r="837">
      <c r="A837" s="55" t="n"/>
      <c r="B837" s="55" t="n"/>
      <c r="C837" s="55" t="n"/>
      <c r="D837" s="55" t="n"/>
      <c r="E837" s="55" t="n"/>
      <c r="F837" s="55" t="n"/>
      <c r="G837" s="55" t="n"/>
    </row>
    <row r="838">
      <c r="A838" s="55" t="n"/>
      <c r="B838" s="55" t="n"/>
      <c r="C838" s="55" t="n"/>
      <c r="D838" s="55" t="n"/>
      <c r="E838" s="55" t="n"/>
      <c r="F838" s="55" t="n"/>
      <c r="G838" s="55" t="n"/>
    </row>
    <row r="839">
      <c r="A839" s="55" t="n"/>
      <c r="B839" s="55" t="n"/>
      <c r="C839" s="55" t="n"/>
      <c r="D839" s="55" t="n"/>
      <c r="E839" s="55" t="n"/>
      <c r="F839" s="55" t="n"/>
      <c r="G839" s="55" t="n"/>
    </row>
    <row r="840">
      <c r="A840" s="55" t="n"/>
      <c r="B840" s="55" t="n"/>
      <c r="C840" s="55" t="n"/>
      <c r="D840" s="55" t="n"/>
      <c r="E840" s="55" t="n"/>
      <c r="F840" s="55" t="n"/>
      <c r="G840" s="55" t="n"/>
    </row>
    <row r="841">
      <c r="A841" s="55" t="n"/>
      <c r="B841" s="55" t="n"/>
      <c r="C841" s="55" t="n"/>
      <c r="D841" s="55" t="n"/>
      <c r="E841" s="55" t="n"/>
      <c r="F841" s="55" t="n"/>
      <c r="G841" s="55" t="n"/>
    </row>
    <row r="842">
      <c r="A842" s="55" t="n"/>
      <c r="B842" s="55" t="n"/>
      <c r="C842" s="55" t="n"/>
      <c r="D842" s="55" t="n"/>
      <c r="E842" s="55" t="n"/>
      <c r="F842" s="55" t="n"/>
      <c r="G842" s="55" t="n"/>
    </row>
    <row r="843">
      <c r="A843" s="55" t="n"/>
      <c r="B843" s="55" t="n"/>
      <c r="C843" s="55" t="n"/>
      <c r="D843" s="55" t="n"/>
      <c r="E843" s="55" t="n"/>
      <c r="F843" s="55" t="n"/>
      <c r="G843" s="55" t="n"/>
    </row>
    <row r="844">
      <c r="A844" s="55" t="n"/>
      <c r="B844" s="55" t="n"/>
      <c r="C844" s="55" t="n"/>
      <c r="D844" s="55" t="n"/>
      <c r="E844" s="55" t="n"/>
      <c r="F844" s="55" t="n"/>
      <c r="G844" s="55" t="n"/>
    </row>
    <row r="845">
      <c r="A845" s="55" t="n"/>
      <c r="B845" s="55" t="n"/>
      <c r="C845" s="55" t="n"/>
      <c r="D845" s="55" t="n"/>
      <c r="E845" s="55" t="n"/>
      <c r="F845" s="55" t="n"/>
      <c r="G845" s="55" t="n"/>
    </row>
    <row r="846">
      <c r="A846" s="55" t="n"/>
      <c r="B846" s="55" t="n"/>
      <c r="C846" s="55" t="n"/>
      <c r="D846" s="55" t="n"/>
      <c r="E846" s="55" t="n"/>
      <c r="F846" s="55" t="n"/>
      <c r="G846" s="55" t="n"/>
    </row>
    <row r="847">
      <c r="A847" s="55" t="n"/>
      <c r="B847" s="55" t="n"/>
      <c r="C847" s="55" t="n"/>
      <c r="D847" s="55" t="n"/>
      <c r="E847" s="55" t="n"/>
      <c r="F847" s="55" t="n"/>
      <c r="G847" s="55" t="n"/>
    </row>
    <row r="848">
      <c r="A848" s="55" t="n"/>
      <c r="B848" s="55" t="n"/>
      <c r="C848" s="55" t="n"/>
      <c r="D848" s="55" t="n"/>
      <c r="E848" s="55" t="n"/>
      <c r="F848" s="55" t="n"/>
      <c r="G848" s="55" t="n"/>
    </row>
    <row r="849">
      <c r="A849" s="55" t="n"/>
      <c r="B849" s="55" t="n"/>
      <c r="C849" s="55" t="n"/>
      <c r="D849" s="55" t="n"/>
      <c r="E849" s="55" t="n"/>
      <c r="F849" s="55" t="n"/>
      <c r="G849" s="55" t="n"/>
    </row>
    <row r="850">
      <c r="A850" s="55" t="n"/>
      <c r="B850" s="55" t="n"/>
      <c r="C850" s="55" t="n"/>
      <c r="D850" s="55" t="n"/>
      <c r="E850" s="55" t="n"/>
      <c r="F850" s="55" t="n"/>
      <c r="G850" s="55" t="n"/>
    </row>
    <row r="851">
      <c r="A851" s="55" t="n"/>
      <c r="B851" s="55" t="n"/>
      <c r="C851" s="55" t="n"/>
      <c r="D851" s="55" t="n"/>
      <c r="E851" s="55" t="n"/>
      <c r="F851" s="55" t="n"/>
      <c r="G851" s="55" t="n"/>
    </row>
    <row r="852">
      <c r="A852" s="55" t="n"/>
      <c r="B852" s="55" t="n"/>
      <c r="C852" s="55" t="n"/>
      <c r="D852" s="55" t="n"/>
      <c r="E852" s="55" t="n"/>
      <c r="F852" s="55" t="n"/>
      <c r="G852" s="55" t="n"/>
    </row>
    <row r="853">
      <c r="A853" s="55" t="n"/>
      <c r="B853" s="55" t="n"/>
      <c r="C853" s="55" t="n"/>
      <c r="D853" s="55" t="n"/>
      <c r="E853" s="55" t="n"/>
      <c r="F853" s="55" t="n"/>
      <c r="G853" s="55" t="n"/>
    </row>
    <row r="854">
      <c r="A854" s="55" t="n"/>
      <c r="B854" s="55" t="n"/>
      <c r="C854" s="55" t="n"/>
      <c r="D854" s="55" t="n"/>
      <c r="E854" s="55" t="n"/>
      <c r="F854" s="55" t="n"/>
      <c r="G854" s="55" t="n"/>
    </row>
    <row r="855">
      <c r="A855" s="55" t="n"/>
      <c r="B855" s="55" t="n"/>
      <c r="C855" s="55" t="n"/>
      <c r="D855" s="55" t="n"/>
      <c r="E855" s="55" t="n"/>
      <c r="F855" s="55" t="n"/>
      <c r="G855" s="55" t="n"/>
    </row>
    <row r="856">
      <c r="A856" s="55" t="n"/>
      <c r="B856" s="55" t="n"/>
      <c r="C856" s="55" t="n"/>
      <c r="D856" s="55" t="n"/>
      <c r="E856" s="55" t="n"/>
      <c r="F856" s="55" t="n"/>
      <c r="G856" s="55" t="n"/>
    </row>
    <row r="857">
      <c r="A857" s="55" t="n"/>
      <c r="B857" s="55" t="n"/>
      <c r="C857" s="55" t="n"/>
      <c r="D857" s="55" t="n"/>
      <c r="E857" s="55" t="n"/>
      <c r="F857" s="55" t="n"/>
      <c r="G857" s="55" t="n"/>
    </row>
    <row r="858">
      <c r="A858" s="55" t="n"/>
      <c r="B858" s="55" t="n"/>
      <c r="C858" s="55" t="n"/>
      <c r="D858" s="55" t="n"/>
      <c r="E858" s="55" t="n"/>
      <c r="F858" s="55" t="n"/>
      <c r="G858" s="55" t="n"/>
    </row>
    <row r="859">
      <c r="A859" s="55" t="n"/>
      <c r="B859" s="55" t="n"/>
      <c r="C859" s="55" t="n"/>
      <c r="D859" s="55" t="n"/>
      <c r="E859" s="55" t="n"/>
      <c r="F859" s="55" t="n"/>
      <c r="G859" s="55" t="n"/>
    </row>
    <row r="860">
      <c r="A860" s="55" t="n"/>
      <c r="B860" s="55" t="n"/>
      <c r="C860" s="55" t="n"/>
      <c r="D860" s="55" t="n"/>
      <c r="E860" s="55" t="n"/>
      <c r="F860" s="55" t="n"/>
      <c r="G860" s="55" t="n"/>
    </row>
    <row r="861">
      <c r="A861" s="55" t="n"/>
      <c r="B861" s="55" t="n"/>
      <c r="C861" s="55" t="n"/>
      <c r="D861" s="55" t="n"/>
      <c r="E861" s="55" t="n"/>
      <c r="F861" s="55" t="n"/>
      <c r="G861" s="55" t="n"/>
    </row>
    <row r="862">
      <c r="A862" s="55" t="n"/>
      <c r="B862" s="55" t="n"/>
      <c r="C862" s="55" t="n"/>
      <c r="D862" s="55" t="n"/>
      <c r="E862" s="55" t="n"/>
      <c r="F862" s="55" t="n"/>
      <c r="G862" s="55" t="n"/>
    </row>
    <row r="863">
      <c r="A863" s="55" t="n"/>
      <c r="B863" s="55" t="n"/>
      <c r="C863" s="55" t="n"/>
      <c r="D863" s="55" t="n"/>
      <c r="E863" s="55" t="n"/>
      <c r="F863" s="55" t="n"/>
      <c r="G863" s="55" t="n"/>
    </row>
    <row r="864">
      <c r="A864" s="55" t="n"/>
      <c r="B864" s="55" t="n"/>
      <c r="C864" s="55" t="n"/>
      <c r="D864" s="55" t="n"/>
      <c r="E864" s="55" t="n"/>
      <c r="F864" s="55" t="n"/>
      <c r="G864" s="55" t="n"/>
    </row>
    <row r="865">
      <c r="A865" s="55" t="n"/>
      <c r="B865" s="55" t="n"/>
      <c r="C865" s="55" t="n"/>
      <c r="D865" s="55" t="n"/>
      <c r="E865" s="55" t="n"/>
      <c r="F865" s="55" t="n"/>
      <c r="G865" s="55" t="n"/>
    </row>
    <row r="866">
      <c r="A866" s="55" t="n"/>
      <c r="B866" s="55" t="n"/>
      <c r="C866" s="55" t="n"/>
      <c r="D866" s="55" t="n"/>
      <c r="E866" s="55" t="n"/>
      <c r="F866" s="55" t="n"/>
      <c r="G866" s="55" t="n"/>
    </row>
    <row r="867">
      <c r="A867" s="55" t="n"/>
      <c r="B867" s="55" t="n"/>
      <c r="C867" s="55" t="n"/>
      <c r="D867" s="55" t="n"/>
      <c r="E867" s="55" t="n"/>
      <c r="F867" s="55" t="n"/>
      <c r="G867" s="55" t="n"/>
    </row>
    <row r="868">
      <c r="A868" s="55" t="n"/>
      <c r="B868" s="55" t="n"/>
      <c r="C868" s="55" t="n"/>
      <c r="D868" s="55" t="n"/>
      <c r="E868" s="55" t="n"/>
      <c r="F868" s="55" t="n"/>
      <c r="G868" s="55" t="n"/>
    </row>
    <row r="869">
      <c r="A869" s="55" t="n"/>
      <c r="B869" s="55" t="n"/>
      <c r="C869" s="55" t="n"/>
      <c r="D869" s="55" t="n"/>
      <c r="E869" s="55" t="n"/>
      <c r="F869" s="55" t="n"/>
      <c r="G869" s="55" t="n"/>
    </row>
    <row r="870">
      <c r="A870" s="55" t="n"/>
      <c r="B870" s="55" t="n"/>
      <c r="C870" s="55" t="n"/>
      <c r="D870" s="55" t="n"/>
      <c r="E870" s="55" t="n"/>
      <c r="F870" s="55" t="n"/>
      <c r="G870" s="55" t="n"/>
    </row>
    <row r="871">
      <c r="A871" s="55" t="n"/>
      <c r="B871" s="55" t="n"/>
      <c r="C871" s="55" t="n"/>
      <c r="D871" s="55" t="n"/>
      <c r="E871" s="55" t="n"/>
      <c r="F871" s="55" t="n"/>
      <c r="G871" s="55" t="n"/>
    </row>
    <row r="872">
      <c r="A872" s="55" t="n"/>
      <c r="B872" s="55" t="n"/>
      <c r="C872" s="55" t="n"/>
      <c r="D872" s="55" t="n"/>
      <c r="E872" s="55" t="n"/>
      <c r="F872" s="55" t="n"/>
      <c r="G872" s="55" t="n"/>
    </row>
    <row r="873">
      <c r="A873" s="55" t="n"/>
      <c r="B873" s="55" t="n"/>
      <c r="C873" s="55" t="n"/>
      <c r="D873" s="55" t="n"/>
      <c r="E873" s="55" t="n"/>
      <c r="F873" s="55" t="n"/>
      <c r="G873" s="55" t="n"/>
    </row>
    <row r="874">
      <c r="A874" s="55" t="n"/>
      <c r="B874" s="55" t="n"/>
      <c r="C874" s="55" t="n"/>
      <c r="D874" s="55" t="n"/>
      <c r="E874" s="55" t="n"/>
      <c r="F874" s="55" t="n"/>
      <c r="G874" s="55" t="n"/>
    </row>
    <row r="875">
      <c r="A875" s="55" t="n"/>
      <c r="B875" s="55" t="n"/>
      <c r="C875" s="55" t="n"/>
      <c r="D875" s="55" t="n"/>
      <c r="E875" s="55" t="n"/>
      <c r="F875" s="55" t="n"/>
      <c r="G875" s="55" t="n"/>
    </row>
    <row r="876">
      <c r="A876" s="55" t="n"/>
      <c r="B876" s="55" t="n"/>
      <c r="C876" s="55" t="n"/>
      <c r="D876" s="55" t="n"/>
      <c r="E876" s="55" t="n"/>
      <c r="F876" s="55" t="n"/>
      <c r="G876" s="55" t="n"/>
    </row>
    <row r="877">
      <c r="A877" s="55" t="n"/>
      <c r="B877" s="55" t="n"/>
      <c r="C877" s="55" t="n"/>
      <c r="D877" s="55" t="n"/>
      <c r="E877" s="55" t="n"/>
      <c r="F877" s="55" t="n"/>
      <c r="G877" s="55" t="n"/>
    </row>
    <row r="878">
      <c r="A878" s="55" t="n"/>
      <c r="B878" s="55" t="n"/>
      <c r="C878" s="55" t="n"/>
      <c r="D878" s="55" t="n"/>
      <c r="E878" s="55" t="n"/>
      <c r="F878" s="55" t="n"/>
      <c r="G878" s="55" t="n"/>
    </row>
    <row r="879">
      <c r="A879" s="55" t="n"/>
      <c r="B879" s="55" t="n"/>
      <c r="C879" s="55" t="n"/>
      <c r="D879" s="55" t="n"/>
      <c r="E879" s="55" t="n"/>
      <c r="F879" s="55" t="n"/>
      <c r="G879" s="55" t="n"/>
    </row>
    <row r="880">
      <c r="A880" s="55" t="n"/>
      <c r="B880" s="55" t="n"/>
      <c r="C880" s="55" t="n"/>
      <c r="D880" s="55" t="n"/>
      <c r="E880" s="55" t="n"/>
      <c r="F880" s="55" t="n"/>
      <c r="G880" s="55" t="n"/>
    </row>
    <row r="881">
      <c r="A881" s="55" t="n"/>
      <c r="B881" s="55" t="n"/>
      <c r="C881" s="55" t="n"/>
      <c r="D881" s="55" t="n"/>
      <c r="E881" s="55" t="n"/>
      <c r="F881" s="55" t="n"/>
      <c r="G881" s="55" t="n"/>
    </row>
    <row r="882">
      <c r="A882" s="55" t="n"/>
      <c r="B882" s="55" t="n"/>
      <c r="C882" s="55" t="n"/>
      <c r="D882" s="55" t="n"/>
      <c r="E882" s="55" t="n"/>
      <c r="F882" s="55" t="n"/>
      <c r="G882" s="55" t="n"/>
    </row>
    <row r="883">
      <c r="A883" s="55" t="n"/>
      <c r="B883" s="55" t="n"/>
      <c r="C883" s="55" t="n"/>
      <c r="D883" s="55" t="n"/>
      <c r="E883" s="55" t="n"/>
      <c r="F883" s="55" t="n"/>
      <c r="G883" s="55" t="n"/>
    </row>
    <row r="884">
      <c r="A884" s="55" t="n"/>
      <c r="B884" s="55" t="n"/>
      <c r="C884" s="55" t="n"/>
      <c r="D884" s="55" t="n"/>
      <c r="E884" s="55" t="n"/>
      <c r="F884" s="55" t="n"/>
      <c r="G884" s="55" t="n"/>
    </row>
    <row r="885">
      <c r="A885" s="55" t="n"/>
      <c r="B885" s="55" t="n"/>
      <c r="C885" s="55" t="n"/>
      <c r="D885" s="55" t="n"/>
      <c r="E885" s="55" t="n"/>
      <c r="F885" s="55" t="n"/>
      <c r="G885" s="55" t="n"/>
    </row>
    <row r="886">
      <c r="A886" s="55" t="n"/>
      <c r="B886" s="55" t="n"/>
      <c r="C886" s="55" t="n"/>
      <c r="D886" s="55" t="n"/>
      <c r="E886" s="55" t="n"/>
      <c r="F886" s="55" t="n"/>
      <c r="G886" s="55" t="n"/>
    </row>
    <row r="887">
      <c r="A887" s="55" t="n"/>
      <c r="B887" s="55" t="n"/>
      <c r="C887" s="55" t="n"/>
      <c r="D887" s="55" t="n"/>
      <c r="E887" s="55" t="n"/>
      <c r="F887" s="55" t="n"/>
      <c r="G887" s="55" t="n"/>
    </row>
    <row r="888">
      <c r="A888" s="55" t="n"/>
      <c r="B888" s="55" t="n"/>
      <c r="C888" s="55" t="n"/>
      <c r="D888" s="55" t="n"/>
      <c r="E888" s="55" t="n"/>
      <c r="F888" s="55" t="n"/>
      <c r="G888" s="55" t="n"/>
    </row>
    <row r="889">
      <c r="A889" s="55" t="n"/>
      <c r="B889" s="55" t="n"/>
      <c r="C889" s="55" t="n"/>
      <c r="D889" s="55" t="n"/>
      <c r="E889" s="55" t="n"/>
      <c r="F889" s="55" t="n"/>
      <c r="G889" s="55" t="n"/>
    </row>
    <row r="890">
      <c r="A890" s="55" t="n"/>
      <c r="B890" s="55" t="n"/>
      <c r="C890" s="55" t="n"/>
      <c r="D890" s="55" t="n"/>
      <c r="E890" s="55" t="n"/>
      <c r="F890" s="55" t="n"/>
      <c r="G890" s="55" t="n"/>
    </row>
    <row r="891">
      <c r="A891" s="55" t="n"/>
      <c r="B891" s="55" t="n"/>
      <c r="C891" s="55" t="n"/>
      <c r="D891" s="55" t="n"/>
      <c r="E891" s="55" t="n"/>
      <c r="F891" s="55" t="n"/>
      <c r="G891" s="55" t="n"/>
    </row>
    <row r="892">
      <c r="A892" s="55" t="n"/>
      <c r="B892" s="55" t="n"/>
      <c r="C892" s="55" t="n"/>
      <c r="D892" s="55" t="n"/>
      <c r="E892" s="55" t="n"/>
      <c r="F892" s="55" t="n"/>
      <c r="G892" s="55" t="n"/>
    </row>
    <row r="893">
      <c r="A893" s="55" t="n"/>
      <c r="B893" s="55" t="n"/>
      <c r="C893" s="55" t="n"/>
      <c r="D893" s="55" t="n"/>
      <c r="E893" s="55" t="n"/>
      <c r="F893" s="55" t="n"/>
      <c r="G893" s="55" t="n"/>
    </row>
    <row r="894">
      <c r="A894" s="55" t="n"/>
      <c r="B894" s="55" t="n"/>
      <c r="C894" s="55" t="n"/>
      <c r="D894" s="55" t="n"/>
      <c r="E894" s="55" t="n"/>
      <c r="F894" s="55" t="n"/>
      <c r="G894" s="55" t="n"/>
    </row>
    <row r="895">
      <c r="A895" s="55" t="n"/>
      <c r="B895" s="55" t="n"/>
      <c r="C895" s="55" t="n"/>
      <c r="D895" s="55" t="n"/>
      <c r="E895" s="55" t="n"/>
      <c r="F895" s="55" t="n"/>
      <c r="G895" s="55" t="n"/>
    </row>
    <row r="896">
      <c r="A896" s="55" t="n"/>
      <c r="B896" s="55" t="n"/>
      <c r="C896" s="55" t="n"/>
      <c r="D896" s="55" t="n"/>
      <c r="E896" s="55" t="n"/>
      <c r="F896" s="55" t="n"/>
      <c r="G896" s="55" t="n"/>
    </row>
    <row r="897">
      <c r="A897" s="55" t="n"/>
      <c r="B897" s="55" t="n"/>
      <c r="C897" s="55" t="n"/>
      <c r="D897" s="55" t="n"/>
      <c r="E897" s="55" t="n"/>
      <c r="F897" s="55" t="n"/>
      <c r="G897" s="55" t="n"/>
    </row>
    <row r="898">
      <c r="A898" s="55" t="n"/>
      <c r="B898" s="55" t="n"/>
      <c r="C898" s="55" t="n"/>
      <c r="D898" s="55" t="n"/>
      <c r="E898" s="55" t="n"/>
      <c r="F898" s="55" t="n"/>
      <c r="G898" s="55" t="n"/>
    </row>
    <row r="899">
      <c r="A899" s="55" t="n"/>
      <c r="B899" s="55" t="n"/>
      <c r="C899" s="55" t="n"/>
      <c r="D899" s="55" t="n"/>
      <c r="E899" s="55" t="n"/>
      <c r="F899" s="55" t="n"/>
      <c r="G899" s="55" t="n"/>
    </row>
    <row r="900">
      <c r="A900" s="55" t="n"/>
      <c r="B900" s="55" t="n"/>
      <c r="C900" s="55" t="n"/>
      <c r="D900" s="55" t="n"/>
      <c r="E900" s="55" t="n"/>
      <c r="F900" s="55" t="n"/>
      <c r="G900" s="55" t="n"/>
    </row>
    <row r="901">
      <c r="A901" s="55" t="n"/>
      <c r="B901" s="55" t="n"/>
      <c r="C901" s="55" t="n"/>
      <c r="D901" s="55" t="n"/>
      <c r="E901" s="55" t="n"/>
      <c r="F901" s="55" t="n"/>
      <c r="G901" s="55" t="n"/>
    </row>
    <row r="902">
      <c r="A902" s="55" t="n"/>
      <c r="B902" s="55" t="n"/>
      <c r="C902" s="55" t="n"/>
      <c r="D902" s="55" t="n"/>
      <c r="E902" s="55" t="n"/>
      <c r="F902" s="55" t="n"/>
      <c r="G902" s="55" t="n"/>
    </row>
    <row r="903">
      <c r="A903" s="55" t="n"/>
      <c r="B903" s="55" t="n"/>
      <c r="C903" s="55" t="n"/>
      <c r="D903" s="55" t="n"/>
      <c r="E903" s="55" t="n"/>
      <c r="F903" s="55" t="n"/>
      <c r="G903" s="55" t="n"/>
    </row>
    <row r="904">
      <c r="A904" s="55" t="n"/>
      <c r="B904" s="55" t="n"/>
      <c r="C904" s="55" t="n"/>
      <c r="D904" s="55" t="n"/>
      <c r="E904" s="55" t="n"/>
      <c r="F904" s="55" t="n"/>
      <c r="G904" s="55" t="n"/>
    </row>
    <row r="905">
      <c r="A905" s="55" t="n"/>
      <c r="B905" s="55" t="n"/>
      <c r="C905" s="55" t="n"/>
      <c r="D905" s="55" t="n"/>
      <c r="E905" s="55" t="n"/>
      <c r="F905" s="55" t="n"/>
      <c r="G905" s="55" t="n"/>
    </row>
    <row r="906">
      <c r="A906" s="55" t="n"/>
      <c r="B906" s="55" t="n"/>
      <c r="C906" s="55" t="n"/>
      <c r="D906" s="55" t="n"/>
      <c r="E906" s="55" t="n"/>
      <c r="F906" s="55" t="n"/>
      <c r="G906" s="55" t="n"/>
    </row>
    <row r="907">
      <c r="A907" s="55" t="n"/>
      <c r="B907" s="55" t="n"/>
      <c r="C907" s="55" t="n"/>
      <c r="D907" s="55" t="n"/>
      <c r="E907" s="55" t="n"/>
      <c r="F907" s="55" t="n"/>
      <c r="G907" s="55" t="n"/>
    </row>
    <row r="908">
      <c r="A908" s="55" t="n"/>
      <c r="B908" s="55" t="n"/>
      <c r="C908" s="55" t="n"/>
      <c r="D908" s="55" t="n"/>
      <c r="E908" s="55" t="n"/>
      <c r="F908" s="55" t="n"/>
      <c r="G908" s="55" t="n"/>
    </row>
    <row r="909">
      <c r="A909" s="55" t="n"/>
      <c r="B909" s="55" t="n"/>
      <c r="C909" s="55" t="n"/>
      <c r="D909" s="55" t="n"/>
      <c r="E909" s="55" t="n"/>
      <c r="F909" s="55" t="n"/>
      <c r="G909" s="55" t="n"/>
    </row>
    <row r="910">
      <c r="A910" s="55" t="n"/>
      <c r="B910" s="55" t="n"/>
      <c r="C910" s="55" t="n"/>
      <c r="D910" s="55" t="n"/>
      <c r="E910" s="55" t="n"/>
      <c r="F910" s="55" t="n"/>
      <c r="G910" s="55" t="n"/>
    </row>
    <row r="911">
      <c r="A911" s="55" t="n"/>
      <c r="B911" s="55" t="n"/>
      <c r="C911" s="55" t="n"/>
      <c r="D911" s="55" t="n"/>
      <c r="E911" s="55" t="n"/>
      <c r="F911" s="55" t="n"/>
      <c r="G911" s="55" t="n"/>
    </row>
    <row r="912">
      <c r="A912" s="55" t="n"/>
      <c r="B912" s="55" t="n"/>
      <c r="C912" s="55" t="n"/>
      <c r="D912" s="55" t="n"/>
      <c r="E912" s="55" t="n"/>
      <c r="F912" s="55" t="n"/>
      <c r="G912" s="55" t="n"/>
    </row>
    <row r="913">
      <c r="A913" s="55" t="n"/>
      <c r="B913" s="55" t="n"/>
      <c r="C913" s="55" t="n"/>
      <c r="D913" s="55" t="n"/>
      <c r="E913" s="55" t="n"/>
      <c r="F913" s="55" t="n"/>
      <c r="G913" s="55" t="n"/>
    </row>
    <row r="914">
      <c r="A914" s="55" t="n"/>
      <c r="B914" s="55" t="n"/>
      <c r="C914" s="55" t="n"/>
      <c r="D914" s="55" t="n"/>
      <c r="E914" s="55" t="n"/>
      <c r="F914" s="55" t="n"/>
      <c r="G914" s="55" t="n"/>
    </row>
    <row r="915">
      <c r="A915" s="55" t="n"/>
      <c r="B915" s="55" t="n"/>
      <c r="C915" s="55" t="n"/>
      <c r="D915" s="55" t="n"/>
      <c r="E915" s="55" t="n"/>
      <c r="F915" s="55" t="n"/>
      <c r="G915" s="55" t="n"/>
    </row>
    <row r="916">
      <c r="A916" s="55" t="n"/>
      <c r="B916" s="55" t="n"/>
      <c r="C916" s="55" t="n"/>
      <c r="D916" s="55" t="n"/>
      <c r="E916" s="55" t="n"/>
      <c r="F916" s="55" t="n"/>
      <c r="G916" s="55" t="n"/>
    </row>
    <row r="917">
      <c r="A917" s="55" t="n"/>
      <c r="B917" s="55" t="n"/>
      <c r="C917" s="55" t="n"/>
      <c r="D917" s="55" t="n"/>
      <c r="E917" s="55" t="n"/>
      <c r="F917" s="55" t="n"/>
      <c r="G917" s="55" t="n"/>
    </row>
    <row r="918">
      <c r="A918" s="55" t="n"/>
      <c r="B918" s="55" t="n"/>
      <c r="C918" s="55" t="n"/>
      <c r="D918" s="55" t="n"/>
      <c r="E918" s="55" t="n"/>
      <c r="F918" s="55" t="n"/>
      <c r="G918" s="55" t="n"/>
    </row>
    <row r="919">
      <c r="A919" s="55" t="n"/>
      <c r="B919" s="55" t="n"/>
      <c r="C919" s="55" t="n"/>
      <c r="D919" s="55" t="n"/>
      <c r="E919" s="55" t="n"/>
      <c r="F919" s="55" t="n"/>
      <c r="G919" s="55" t="n"/>
    </row>
    <row r="920">
      <c r="A920" s="55" t="n"/>
      <c r="B920" s="55" t="n"/>
      <c r="C920" s="55" t="n"/>
      <c r="D920" s="55" t="n"/>
      <c r="E920" s="55" t="n"/>
      <c r="F920" s="55" t="n"/>
      <c r="G920" s="55" t="n"/>
    </row>
    <row r="921">
      <c r="A921" s="55" t="n"/>
      <c r="B921" s="55" t="n"/>
      <c r="C921" s="55" t="n"/>
      <c r="D921" s="55" t="n"/>
      <c r="E921" s="55" t="n"/>
      <c r="F921" s="55" t="n"/>
      <c r="G921" s="55" t="n"/>
    </row>
    <row r="922">
      <c r="A922" s="55" t="n"/>
      <c r="B922" s="55" t="n"/>
      <c r="C922" s="55" t="n"/>
      <c r="D922" s="55" t="n"/>
      <c r="E922" s="55" t="n"/>
      <c r="F922" s="55" t="n"/>
      <c r="G922" s="55" t="n"/>
    </row>
    <row r="923">
      <c r="A923" s="55" t="n"/>
      <c r="B923" s="55" t="n"/>
      <c r="C923" s="55" t="n"/>
      <c r="D923" s="55" t="n"/>
      <c r="E923" s="55" t="n"/>
      <c r="F923" s="55" t="n"/>
      <c r="G923" s="55" t="n"/>
    </row>
    <row r="924">
      <c r="A924" s="55" t="n"/>
      <c r="B924" s="55" t="n"/>
      <c r="C924" s="55" t="n"/>
      <c r="D924" s="55" t="n"/>
      <c r="E924" s="55" t="n"/>
      <c r="F924" s="55" t="n"/>
      <c r="G924" s="55" t="n"/>
    </row>
    <row r="925">
      <c r="A925" s="55" t="n"/>
      <c r="B925" s="55" t="n"/>
      <c r="C925" s="55" t="n"/>
      <c r="D925" s="55" t="n"/>
      <c r="E925" s="55" t="n"/>
      <c r="F925" s="55" t="n"/>
      <c r="G925" s="55" t="n"/>
    </row>
    <row r="926">
      <c r="A926" s="55" t="n"/>
      <c r="B926" s="55" t="n"/>
      <c r="C926" s="55" t="n"/>
      <c r="D926" s="55" t="n"/>
      <c r="E926" s="55" t="n"/>
      <c r="F926" s="55" t="n"/>
      <c r="G926" s="55" t="n"/>
    </row>
    <row r="927">
      <c r="A927" s="55" t="n"/>
      <c r="B927" s="55" t="n"/>
      <c r="C927" s="55" t="n"/>
      <c r="D927" s="55" t="n"/>
      <c r="E927" s="55" t="n"/>
      <c r="F927" s="55" t="n"/>
      <c r="G927" s="55" t="n"/>
    </row>
    <row r="928">
      <c r="A928" s="55" t="n"/>
      <c r="B928" s="55" t="n"/>
      <c r="C928" s="55" t="n"/>
      <c r="D928" s="55" t="n"/>
      <c r="E928" s="55" t="n"/>
      <c r="F928" s="55" t="n"/>
      <c r="G928" s="55" t="n"/>
    </row>
    <row r="929">
      <c r="A929" s="55" t="n"/>
      <c r="B929" s="55" t="n"/>
      <c r="C929" s="55" t="n"/>
      <c r="D929" s="55" t="n"/>
      <c r="E929" s="55" t="n"/>
      <c r="F929" s="55" t="n"/>
      <c r="G929" s="55" t="n"/>
    </row>
    <row r="930">
      <c r="A930" s="55" t="n"/>
      <c r="B930" s="55" t="n"/>
      <c r="C930" s="55" t="n"/>
      <c r="D930" s="55" t="n"/>
      <c r="E930" s="55" t="n"/>
      <c r="F930" s="55" t="n"/>
      <c r="G930" s="55" t="n"/>
    </row>
    <row r="931">
      <c r="A931" s="55" t="n"/>
      <c r="B931" s="55" t="n"/>
      <c r="C931" s="55" t="n"/>
      <c r="D931" s="55" t="n"/>
      <c r="E931" s="55" t="n"/>
      <c r="F931" s="55" t="n"/>
      <c r="G931" s="55" t="n"/>
    </row>
    <row r="932">
      <c r="A932" s="55" t="n"/>
      <c r="B932" s="55" t="n"/>
      <c r="C932" s="55" t="n"/>
      <c r="D932" s="55" t="n"/>
      <c r="E932" s="55" t="n"/>
      <c r="F932" s="55" t="n"/>
      <c r="G932" s="55" t="n"/>
    </row>
    <row r="933">
      <c r="A933" s="55" t="n"/>
      <c r="B933" s="55" t="n"/>
      <c r="C933" s="55" t="n"/>
      <c r="D933" s="55" t="n"/>
      <c r="E933" s="55" t="n"/>
      <c r="F933" s="55" t="n"/>
      <c r="G933" s="55" t="n"/>
    </row>
    <row r="934">
      <c r="A934" s="55" t="n"/>
      <c r="B934" s="55" t="n"/>
      <c r="C934" s="55" t="n"/>
      <c r="D934" s="55" t="n"/>
      <c r="E934" s="55" t="n"/>
      <c r="F934" s="55" t="n"/>
      <c r="G934" s="55" t="n"/>
    </row>
    <row r="935">
      <c r="A935" s="55" t="n"/>
      <c r="B935" s="55" t="n"/>
      <c r="C935" s="55" t="n"/>
      <c r="D935" s="55" t="n"/>
      <c r="E935" s="55" t="n"/>
      <c r="F935" s="55" t="n"/>
      <c r="G935" s="55" t="n"/>
    </row>
    <row r="936">
      <c r="A936" s="55" t="n"/>
      <c r="B936" s="55" t="n"/>
      <c r="C936" s="55" t="n"/>
      <c r="D936" s="55" t="n"/>
      <c r="E936" s="55" t="n"/>
      <c r="F936" s="55" t="n"/>
      <c r="G936" s="55" t="n"/>
    </row>
    <row r="937">
      <c r="A937" s="55" t="n"/>
      <c r="B937" s="55" t="n"/>
      <c r="C937" s="55" t="n"/>
      <c r="D937" s="55" t="n"/>
      <c r="E937" s="55" t="n"/>
      <c r="F937" s="55" t="n"/>
      <c r="G937" s="55" t="n"/>
    </row>
    <row r="938">
      <c r="A938" s="55" t="n"/>
      <c r="B938" s="55" t="n"/>
      <c r="C938" s="55" t="n"/>
      <c r="D938" s="55" t="n"/>
      <c r="E938" s="55" t="n"/>
      <c r="F938" s="55" t="n"/>
      <c r="G938" s="55" t="n"/>
    </row>
    <row r="939">
      <c r="A939" s="55" t="n"/>
      <c r="B939" s="55" t="n"/>
      <c r="C939" s="55" t="n"/>
      <c r="D939" s="55" t="n"/>
      <c r="E939" s="55" t="n"/>
      <c r="F939" s="55" t="n"/>
      <c r="G939" s="55" t="n"/>
    </row>
    <row r="940">
      <c r="A940" s="55" t="n"/>
      <c r="B940" s="55" t="n"/>
      <c r="C940" s="55" t="n"/>
      <c r="D940" s="55" t="n"/>
      <c r="E940" s="55" t="n"/>
      <c r="F940" s="55" t="n"/>
      <c r="G940" s="55" t="n"/>
    </row>
    <row r="941">
      <c r="A941" s="55" t="n"/>
      <c r="B941" s="55" t="n"/>
      <c r="C941" s="55" t="n"/>
      <c r="D941" s="55" t="n"/>
      <c r="E941" s="55" t="n"/>
      <c r="F941" s="55" t="n"/>
      <c r="G941" s="55" t="n"/>
    </row>
    <row r="942">
      <c r="A942" s="55" t="n"/>
      <c r="B942" s="55" t="n"/>
      <c r="C942" s="55" t="n"/>
      <c r="D942" s="55" t="n"/>
      <c r="E942" s="55" t="n"/>
      <c r="F942" s="55" t="n"/>
      <c r="G942" s="55" t="n"/>
    </row>
    <row r="943">
      <c r="A943" s="55" t="n"/>
      <c r="B943" s="55" t="n"/>
      <c r="C943" s="55" t="n"/>
      <c r="D943" s="55" t="n"/>
      <c r="E943" s="55" t="n"/>
      <c r="F943" s="55" t="n"/>
      <c r="G943" s="55" t="n"/>
    </row>
    <row r="944">
      <c r="A944" s="55" t="n"/>
      <c r="B944" s="55" t="n"/>
      <c r="C944" s="55" t="n"/>
      <c r="D944" s="55" t="n"/>
      <c r="E944" s="55" t="n"/>
      <c r="F944" s="55" t="n"/>
      <c r="G944" s="55" t="n"/>
    </row>
    <row r="945">
      <c r="A945" s="55" t="n"/>
      <c r="B945" s="55" t="n"/>
      <c r="C945" s="55" t="n"/>
      <c r="D945" s="55" t="n"/>
      <c r="E945" s="55" t="n"/>
      <c r="F945" s="55" t="n"/>
      <c r="G945" s="55" t="n"/>
    </row>
    <row r="946">
      <c r="A946" s="55" t="n"/>
      <c r="B946" s="55" t="n"/>
      <c r="C946" s="55" t="n"/>
      <c r="D946" s="55" t="n"/>
      <c r="E946" s="55" t="n"/>
      <c r="F946" s="55" t="n"/>
      <c r="G946" s="55" t="n"/>
    </row>
    <row r="947">
      <c r="A947" s="55" t="n"/>
      <c r="B947" s="55" t="n"/>
      <c r="C947" s="55" t="n"/>
      <c r="D947" s="55" t="n"/>
      <c r="E947" s="55" t="n"/>
      <c r="F947" s="55" t="n"/>
      <c r="G947" s="55" t="n"/>
    </row>
    <row r="948">
      <c r="A948" s="55" t="n"/>
      <c r="B948" s="55" t="n"/>
      <c r="C948" s="55" t="n"/>
      <c r="D948" s="55" t="n"/>
      <c r="E948" s="55" t="n"/>
      <c r="F948" s="55" t="n"/>
      <c r="G948" s="55" t="n"/>
    </row>
    <row r="949">
      <c r="A949" s="55" t="n"/>
      <c r="B949" s="55" t="n"/>
      <c r="C949" s="55" t="n"/>
      <c r="D949" s="55" t="n"/>
      <c r="E949" s="55" t="n"/>
      <c r="F949" s="55" t="n"/>
      <c r="G949" s="55" t="n"/>
    </row>
    <row r="950">
      <c r="A950" s="55" t="n"/>
      <c r="B950" s="55" t="n"/>
      <c r="C950" s="55" t="n"/>
      <c r="D950" s="55" t="n"/>
      <c r="E950" s="55" t="n"/>
      <c r="F950" s="55" t="n"/>
      <c r="G950" s="55" t="n"/>
    </row>
    <row r="951">
      <c r="A951" s="55" t="n"/>
      <c r="B951" s="55" t="n"/>
      <c r="C951" s="55" t="n"/>
      <c r="D951" s="55" t="n"/>
      <c r="E951" s="55" t="n"/>
      <c r="F951" s="55" t="n"/>
      <c r="G951" s="55" t="n"/>
    </row>
    <row r="952">
      <c r="A952" s="55" t="n"/>
      <c r="B952" s="55" t="n"/>
      <c r="C952" s="55" t="n"/>
      <c r="D952" s="55" t="n"/>
      <c r="E952" s="55" t="n"/>
      <c r="F952" s="55" t="n"/>
      <c r="G952" s="55" t="n"/>
    </row>
    <row r="953">
      <c r="A953" s="55" t="n"/>
      <c r="B953" s="55" t="n"/>
      <c r="C953" s="55" t="n"/>
      <c r="D953" s="55" t="n"/>
      <c r="E953" s="55" t="n"/>
      <c r="F953" s="55" t="n"/>
      <c r="G953" s="55" t="n"/>
    </row>
    <row r="954">
      <c r="A954" s="55" t="n"/>
      <c r="B954" s="55" t="n"/>
      <c r="C954" s="55" t="n"/>
      <c r="D954" s="55" t="n"/>
      <c r="E954" s="55" t="n"/>
      <c r="F954" s="55" t="n"/>
      <c r="G954" s="55" t="n"/>
    </row>
    <row r="955">
      <c r="A955" s="55" t="n"/>
      <c r="B955" s="55" t="n"/>
      <c r="C955" s="55" t="n"/>
      <c r="D955" s="55" t="n"/>
      <c r="E955" s="55" t="n"/>
      <c r="F955" s="55" t="n"/>
      <c r="G955" s="55" t="n"/>
    </row>
    <row r="956">
      <c r="A956" s="55" t="n"/>
      <c r="B956" s="55" t="n"/>
      <c r="C956" s="55" t="n"/>
      <c r="D956" s="55" t="n"/>
      <c r="E956" s="55" t="n"/>
      <c r="F956" s="55" t="n"/>
      <c r="G956" s="55" t="n"/>
    </row>
    <row r="957">
      <c r="A957" s="55" t="n"/>
      <c r="B957" s="55" t="n"/>
      <c r="C957" s="55" t="n"/>
      <c r="D957" s="55" t="n"/>
      <c r="E957" s="55" t="n"/>
      <c r="F957" s="55" t="n"/>
      <c r="G957" s="55" t="n"/>
    </row>
    <row r="958">
      <c r="A958" s="55" t="n"/>
      <c r="B958" s="55" t="n"/>
      <c r="C958" s="55" t="n"/>
      <c r="D958" s="55" t="n"/>
      <c r="E958" s="55" t="n"/>
      <c r="F958" s="55" t="n"/>
      <c r="G958" s="55" t="n"/>
    </row>
    <row r="959">
      <c r="A959" s="55" t="n"/>
      <c r="B959" s="55" t="n"/>
      <c r="C959" s="55" t="n"/>
      <c r="D959" s="55" t="n"/>
      <c r="E959" s="55" t="n"/>
      <c r="F959" s="55" t="n"/>
      <c r="G959" s="55" t="n"/>
    </row>
    <row r="960">
      <c r="A960" s="55" t="n"/>
      <c r="B960" s="55" t="n"/>
      <c r="C960" s="55" t="n"/>
      <c r="D960" s="55" t="n"/>
      <c r="E960" s="55" t="n"/>
      <c r="F960" s="55" t="n"/>
      <c r="G960" s="55" t="n"/>
    </row>
    <row r="961">
      <c r="A961" s="55" t="n"/>
      <c r="B961" s="55" t="n"/>
      <c r="C961" s="55" t="n"/>
      <c r="D961" s="55" t="n"/>
      <c r="E961" s="55" t="n"/>
      <c r="F961" s="55" t="n"/>
      <c r="G961" s="55" t="n"/>
    </row>
    <row r="962">
      <c r="A962" s="55" t="n"/>
      <c r="B962" s="55" t="n"/>
      <c r="C962" s="55" t="n"/>
      <c r="D962" s="55" t="n"/>
      <c r="E962" s="55" t="n"/>
      <c r="F962" s="55" t="n"/>
      <c r="G962" s="55" t="n"/>
    </row>
    <row r="963">
      <c r="A963" s="55" t="n"/>
      <c r="B963" s="55" t="n"/>
      <c r="C963" s="55" t="n"/>
      <c r="D963" s="55" t="n"/>
      <c r="E963" s="55" t="n"/>
      <c r="F963" s="55" t="n"/>
      <c r="G963" s="55" t="n"/>
    </row>
    <row r="964">
      <c r="A964" s="55" t="n"/>
      <c r="B964" s="55" t="n"/>
      <c r="C964" s="55" t="n"/>
      <c r="D964" s="55" t="n"/>
      <c r="E964" s="55" t="n"/>
      <c r="F964" s="55" t="n"/>
      <c r="G964" s="55" t="n"/>
    </row>
    <row r="965">
      <c r="A965" s="55" t="n"/>
      <c r="B965" s="55" t="n"/>
      <c r="C965" s="55" t="n"/>
      <c r="D965" s="55" t="n"/>
      <c r="E965" s="55" t="n"/>
      <c r="F965" s="55" t="n"/>
      <c r="G965" s="55" t="n"/>
    </row>
    <row r="966">
      <c r="A966" s="55" t="n"/>
      <c r="B966" s="55" t="n"/>
      <c r="C966" s="55" t="n"/>
      <c r="D966" s="55" t="n"/>
      <c r="E966" s="55" t="n"/>
      <c r="F966" s="55" t="n"/>
      <c r="G966" s="55" t="n"/>
    </row>
    <row r="967">
      <c r="A967" s="55" t="n"/>
      <c r="B967" s="55" t="n"/>
      <c r="C967" s="55" t="n"/>
      <c r="D967" s="55" t="n"/>
      <c r="E967" s="55" t="n"/>
      <c r="F967" s="55" t="n"/>
      <c r="G967" s="55" t="n"/>
    </row>
    <row r="968">
      <c r="A968" s="55" t="n"/>
      <c r="B968" s="55" t="n"/>
      <c r="C968" s="55" t="n"/>
      <c r="D968" s="55" t="n"/>
      <c r="E968" s="55" t="n"/>
      <c r="F968" s="55" t="n"/>
      <c r="G968" s="55" t="n"/>
    </row>
    <row r="969">
      <c r="A969" s="55" t="n"/>
      <c r="B969" s="55" t="n"/>
      <c r="C969" s="55" t="n"/>
      <c r="D969" s="55" t="n"/>
      <c r="E969" s="55" t="n"/>
      <c r="F969" s="55" t="n"/>
      <c r="G969" s="55" t="n"/>
    </row>
    <row r="970">
      <c r="A970" s="55" t="n"/>
      <c r="B970" s="55" t="n"/>
      <c r="C970" s="55" t="n"/>
      <c r="D970" s="55" t="n"/>
      <c r="E970" s="55" t="n"/>
      <c r="F970" s="55" t="n"/>
      <c r="G970" s="55" t="n"/>
    </row>
    <row r="971">
      <c r="A971" s="55" t="n"/>
      <c r="B971" s="55" t="n"/>
      <c r="C971" s="55" t="n"/>
      <c r="D971" s="55" t="n"/>
      <c r="E971" s="55" t="n"/>
      <c r="F971" s="55" t="n"/>
      <c r="G971" s="55" t="n"/>
    </row>
    <row r="972">
      <c r="A972" s="55" t="n"/>
      <c r="B972" s="55" t="n"/>
      <c r="C972" s="55" t="n"/>
      <c r="D972" s="55" t="n"/>
      <c r="E972" s="55" t="n"/>
      <c r="F972" s="55" t="n"/>
      <c r="G972" s="55" t="n"/>
    </row>
    <row r="973">
      <c r="A973" s="55" t="n"/>
      <c r="B973" s="55" t="n"/>
      <c r="C973" s="55" t="n"/>
      <c r="D973" s="55" t="n"/>
      <c r="E973" s="55" t="n"/>
      <c r="F973" s="55" t="n"/>
      <c r="G973" s="55" t="n"/>
    </row>
    <row r="974">
      <c r="A974" s="55" t="n"/>
      <c r="B974" s="55" t="n"/>
      <c r="C974" s="55" t="n"/>
      <c r="D974" s="55" t="n"/>
      <c r="E974" s="55" t="n"/>
      <c r="F974" s="55" t="n"/>
      <c r="G974" s="55" t="n"/>
    </row>
    <row r="975">
      <c r="A975" s="55" t="n"/>
      <c r="B975" s="55" t="n"/>
      <c r="C975" s="55" t="n"/>
      <c r="D975" s="55" t="n"/>
      <c r="E975" s="55" t="n"/>
      <c r="F975" s="55" t="n"/>
      <c r="G975" s="55" t="n"/>
    </row>
    <row r="976">
      <c r="A976" s="55" t="n"/>
      <c r="B976" s="55" t="n"/>
      <c r="C976" s="55" t="n"/>
      <c r="D976" s="55" t="n"/>
      <c r="E976" s="55" t="n"/>
      <c r="F976" s="55" t="n"/>
      <c r="G976" s="55" t="n"/>
    </row>
    <row r="977">
      <c r="A977" s="55" t="n"/>
      <c r="B977" s="55" t="n"/>
      <c r="C977" s="55" t="n"/>
      <c r="D977" s="55" t="n"/>
      <c r="E977" s="55" t="n"/>
      <c r="F977" s="55" t="n"/>
      <c r="G977" s="55" t="n"/>
    </row>
    <row r="978">
      <c r="A978" s="55" t="n"/>
      <c r="B978" s="55" t="n"/>
      <c r="C978" s="55" t="n"/>
      <c r="D978" s="55" t="n"/>
      <c r="E978" s="55" t="n"/>
      <c r="F978" s="55" t="n"/>
      <c r="G978" s="55" t="n"/>
    </row>
    <row r="979">
      <c r="A979" s="55" t="n"/>
      <c r="B979" s="55" t="n"/>
      <c r="C979" s="55" t="n"/>
      <c r="D979" s="55" t="n"/>
      <c r="E979" s="55" t="n"/>
      <c r="F979" s="55" t="n"/>
      <c r="G979" s="55" t="n"/>
    </row>
    <row r="980">
      <c r="A980" s="55" t="n"/>
      <c r="B980" s="55" t="n"/>
      <c r="C980" s="55" t="n"/>
      <c r="D980" s="55" t="n"/>
      <c r="E980" s="55" t="n"/>
      <c r="F980" s="55" t="n"/>
      <c r="G980" s="55" t="n"/>
    </row>
    <row r="981">
      <c r="A981" s="55" t="n"/>
      <c r="B981" s="55" t="n"/>
      <c r="C981" s="55" t="n"/>
      <c r="D981" s="55" t="n"/>
      <c r="E981" s="55" t="n"/>
      <c r="F981" s="55" t="n"/>
      <c r="G981" s="55" t="n"/>
    </row>
    <row r="982">
      <c r="A982" s="55" t="n"/>
      <c r="B982" s="55" t="n"/>
      <c r="C982" s="55" t="n"/>
      <c r="D982" s="55" t="n"/>
      <c r="E982" s="55" t="n"/>
      <c r="F982" s="55" t="n"/>
      <c r="G982" s="55" t="n"/>
    </row>
    <row r="983">
      <c r="A983" s="55" t="n"/>
      <c r="B983" s="55" t="n"/>
      <c r="C983" s="55" t="n"/>
      <c r="D983" s="55" t="n"/>
      <c r="E983" s="55" t="n"/>
      <c r="F983" s="55" t="n"/>
      <c r="G983" s="55" t="n"/>
    </row>
    <row r="984">
      <c r="A984" s="55" t="n"/>
      <c r="B984" s="55" t="n"/>
      <c r="C984" s="55" t="n"/>
      <c r="D984" s="55" t="n"/>
      <c r="E984" s="55" t="n"/>
      <c r="F984" s="55" t="n"/>
      <c r="G984" s="55" t="n"/>
    </row>
    <row r="985">
      <c r="A985" s="55" t="n"/>
      <c r="B985" s="55" t="n"/>
      <c r="C985" s="55" t="n"/>
      <c r="D985" s="55" t="n"/>
      <c r="E985" s="55" t="n"/>
      <c r="F985" s="55" t="n"/>
      <c r="G985" s="55" t="n"/>
    </row>
    <row r="986">
      <c r="A986" s="55" t="n"/>
      <c r="B986" s="55" t="n"/>
      <c r="C986" s="55" t="n"/>
      <c r="D986" s="55" t="n"/>
      <c r="E986" s="55" t="n"/>
      <c r="F986" s="55" t="n"/>
      <c r="G986" s="55" t="n"/>
    </row>
    <row r="987">
      <c r="A987" s="55" t="n"/>
      <c r="B987" s="55" t="n"/>
      <c r="C987" s="55" t="n"/>
      <c r="D987" s="55" t="n"/>
      <c r="E987" s="55" t="n"/>
      <c r="F987" s="55" t="n"/>
      <c r="G987" s="55" t="n"/>
    </row>
    <row r="988">
      <c r="A988" s="55" t="n"/>
      <c r="B988" s="55" t="n"/>
      <c r="C988" s="55" t="n"/>
      <c r="D988" s="55" t="n"/>
      <c r="E988" s="55" t="n"/>
      <c r="F988" s="55" t="n"/>
      <c r="G988" s="55" t="n"/>
    </row>
    <row r="989">
      <c r="A989" s="55" t="n"/>
      <c r="B989" s="55" t="n"/>
      <c r="C989" s="55" t="n"/>
      <c r="D989" s="55" t="n"/>
      <c r="E989" s="55" t="n"/>
      <c r="F989" s="55" t="n"/>
      <c r="G989" s="55" t="n"/>
    </row>
    <row r="990">
      <c r="A990" s="55" t="n"/>
      <c r="B990" s="55" t="n"/>
      <c r="C990" s="55" t="n"/>
      <c r="D990" s="55" t="n"/>
      <c r="E990" s="55" t="n"/>
      <c r="F990" s="55" t="n"/>
      <c r="G990" s="55" t="n"/>
    </row>
    <row r="991">
      <c r="A991" s="55" t="n"/>
      <c r="B991" s="55" t="n"/>
      <c r="C991" s="55" t="n"/>
      <c r="D991" s="55" t="n"/>
      <c r="E991" s="55" t="n"/>
      <c r="F991" s="55" t="n"/>
      <c r="G991" s="55" t="n"/>
    </row>
    <row r="992">
      <c r="A992" s="55" t="n"/>
      <c r="B992" s="55" t="n"/>
      <c r="C992" s="55" t="n"/>
      <c r="D992" s="55" t="n"/>
      <c r="E992" s="55" t="n"/>
      <c r="F992" s="55" t="n"/>
      <c r="G992" s="55" t="n"/>
    </row>
    <row r="993">
      <c r="A993" s="55" t="n"/>
      <c r="B993" s="55" t="n"/>
      <c r="C993" s="55" t="n"/>
      <c r="D993" s="55" t="n"/>
      <c r="E993" s="55" t="n"/>
      <c r="F993" s="55" t="n"/>
      <c r="G993" s="55" t="n"/>
    </row>
    <row r="994">
      <c r="A994" s="55" t="n"/>
      <c r="B994" s="55" t="n"/>
      <c r="C994" s="55" t="n"/>
      <c r="D994" s="55" t="n"/>
      <c r="E994" s="55" t="n"/>
      <c r="F994" s="55" t="n"/>
      <c r="G994" s="55" t="n"/>
    </row>
    <row r="995">
      <c r="A995" s="55" t="n"/>
      <c r="B995" s="55" t="n"/>
      <c r="C995" s="55" t="n"/>
      <c r="D995" s="55" t="n"/>
      <c r="E995" s="55" t="n"/>
      <c r="F995" s="55" t="n"/>
      <c r="G995" s="55" t="n"/>
    </row>
    <row r="996">
      <c r="A996" s="55" t="n"/>
      <c r="B996" s="55" t="n"/>
      <c r="C996" s="55" t="n"/>
      <c r="D996" s="55" t="n"/>
      <c r="E996" s="55" t="n"/>
      <c r="F996" s="55" t="n"/>
      <c r="G996" s="55" t="n"/>
    </row>
    <row r="997">
      <c r="A997" s="55" t="n"/>
      <c r="B997" s="55" t="n"/>
      <c r="C997" s="55" t="n"/>
      <c r="D997" s="55" t="n"/>
      <c r="E997" s="55" t="n"/>
      <c r="F997" s="55" t="n"/>
      <c r="G997" s="55" t="n"/>
    </row>
    <row r="998">
      <c r="A998" s="55" t="n"/>
      <c r="B998" s="55" t="n"/>
      <c r="C998" s="55" t="n"/>
      <c r="D998" s="55" t="n"/>
      <c r="E998" s="55" t="n"/>
      <c r="F998" s="55" t="n"/>
      <c r="G998" s="55" t="n"/>
    </row>
    <row r="999">
      <c r="A999" s="55" t="n"/>
      <c r="B999" s="55" t="n"/>
      <c r="C999" s="55" t="n"/>
      <c r="D999" s="55" t="n"/>
      <c r="E999" s="55" t="n"/>
      <c r="F999" s="55" t="n"/>
      <c r="G999" s="55" t="n"/>
    </row>
    <row r="1000">
      <c r="A1000" s="55" t="n"/>
      <c r="B1000" s="55" t="n"/>
      <c r="C1000" s="55" t="n"/>
      <c r="D1000" s="55" t="n"/>
      <c r="E1000" s="55" t="n"/>
      <c r="F1000" s="55" t="n"/>
      <c r="G1000" s="55" t="n"/>
    </row>
    <row r="1001">
      <c r="A1001" s="55" t="n"/>
      <c r="B1001" s="55" t="n"/>
      <c r="C1001" s="55" t="n"/>
      <c r="D1001" s="55" t="n"/>
      <c r="E1001" s="55" t="n"/>
      <c r="F1001" s="55" t="n"/>
      <c r="G1001" s="55" t="n"/>
    </row>
  </sheetData>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250"/>
  <sheetViews>
    <sheetView workbookViewId="0">
      <selection activeCell="A1" sqref="A1"/>
    </sheetView>
  </sheetViews>
  <sheetFormatPr baseColWidth="8" defaultColWidth="12.63" defaultRowHeight="15.75" customHeight="1"/>
  <cols>
    <col width="10.25" customWidth="1" style="185" min="1" max="1"/>
    <col width="53.63" customWidth="1" style="185" min="2" max="3"/>
    <col hidden="1" width="12.63" customWidth="1" style="185" min="5" max="6"/>
    <col width="13.75" customWidth="1" style="185" min="7" max="7"/>
    <col width="13.38" customWidth="1" style="185" min="8" max="8"/>
    <col width="41.63" customWidth="1" style="185" min="9" max="9"/>
    <col width="22.75" customWidth="1" style="185" min="11" max="11"/>
    <col width="27.63" customWidth="1" style="185" min="12" max="12"/>
  </cols>
  <sheetData>
    <row r="1" ht="59.25" customHeight="1" s="185">
      <c r="A1" s="51" t="n"/>
      <c r="B1" s="30" t="inlineStr">
        <is>
          <t>1. C列のURLを踏んでコラム記事を確認
2. 目次に「よくある質問」の有無を確認しG列に記入
3. 「よくある質問」が無かった場合、新規で「よくある質問」の追加可否（そもそも質問とか生じないテーマではないか）をH列に記入
4. H列が「可」の場合、どんな質問が想定されるか1記事当たり4つ考案してI列に記入</t>
        </is>
      </c>
      <c r="D1" s="31" t="n"/>
      <c r="E1" s="32" t="n"/>
      <c r="F1" s="32" t="n"/>
      <c r="G1" s="31" t="n"/>
      <c r="H1" s="47" t="n"/>
      <c r="I1" s="47" t="inlineStr">
        <is>
          <t>プロンプト例（GeminiPro推奨）
=======================
下記コラムに「よくある質問」の見出しを追加したい。
質問は一問一答形式。QとAは段落分けて。スプレッドシートの一つのセルにコピペしやすい形で出力。
目的としては、SEOにおけるLLMOおよびPAA対策。
コラム記事の主テーマに沿って読者が抱く疑問を基に3つ考案して。
"記事のURLを添付"
=======================</t>
        </is>
      </c>
      <c r="J1" s="47" t="n"/>
      <c r="K1" s="47" t="n"/>
      <c r="L1" s="47" t="n"/>
      <c r="M1" s="47" t="n"/>
      <c r="N1" s="47" t="n"/>
      <c r="O1" s="47" t="n"/>
      <c r="P1" s="47" t="n"/>
      <c r="Q1" s="47" t="n"/>
      <c r="R1" s="47" t="n"/>
      <c r="S1" s="47" t="n"/>
      <c r="T1" s="47" t="n"/>
      <c r="U1" s="47" t="n"/>
      <c r="V1" s="47" t="n"/>
      <c r="W1" s="47" t="n"/>
      <c r="X1" s="47" t="n"/>
      <c r="Y1" s="47" t="n"/>
      <c r="Z1" s="47" t="n"/>
    </row>
    <row r="2">
      <c r="A2" s="51" t="n"/>
      <c r="B2" s="51" t="n"/>
      <c r="C2" s="31" t="n"/>
      <c r="D2" s="31" t="n"/>
      <c r="E2" s="32" t="n"/>
      <c r="F2" s="32" t="n"/>
      <c r="G2" s="31" t="n"/>
      <c r="H2" s="47" t="n"/>
      <c r="I2" s="47" t="n"/>
      <c r="J2" s="47" t="n"/>
      <c r="K2" s="47" t="n"/>
      <c r="L2" s="47" t="n"/>
      <c r="M2" s="47" t="n"/>
      <c r="N2" s="47" t="n"/>
      <c r="O2" s="47" t="n"/>
      <c r="P2" s="47" t="n"/>
      <c r="Q2" s="47" t="n"/>
      <c r="R2" s="47" t="n"/>
      <c r="S2" s="47" t="n"/>
      <c r="T2" s="47" t="n"/>
      <c r="U2" s="47" t="n"/>
      <c r="V2" s="47" t="n"/>
      <c r="W2" s="47" t="n"/>
      <c r="X2" s="47" t="n"/>
      <c r="Y2" s="47" t="n"/>
      <c r="Z2" s="47" t="n"/>
    </row>
    <row r="3">
      <c r="A3" s="51" t="inlineStr">
        <is>
          <t>No</t>
        </is>
      </c>
      <c r="B3" s="51" t="inlineStr">
        <is>
          <t>Title</t>
        </is>
      </c>
      <c r="C3" s="31" t="inlineStr">
        <is>
          <t>URL</t>
        </is>
      </c>
      <c r="D3" s="31" t="inlineStr">
        <is>
          <t>Query</t>
        </is>
      </c>
      <c r="E3" s="32" t="inlineStr">
        <is>
          <t>Clicks</t>
        </is>
      </c>
      <c r="F3" s="32" t="inlineStr">
        <is>
          <t>Position</t>
        </is>
      </c>
      <c r="G3" s="31" t="inlineStr">
        <is>
          <t>FAQ有無</t>
        </is>
      </c>
      <c r="H3" s="31" t="inlineStr">
        <is>
          <t>FAQ追加可否</t>
        </is>
      </c>
      <c r="I3" s="31" t="inlineStr">
        <is>
          <t>FAQ案</t>
        </is>
      </c>
      <c r="J3" s="47" t="inlineStr">
        <is>
          <t>メモ</t>
        </is>
      </c>
      <c r="K3" s="47" t="inlineStr">
        <is>
          <t>コンプラチェック</t>
        </is>
      </c>
      <c r="L3" s="47" t="inlineStr">
        <is>
          <t>クリニックかどうか</t>
        </is>
      </c>
      <c r="M3" s="47" t="n"/>
      <c r="N3" s="47" t="n"/>
      <c r="O3" s="47" t="n"/>
      <c r="P3" s="47" t="n"/>
      <c r="Q3" s="47" t="n"/>
      <c r="R3" s="47" t="n"/>
      <c r="S3" s="47" t="n"/>
      <c r="T3" s="47" t="n"/>
      <c r="U3" s="47" t="n"/>
      <c r="V3" s="47" t="n"/>
      <c r="W3" s="47" t="n"/>
      <c r="X3" s="47" t="n"/>
      <c r="Y3" s="47" t="n"/>
      <c r="Z3" s="47" t="n"/>
    </row>
    <row r="4" ht="15.75" customHeight="1" s="185">
      <c r="A4" s="52">
        <f>row()-3</f>
        <v/>
      </c>
      <c r="B4" s="46" t="inlineStr">
        <is>
          <t>タイの医療保険制度の特徴は？医療費や日本人が利用できる保険も紹介</t>
        </is>
      </c>
      <c r="C4" s="10" t="inlineStr">
        <is>
          <t>https://dym.asia/media/thailand-health-insurance/</t>
        </is>
      </c>
      <c r="D4" s="47" t="inlineStr">
        <is>
          <t>タイ 医療保険</t>
        </is>
      </c>
      <c r="E4" s="35" t="n">
        <v>48</v>
      </c>
      <c r="F4" s="36" t="n">
        <v>1.336158192090396</v>
      </c>
      <c r="G4" s="47" t="inlineStr">
        <is>
          <t>なし</t>
        </is>
      </c>
      <c r="H4" s="47" t="inlineStr">
        <is>
          <t>可</t>
        </is>
      </c>
      <c r="I4" s="47" t="inlineStr">
        <is>
          <t>Q: タイに長期滞在する日本人が公的医療保険を利用できる可能性はありますか？
A: タイで合法的に働き、ワークパーミットを取得している場合は、社会保障制度（SSS）に加入できる可能性があります。民間企業に雇用されていれば対象となり、保険料は本人だけでなく雇用主や政府も一部を負担します。ただし、利用できる医療機関が限られていたり、手続きや受診時に言語の壁があったりするため、勤務先のサポートが欠かせません。
Q: タイの公立病院と私立病院では、医療費やサービスにどれくらいの差がありますか？
A: 公立病院は費用を抑えられる一方で、混雑しやすく待ち時間が長い傾向があります。設備や英語対応の面で不安を感じることもあるでしょう。私立病院は、設備が整っていて対応も迅速ですが、その分医療費は高く、内容によっては公立の何倍にもなるケースがあります。
Q: 日本人がタイで安心して医療を受けるために、最も推奨される保険の種類は何ですか？
A: 安心を重視するなら、私立病院での高額な治療にも対応できる国際医療保険や海外赴任者向け保険が適しています。キャッシュレスで受診できるプランも多く、万が一の大きな病気やケガにも備えられるため、長期滞在を予定している場合は加入を検討する価値があります。</t>
        </is>
      </c>
      <c r="J4" s="47" t="n"/>
      <c r="K4" s="47" t="inlineStr">
        <is>
          <t>未確認</t>
        </is>
      </c>
      <c r="L4" s="47" t="inlineStr">
        <is>
          <t>クリニック</t>
        </is>
      </c>
      <c r="M4" s="47" t="n"/>
      <c r="N4" s="47" t="n"/>
      <c r="O4" s="47" t="n"/>
      <c r="P4" s="47" t="n"/>
      <c r="Q4" s="47" t="n"/>
      <c r="R4" s="47" t="n"/>
      <c r="S4" s="47" t="n"/>
      <c r="T4" s="47" t="n"/>
      <c r="U4" s="47" t="n"/>
      <c r="V4" s="47" t="n"/>
      <c r="W4" s="47" t="n"/>
      <c r="X4" s="47" t="n"/>
      <c r="Y4" s="47" t="n"/>
      <c r="Z4" s="47" t="n"/>
    </row>
    <row r="5" ht="15.75" customHeight="1" s="185">
      <c r="A5" s="52">
        <f>row()-3</f>
        <v/>
      </c>
      <c r="B5" s="46" t="inlineStr">
        <is>
          <t>ベトナムの私立病院を受診した場合の医療費はいくら？海外旅行保険の重要性を解説</t>
        </is>
      </c>
      <c r="C5" s="10" t="inlineStr">
        <is>
          <t>https://dym.asia/media/vietnam-hospital-cost/</t>
        </is>
      </c>
      <c r="D5" s="47" t="inlineStr">
        <is>
          <t>ベトナム 医療費</t>
        </is>
      </c>
      <c r="E5" s="35" t="n">
        <v>43</v>
      </c>
      <c r="F5" s="36" t="n">
        <v>2.248730964467005</v>
      </c>
      <c r="G5" s="47" t="inlineStr">
        <is>
          <t>なし</t>
        </is>
      </c>
      <c r="H5" s="47" t="inlineStr">
        <is>
          <t>可</t>
        </is>
      </c>
      <c r="I5" s="47" t="inlineStr">
        <is>
          <t>Q: ベトナムの私立病院で一般的な診察を受けた場合、医療費は日本と比べて高いですか？
A: はい、多くの場合は日本より高くなります。日本では公的医療保険が使えるため初診料は数千円程度ですが、ベトナムの私立病院は自由診療が基本です。そのため、一般的な初診でも100〜200ドルほどかかることがあり、日本の感覚で考えると割高に感じやすいでしょう。
Q: ベトナムの私立病院の医療費が高額になる主な理由は何ですか？
A: 私立病院では、最新の医療機器や設備を整え、外国人対応ができる医師や看護師、通訳サービスなどを用意しています。こうしたコストがそのまま医療費に反映されるため、公立病院に比べて料金が高くなりがちです。また、外国人が安心して利用できる医療機関が限られていることも、価格が下がりにくい理由の一つです。
Q: ベトナム旅行中に緊急で高度な治療が必要になった場合、治療費はどのくらいかかりますか？
A: 重い病気や大きなケガで高度な治療が必要になると、シンガポールやタイなど医療水準の高い国へ緊急搬送されるケースもあります。その場合、入院や手術、搬送費用を含めて数百万円規模になることも珍しくありません。万一に備えて、補償内容が十分な海外旅行保険に加入しておくことが安心につながります。</t>
        </is>
      </c>
      <c r="J5" s="47" t="n"/>
      <c r="K5" s="47" t="inlineStr">
        <is>
          <t>未確認</t>
        </is>
      </c>
      <c r="L5" s="47" t="inlineStr">
        <is>
          <t>クリニック</t>
        </is>
      </c>
      <c r="M5" s="47" t="n"/>
      <c r="N5" s="47" t="n"/>
      <c r="O5" s="47" t="n"/>
      <c r="P5" s="47" t="n"/>
      <c r="Q5" s="47" t="n"/>
      <c r="R5" s="47" t="n"/>
      <c r="S5" s="47" t="n"/>
      <c r="T5" s="47" t="n"/>
      <c r="U5" s="47" t="n"/>
      <c r="V5" s="47" t="n"/>
      <c r="W5" s="47" t="n"/>
      <c r="X5" s="47" t="n"/>
      <c r="Y5" s="47" t="n"/>
      <c r="Z5" s="47" t="n"/>
    </row>
    <row r="6" ht="15.75" customHeight="1" s="185">
      <c r="A6" s="52">
        <f>row()-3</f>
        <v/>
      </c>
      <c r="B6" s="46" t="inlineStr">
        <is>
          <t>タイの医療事情について－制度や利用条件、医療費の実態</t>
        </is>
      </c>
      <c r="C6" s="6" t="inlineStr">
        <is>
          <t>https://dym.asia/media/thailand_healthcare/</t>
        </is>
      </c>
      <c r="D6" s="47" t="inlineStr">
        <is>
          <t>タイ 医療制度</t>
        </is>
      </c>
      <c r="E6" s="35" t="n">
        <v>31</v>
      </c>
      <c r="F6" s="36" t="n">
        <v>1.495238095238095</v>
      </c>
      <c r="G6" s="47" t="inlineStr">
        <is>
          <t>なし</t>
        </is>
      </c>
      <c r="H6" s="47" t="inlineStr">
        <is>
          <t>可</t>
        </is>
      </c>
      <c r="I6" s="47" t="inlineStr">
        <is>
          <t>Q: タイの公的医療制度は、日本の国民皆保険制度とどう違うのですか？
A: 日本は全国民が同じ仕組みの保険に加入する国民皆保険制度ですが、タイでは立場によって利用する制度が分かれています。公務員向け、民間企業の従業員向け、その他の国民向けという三つの制度が並立しており、対象者や自己負担、受けられる医療サービスがそれぞれ異なります。この点が、日本との大きな違いです。
Q: タイで駐在員として働く日本人は、どの医療制度を利用できますか？
A: 民間企業に雇用され、ワークパーミットを持って働く日本人駐在員は、社会保険制度（SSS）の対象になります。一定の範囲内で自己負担なく医療を受けられるのが特徴ですが、利用先は主に公立病院です。日本語対応や私立病院での治療を重視する場合は、民間の医療保険を併用する人が多いのが実情です。
Q: タイの病院を受診する際、日本と比べて特に注意すべき医療費の特徴は何ですか？
A: 公立病院と私立病院の差が非常に大きい点です。公立病院は費用を抑えられる一方で混雑しやすく、私立病院はサービスや設備が充実していますが、医療費は日本と同程度か、それ以上になることもあります。救急車も有料になるケースがあるため、想定外の出費に備えて保険加入をしておくことが重要です。</t>
        </is>
      </c>
      <c r="J6" s="47" t="n"/>
      <c r="K6" s="47" t="inlineStr">
        <is>
          <t>未確認</t>
        </is>
      </c>
      <c r="L6" s="47" t="inlineStr">
        <is>
          <t>クリニック</t>
        </is>
      </c>
      <c r="M6" s="47" t="n"/>
      <c r="N6" s="47" t="n"/>
      <c r="O6" s="47" t="n"/>
      <c r="P6" s="47" t="n"/>
      <c r="Q6" s="47" t="n"/>
      <c r="R6" s="47" t="n"/>
      <c r="S6" s="47" t="n"/>
      <c r="T6" s="47" t="n"/>
      <c r="U6" s="47" t="n"/>
      <c r="V6" s="47" t="n"/>
      <c r="W6" s="47" t="n"/>
      <c r="X6" s="47" t="n"/>
      <c r="Y6" s="47" t="n"/>
      <c r="Z6" s="47" t="n"/>
    </row>
    <row r="7" ht="15.75" customHeight="1" s="185">
      <c r="A7" s="52">
        <f>row()-3</f>
        <v/>
      </c>
      <c r="B7" s="46" t="inlineStr">
        <is>
          <t>ハノイ（ベトナム）にある日本語対応の病院11選｜受診時に必要なものも紹介</t>
        </is>
      </c>
      <c r="C7" s="10" t="inlineStr">
        <is>
          <t>https://dym.asia/media/hanoi-hospital-japanese/</t>
        </is>
      </c>
      <c r="D7" s="47" t="inlineStr">
        <is>
          <t>ハノイ 病院 日本人</t>
        </is>
      </c>
      <c r="E7" s="35" t="n">
        <v>30</v>
      </c>
      <c r="F7" s="36" t="n">
        <v>1.219178082191781</v>
      </c>
      <c r="G7" s="47" t="inlineStr">
        <is>
          <t>なし</t>
        </is>
      </c>
      <c r="H7" s="47" t="inlineStr">
        <is>
          <t>可</t>
        </is>
      </c>
      <c r="I7" s="47" t="inlineStr">
        <is>
          <t>Q. ハノイで日本語対応が可能な病院は、どのような診察科目に対応していますか？　　　　　　　　　　　　　　　　　　　　　　　　　　　　　　　　　　　　　　　　　　　　　　　A. ハノイの日本語対応病院では、内科や小児科、外科、耳鼻咽喉科など、日常的によく利用される診療科を幅広くカバーしています。日本人の利用が多いことから、健康診断や予防接種にも力を入れており、より専門的な治療が必要な場合は、提携している現地の大病院を紹介してもらえるのが一般的です。
Q. 日本語対応のある病院では、日本の健康保険や海外旅行保険は利用できますか？　　　　　　　　　　　　　　　　　　　　　　　　　　　　　　　　　　　　　　　　　　　　　　　　A. 多くの病院で海外旅行傷害保険が利用でき、保険会社との提携状況によっては窓口での支払いが不要なケースもあります。一方、日本の公的健康保険はその場で使うことはできませんが、いったん全額を支払ったうえで、帰国後に手続きをすれば払い戻しを受けられます。
Q. ハノイの日本語対応病院で、予約なしで当日受診することは可能ですか？　　　　　　　　　　　　　　　　　　
A. 症状が軽い場合であれば、予約なしで診てもらえることもあります。ただし、日本語での対応を確実に受けたい場合や待ち時間を減らしたい場合は、事前に電話で予約を入れておく方が安心です。専門外来や健康診断は予約必須のことが多いため、急な体調不良でもまずは連絡して指示を仰ぐのがおすすめです。</t>
        </is>
      </c>
      <c r="J7" s="47" t="n"/>
      <c r="K7" s="47" t="inlineStr">
        <is>
          <t>未確認</t>
        </is>
      </c>
      <c r="L7" s="47" t="inlineStr">
        <is>
          <t>クリニック</t>
        </is>
      </c>
      <c r="M7" s="47" t="n"/>
      <c r="N7" s="47" t="n"/>
      <c r="O7" s="47" t="n"/>
      <c r="P7" s="47" t="n"/>
      <c r="Q7" s="47" t="n"/>
      <c r="R7" s="47" t="n"/>
      <c r="S7" s="47" t="n"/>
      <c r="T7" s="47" t="n"/>
      <c r="U7" s="47" t="n"/>
      <c r="V7" s="47" t="n"/>
      <c r="W7" s="47" t="n"/>
      <c r="X7" s="47" t="n"/>
      <c r="Y7" s="47" t="n"/>
      <c r="Z7" s="47" t="n"/>
    </row>
    <row r="8" ht="15.75" customHeight="1" s="185">
      <c r="A8" s="52">
        <f>row()-3</f>
        <v/>
      </c>
      <c r="B8" s="46" t="inlineStr">
        <is>
          <t>ベトナムの健康保険事情とは</t>
        </is>
      </c>
      <c r="C8" s="10" t="inlineStr">
        <is>
          <t>https://dym.asia/media/vietnam-health-insurance/</t>
        </is>
      </c>
      <c r="D8" s="47" t="inlineStr">
        <is>
          <t>ベトナム 健康保険制度</t>
        </is>
      </c>
      <c r="E8" s="35" t="n">
        <v>28</v>
      </c>
      <c r="F8" s="36" t="n">
        <v>1.184615384615385</v>
      </c>
      <c r="G8" s="47" t="inlineStr">
        <is>
          <t>なし</t>
        </is>
      </c>
      <c r="H8" s="47" t="inlineStr">
        <is>
          <t>可</t>
        </is>
      </c>
      <c r="I8" s="47" t="inlineStr">
        <is>
          <t>Q: ベトナムで働く外国人労働者に、社会保険の加入は義務付けられていますか？
A: 原則として加入が義務付けられています。労働許可証を持ち、1年以上または期間の定めのない契約で働く外国人は、2018年からベトナムの社会保険に加入する必要があります。ただし、社内異動で一時的に派遣されている場合や、定年年齢を超えている場合などは対象外となることもあります。
Q: ベトナムの公的な社会保険に加入していても、なぜ個人で医療保険に加入することが推奨されるのですか？
A: ベトナムの公的保険は、基本的に現地の医療体制を前提としており、外国人がよく利用する私立病院や外資系病院では補償が十分でないことがあります。設備が整った病院ほど医療費が高額になりやすく、公的保険だけでは自己負担が大きくなるため、安心して治療を受けるには民間の医療保険を併せて用意しておく方が安心です。
Q: ベトナムの社会保険料は、外国人労働者とベトナム人労働者で負担率に違いがありますか？
A: はい、違いがあります。外国人労働者が加入するのは主に健康保険と労災保険に限られており、年金や失業保険は含まれていません。そのため、保険料率はベトナム人労働者よりも低く設定されています。一方、ベトナム人は年金や失業保険も含まれるため、全体の負担はやや高くなっています。</t>
        </is>
      </c>
      <c r="J8" s="47" t="n"/>
      <c r="K8" s="47" t="inlineStr">
        <is>
          <t>未確認</t>
        </is>
      </c>
      <c r="L8" s="47" t="inlineStr">
        <is>
          <t>クリニック</t>
        </is>
      </c>
      <c r="M8" s="47" t="n"/>
      <c r="N8" s="47" t="n"/>
      <c r="O8" s="47" t="n"/>
      <c r="P8" s="47" t="n"/>
      <c r="Q8" s="47" t="n"/>
      <c r="R8" s="47" t="n"/>
      <c r="S8" s="47" t="n"/>
      <c r="T8" s="47" t="n"/>
      <c r="U8" s="47" t="n"/>
      <c r="V8" s="47" t="n"/>
      <c r="W8" s="47" t="n"/>
      <c r="X8" s="47" t="n"/>
      <c r="Y8" s="47" t="n"/>
      <c r="Z8" s="47" t="n"/>
    </row>
    <row r="9" ht="15.75" customHeight="1" s="185">
      <c r="A9" s="52">
        <f>row()-3</f>
        <v/>
      </c>
      <c r="B9" s="46" t="inlineStr">
        <is>
          <t>ベトナムの医療保険制度と医療事情の現状</t>
        </is>
      </c>
      <c r="C9" s="6" t="inlineStr">
        <is>
          <t>https://dym.asia/media/vietnam-insurance/</t>
        </is>
      </c>
      <c r="D9" s="47" t="inlineStr">
        <is>
          <t>ベトナム 医療制度</t>
        </is>
      </c>
      <c r="E9" s="35" t="n">
        <v>20</v>
      </c>
      <c r="F9" s="36" t="n">
        <v>3.52</v>
      </c>
      <c r="G9" s="47" t="inlineStr">
        <is>
          <t>なし</t>
        </is>
      </c>
      <c r="H9" s="47" t="inlineStr">
        <is>
          <t>可</t>
        </is>
      </c>
      <c r="I9" s="47" t="inlineStr">
        <is>
          <t>Q: ベトナムの公的医療機関と民間医療機関では、日本人にとってどのような違いがありますか？
A: 公的医療機関は費用が安い反面、常に混み合っていて設備や医療水準にばらつきがあり、やり取りも基本はベトナム語になります。そのため、日本人が安心して利用するにはハードルが高いのが実情です。一方、民間医療機関は設備が整い、英語や日本語に対応できるスタッフがいることも多く、日本に近い感覚で診療を受けられる点が大きな違いです。
Q: ベトナムの公的医療保険は、外国人駐在員の高額な医療費をカバーするのに十分ですか？
A: 公的医療保険だけでは、日本人が利用しやすい私立病院での治療や高度医療を十分にカバーできないケースが多くあります。重い病気やケガで高額な治療が必要になった場合、自己負担が大きくなる可能性があるため、民間の医療保険を併せて準備しておく方が安心です。
Q: ベトナムで緊急医療が必要になった場合、高額な医療費の支払いに備えてどうすればいいですか？
A: 万が一に備えて、補償額が十分な民間医療保険や海外旅行傷害保険に事前に加入しておくことが大切です。特にキャッシュレス対応や緊急搬送費用まで補償されるかは重要なポイントです。あわせて、クレジットカードの利用限度額も確認しておくと、いざという時に慌てずに済みます。</t>
        </is>
      </c>
      <c r="J9" s="47" t="n"/>
      <c r="K9" s="47" t="inlineStr">
        <is>
          <t>未確認</t>
        </is>
      </c>
      <c r="L9" s="47" t="inlineStr">
        <is>
          <t>クリニック</t>
        </is>
      </c>
      <c r="M9" s="47" t="n"/>
      <c r="N9" s="47" t="n"/>
      <c r="O9" s="47" t="n"/>
      <c r="P9" s="47" t="n"/>
      <c r="Q9" s="47" t="n"/>
      <c r="R9" s="47" t="n"/>
      <c r="S9" s="47" t="n"/>
      <c r="T9" s="47" t="n"/>
      <c r="U9" s="47" t="n"/>
      <c r="V9" s="47" t="n"/>
      <c r="W9" s="47" t="n"/>
      <c r="X9" s="47" t="n"/>
      <c r="Y9" s="47" t="n"/>
      <c r="Z9" s="47" t="n"/>
    </row>
    <row r="10" ht="15.75" customHeight="1" s="185">
      <c r="A10" s="52">
        <f>row()-3</f>
        <v/>
      </c>
      <c r="B10" s="46" t="e"/>
      <c r="C10" s="6" t="inlineStr">
        <is>
          <t>https://dym.asia/media/america-hospital-cost/</t>
        </is>
      </c>
      <c r="D10" s="47" t="inlineStr">
        <is>
          <t>アメリカ 医療費 なぜ高い</t>
        </is>
      </c>
      <c r="E10" s="35" t="n">
        <v>19</v>
      </c>
      <c r="F10" s="36" t="n">
        <v>3.797432239657632</v>
      </c>
      <c r="G10" s="47" t="inlineStr">
        <is>
          <t>なし</t>
        </is>
      </c>
      <c r="H10" s="47" t="inlineStr">
        <is>
          <t>可</t>
        </is>
      </c>
      <c r="I10" s="47" t="inlineStr">
        <is>
          <t>Q: アメリカで救急車を利用すると、どのくらいの費用がかかるのですか？
A: アメリカでは救急車は無料ではなく、基本料金に距離や処置内容が加算されます。近距離の搬送でも1,000ドル（約11万円）を超えることは珍しくなく、「本当に呼ぶべきか」を迷ってしまう人が多いのが現実です。
Q: なぜアメリカの病院は、虫垂炎の入院費が日本と比べて数倍も高額になるのですか？
A: 医療費を病院側が自由に決められる仕組みが大きな理由です。高度な医療技術や最新設備、医療従事者の人件費に加え、訴訟リスクへの備えも費用に反映されます。そのため、一般的な虫垂炎でも、入院費が日本の数倍から十数倍になることがあります。
Q: アメリカの医療費が原因で自己破産に陥るケースが多いと聞きますが、どのような人が影響を受けやすいですか？
A: 特に影響を受けやすいのは、公的保険の対象外で、十分な民間保険にも入れない中間所得層です。無保険や補償の薄い保険のまま重い病気やケガをすると、支払いきれない医療費が積み重なり、最終的に自己破産を選ばざるを得なくなるケースも少なくありません。</t>
        </is>
      </c>
      <c r="J10" s="47" t="n"/>
      <c r="K10" s="47" t="inlineStr">
        <is>
          <t>未確認</t>
        </is>
      </c>
      <c r="L10" s="47" t="inlineStr">
        <is>
          <t>クリニック</t>
        </is>
      </c>
      <c r="M10" s="47" t="n"/>
      <c r="N10" s="47" t="n"/>
      <c r="O10" s="47" t="n"/>
      <c r="P10" s="47" t="n"/>
      <c r="Q10" s="47" t="n"/>
      <c r="R10" s="47" t="n"/>
      <c r="S10" s="47" t="n"/>
      <c r="T10" s="47" t="n"/>
      <c r="U10" s="47" t="n"/>
      <c r="V10" s="47" t="n"/>
      <c r="W10" s="47" t="n"/>
      <c r="X10" s="47" t="n"/>
      <c r="Y10" s="47" t="n"/>
      <c r="Z10" s="47" t="n"/>
    </row>
    <row r="11" ht="15.75" customHeight="1" s="185">
      <c r="A11" s="52">
        <f>row()-3</f>
        <v/>
      </c>
      <c r="B11" s="46" t="inlineStr">
        <is>
          <t>医療費が高騰するアメリカ｜ニューヨークの病院事情</t>
        </is>
      </c>
      <c r="C11" s="10" t="inlineStr">
        <is>
          <t>https://dym.asia/media/new-york-hospital-cost/</t>
        </is>
      </c>
      <c r="D11" s="47" t="inlineStr">
        <is>
          <t>アメリカ mri 費用</t>
        </is>
      </c>
      <c r="E11" s="35" t="n">
        <v>17</v>
      </c>
      <c r="F11" s="36" t="n">
        <v>1.340579710144927</v>
      </c>
      <c r="G11" s="47" t="inlineStr">
        <is>
          <t>なし</t>
        </is>
      </c>
      <c r="H11" s="47" t="inlineStr">
        <is>
          <t>可</t>
        </is>
      </c>
      <c r="I11" s="47" t="inlineStr">
        <is>
          <t>Q: ニューヨークの病院で、保険に入っていない外国人（日本人旅行者など）の医療費が高額になるのはなぜですか？
A: ニューヨークの病院では、保険に入っている人と入っていない人で料金の考え方が大きく異なります。保険加入者は、保険会社と病院の間で決められた金額が適用されますが、保険未加入の場合は病院が設定した全額をそのまま請求されます。この仕組みの違いが、旅行者などの医療費が跳ね上がる一番の理由です。
Q: ニューヨークでの医療費を抑えるために、緊急ではない場合に利用できる医療施設はありますか？
A: 命に関わらない症状であれば、予約なしで受診できるウォークインクリニックやアージェントケアを利用することで、救急外来より費用を抑えられることがあります。対応できる治療には限りがありますが、待ち時間が短い点は大きなメリットです。受診前に、加入している保険が使えるか確認しておくと安心です。
Q: ニューヨークでの医療保険を選ぶ際、補償額は最低いくらを目安にすべきですか？
A: ニューヨークの医療費水準を考えると、最低でも500万円以上、可能であれば補償額無制限の保険を選ぶのが安心です。軽い入院や処置でも高額になることが多いため、万が一に備えて十分な補償を確保しておくことが重要です。</t>
        </is>
      </c>
      <c r="J11" s="47" t="n"/>
      <c r="K11" s="47" t="inlineStr">
        <is>
          <t>未確認</t>
        </is>
      </c>
      <c r="L11" s="47" t="inlineStr">
        <is>
          <t>クリニック</t>
        </is>
      </c>
      <c r="M11" s="47" t="n"/>
      <c r="N11" s="47" t="n"/>
      <c r="O11" s="47" t="n"/>
      <c r="P11" s="47" t="n"/>
      <c r="Q11" s="47" t="n"/>
      <c r="R11" s="47" t="n"/>
      <c r="S11" s="47" t="n"/>
      <c r="T11" s="47" t="n"/>
      <c r="U11" s="47" t="n"/>
      <c r="V11" s="47" t="n"/>
      <c r="W11" s="47" t="n"/>
      <c r="X11" s="47" t="n"/>
      <c r="Y11" s="47" t="n"/>
      <c r="Z11" s="47" t="n"/>
    </row>
    <row r="12" ht="15.75" customHeight="1" s="185">
      <c r="A12" s="52">
        <f>row()-3</f>
        <v/>
      </c>
      <c r="B12" s="46" t="inlineStr">
        <is>
          <t>ベトナムの医療事情【医療費から病院選び、日本語対応可のおすすめクリニック】</t>
        </is>
      </c>
      <c r="C12" s="6" t="inlineStr">
        <is>
          <t>https://dym.asia/media/vietnam_healthcare/</t>
        </is>
      </c>
      <c r="D12" s="47" t="inlineStr">
        <is>
          <t>ベトナム 医療</t>
        </is>
      </c>
      <c r="E12" s="35" t="n">
        <v>15</v>
      </c>
      <c r="F12" s="36" t="n">
        <v>3.469194312796208</v>
      </c>
      <c r="G12" s="47" t="inlineStr">
        <is>
          <t>なし</t>
        </is>
      </c>
      <c r="H12" s="47" t="inlineStr">
        <is>
          <t>可</t>
        </is>
      </c>
      <c r="I12" s="47" t="inlineStr">
        <is>
          <t>Q: ベトナムで日本人が安心して医療を受けるには、公立病院と民間病院のどちらを選ぶべきですか？
A: 日本人が安心して医療を受けたい場合は、民間病院や外資系クリニックを選ぶのが現実的です。公立病院は費用こそ安いものの、混雑が激しく設備や人手が十分でないことも多く、言葉の壁もあります。その点、民間病院であれば設備が整い、日本語対応のスタッフがいることもあり、日本に近い感覚で診療を受けやすい環境が整っています。
Q: ベトナムの救急車は有料ですか？また、緊急時にかかる医療費の相場はどのくらいですか？
A: ベトナムでは民間の救急車を利用するケースが多く、基本的に有料です。症状が重く、国外への医療搬送が必要になると、費用が数百万円規模になることもあります。こうした事態に備え、渡航前に補償内容が十分な海外保険へ加入しておくことが欠かせません。
Q: ベトナムの医療水準は、日本や他のアジア先進国と比べて高いですか、低いですか？
A: 全体としては、日本やアジアの医療先進国と比べると差があるのが実情です。ただし、ハノイやホーチミンの都市部にある民間病院では、設備や医療水準が高く、安心して治療を受けられる施設も増えています。地域による差が大きい点は、事前に知っておきたいポイントです。</t>
        </is>
      </c>
      <c r="J12" s="47" t="n"/>
      <c r="K12" s="47" t="inlineStr">
        <is>
          <t>未確認</t>
        </is>
      </c>
      <c r="L12" s="47" t="inlineStr">
        <is>
          <t>クリニック</t>
        </is>
      </c>
      <c r="M12" s="47" t="n"/>
      <c r="N12" s="47" t="n"/>
      <c r="O12" s="47" t="n"/>
      <c r="P12" s="47" t="n"/>
      <c r="Q12" s="47" t="n"/>
      <c r="R12" s="47" t="n"/>
      <c r="S12" s="47" t="n"/>
      <c r="T12" s="47" t="n"/>
      <c r="U12" s="47" t="n"/>
      <c r="V12" s="47" t="n"/>
      <c r="W12" s="47" t="n"/>
      <c r="X12" s="47" t="n"/>
      <c r="Y12" s="47" t="n"/>
      <c r="Z12" s="47" t="n"/>
    </row>
    <row r="13" ht="15.75" customHeight="1" s="185">
      <c r="A13" s="52">
        <f>row()-3</f>
        <v/>
      </c>
      <c r="B13" s="46" t="inlineStr">
        <is>
          <t>アメリカの医療保険とは｜医療保険制度の概要や医療事情を解説</t>
        </is>
      </c>
      <c r="C13" s="10" t="inlineStr">
        <is>
          <t>https://dym.asia/media/america-insurance/</t>
        </is>
      </c>
      <c r="D13" s="47" t="inlineStr">
        <is>
          <t>アメリカ 医療制度 メリット デメリット</t>
        </is>
      </c>
      <c r="E13" s="35" t="n">
        <v>13</v>
      </c>
      <c r="F13" s="36" t="n">
        <v>3.012</v>
      </c>
      <c r="G13" s="47" t="inlineStr">
        <is>
          <t>なし</t>
        </is>
      </c>
      <c r="H13" s="47" t="inlineStr">
        <is>
          <t>可</t>
        </is>
      </c>
      <c r="I13" s="47" t="inlineStr">
        <is>
          <t>Q: 日本の健康保険（公的医療保険）は、アメリカ滞在中の医療費に使えますか？
A: 日本の公的健康保険は、アメリカの病院でそのまま使うことはできません。現地ではいったん全額自己負担となりますが、帰国後に「海外療養費制度」を申請すれば、日本の保険基準で計算された一部が戻る可能性はあります。ただし手続きは煩雑で、戻る金額も限られるため、渡航前に補償額の大きい民間医療保険に加入しておくことが現実的です。
Q: アメリカで救急車を利用した場合、どのくらいの費用がかかるものですか？
A: アメリカの救急車は有料で、短い距離でも10万円を超える請求になることは珍しくありません。走行距離や処置内容によって金額が上がるため、想像以上の負担になることもあります。万一に備え、救急搬送費が補償に含まれている海外保険かどうかは事前に確認しておきたいところです。
Q: アメリカの医療費が高額である主な理由は何ですか？
A: アメリカでは病院が医療費を自由に設定できる仕組みがあり、これが高額化の大きな要因です。医療技術や人件費が高いことに加え、医療訴訟のリスクや、保険加入者と無保険者で請求額が大きく異なる構造も影響しています。そのため、保険に入っていない場合、治療内容によっては数百万円以上の請求を受けることもあります。</t>
        </is>
      </c>
      <c r="J13" s="47" t="n"/>
      <c r="K13" s="47" t="inlineStr">
        <is>
          <t>未確認</t>
        </is>
      </c>
      <c r="L13" s="47" t="inlineStr">
        <is>
          <t>クリニック</t>
        </is>
      </c>
      <c r="M13" s="47" t="n"/>
      <c r="N13" s="47" t="n"/>
      <c r="O13" s="47" t="n"/>
      <c r="P13" s="47" t="n"/>
      <c r="Q13" s="47" t="n"/>
      <c r="R13" s="47" t="n"/>
      <c r="S13" s="47" t="n"/>
      <c r="T13" s="47" t="n"/>
      <c r="U13" s="47" t="n"/>
      <c r="V13" s="47" t="n"/>
      <c r="W13" s="47" t="n"/>
      <c r="X13" s="47" t="n"/>
      <c r="Y13" s="47" t="n"/>
      <c r="Z13" s="47" t="n"/>
    </row>
    <row r="14" ht="15.75" customHeight="1" s="185">
      <c r="A14" s="52">
        <f>row()-3</f>
        <v/>
      </c>
      <c r="B14" s="46" t="inlineStr">
        <is>
          <t>タイ渡航前に受けるべき予防接種（ワクチン）の種類と費用｜持参すべき薬も</t>
        </is>
      </c>
      <c r="C14" s="10" t="inlineStr">
        <is>
          <t>https://dym.asia/media/thailand-vaccine-before-traveling/</t>
        </is>
      </c>
      <c r="D14" s="47" t="inlineStr">
        <is>
          <t>タイ 予防接種 必須</t>
        </is>
      </c>
      <c r="E14" s="35" t="n">
        <v>13</v>
      </c>
      <c r="F14" s="36" t="n">
        <v>5.521739130434782</v>
      </c>
      <c r="G14" s="47" t="inlineStr">
        <is>
          <t>なし</t>
        </is>
      </c>
      <c r="H14" s="47" t="inlineStr">
        <is>
          <t>可</t>
        </is>
      </c>
      <c r="I14" s="10" t="inlineStr">
        <is>
          <t>Q: タイ渡航前に特に優先して接種すべきワクチンは何ですか？
A: タイに行く際は、A型肝炎、B型肝炎、破傷風の3種類のワクチンを優先して接種することが推奨されます。A型肝炎は汚染された水や食品、B型肝炎は血液や体液を介して感染するリスクがあり、破傷風は土壌中の細菌による感染が日本よりも高いため、観光や地方訪問の有無にかかわらず接種しておくと安心です。
Q: タイ渡航前に「狂犬病ワクチン」を接種する必要はありますか？
A: 長期滞在や地方旅行、動物との接触が予想される場合は、狂犬病ワクチンの接種が強く推奨されます。狂犬病は発症するとほぼ100%致命的な病気で、タイでは野良犬や野良猫による感染リスクが無視できません。渡航前に予防接種を受けておくことで、万が一咬まれた場合のリスクを大幅に減らせます。
Q: ワクチン接種にはどれくらいの期間と費用がかかるものですか？
A: 接種回数や期間はワクチンによって異なります。例えばB型肝炎は3回で完了し、6か月程度かかります。狂犬病も予防接種は3回で約1か月程度です。費用は1回あたり数千円から1万5,000円ほどで、複数接種する場合は総額がかかるため、渡航の半年前から計画的に準備するのが安心です。お気軽にお問い合わせください。　　　　　　　　　　　　　　　　　　　　　　　　　　　　問い合わせ先は下記
https://dym.asia/contact/?sid=681795991</t>
        </is>
      </c>
      <c r="J14" s="47" t="n"/>
      <c r="K14" s="47" t="inlineStr">
        <is>
          <t>未確認</t>
        </is>
      </c>
      <c r="L14" s="47" t="inlineStr">
        <is>
          <t>クリニック</t>
        </is>
      </c>
      <c r="M14" s="47" t="n"/>
      <c r="N14" s="47" t="n"/>
      <c r="O14" s="47" t="n"/>
      <c r="P14" s="47" t="n"/>
      <c r="Q14" s="47" t="n"/>
      <c r="R14" s="47" t="n"/>
      <c r="S14" s="47" t="n"/>
      <c r="T14" s="47" t="n"/>
      <c r="U14" s="47" t="n"/>
      <c r="V14" s="47" t="n"/>
      <c r="W14" s="47" t="n"/>
      <c r="X14" s="47" t="n"/>
      <c r="Y14" s="47" t="n"/>
      <c r="Z14" s="47" t="n"/>
    </row>
    <row r="15" ht="15.75" customHeight="1" s="185">
      <c r="A15" s="52">
        <f>row()-3</f>
        <v/>
      </c>
      <c r="B15" s="46" t="inlineStr">
        <is>
          <t>香港の日本語が通じるおすすめの病院・クリニック</t>
        </is>
      </c>
      <c r="C15" s="6" t="inlineStr">
        <is>
          <t>https://dym.asia/media/hongkong-hospital-japanese/</t>
        </is>
      </c>
      <c r="D15" s="47" t="inlineStr">
        <is>
          <t>香港 病院 日本語</t>
        </is>
      </c>
      <c r="E15" s="35" t="n">
        <v>12</v>
      </c>
      <c r="F15" s="36" t="n">
        <v>4.032967032967033</v>
      </c>
      <c r="G15" s="47" t="inlineStr">
        <is>
          <t>なし</t>
        </is>
      </c>
      <c r="H15" s="47" t="inlineStr">
        <is>
          <t>可</t>
        </is>
      </c>
      <c r="I15" s="47" t="inlineStr">
        <is>
          <t>Q: 香港で日本語が通じる病院は、公立病院と私立病院のどちらですか？
A: 日本語で対応してもらえる病院は、主に私立総合病院や私立クリニックです。公立病院は医療費が安価ですが、日本語はほとんど通じず、待ち時間も長くなることがあります。安心して日本語で診療を受けたい場合は、香港アドベンティスト病院などの私立病院や日本人向けクリニックの利用が推奨されます。
Q: 香港の私立病院の医療費は、日本と比べて高いですか？
A: はい、香港の私立病院は医療費が高額になりやすく、日本の水準と比べても高めです。自由診療が基本のため、保険に加入していない場合は全額自己負担になります。そのため、滞在中に医療費の負担を抑えるには、海外旅行保険や民間医療保険への加入が重要です。
Q: 日本の社会保険（健康保険）の「海外療養費制度」は、香港の病院でも使えますか？
A: 日本の健康保険は香港で直接利用できません。医療費は一時的に全額自己負担となりますが、帰国後に「海外療養費制度」を申請することで、日本で同じ病気やケガを治療した場合の費用を基準に、一部が払い戻される可能性があります。手続きには診断書や領収書が必要なため、事前に確認しておくと安心です。</t>
        </is>
      </c>
      <c r="J15" s="47" t="n"/>
      <c r="K15" s="47" t="inlineStr">
        <is>
          <t>未確認</t>
        </is>
      </c>
      <c r="L15" s="47" t="inlineStr">
        <is>
          <t>クリニック</t>
        </is>
      </c>
      <c r="M15" s="47" t="n"/>
      <c r="N15" s="47" t="n"/>
      <c r="O15" s="47" t="n"/>
      <c r="P15" s="47" t="n"/>
      <c r="Q15" s="47" t="n"/>
      <c r="R15" s="47" t="n"/>
      <c r="S15" s="47" t="n"/>
      <c r="T15" s="47" t="n"/>
      <c r="U15" s="47" t="n"/>
      <c r="V15" s="47" t="n"/>
      <c r="W15" s="47" t="n"/>
      <c r="X15" s="47" t="n"/>
      <c r="Y15" s="47" t="n"/>
      <c r="Z15" s="47" t="n"/>
    </row>
    <row r="16" ht="15.75" customHeight="1" s="185">
      <c r="A16" s="52">
        <f>row()-3</f>
        <v/>
      </c>
      <c r="B16" s="46" t="inlineStr">
        <is>
          <t>香港の医療費、日本語対応のおすすめクリニック</t>
        </is>
      </c>
      <c r="C16" s="10" t="inlineStr">
        <is>
          <t>https://dym.asia/media/hongkong-hospital-cost/</t>
        </is>
      </c>
      <c r="D16" s="47" t="inlineStr">
        <is>
          <t>香港 病院 料金</t>
        </is>
      </c>
      <c r="E16" s="35" t="n">
        <v>11</v>
      </c>
      <c r="F16" s="36" t="n">
        <v>1.297872340425532</v>
      </c>
      <c r="G16" s="47" t="inlineStr">
        <is>
          <t>なし</t>
        </is>
      </c>
      <c r="H16" s="47" t="inlineStr">
        <is>
          <t>可</t>
        </is>
      </c>
      <c r="I16" s="47" t="inlineStr">
        <is>
          <t>Q: 香港の公立病院と私立病院では、日本人にとっての利用しやすさにどのような違いがありますか？
A: 公立病院は居住者向けに低料金で利用できますが、混雑が激しく待ち時間が長い上、日本語対応もほとんどありません。これに対して私立病院は医療費が高めですが、予約制度が整い待ち時間も短く、日本語対応スタッフや日本人医師がいることもあります。そのため、言葉の不安なく迅速で質の高い医療を受けたい日本人には私立病院の利用が適しています。
Q: 香港の私立病院の医療費は、日本と比べてどの程度高額になる可能性がありますか？
A: 私立病院は医療費が高額で、初診料だけでも150〜300ドル（約23,000〜46,000円）かかることがあります。入院すると1日あたり約2,000〜3,000ドルと非常に高額です。日本の公的保険適用時の費用と比べると大きく異なるため、海外旅行保険や民間医療保険への加入が不可欠です。
Q: 香港での病院選びで、保険適用の確認を怠らないほうが良いのはなぜですか？
A: 私立病院の医療費は高額なため、保険適用の確認を怠ると全額自己負担になるリスクがあります。多くの私立病院は主要な海外旅行保険とのキャッシュレス請求に対応していますが、すべてではありません。事前に補償内容や限度額、直接請求が可能かを確認しておくことで、緊急時にも安心して医療を受けられます。</t>
        </is>
      </c>
      <c r="J16" s="47" t="n"/>
      <c r="K16" s="47" t="inlineStr">
        <is>
          <t>未確認</t>
        </is>
      </c>
      <c r="L16" s="47" t="inlineStr">
        <is>
          <t>クリニック</t>
        </is>
      </c>
      <c r="M16" s="47" t="n"/>
      <c r="N16" s="47" t="n"/>
      <c r="O16" s="47" t="n"/>
      <c r="P16" s="47" t="n"/>
      <c r="Q16" s="47" t="n"/>
      <c r="R16" s="47" t="n"/>
      <c r="S16" s="47" t="n"/>
      <c r="T16" s="47" t="n"/>
      <c r="U16" s="47" t="n"/>
      <c r="V16" s="47" t="n"/>
      <c r="W16" s="47" t="n"/>
      <c r="X16" s="47" t="n"/>
      <c r="Y16" s="47" t="n"/>
      <c r="Z16" s="47" t="n"/>
    </row>
    <row r="17" ht="15.75" customHeight="1" s="185">
      <c r="A17" s="52">
        <f>row()-3</f>
        <v/>
      </c>
      <c r="B17" s="46" t="inlineStr">
        <is>
          <t>アメリカの健康保険｜医療保険制度の仕組みと医療費について</t>
        </is>
      </c>
      <c r="C17" s="6" t="inlineStr">
        <is>
          <t>https://dym.asia/media/america-health-insurance/</t>
        </is>
      </c>
      <c r="D17" s="47" t="inlineStr">
        <is>
          <t>アメリカ 医療保険制度 わかりやすく</t>
        </is>
      </c>
      <c r="E17" s="35" t="n">
        <v>10</v>
      </c>
      <c r="F17" s="36" t="n">
        <v>5.661157024793388</v>
      </c>
      <c r="G17" s="47" t="inlineStr">
        <is>
          <t>なし</t>
        </is>
      </c>
      <c r="H17" s="47" t="inlineStr">
        <is>
          <t>可</t>
        </is>
      </c>
      <c r="I17" s="47" t="inlineStr">
        <is>
          <t>Q: アメリカの医療保険制度の「メディケア」と「メディケイド」は、それぞれどのような人が対象ですか？
A: メディケアは主に65歳以上の高齢者と、特定の障がいを持つ65歳未満の人を対象とした公的医療保険です。一方、メディケイドは低所得者向けの医療保険で、連邦政府と州政府が共同で運営しています。どちらも対象者が限定的なため、多くの人は民間医療保険に加入して医療費の負担に備えています。
Q: アメリカの医療費が高額になる主な理由は何ですか？
A: アメリカの医療費が高いのは、病院が料金を自由に設定できるシステムであることに加え、高度な医療技術や専門医の人件費が高いことが大きな要因です。さらに、民間医療保険の保険料も高額で、これが国民全体の医療費負担をさらに増やしています。
Q: アメリカの医療保険制度において、「保険未加入者」が直面する最も大きなリスクは何ですか？
A: 保険未加入者は、予期せぬ医療費を全額自己負担するリスクがあります。救急外来だけでも数千ドル、入院や手術では数万ドルに達することもあり、高額な支払いを避けるために必要な医療を受けられない場合や、医療費が原因で自己破産に追い込まれるケースも少なくありません。</t>
        </is>
      </c>
      <c r="J17" s="47" t="n"/>
      <c r="K17" s="47" t="inlineStr">
        <is>
          <t>未確認</t>
        </is>
      </c>
      <c r="L17" s="47" t="inlineStr">
        <is>
          <t>クリニック</t>
        </is>
      </c>
      <c r="M17" s="47" t="n"/>
      <c r="N17" s="47" t="n"/>
      <c r="O17" s="47" t="n"/>
      <c r="P17" s="47" t="n"/>
      <c r="Q17" s="47" t="n"/>
      <c r="R17" s="47" t="n"/>
      <c r="S17" s="47" t="n"/>
      <c r="T17" s="47" t="n"/>
      <c r="U17" s="47" t="n"/>
      <c r="V17" s="47" t="n"/>
      <c r="W17" s="47" t="n"/>
      <c r="X17" s="47" t="n"/>
      <c r="Y17" s="47" t="n"/>
      <c r="Z17" s="47" t="n"/>
    </row>
    <row r="18" ht="15.75" customHeight="1" s="185">
      <c r="A18" s="52">
        <f>row()-3</f>
        <v/>
      </c>
      <c r="B18" s="46" t="inlineStr">
        <is>
          <t>タイ（バンコク）の医療費の相場は？医療事情・制度や保険についても解説</t>
        </is>
      </c>
      <c r="C18" s="10" t="inlineStr">
        <is>
          <t>https://dym.asia/media/thailand-hospital-cost/</t>
        </is>
      </c>
      <c r="D18" s="47" t="inlineStr">
        <is>
          <t>タイ 医療費 相場</t>
        </is>
      </c>
      <c r="E18" s="35" t="n">
        <v>8</v>
      </c>
      <c r="F18" s="36" t="n">
        <v>2.808823529411764</v>
      </c>
      <c r="G18" s="47" t="inlineStr">
        <is>
          <t>なし</t>
        </is>
      </c>
      <c r="H18" s="47" t="inlineStr">
        <is>
          <t>可</t>
        </is>
      </c>
      <c r="I18" s="47" t="inlineStr">
        <is>
          <t>Q: タイの私立病院は、日本の病院と比べて治療費が高額になるのはなぜですか？
A: タイの私立病院は、外国人患者向けに最新の医療設備や英語対応可能な医師・スタッフを備えており、高いサービスレベルを提供しています。そのため、診療は自由診療となり、日本の保険診療とは異なり、費用が日本の私立病院と同等かそれ以上になることがあります。
Q: タイで病院を受診する際、旅行保険は必ず加入すべきですか？
A: はい、必ず加入すべきです。タイでは緊急入院や手術が必要になると、数百万円単位の費用がかかることもあります。日本の健康保険は海外では基本的に使えず、海外療養費の払い戻し制度も立替払いが前提のため、高額医療に備えて海外旅行保険への加入が強く推奨されます。
Q: タイの病院で使われる言語は、英語で通じますか？
A: 国際的な私立病院では、ほとんどの場合、英語が通じる医師や看護師が常駐しているため、言語の不安は少ないでしょう。しかし、公立病院や地方の病院では英語が通じないこともあるため、緊急時には通訳サービスの利用を検討するか、事前に情報を確認しておくことが大切です。</t>
        </is>
      </c>
      <c r="J18" s="47" t="n"/>
      <c r="K18" s="47" t="inlineStr">
        <is>
          <t>未確認</t>
        </is>
      </c>
      <c r="L18" s="47" t="inlineStr">
        <is>
          <t>クリニック</t>
        </is>
      </c>
      <c r="M18" s="47" t="n"/>
      <c r="N18" s="47" t="n"/>
      <c r="O18" s="47" t="n"/>
      <c r="P18" s="47" t="n"/>
      <c r="Q18" s="47" t="n"/>
      <c r="R18" s="47" t="n"/>
      <c r="S18" s="47" t="n"/>
      <c r="T18" s="47" t="n"/>
      <c r="U18" s="47" t="n"/>
      <c r="V18" s="47" t="n"/>
      <c r="W18" s="47" t="n"/>
      <c r="X18" s="47" t="n"/>
      <c r="Y18" s="47" t="n"/>
      <c r="Z18" s="47" t="n"/>
    </row>
    <row r="19" ht="15.75" customHeight="1" s="185">
      <c r="A19" s="52">
        <f>row()-3</f>
        <v/>
      </c>
      <c r="B19" s="46" t="inlineStr">
        <is>
          <t>タイ（バンコク・チョンブリー）の日本語対応の病院6選</t>
        </is>
      </c>
      <c r="C19" s="6" t="inlineStr">
        <is>
          <t>https://dym.asia/media/thailand-hospital-japanese/</t>
        </is>
      </c>
      <c r="D19" s="47" t="inlineStr">
        <is>
          <t>バンコク 日本語 病院</t>
        </is>
      </c>
      <c r="E19" s="35" t="n">
        <v>5</v>
      </c>
      <c r="F19" s="36" t="n">
        <v>3.763888888888889</v>
      </c>
      <c r="G19" s="47" t="inlineStr">
        <is>
          <t>なし</t>
        </is>
      </c>
      <c r="H19" s="47" t="inlineStr">
        <is>
          <t>可</t>
        </is>
      </c>
      <c r="I19" s="47" t="inlineStr">
        <is>
          <t>Q: タイの病院で日本語対応のサービスを受けると、費用は高くなりますか？
A: はい、一般的に費用は高くなります。日本語通訳や日本人スタッフが常駐する私立の国際病院は、高品質な医療サービスと最新の設備を提供しているため、通常のタイの病院や日本の保険診療と比べると費用がかさみます。そのため、渡航前に海外旅行保険に加入しておくことが推奨されます。
Q: タイで日本語対応可能な病院は、バンコク以外の地方都市にもありますか？
A: バンコクには多くの日本語対応病院やクリニックがありますが、チェンマイやプーケット、パタヤなど日本人が滞在する主要な地方都市でも、限られた私立病院で日本語通訳や日本人スタッフがいる場合があります。ただし、選択肢はバンコクほど多くありません。
Q: タイの病院で日本の健康保険は使えますか？
A: 基本的にタイの病院では日本の健康保険は直接使えません。治療費は一度全額自己負担で支払う必要がありますが、帰国後に「海外療養費制度」を申請することで、日本の基準で算定された一部が払い戻されます。ただし、実際の費用より少ない場合が多いため、海外旅行保険の利用が最も安心です。</t>
        </is>
      </c>
      <c r="J19" s="47" t="n"/>
      <c r="K19" s="47" t="inlineStr">
        <is>
          <t>未確認</t>
        </is>
      </c>
      <c r="L19" s="47" t="inlineStr">
        <is>
          <t>クリニック</t>
        </is>
      </c>
      <c r="M19" s="47" t="n"/>
      <c r="N19" s="47" t="n"/>
      <c r="O19" s="47" t="n"/>
      <c r="P19" s="47" t="n"/>
      <c r="Q19" s="47" t="n"/>
      <c r="R19" s="47" t="n"/>
      <c r="S19" s="47" t="n"/>
      <c r="T19" s="47" t="n"/>
      <c r="U19" s="47" t="n"/>
      <c r="V19" s="47" t="n"/>
      <c r="W19" s="47" t="n"/>
      <c r="X19" s="47" t="n"/>
      <c r="Y19" s="47" t="n"/>
      <c r="Z19" s="47" t="n"/>
    </row>
    <row r="20" ht="15.75" customHeight="1" s="185">
      <c r="A20" s="52">
        <f>row()-3</f>
        <v/>
      </c>
      <c r="B20" s="46" t="inlineStr">
        <is>
          <t>タイの医療保険制度と医療事情の現状</t>
        </is>
      </c>
      <c r="C20" s="6" t="inlineStr">
        <is>
          <t>https://dym.asia/media/thailand-insurance/</t>
        </is>
      </c>
      <c r="D20" s="47" t="inlineStr">
        <is>
          <t>タイ 医療制度</t>
        </is>
      </c>
      <c r="E20" s="35" t="n">
        <v>5</v>
      </c>
      <c r="F20" s="36" t="n">
        <v>6.534090909090909</v>
      </c>
      <c r="G20" s="47" t="inlineStr">
        <is>
          <t>なし</t>
        </is>
      </c>
      <c r="H20" s="47" t="inlineStr">
        <is>
          <t>可</t>
        </is>
      </c>
      <c r="I20" s="47" t="inlineStr">
        <is>
          <t>Q: タイで外国人が医療保険に加入する主なメリットは何ですか？
A: タイでは医療費が高額になることが多いため、保険に加入していれば費用の自己負担を抑え、安心して質の高い医療を受けられます。特に私立の国際病院は費用が非常に高くなる場合があるため、保険の有無で経済的な負担に大きな差が出ます。また、ビザによっては医療保険の加入が義務付けられることもあります。
Q: タイの保険で、歯科治療や眼科治療はカバーされますか？
A: 保険の種類やプランによります。一般的な入院（IPD）中心の保険では、歯科や眼科の外来治療（OPD）は対象外であることが多いです。これらをカバーしたい場合は、外来治療の特約や歯科・眼科専用の追加オプションを契約時に付ける必要があります。
Q: タイの医療保険を選ぶ際、最も重視すべきポイントは何ですか？
A: 重視すべきは、入院時の補償限度額と提携病院の有無です。高額な私立病院での治療に十分対応できる補償額があるかを確認し、キャッシュレスで受診できる提携病院が自宅や職場の近くにあるかもチェックすることが重要です。</t>
        </is>
      </c>
      <c r="J20" s="47" t="n"/>
      <c r="K20" s="47" t="inlineStr">
        <is>
          <t>未確認</t>
        </is>
      </c>
      <c r="L20" s="47" t="inlineStr">
        <is>
          <t>クリニック</t>
        </is>
      </c>
      <c r="M20" s="47" t="n"/>
      <c r="N20" s="47" t="n"/>
      <c r="O20" s="47" t="n"/>
      <c r="P20" s="47" t="n"/>
      <c r="Q20" s="47" t="n"/>
      <c r="R20" s="47" t="n"/>
      <c r="S20" s="47" t="n"/>
      <c r="T20" s="47" t="n"/>
      <c r="U20" s="47" t="n"/>
      <c r="V20" s="47" t="n"/>
      <c r="W20" s="47" t="n"/>
      <c r="X20" s="47" t="n"/>
      <c r="Y20" s="47" t="n"/>
      <c r="Z20" s="47" t="n"/>
    </row>
    <row r="21" ht="15.75" customHeight="1" s="185">
      <c r="A21" s="52">
        <f>row()-3</f>
        <v/>
      </c>
      <c r="B21" s="46" t="inlineStr">
        <is>
          <t>香港の健康保険事情とは？日本との違いや加入すべき保険</t>
        </is>
      </c>
      <c r="C21" s="6" t="inlineStr">
        <is>
          <t>https://dym.asia/media/hongkong-health-insurance/</t>
        </is>
      </c>
      <c r="D21" s="47" t="inlineStr">
        <is>
          <t>香港 医療保険</t>
        </is>
      </c>
      <c r="E21" s="35" t="n">
        <v>4</v>
      </c>
      <c r="F21" s="36" t="n">
        <v>2.120879120879121</v>
      </c>
      <c r="G21" s="47" t="inlineStr">
        <is>
          <t>なし</t>
        </is>
      </c>
      <c r="H21" s="47" t="inlineStr">
        <is>
          <t>可</t>
        </is>
      </c>
      <c r="I21" s="47" t="inlineStr">
        <is>
          <t>Q: 香港で医療保険に加入する最大のメリットは何ですか？
A: 香港の私立病院は設備が充実し対応も迅速ですが、医療費が非常に高額になることが多いです。医療保険に加入していれば、自己負担を大幅に抑え、安心して高水準の医療を受けられる点が最大のメリットです。
Q: 香港の医療保険は、海外での治療費もカバーされますか？
A: プランによって異なります。香港の医療保険には香港国内のみを対象とするローカルプランと、アジアや世界全域をカバーするグローバルプランがあります。海外出張や旅行が多い場合は、広域補償のプランを選ぶことが安心です。
Q: 香港の公立病院で治療を受ける場合でも、医療保険は必要ですか？
A: 公立病院はIDを持つ住民向けに安価な医療を提供しますが、混雑しており待ち時間が長いことが多いです。医療保険があれば、私立病院で待たずに質の高い医療を受けられるため、特に重要です。</t>
        </is>
      </c>
      <c r="J21" s="47" t="n"/>
      <c r="K21" s="47" t="inlineStr">
        <is>
          <t>未確認</t>
        </is>
      </c>
      <c r="L21" s="47" t="inlineStr">
        <is>
          <t>クリニック</t>
        </is>
      </c>
      <c r="M21" s="47" t="n"/>
      <c r="N21" s="47" t="n"/>
      <c r="O21" s="47" t="n"/>
      <c r="P21" s="47" t="n"/>
      <c r="Q21" s="47" t="n"/>
      <c r="R21" s="47" t="n"/>
      <c r="S21" s="47" t="n"/>
      <c r="T21" s="47" t="n"/>
      <c r="U21" s="47" t="n"/>
      <c r="V21" s="47" t="n"/>
      <c r="W21" s="47" t="n"/>
      <c r="X21" s="47" t="n"/>
      <c r="Y21" s="47" t="n"/>
      <c r="Z21" s="47" t="n"/>
    </row>
    <row r="22" ht="15.75" customHeight="1" s="185">
      <c r="A22" s="52">
        <f>row()-3</f>
        <v/>
      </c>
      <c r="B22" s="46" t="inlineStr">
        <is>
          <t>香港の医療保険制度と医療事情の現状</t>
        </is>
      </c>
      <c r="C22" s="10" t="inlineStr">
        <is>
          <t>https://dym.asia/media/hongkong-insurance/</t>
        </is>
      </c>
      <c r="D22" s="47" t="inlineStr">
        <is>
          <t>香港 医療制度</t>
        </is>
      </c>
      <c r="E22" s="35" t="n">
        <v>2</v>
      </c>
      <c r="F22" s="36" t="n">
        <v>3.535714285714286</v>
      </c>
      <c r="G22" s="47" t="inlineStr">
        <is>
          <t>なし</t>
        </is>
      </c>
      <c r="H22" s="47" t="inlineStr">
        <is>
          <t>可</t>
        </is>
      </c>
      <c r="I22" s="47" t="inlineStr">
        <is>
          <t>Q: 香港の医療保険制度は日本とどのように違いますか？
A: 香港には日本のような国民健康保険はなく、医療は基本的に自由診療です。そのため、IDカードを持たない外国人は公的医療機関でも高額な費用がかかり、自己負担が日本よりも大きくなります。
Q: 香港で公的医療機関と民間医療機関を利用する際の大きな違いは何ですか？
A: 公的医療機関は香港在住者なら比較的安価ですが、待ち時間が長くなる傾向があります。一方、民間医療機関は費用は高額ですが、予約が取りやすく、日本語を含む多言語対応が整っている場合が多いです。
Q: 香港に長期滞在する場合、民間医療保険への加入は必須ですか？
A: はい、強く推奨されます。公的保険がないため、緊急時や待ち時間の少ない民間病院での診療は高額になることが多く、適切な保険に加入することで経済的な負担を大幅に軽減できます。</t>
        </is>
      </c>
      <c r="J22" s="47" t="n"/>
      <c r="K22" s="47" t="inlineStr">
        <is>
          <t>未確認</t>
        </is>
      </c>
      <c r="L22" s="47" t="inlineStr">
        <is>
          <t>クリニック</t>
        </is>
      </c>
      <c r="M22" s="47" t="n"/>
      <c r="N22" s="47" t="n"/>
      <c r="O22" s="47" t="n"/>
      <c r="P22" s="47" t="n"/>
      <c r="Q22" s="47" t="n"/>
      <c r="R22" s="47" t="n"/>
      <c r="S22" s="47" t="n"/>
      <c r="T22" s="47" t="n"/>
      <c r="U22" s="47" t="n"/>
      <c r="V22" s="47" t="n"/>
      <c r="W22" s="47" t="n"/>
      <c r="X22" s="47" t="n"/>
      <c r="Y22" s="47" t="n"/>
      <c r="Z22" s="47" t="n"/>
    </row>
    <row r="23" ht="15.75" customHeight="1" s="185">
      <c r="A23" s="52">
        <f>row()-3</f>
        <v/>
      </c>
      <c r="B23" s="46" t="inlineStr">
        <is>
          <t>インバウンドコールとは？アウトバウンドコールとの違いや成果を出すコツを解説</t>
        </is>
      </c>
      <c r="C23" s="6" t="inlineStr">
        <is>
          <t>https://dym.asia/media/inbound_call/</t>
        </is>
      </c>
      <c r="D23" s="47" t="inlineStr">
        <is>
          <t>インバウンドコール</t>
        </is>
      </c>
      <c r="E23" s="35" t="n">
        <v>2</v>
      </c>
      <c r="F23" s="36" t="n">
        <v>4.11094674556213</v>
      </c>
      <c r="G23" s="47" t="inlineStr">
        <is>
          <t>なし</t>
        </is>
      </c>
      <c r="H23" s="47" t="inlineStr">
        <is>
          <t>可</t>
        </is>
      </c>
      <c r="I23" s="47" t="inlineStr">
        <is>
          <t>Q: コールセンターにおける「インバウンドコール」とは何ですか？
A: インバウンドコールとは、顧客から企業のコールセンターにかかってくる電話を受ける業務のことです。問い合わせや相談、注文の受付、クレーム対応などが主な内容です。
Q: インバウンドコール業務の最大の目的と、企業にとっての価値は何ですか？
A: 目的は、顧客の問い合わせに迅速かつ正確に対応し、満足度を高め信頼関係を築くことです。企業にとっては、顧客の声を直接把握できる貴重な機会であり、サービス改善やマーケティング戦略の参考にもなります。
Q: インバウンドコールとアウトバウンドコールは、何が違いますか？
A: インバウンドコールは顧客からの連絡を受ける受動的な対応で、問題解決やサービス向上に重点があります。アウトバウンドコールは企業側から顧客に電話をかける能動的な業務で、販売促進や市場調査などが主な目的です。</t>
        </is>
      </c>
      <c r="J23" s="47" t="n"/>
      <c r="K23" s="47" t="inlineStr">
        <is>
          <t>未確認</t>
        </is>
      </c>
      <c r="L23" s="47" t="inlineStr">
        <is>
          <t>クリニック</t>
        </is>
      </c>
      <c r="M23" s="47" t="n"/>
      <c r="N23" s="47" t="n"/>
      <c r="O23" s="47" t="n"/>
      <c r="P23" s="47" t="n"/>
      <c r="Q23" s="47" t="n"/>
      <c r="R23" s="47" t="n"/>
      <c r="S23" s="47" t="n"/>
      <c r="T23" s="47" t="n"/>
      <c r="U23" s="47" t="n"/>
      <c r="V23" s="47" t="n"/>
      <c r="W23" s="47" t="n"/>
      <c r="X23" s="47" t="n"/>
      <c r="Y23" s="47" t="n"/>
      <c r="Z23" s="47" t="n"/>
    </row>
    <row r="24" ht="15.75" customHeight="1" s="185">
      <c r="A24" s="52">
        <f>row()-3</f>
        <v/>
      </c>
      <c r="B24" s="46" t="inlineStr">
        <is>
          <t>Indeed（インディード）広告の掲載方法とは？無料・有料掲載の違いや特徴も解説</t>
        </is>
      </c>
      <c r="C24" s="10" t="inlineStr">
        <is>
          <t>https://dym.asia/media/indeed_advertisement/</t>
        </is>
      </c>
      <c r="D24" s="47" t="inlineStr">
        <is>
          <t>indeed スポンサー求人 見分け方</t>
        </is>
      </c>
      <c r="E24" s="35" t="n">
        <v>2</v>
      </c>
      <c r="F24" s="36" t="n">
        <v>7.166666666666667</v>
      </c>
      <c r="G24" s="47" t="inlineStr">
        <is>
          <t>あり</t>
        </is>
      </c>
      <c r="H24" s="47" t="inlineStr">
        <is>
          <t>既存</t>
        </is>
      </c>
      <c r="I24" s="47" t="inlineStr">
        <is>
          <t>対応不要</t>
        </is>
      </c>
      <c r="J24" s="47" t="n"/>
      <c r="K24" s="47" t="inlineStr">
        <is>
          <t>未確認</t>
        </is>
      </c>
      <c r="L24" s="47" t="inlineStr">
        <is>
          <t>クリニック</t>
        </is>
      </c>
      <c r="M24" s="47" t="n"/>
      <c r="N24" s="47" t="n"/>
      <c r="O24" s="47" t="n"/>
      <c r="P24" s="47" t="n"/>
      <c r="Q24" s="47" t="n"/>
      <c r="R24" s="47" t="n"/>
      <c r="S24" s="47" t="n"/>
      <c r="T24" s="47" t="n"/>
      <c r="U24" s="47" t="n"/>
      <c r="V24" s="47" t="n"/>
      <c r="W24" s="47" t="n"/>
      <c r="X24" s="47" t="n"/>
      <c r="Y24" s="47" t="n"/>
      <c r="Z24" s="47" t="n"/>
    </row>
    <row r="25" ht="15.75" customHeight="1" s="185">
      <c r="A25" s="52">
        <f>row()-3</f>
        <v/>
      </c>
      <c r="B25" s="46" t="inlineStr">
        <is>
          <t>タイ・バンコクでの健康診断【必要な理由とおすすめクリニック・病院】</t>
        </is>
      </c>
      <c r="C25" s="10" t="inlineStr">
        <is>
          <t>https://dym.asia/media/thailand_bangkok_health_checkup/</t>
        </is>
      </c>
      <c r="D25" s="47" t="inlineStr">
        <is>
          <t>タイ 健康診断</t>
        </is>
      </c>
      <c r="E25" s="35" t="n">
        <v>2</v>
      </c>
      <c r="F25" s="36" t="n">
        <v>6.133663366336633</v>
      </c>
      <c r="G25" s="47" t="inlineStr">
        <is>
          <t>なし</t>
        </is>
      </c>
      <c r="H25" s="47" t="inlineStr">
        <is>
          <t>可</t>
        </is>
      </c>
      <c r="I25" s="47" t="inlineStr">
        <is>
          <t>Q: タイ・バンコクで健康診断を受けることは義務ですか？
A: 基本的には義務ではありませんが、労働許可証や運転免許の申請時には健康診断書の提出が求められます。また、特定の有害物質を扱う職種では、法律で年1回の受診が義務付けられています。
Q: バンコクで日本人が健康診断を受ける病院を選ぶ際の最も重要なポイントは何ですか？
A: 安心して受診するために、日本語対応が可能な医師や通訳がいるかが最も重要です。加えて、アクセスのしやすさや予約の取りやすさ、待ち時間の短さも選ぶ際のポイントになります。
Q: タイの病院で受けられる健康診断プランには、どのような種類がありますか？
A: 一般的な身体検査に加え、男性向け、女性向け、小児向けなど年齢や性別に応じたプランがあります。さらに、腫瘍マーカーや感染症検査など、個人の健康リスクに合わせたオプション検査を追加することも可能です。</t>
        </is>
      </c>
      <c r="J25" s="47" t="n"/>
      <c r="K25" s="47" t="inlineStr">
        <is>
          <t>未確認</t>
        </is>
      </c>
      <c r="L25" s="47" t="inlineStr">
        <is>
          <t>クリニック</t>
        </is>
      </c>
      <c r="M25" s="47" t="n"/>
      <c r="N25" s="47" t="n"/>
      <c r="O25" s="47" t="n"/>
      <c r="P25" s="47" t="n"/>
      <c r="Q25" s="47" t="n"/>
      <c r="R25" s="47" t="n"/>
      <c r="S25" s="47" t="n"/>
      <c r="T25" s="47" t="n"/>
      <c r="U25" s="47" t="n"/>
      <c r="V25" s="47" t="n"/>
      <c r="W25" s="47" t="n"/>
      <c r="X25" s="47" t="n"/>
      <c r="Y25" s="47" t="n"/>
      <c r="Z25" s="47" t="n"/>
    </row>
    <row r="26" ht="15.75" customHeight="1" s="185">
      <c r="A26" s="52">
        <f>row()-3</f>
        <v/>
      </c>
      <c r="B26" s="46" t="inlineStr">
        <is>
          <t>日本語対応可のベトナム（ホーチミン・ハノイ）の病院11選｜注意点も</t>
        </is>
      </c>
      <c r="C26" s="10" t="inlineStr">
        <is>
          <t>https://dym.asia/media/vietnam-hospital-japanese/</t>
        </is>
      </c>
      <c r="D26" s="47" t="inlineStr">
        <is>
          <t>ホーチミン 病院 日本人</t>
        </is>
      </c>
      <c r="E26" s="35" t="n">
        <v>2</v>
      </c>
      <c r="F26" s="36" t="n">
        <v>7.378787878787879</v>
      </c>
      <c r="G26" s="47" t="inlineStr">
        <is>
          <t>なし</t>
        </is>
      </c>
      <c r="H26" s="47" t="inlineStr">
        <is>
          <t>可</t>
        </is>
      </c>
      <c r="I26" s="47" t="inlineStr">
        <is>
          <t>Q: ベトナム（ホーチミン・ハノイ）で日本語対応の病院を選ぶ最大のメリットは何ですか？
A: 日本語で症状や治療方針を正確に相談できることが最大のメリットです。日本人医師や日本語通訳が常駐する病院を利用することで、言葉の不安がなくなり、海外での医療に対するストレスを大きく減らせます。
Q: ベトナムの病院で受診する際の医療費と保険の注意点は何ですか？
A: 私立の国際病院では医療費が高額になりやすいため、海外旅行保険や医療保険への加入が必須です。多くの日本語対応病院では保険会社との提携でキャッシュレス診療が可能ですが、契約内容や対象範囲は事前に確認しておく必要があります。
Q: ベトナムの公立病院と日本語対応の私立国際病院の違いは何ですか？
A: 公立病院は費用が安い一方で、待ち時間が長く、日本語対応も難しいことが多いです。私立国際病院は医療費は高めですが、最新設備や日本語対応のスタッフが揃い、待ち時間も短く、安心して受診できます。</t>
        </is>
      </c>
      <c r="J26" s="47" t="n"/>
      <c r="K26" s="47" t="inlineStr">
        <is>
          <t>未確認</t>
        </is>
      </c>
      <c r="L26" s="47" t="inlineStr">
        <is>
          <t>クリニック</t>
        </is>
      </c>
      <c r="M26" s="47" t="n"/>
      <c r="N26" s="47" t="n"/>
      <c r="O26" s="47" t="n"/>
      <c r="P26" s="47" t="n"/>
      <c r="Q26" s="47" t="n"/>
      <c r="R26" s="47" t="n"/>
      <c r="S26" s="47" t="n"/>
      <c r="T26" s="47" t="n"/>
      <c r="U26" s="47" t="n"/>
      <c r="V26" s="47" t="n"/>
      <c r="W26" s="47" t="n"/>
      <c r="X26" s="47" t="n"/>
      <c r="Y26" s="47" t="n"/>
      <c r="Z26" s="47" t="n"/>
    </row>
    <row r="27" ht="15.75" customHeight="1" s="185">
      <c r="A27" s="52">
        <f>row()-3</f>
        <v/>
      </c>
      <c r="B27" s="46" t="inlineStr">
        <is>
          <t>バンコク(タイ)の医療事情と日本語対応クリニックの選び方</t>
        </is>
      </c>
      <c r="C27" s="10" t="inlineStr">
        <is>
          <t>https://dym.asia/media/bangkok_healthcare/</t>
        </is>
      </c>
      <c r="D27" s="47" t="inlineStr">
        <is>
          <t>タイ 医療</t>
        </is>
      </c>
      <c r="E27" s="35" t="n">
        <v>1</v>
      </c>
      <c r="F27" s="36" t="n">
        <v>21.82474226804124</v>
      </c>
      <c r="G27" s="47" t="inlineStr">
        <is>
          <t>なし</t>
        </is>
      </c>
      <c r="H27" s="47" t="inlineStr">
        <is>
          <t>可</t>
        </is>
      </c>
      <c r="I27" s="47" t="inlineStr">
        <is>
          <t>Q: バンコク（タイ）の医療水準は高いですか？
A: バンコクの主要な私立病院は国際水準の医療サービスを提供しており、日本の病院と同等の診療を受けられる施設も多くあります。ただし、公立病院や小規模なクリニックでは設備や医療の質に差があるため、病院選びは慎重に行う必要があります。
Q: バンコクで日本人が病院を選ぶ際、最も重要なポイントは何ですか？
A: 診断内容を正確に理解し、安心して受診するために、日本語対応の有無が最も重要です。日本語通訳や日本人医師が常駐している病院を選び、予約のしやすさや待ち時間の短さ、海外旅行保険のキャッシュレス対応があるかも確認しておくと安心です。
Q: タイの医療制度と日本の健康保険制度との違いは何ですか？
A: タイには公的な医療制度がありますが、外国人旅行者や駐在員が自由に利用できるわけではありません。多くの私立病院は自費診療となるため、日本の健康保険証は使えません。そのため、高額な医療費に備えて、海外旅行保険や駐在員向け医療保険への加入が不可欠です。</t>
        </is>
      </c>
      <c r="J27" s="47" t="n"/>
      <c r="K27" s="47" t="inlineStr">
        <is>
          <t>未確認</t>
        </is>
      </c>
      <c r="L27" s="47" t="inlineStr">
        <is>
          <t>クリニック</t>
        </is>
      </c>
      <c r="M27" s="47" t="n"/>
      <c r="N27" s="47" t="n"/>
      <c r="O27" s="47" t="n"/>
      <c r="P27" s="47" t="n"/>
      <c r="Q27" s="47" t="n"/>
      <c r="R27" s="47" t="n"/>
      <c r="S27" s="47" t="n"/>
      <c r="T27" s="47" t="n"/>
      <c r="U27" s="47" t="n"/>
      <c r="V27" s="47" t="n"/>
      <c r="W27" s="47" t="n"/>
      <c r="X27" s="47" t="n"/>
      <c r="Y27" s="47" t="n"/>
      <c r="Z27" s="47" t="n"/>
    </row>
    <row r="28" ht="15.75" customHeight="1" s="185">
      <c r="A28" s="52">
        <f>row()-3</f>
        <v/>
      </c>
      <c r="B28" s="46" t="inlineStr">
        <is>
          <t>香港の医療事情【制度や医療費、日本語対応のおすすめ病院・クリニックを紹介】</t>
        </is>
      </c>
      <c r="C28" s="10" t="inlineStr">
        <is>
          <t>https://dym.asia/media/hong_kong_healthcare/</t>
        </is>
      </c>
      <c r="D28" s="47" t="inlineStr">
        <is>
          <t>香港 日本語 病院</t>
        </is>
      </c>
      <c r="E28" s="35" t="n">
        <v>1</v>
      </c>
      <c r="F28" s="36" t="n">
        <v>10.14285714285714</v>
      </c>
      <c r="G28" s="47" t="inlineStr">
        <is>
          <t>なし</t>
        </is>
      </c>
      <c r="H28" s="47" t="inlineStr">
        <is>
          <t>可</t>
        </is>
      </c>
      <c r="I28" s="47" t="inlineStr">
        <is>
          <t>Q: 香港の医療機関を利用する場合、公立病院と私立病院のどちらを選ぶべきですか？
A: 香港の公立病院は、居住者であれば医療費が安く高度な診療を受けられますが、待ち時間が非常に長く、専門医の受診や検査には数ヶ月以上かかることもあります。私立病院は待ち時間が短く、個室や充実した設備、日本語や英語対応のスタッフがいる場合も多いですが、医療費は高額です。緊急性の低い診察や迅速な受診を希望する場合は私立、費用を抑えたい場合や緊急性が高くない場合は公立を利用するのが一般的です。
Q: 香港の私立病院で診察を受けた場合、医療費の相場はどれくらいになりますか？
A: 香港の私立病院は全額自己負担の自由診療です。専門医の初診だけでもHKD 1,000〜2,000（約1.8万〜3.6万円）程度かかり、入院や手術になると数十万〜数百万円に達する場合もあります。高度な検査や手術を受ける際は、事前に費用の見積もりを確認することが重要です。
Q: 香港に滞在する際、民間の医療保険（海外旅行保険や駐在員保険）は必要ですか？
A: はい、非常に重要です。公立病院は安価ですが待ち時間が長く、利便性の高い私立病院の費用は高額です。医療保険に加入していれば、高額な診療費をカバーでき、キャッシュレス診療を利用できる場合もあります。特に駐在員や家族は、香港の医療費水準に見合った十分な補償額の保険を選ぶことが安心です。</t>
        </is>
      </c>
      <c r="J28" s="47" t="n"/>
      <c r="K28" s="47" t="inlineStr">
        <is>
          <t>未確認</t>
        </is>
      </c>
      <c r="L28" s="47" t="inlineStr">
        <is>
          <t>クリニック</t>
        </is>
      </c>
      <c r="M28" s="47" t="n"/>
      <c r="N28" s="47" t="n"/>
      <c r="O28" s="47" t="n"/>
      <c r="P28" s="47" t="n"/>
      <c r="Q28" s="47" t="n"/>
      <c r="R28" s="47" t="n"/>
      <c r="S28" s="47" t="n"/>
      <c r="T28" s="47" t="n"/>
      <c r="U28" s="47" t="n"/>
      <c r="V28" s="47" t="n"/>
      <c r="W28" s="47" t="n"/>
      <c r="X28" s="47" t="n"/>
      <c r="Y28" s="47" t="n"/>
      <c r="Z28" s="47" t="n"/>
    </row>
    <row r="29" ht="15.75" customHeight="1" s="185">
      <c r="A29" s="52">
        <f>row()-3</f>
        <v/>
      </c>
      <c r="B29" s="46" t="inlineStr">
        <is>
          <t>ニューヨークの医療保険事情</t>
        </is>
      </c>
      <c r="C29" s="6" t="inlineStr">
        <is>
          <t>https://dym.asia/media/new-york-insurance/</t>
        </is>
      </c>
      <c r="D29" s="47" t="inlineStr">
        <is>
          <t>アメリカ 医療保険 日本人</t>
        </is>
      </c>
      <c r="E29" s="35" t="n">
        <v>1</v>
      </c>
      <c r="F29" s="36" t="n">
        <v>7.023809523809524</v>
      </c>
      <c r="G29" s="47" t="inlineStr">
        <is>
          <t>なし</t>
        </is>
      </c>
      <c r="H29" s="47" t="inlineStr">
        <is>
          <t>可</t>
        </is>
      </c>
      <c r="I29" s="47" t="inlineStr">
        <is>
          <t>Q: ニューヨークの医療費はなぜ高額なのですか？
A: ニューヨークの医療費が高いのは、アメリカの医療が自由診療を原則としており、病院が料金を自由に設定できるためです。さらに、救急車の利用も有料で、高度な医療技術を持つ専門医や不動産コストの高騰も影響し、全米でも特に費用が高い都市となっています。
Q: ニューヨークに滞在する際、医療保険は必須ですか？日本の健康保険は使えますか？
A: ニューヨークでは医療保険への加入が必須です。保険なしで受診すると数百万円から場合によっては1,000万円を超える請求を受けることがあります。日本の健康保険証は現地では使えませんが、帰国後に所定の手続きを行えば一部の費用が払い戻される場合があります。
Q: ニューヨークで日本人が安心して受診できる病院の選び方は何ですか？
A: 日本語で対応できるかどうかを最優先で確認しましょう。日本人向けクリニックや海外旅行保険と提携してキャッシュレス決済が可能な病院を選ぶことで、言語の不安や経済的負担を抑え、安心して治療を受けることができます。</t>
        </is>
      </c>
      <c r="J29" s="47" t="n"/>
      <c r="K29" s="47" t="inlineStr">
        <is>
          <t>未確認</t>
        </is>
      </c>
      <c r="L29" s="47" t="inlineStr">
        <is>
          <t>クリニック</t>
        </is>
      </c>
      <c r="M29" s="47" t="n"/>
      <c r="N29" s="47" t="n"/>
      <c r="O29" s="47" t="n"/>
      <c r="P29" s="47" t="n"/>
      <c r="Q29" s="47" t="n"/>
      <c r="R29" s="47" t="n"/>
      <c r="S29" s="47" t="n"/>
      <c r="T29" s="47" t="n"/>
      <c r="U29" s="47" t="n"/>
      <c r="V29" s="47" t="n"/>
      <c r="W29" s="47" t="n"/>
      <c r="X29" s="47" t="n"/>
      <c r="Y29" s="47" t="n"/>
      <c r="Z29" s="47" t="n"/>
    </row>
    <row r="30" ht="15.75" customHeight="1" s="185">
      <c r="A30" s="52">
        <f>row()-3</f>
        <v/>
      </c>
      <c r="B30" s="46" t="inlineStr">
        <is>
          <t>日本語に対応しているホーチミン（ベトナム）の病院6選｜受診前のポイントも</t>
        </is>
      </c>
      <c r="C30" s="6" t="inlineStr">
        <is>
          <t>https://dym.asia/media/ho-chi-minh-hospital-japanese/</t>
        </is>
      </c>
      <c r="D30" s="47" t="inlineStr">
        <is>
          <t>ホーチミン 病院 日本人</t>
        </is>
      </c>
      <c r="E30" s="35" t="n">
        <v>44</v>
      </c>
      <c r="F30" s="36" t="n">
        <v>1.074074074074074</v>
      </c>
      <c r="G30" s="47" t="inlineStr">
        <is>
          <t>なし</t>
        </is>
      </c>
      <c r="H30" s="47" t="inlineStr">
        <is>
          <t>可</t>
        </is>
      </c>
      <c r="I30" s="47" t="inlineStr">
        <is>
          <t>Q: ホーチミンの日本語対応病院で受診する際、日本の健康保険（公的保険）は使えますか？
A: 日本の健康保険は海外の病院では直接利用できません。医療費は一度全額自己負担で支払う必要がありますが、帰国後に健康保険組合へ「海外療養費制度」を申請すれば、日本の基準で算定された一部が払い戻される場合があります。その際には現地医師の診断書や領収書が必要です。
Q: ホーチミンの病院の医療費は、日本と比べて高いですか、安いですか？
A: 病院の種類によって差があります。公立病院は費用が安いものの、サービスや衛生面に不安が残ることがあります。日本語対応が整った国際クリニックや私立病院は、医療の質が高く安心ですが、費用は日本と同等かそれ以上になることもあるため、海外旅行保険や国際医療保険への加入が推奨されます。
Q: ホーチミンでの滞在中、特に予防すべき感染症や病気は何ですか？
A: デング熱など蚊が媒介する感染症や、衛生環境の違いによる急性胃腸炎や食中毒に注意が必要です。予防策としては、蚊よけ対策の徹底、生水や氷、カットフルーツの摂取を避けること、手洗い・うがいの習慣化が大切です。渡航前には必要な予防接種について医療機関に相談しておくと安心です。</t>
        </is>
      </c>
      <c r="J30" s="47" t="n"/>
      <c r="K30" s="47" t="inlineStr">
        <is>
          <t>未確認</t>
        </is>
      </c>
      <c r="L30" s="47" t="inlineStr">
        <is>
          <t>たぶんクリニック</t>
        </is>
      </c>
      <c r="M30" s="47" t="n"/>
      <c r="N30" s="47" t="n"/>
      <c r="O30" s="47" t="n"/>
      <c r="P30" s="47" t="n"/>
      <c r="Q30" s="47" t="n"/>
      <c r="R30" s="47" t="n"/>
      <c r="S30" s="47" t="n"/>
      <c r="T30" s="47" t="n"/>
      <c r="U30" s="47" t="n"/>
      <c r="V30" s="47" t="n"/>
      <c r="W30" s="47" t="n"/>
      <c r="X30" s="47" t="n"/>
      <c r="Y30" s="47" t="n"/>
      <c r="Z30" s="47" t="n"/>
    </row>
    <row r="31" ht="15.75" customHeight="1" s="185">
      <c r="A31" s="52">
        <f>row()-3</f>
        <v/>
      </c>
      <c r="B31" s="46" t="inlineStr">
        <is>
          <t>健康診断で腫瘍マーカー検査を受けるべきか？正しい解釈とは</t>
        </is>
      </c>
      <c r="C31" s="10" t="inlineStr">
        <is>
          <t>https://dym.asia/media/health-check-tumor-marker/</t>
        </is>
      </c>
      <c r="D31" s="47" t="inlineStr">
        <is>
          <t>腫瘍マーカー 受けるべきか</t>
        </is>
      </c>
      <c r="E31" s="35" t="n">
        <v>25</v>
      </c>
      <c r="F31" s="36" t="n">
        <v>10.52454118651302</v>
      </c>
      <c r="G31" s="47" t="inlineStr">
        <is>
          <t>なし</t>
        </is>
      </c>
      <c r="H31" s="47" t="inlineStr">
        <is>
          <t>可</t>
        </is>
      </c>
      <c r="I31" s="47" t="inlineStr">
        <is>
          <t>Q: 腫瘍マーカーの値が高い（陽性）場合、必ずがんが発見されるのですか？                                                                                             A: いいえ、腫瘍マーカーが高いからといって必ずがんがあるわけではありません。肝炎や肝硬変、膵炎、呼吸器系の病気、あるいは喫煙習慣など、がん以外の要因でも値が上がることがあります。こうした場合を「偽陽性」と呼びます。そのため、腫瘍マーカーはがんの確定診断ではなく、精密検査の必要性を判断するためのスクリーニングとして使われます。
Q: 健康診断で腫瘍マーカー検査を受けることは、がんの早期発見に有効ですか？
A: 腫瘍マーカー検査は、すべてのがんの早期発見に有効とはされていません。国のがん検診の指針にも含まれていません。ただし、前立腺がんの早期発見に有効なPSAのように、一部のマーカーには効果が認められています。多くのマーカーは、がんの進行度や治療後の再発・転移の評価に使われるもので、健康診断での利用では、画像診断や内視鏡などの精密検査と組み合わせて判断することが重要です。
Q: 腫瘍マーカー検査で「要精密検査」の結果が出た場合、すぐに何をすべきですか？
A: 結果が「要精密検査」と出た場合は、できるだけ早く指定の医療機関を受診してください。腫瘍マーカーだけではがんの確定診断はできません。医師は結果に基づき、超音波、CT・MRI、内視鏡検査や組織検査などで詳しく調べ、必要に応じて早期治療につなげます。</t>
        </is>
      </c>
      <c r="J31" s="47" t="n"/>
      <c r="K31" s="47" t="inlineStr">
        <is>
          <t>未確認</t>
        </is>
      </c>
      <c r="L31" s="47" t="inlineStr">
        <is>
          <t>たぶんクリニック</t>
        </is>
      </c>
      <c r="M31" s="47" t="n"/>
      <c r="N31" s="47" t="n"/>
      <c r="O31" s="47" t="n"/>
      <c r="P31" s="47" t="n"/>
      <c r="Q31" s="47" t="n"/>
      <c r="R31" s="47" t="n"/>
      <c r="S31" s="47" t="n"/>
      <c r="T31" s="47" t="n"/>
      <c r="U31" s="47" t="n"/>
      <c r="V31" s="47" t="n"/>
      <c r="W31" s="47" t="n"/>
      <c r="X31" s="47" t="n"/>
      <c r="Y31" s="47" t="n"/>
      <c r="Z31" s="47" t="n"/>
    </row>
    <row r="32" ht="15.75" customHeight="1" s="185">
      <c r="A32" s="52">
        <f>row()-3</f>
        <v/>
      </c>
      <c r="B32" s="46" t="inlineStr">
        <is>
          <t>ベトナム（ホーチミン）旅行で海外旅行保険への加入は必要？注意点も</t>
        </is>
      </c>
      <c r="C32" s="10" t="inlineStr">
        <is>
          <t>https://dym.asia/media/ho-chi-minh-insurance/</t>
        </is>
      </c>
      <c r="D32" s="47" t="inlineStr">
        <is>
          <t>ベトナム 海外旅行保険 必須</t>
        </is>
      </c>
      <c r="E32" s="35" t="n">
        <v>18</v>
      </c>
      <c r="F32" s="36" t="n">
        <v>1.52212389380531</v>
      </c>
      <c r="G32" s="47" t="inlineStr">
        <is>
          <t>なし</t>
        </is>
      </c>
      <c r="H32" s="47" t="inlineStr">
        <is>
          <t>可</t>
        </is>
      </c>
      <c r="I32" s="47" t="inlineStr">
        <is>
          <t>Q: ホーチミン旅行で、海外旅行保険に加入することは必須ですか？
A: はい、ホーチミン旅行では海外旅行保険への加入が強く推奨されます。ベトナムの私立病院や外国人向けクリニックでは、日本の医療費よりも高額になる場合があります。特に重症時や高度な治療が必要な場合は、近隣の医療先進国への緊急搬送が必要になることもあり、数百万円規模の費用がかかるリスクがあるため、経済的な備えとして保険は不可欠です。
Q: ホーチミンの医療費は具体的にどの程度高額になる可能性があるのですか？
A: 外来診療でも日本円で8,000円前後かかることがあり、救急車を呼ぶだけでも10,000円以上かかる場合があります。さらに重症の場合は緊急医療搬送費用も加わり、過去には数百万円の費用が発生した事例もあります。日本の公的医療保険は現地では使えないため、こうした高額医療に備えて保険でカバーしておくことが重要です。
Q: ホーチミンで注意すべき犯罪リスクと、それに対する具体的な対策は何ですか？
A: ホーチミンではバイクによるひったくりやスリ、置き引きの被害が多く報告されています。対策としては、車道側ではなく歩道側を歩く、バッグは体側に持ち手で押さえる、貴重品はホテルのセーフティボックスに預けるか体に密着させる、カフェや外出先で荷物から目を離さない、といった基本的な防犯意識が重要です。</t>
        </is>
      </c>
      <c r="J32" s="47" t="n"/>
      <c r="K32" s="47" t="inlineStr">
        <is>
          <t>未確認</t>
        </is>
      </c>
      <c r="L32" s="47" t="inlineStr">
        <is>
          <t>たぶんクリニック</t>
        </is>
      </c>
      <c r="M32" s="47" t="n"/>
      <c r="N32" s="47" t="n"/>
      <c r="O32" s="47" t="n"/>
      <c r="P32" s="47" t="n"/>
      <c r="Q32" s="47" t="n"/>
      <c r="R32" s="47" t="n"/>
      <c r="S32" s="47" t="n"/>
      <c r="T32" s="47" t="n"/>
      <c r="U32" s="47" t="n"/>
      <c r="V32" s="47" t="n"/>
      <c r="W32" s="47" t="n"/>
      <c r="X32" s="47" t="n"/>
      <c r="Y32" s="47" t="n"/>
      <c r="Z32" s="47" t="n"/>
    </row>
    <row r="33" ht="15.75" customHeight="1" s="185">
      <c r="A33" s="52">
        <f>row()-3</f>
        <v/>
      </c>
      <c r="B33" s="46" t="inlineStr">
        <is>
          <t>障害者雇用の業務を切り出し成功事例</t>
        </is>
      </c>
      <c r="C33" s="6" t="inlineStr">
        <is>
          <t>https://dym.asia/media/with-disabilities-recruitment-manager/</t>
        </is>
      </c>
      <c r="D33" s="47" t="inlineStr">
        <is>
          <t>障害者雇用 業務切り出し事例</t>
        </is>
      </c>
      <c r="E33" s="35" t="n">
        <v>17</v>
      </c>
      <c r="F33" s="36" t="n">
        <v>4.162280701754386</v>
      </c>
      <c r="G33" s="47" t="inlineStr">
        <is>
          <t>なし</t>
        </is>
      </c>
      <c r="H33" s="47" t="inlineStr">
        <is>
          <t>可</t>
        </is>
      </c>
      <c r="I33" s="47" t="inlineStr">
        <is>
          <t>Q: 障害者雇用を成功させるために、担当者が最も重要視すべき「業務の切り出し方」のコツは何ですか？
A: 業務の切り出しを成功させるには、まず既存業務を分解して誰でもできる単純作業や定型業務を明確にし、それをマニュアル化・標準化することが大切です。そのうえで、障害者の得意・不得意に合わせて業務を再設計し、実際に作業してもらいながら改善を繰り返すことで、継続可能で生産性の高い業務を作ることができます。
Q: 障害者雇用を進める上で、企業が知っておくべき「障害者雇用促進法」の基本的な義務は何ですか？
A: 障害者雇用促進法では、企業に対して従業員の一定割合以上の障害者を雇用することが義務付けられています。達成できない場合は障害者雇用納付金の支払いが必要です。また、単に人数を満たすだけでなく、障害者が能力を発揮できるよう職場環境を整え、必要な配慮を行うことも求められています。
Q: 精神障害や発達障害を持つ方を雇用する場合、職場での配慮やサポートで特に重要なことは何ですか？
A: 精神障害や発達障害を持つ方は環境の変化やストレスに敏感なため、業務手順を明確に示すことやコミュニケーション方法の工夫、定期的な面談による状況把握など、きめ細やかなサポートが重要です。ジョブコーチの活用などを通じて個々の特性に合わせた合理的配慮を行うことで、安定した就労が実現しやすくなります。</t>
        </is>
      </c>
      <c r="J33" s="47" t="n"/>
      <c r="K33" s="47" t="inlineStr">
        <is>
          <t>未確認</t>
        </is>
      </c>
      <c r="L33" s="47" t="inlineStr">
        <is>
          <t>たぶんクリニック</t>
        </is>
      </c>
      <c r="M33" s="47" t="n"/>
      <c r="N33" s="47" t="n"/>
      <c r="O33" s="47" t="n"/>
      <c r="P33" s="47" t="n"/>
      <c r="Q33" s="47" t="n"/>
      <c r="R33" s="47" t="n"/>
      <c r="S33" s="47" t="n"/>
      <c r="T33" s="47" t="n"/>
      <c r="U33" s="47" t="n"/>
      <c r="V33" s="47" t="n"/>
      <c r="W33" s="47" t="n"/>
      <c r="X33" s="47" t="n"/>
      <c r="Y33" s="47" t="n"/>
      <c r="Z33" s="47" t="n"/>
    </row>
    <row r="34" ht="15.75" customHeight="1" s="185">
      <c r="A34" s="52">
        <f>row()-3</f>
        <v/>
      </c>
      <c r="B34" s="46" t="inlineStr">
        <is>
          <t>韓国の美容治療ポテンツァとは？その効果と注意点</t>
        </is>
      </c>
      <c r="C34" s="6" t="inlineStr">
        <is>
          <t>https://dym.asia/media/potenza/</t>
        </is>
      </c>
      <c r="D34" s="47" t="inlineStr">
        <is>
          <t>ポテンツァ 韓国</t>
        </is>
      </c>
      <c r="E34" s="35" t="n">
        <v>16</v>
      </c>
      <c r="F34" s="36" t="n">
        <v>8.874439461883409</v>
      </c>
      <c r="G34" s="47" t="inlineStr">
        <is>
          <t>なし</t>
        </is>
      </c>
      <c r="H34" s="47" t="inlineStr">
        <is>
          <t>可</t>
        </is>
      </c>
      <c r="I34" s="47" t="inlineStr">
        <is>
          <t>Q: ポテンツァの施術は、ニキビ跡やクレーターの改善に効果的ですか？
A: ポテンツァはニキビ跡やクレーターの改善に高い効果が期待できる治療です。微細な針で皮膚の深層までラジオ波（RF）の熱を届けることで、コラーゲンやエラスチンの生成を促し、肌の凹凸を内側から滑らかにします。これにより、従来の方法では改善が難しかったニキビ跡の凹みも目立たなくすることが可能です。
Q: ポテンツァの施術後、肌が赤くなる「ダウンタイム」はどのくらい続きますか？
A: 施術後の赤みや腫れは数時間から翌日程度で治まることが多く、長くても2～3日程度です。施術直後からメイクができる場合もあり、日常生活への影響は少なめです。ただし、保湿や紫外線対策などのアフターケアを怠ると、赤みが長引くことがあるため注意が必要です。
Q: ポテンツァは一度の施術で効果を実感できますか？それとも複数回必要ですか？
A: 効果をより実感するには複数回の施術が推奨されます。一般的には3～5回ほどを目安に、1〜3か月ごとの間隔で施術を行うことで、肌のターンオーバーに合わせてコラーゲン生成が持続的に促され、根本的な肌質改善につながります。</t>
        </is>
      </c>
      <c r="J34" s="47" t="n"/>
      <c r="K34" s="47" t="inlineStr">
        <is>
          <t>未確認</t>
        </is>
      </c>
      <c r="L34" s="47" t="inlineStr">
        <is>
          <t>たぶんクリニック</t>
        </is>
      </c>
      <c r="M34" s="47" t="n"/>
      <c r="N34" s="47" t="n"/>
      <c r="O34" s="47" t="n"/>
      <c r="P34" s="47" t="n"/>
      <c r="Q34" s="47" t="n"/>
      <c r="R34" s="47" t="n"/>
      <c r="S34" s="47" t="n"/>
      <c r="T34" s="47" t="n"/>
      <c r="U34" s="47" t="n"/>
      <c r="V34" s="47" t="n"/>
      <c r="W34" s="47" t="n"/>
      <c r="X34" s="47" t="n"/>
      <c r="Y34" s="47" t="n"/>
      <c r="Z34" s="47" t="n"/>
    </row>
    <row r="35" ht="15.75" customHeight="1" s="185">
      <c r="A35" s="52">
        <f>row()-3</f>
        <v/>
      </c>
      <c r="B35" s="46" t="inlineStr">
        <is>
          <t>新入社員の「雇い入れ時健康診断」とは？検査内容や定期健診との違いも解説</t>
        </is>
      </c>
      <c r="C35" s="6" t="inlineStr">
        <is>
          <t>https://dym.asia/media/health-checkup-upon-employment/</t>
        </is>
      </c>
      <c r="D35" s="47" t="inlineStr">
        <is>
          <t>雇い入れ時健康診断 定期健康診断 違い</t>
        </is>
      </c>
      <c r="E35" s="35" t="n">
        <v>15</v>
      </c>
      <c r="F35" s="36" t="n">
        <v>3.081395348837209</v>
      </c>
      <c r="G35" s="47" t="inlineStr">
        <is>
          <t>なし</t>
        </is>
      </c>
      <c r="H35" s="47" t="inlineStr">
        <is>
          <t>可</t>
        </is>
      </c>
      <c r="I35" s="47" t="inlineStr">
        <is>
          <t>Q: 「雇い入れ時健康診断」の費用は、会社と労働者のどちらが負担するのが一般的ですか？
A: 雇い入れ時健康診断の費用は、原則として会社が負担します。労働安全衛生規則で事業者に健康診断の実施が義務付けられており、厚生労働省も会社負担が基本としています。ただし、希望するオプション検査の費用は労働者自身が負担する場合があります。
Q: 雇い入れ時健康診断の結果、健康状態に問題があった場合、採用が取り消される可能性はありますか？
A: 基本的に、健康診断の結果だけで採用が取り消されることはありません。企業は結果を踏まえ、安全に業務ができるよう配置や作業内容を調整する義務があります。例外的に、業務に耐えられないほどの重度の健康問題があり、安全配慮を尽くしても業務遂行が不可能と客観的に判断される場合にのみ、採用に影響が出る可能性がありますが、非常に限定的です。
Q: 雇い入れ時健康診断と、会社で毎年受ける「定期健康診断」は、検査項目に違いがありますか？
A: 基本的な検査項目は同じですが、雇い入れ時健康診断では全ての項目を必ず実施する必要があります。一方、定期健康診断では前回の結果や医師の判断に応じて、一部の項目を省略することが認められています。</t>
        </is>
      </c>
      <c r="J35" s="47" t="n"/>
      <c r="K35" s="47" t="inlineStr">
        <is>
          <t>未確認</t>
        </is>
      </c>
      <c r="L35" s="47" t="inlineStr">
        <is>
          <t>たぶんクリニック</t>
        </is>
      </c>
      <c r="M35" s="47" t="n"/>
      <c r="N35" s="47" t="n"/>
      <c r="O35" s="47" t="n"/>
      <c r="P35" s="47" t="n"/>
      <c r="Q35" s="47" t="n"/>
      <c r="R35" s="47" t="n"/>
      <c r="S35" s="47" t="n"/>
      <c r="T35" s="47" t="n"/>
      <c r="U35" s="47" t="n"/>
      <c r="V35" s="47" t="n"/>
      <c r="W35" s="47" t="n"/>
      <c r="X35" s="47" t="n"/>
      <c r="Y35" s="47" t="n"/>
      <c r="Z35" s="47" t="n"/>
    </row>
    <row r="36" ht="15.75" customHeight="1" s="185">
      <c r="A36" s="52">
        <f>row()-3</f>
        <v/>
      </c>
      <c r="B36" s="46" t="inlineStr">
        <is>
          <t>パートと正社員の違いとは？責任・保険など7個の差やどちらが得かを徹底解説</t>
        </is>
      </c>
      <c r="C36" s="10" t="inlineStr">
        <is>
          <t>https://dym.asia/media/parttime-fulltime-employee-differences/</t>
        </is>
      </c>
      <c r="D36" s="47" t="inlineStr">
        <is>
          <t>パート 正社員 どちらが得</t>
        </is>
      </c>
      <c r="E36" s="35" t="n">
        <v>14</v>
      </c>
      <c r="F36" s="36" t="n">
        <v>4.881398252184769</v>
      </c>
      <c r="G36" s="47" t="inlineStr">
        <is>
          <t>なし</t>
        </is>
      </c>
      <c r="H36" s="47" t="inlineStr">
        <is>
          <t>可</t>
        </is>
      </c>
      <c r="I36" s="47" t="inlineStr">
        <is>
          <t>Q: パート社員が会社の社会保険（健康保険・厚生年金）に加入できる条件は何ですか？
A: パート社員が会社の社会保険に加入するには、週の労働時間が20時間以上で、月額賃金が88,000円以上であること、雇用期間が2か月を超える見込みがあること、学生でないこと、そして常時101人以上（2024年10月以降は51人以上）の企業に勤めていることが条件です。これらを満たさない場合は、自分で国民健康保険などに加入する必要があります。
Q: 正社員とパート社員で、同じ仕事内容・同じ責任範囲の場合、給与や手当に差を設けても問題ないですか？
A: 同じ仕事内容や責任であれば、不合理な給与や手当の差は認められません。これは2020年4月施行の「同一労働同一賃金」の原則に基づいており、企業は待遇差に合理的な理由を説明できなければ法律違反となるリスクがあります。
Q: パートで働くことの最大のメリットと、正社員で働くことの最大のメリットを教えてください。
A: パートの最大のメリットは勤務時間や曜日の自由度が高く、育児や介護などライフスタイルに合わせやすい点です。正社員の最大のメリットは、雇用と収入の安定性が得られることです。無期雇用契約や月給制、賞与により生活基盤を安定させつつ、キャリアアップや手厚い福利厚生も期待できます。</t>
        </is>
      </c>
      <c r="J36" s="47" t="n"/>
      <c r="K36" s="47" t="inlineStr">
        <is>
          <t>未確認</t>
        </is>
      </c>
      <c r="L36" s="47" t="inlineStr">
        <is>
          <t>たぶんクリニック</t>
        </is>
      </c>
      <c r="M36" s="47" t="n"/>
      <c r="N36" s="47" t="n"/>
      <c r="O36" s="47" t="n"/>
      <c r="P36" s="47" t="n"/>
      <c r="Q36" s="47" t="n"/>
      <c r="R36" s="47" t="n"/>
      <c r="S36" s="47" t="n"/>
      <c r="T36" s="47" t="n"/>
      <c r="U36" s="47" t="n"/>
      <c r="V36" s="47" t="n"/>
      <c r="W36" s="47" t="n"/>
      <c r="X36" s="47" t="n"/>
      <c r="Y36" s="47" t="n"/>
      <c r="Z36" s="47" t="n"/>
    </row>
    <row r="37" ht="15.75" customHeight="1" s="185">
      <c r="A37" s="52">
        <f>row()-3</f>
        <v/>
      </c>
      <c r="B37" s="46" t="inlineStr">
        <is>
          <t>50代におすすめの人間ドック：必要な検査と選び方ガイド</t>
        </is>
      </c>
      <c r="C37" s="10" t="inlineStr">
        <is>
          <t>https://dym.asia/media/thorough-physical-checkup-50s/</t>
        </is>
      </c>
      <c r="D37" s="47" t="inlineStr">
        <is>
          <t>人間ドック 費用 50代</t>
        </is>
      </c>
      <c r="E37" s="35" t="n">
        <v>14</v>
      </c>
      <c r="F37" s="36" t="n">
        <v>3.547727272727273</v>
      </c>
      <c r="G37" s="47" t="inlineStr">
        <is>
          <t>なし</t>
        </is>
      </c>
      <c r="H37" s="47" t="inlineStr">
        <is>
          <t>可</t>
        </is>
      </c>
      <c r="I37" s="47" t="inlineStr">
        <is>
          <t>Q: 50代の人間ドックで、特に重点的にチェックすべき「生活習慣病」のリスクは何ですか？
A: 50代では、高血圧、糖尿病、脂質異常症（高コレステロールや中性脂肪）、そしてそれらに関連する動脈硬化や心臓疾患のリスクが特に重要です。これらは自覚症状が少ないまま進行することが多く、脳卒中や心筋梗塞などの重篤な病気につながる可能性があります。そのため、血圧測定や血液検査（血糖値・HbA1c・脂質）、心電図検査に加え、頸動脈エコー検査などで早期にリスクを把握することが大切です。
Q: 50代の人間ドックでは、男性と女性でどのような「オプション検査」を追加すべきですか？
A: 男性には前立腺がんの早期発見に有効なPSA検査が推奨されます。女性には乳がん検診のためのマンモグラフィーや乳腺エコー、子宮頸がん・子宮体がんの検査が有効です。また、閉経後の女性は骨粗しょう症のリスクも高まるため、骨密度検査も考慮すると安心です。
Q: 人間ドックの結果、要精密検査や要治療の指摘を受けたら、すぐに何をすべきですか？
A: 指摘を受けた場合は、結果を放置せず、速やかに専門医を受診することが重要です。人間ドックは病気の確定診断ではなくスクリーニングに過ぎないため、必要に応じて再検査やCT・MRI、内視鏡検査などの詳細な診断を受け、正確な診断と適切な治療方針を決めることがリスクを減らす鍵となります。</t>
        </is>
      </c>
      <c r="J37" s="47" t="n"/>
      <c r="K37" s="47" t="inlineStr">
        <is>
          <t>未確認</t>
        </is>
      </c>
      <c r="L37" s="47" t="inlineStr">
        <is>
          <t>たぶんクリニック</t>
        </is>
      </c>
      <c r="M37" s="47" t="n"/>
      <c r="N37" s="47" t="n"/>
      <c r="O37" s="47" t="n"/>
      <c r="P37" s="47" t="n"/>
      <c r="Q37" s="47" t="n"/>
      <c r="R37" s="47" t="n"/>
      <c r="S37" s="47" t="n"/>
      <c r="T37" s="47" t="n"/>
      <c r="U37" s="47" t="n"/>
      <c r="V37" s="47" t="n"/>
      <c r="W37" s="47" t="n"/>
      <c r="X37" s="47" t="n"/>
      <c r="Y37" s="47" t="n"/>
      <c r="Z37" s="47" t="n"/>
    </row>
    <row r="38" ht="15.75" customHeight="1" s="185">
      <c r="A38" s="52">
        <f>row()-3</f>
        <v/>
      </c>
      <c r="B38" s="46" t="inlineStr">
        <is>
          <t>ファスティングの効果とやり方とは？注意点や食事再開方法も徹底解説</t>
        </is>
      </c>
      <c r="C38" s="10" t="inlineStr">
        <is>
          <t>https://dym.asia/media/fasting/</t>
        </is>
      </c>
      <c r="D38" s="47" t="inlineStr">
        <is>
          <t>絶食後 食事再開</t>
        </is>
      </c>
      <c r="E38" s="35" t="n">
        <v>13</v>
      </c>
      <c r="F38" s="36" t="n">
        <v>1.696750902527076</v>
      </c>
      <c r="G38" s="47" t="inlineStr">
        <is>
          <t>なし</t>
        </is>
      </c>
      <c r="H38" s="47" t="inlineStr">
        <is>
          <t>可</t>
        </is>
      </c>
      <c r="I38" s="47" t="inlineStr">
        <is>
          <t>Q: ファスティング（断食）の健康上の主なメリットは何ですか？
A: ファスティングの大きなメリットは、消化器官を休ませることで体内環境を整えられる点です。一定時間食事を控えることで胃腸や内臓が休まり、老廃物の排泄が促進されます。その結果、腸内環境が改善され便通が良くなるほか、細胞の自己修復機能が活性化し、美肌やアンチエイジングにもつながると考えられています。
Q: 初心者にとって最も安全で始めやすいファスティング方法はどれですか？
A: 初心者には「16時間ファスティング」が最も始めやすく安全です。夕食後から翌日の昼食までの16時間を絶食し、残りの8時間で食事を摂る方法で、睡眠時間を含むため空腹の負担が少なく、日常生活への影響も小さいのが特徴です。絶食中は水やカロリーのないお茶で十分に水分補給することが大切です。
Q: ファスティングを終えた後の「食事再開（回復食）」で、特に注意すべきことは何ですか？
A: ファスティング後は胃腸が敏感になっているため、回復食を慎重にとることが重要です。最初の数日間は消化に優しい軽めの食事から始め、徐々に通常の食事量に戻します。具体的にはおかゆや味噌汁、野菜スープなどを中心にし、油っぽいものやジャンクフード、高カロリー食品は避けるようにしましょう。</t>
        </is>
      </c>
      <c r="J38" s="47" t="n"/>
      <c r="K38" s="47" t="inlineStr">
        <is>
          <t>未確認</t>
        </is>
      </c>
      <c r="L38" s="47" t="inlineStr">
        <is>
          <t>たぶんクリニック</t>
        </is>
      </c>
      <c r="M38" s="47" t="n"/>
      <c r="N38" s="47" t="n"/>
      <c r="O38" s="47" t="n"/>
      <c r="P38" s="47" t="n"/>
      <c r="Q38" s="47" t="n"/>
      <c r="R38" s="47" t="n"/>
      <c r="S38" s="47" t="n"/>
      <c r="T38" s="47" t="n"/>
      <c r="U38" s="47" t="n"/>
      <c r="V38" s="47" t="n"/>
      <c r="W38" s="47" t="n"/>
      <c r="X38" s="47" t="n"/>
      <c r="Y38" s="47" t="n"/>
      <c r="Z38" s="47" t="n"/>
    </row>
    <row r="39" ht="15.75" customHeight="1" s="185">
      <c r="A39" s="52">
        <f>row()-3</f>
        <v/>
      </c>
      <c r="B39" s="46" t="inlineStr">
        <is>
          <t>30代におすすめの人間ドック：健康管理と早期発見の重要性</t>
        </is>
      </c>
      <c r="C39" s="10" t="inlineStr">
        <is>
          <t>https://dym.asia/media/thorough-physical-checkup-30s/</t>
        </is>
      </c>
      <c r="D39" s="47" t="inlineStr">
        <is>
          <t>人間ドック 頻度 30代</t>
        </is>
      </c>
      <c r="E39" s="35" t="n">
        <v>6</v>
      </c>
      <c r="F39" s="36" t="n">
        <v>5.269503546099291</v>
      </c>
      <c r="G39" s="47" t="inlineStr">
        <is>
          <t>なし</t>
        </is>
      </c>
      <c r="H39" s="47" t="inlineStr">
        <is>
          <t>可</t>
        </is>
      </c>
      <c r="I39" s="10" t="inlineStr">
        <is>
          <t>Q: 30代から人間ドックを受けるメリットは何ですか？
A: 30代は生活習慣病のリスクが徐々に現れ始める時期であり、人間ドックを受けることで自覚症状がない段階で体の異常や生活習慣の乱れを早期に発見できます。これにより、本格的な病気になる前に生活習慣を改善したり、必要な治療を開始したりでき、将来の健康リスクを減らすことが可能です。
Q: 30代の健康診断で特に気をつけるべき検査項目は何ですか？
A: 血液検査では、コレステロールや中性脂肪、血糖値、肝機能など、生活習慣病の指標を重点的にチェックすることが大切です。また、長時間労働やストレスによる胃の不調も増えるため、胃がんリスクの検査や胃内視鏡検査を検討することも有効です。
Q: 30代で健康診断の結果が「要精密検査」だった場合、すぐに精密検査を受けるべきですか？
A: 「要精密検査」と出た場合は、放置せず速やかに専門の医療機関で診察を受けることが重要です。30代で見つかった異常は将来の生活に影響する可能性があるため、指示された検査や診断を受け、必要に応じて早期に対処することが推奨されます。ぜひお問い合わせください。　問い合わせ先は下記
https://dym.asia/contact/?sid=681795991</t>
        </is>
      </c>
      <c r="J39" s="47" t="n"/>
      <c r="K39" s="47" t="inlineStr">
        <is>
          <t>未確認</t>
        </is>
      </c>
      <c r="L39" s="47" t="inlineStr">
        <is>
          <t>たぶんクリニック</t>
        </is>
      </c>
      <c r="M39" s="47" t="n"/>
      <c r="N39" s="47" t="n"/>
      <c r="O39" s="47" t="n"/>
      <c r="P39" s="47" t="n"/>
      <c r="Q39" s="47" t="n"/>
      <c r="R39" s="47" t="n"/>
      <c r="S39" s="47" t="n"/>
      <c r="T39" s="47" t="n"/>
      <c r="U39" s="47" t="n"/>
      <c r="V39" s="47" t="n"/>
      <c r="W39" s="47" t="n"/>
      <c r="X39" s="47" t="n"/>
      <c r="Y39" s="47" t="n"/>
      <c r="Z39" s="47" t="n"/>
    </row>
    <row r="40" ht="15.75" customHeight="1" s="185">
      <c r="A40" s="52">
        <f>row()-3</f>
        <v/>
      </c>
      <c r="B40" s="46" t="inlineStr">
        <is>
          <t>人間ドックが40代にとって重要な理由とは？必要な検査と選び方ガイド</t>
        </is>
      </c>
      <c r="C40" s="10" t="inlineStr">
        <is>
          <t>https://dym.asia/media/thorough-physical-checkup-40s/</t>
        </is>
      </c>
      <c r="D40" s="47" t="inlineStr">
        <is>
          <t>人間ドック 項目 40代</t>
        </is>
      </c>
      <c r="E40" s="35" t="n">
        <v>6</v>
      </c>
      <c r="F40" s="36" t="n">
        <v>6.588235294117647</v>
      </c>
      <c r="G40" s="47" t="inlineStr">
        <is>
          <t>なし</t>
        </is>
      </c>
      <c r="H40" s="47" t="inlineStr">
        <is>
          <t>可</t>
        </is>
      </c>
      <c r="I40" s="10" t="inlineStr">
        <is>
          <t>Q: 40代の人間ドックで、特にオプションで追加すべき検査項目は何ですか？
A: 40代はがんや心臓病、脳卒中のリスクが本格的に高まる時期です。そのため、通常の健診に加え、胃内視鏡や胃バリウム検査、腹部超音波検査、女性は乳がん・子宮がん検診、男性は前立腺がん（PSA検査）などのオプション検査を追加することが推奨されます。
Q: 40代になって急に健診結果が悪化するのはなぜですか？
A: 40代は加齢による基礎代謝の低下に加え、仕事や家庭の責任によるストレス、運動不足や食生活の乱れが長年蓄積され、体の数値として表れやすくなります。特に内臓脂肪の増加や血糖値、血圧の上昇が顕著になり、生活習慣の見直しが必要となる年代です。
Q: 40代で発見される最も多い病気や異常は何ですか？
A: 40代で多く見られるのは、高血圧や脂質異常症、糖尿病予備軍などの生活習慣病です。これらに関連してメタボリックシンドロームの診断や、過度な飲酒による肝機能異常（γ-GTPなど）が指摘されることも少なくありません。気になる方は速やかに医療機関に相談することが大切です。
お問い合わせはこちらから　　　　　　　　　　　　　　　　　　　　　　　　　　　　　　　　　　　　　　　　　　問い合わせ先は下記
https://dym.asia/contact/?sid=681795991</t>
        </is>
      </c>
      <c r="J40" s="47" t="n"/>
      <c r="K40" s="47" t="inlineStr">
        <is>
          <t>未確認</t>
        </is>
      </c>
      <c r="L40" s="47" t="inlineStr">
        <is>
          <t>たぶんクリニック</t>
        </is>
      </c>
      <c r="M40" s="47" t="n"/>
      <c r="N40" s="47" t="n"/>
      <c r="O40" s="47" t="n"/>
      <c r="P40" s="47" t="n"/>
      <c r="Q40" s="47" t="n"/>
      <c r="R40" s="47" t="n"/>
      <c r="S40" s="47" t="n"/>
      <c r="T40" s="47" t="n"/>
      <c r="U40" s="47" t="n"/>
      <c r="V40" s="47" t="n"/>
      <c r="W40" s="47" t="n"/>
      <c r="X40" s="47" t="n"/>
      <c r="Y40" s="47" t="n"/>
      <c r="Z40" s="47" t="n"/>
    </row>
    <row r="41" ht="15.75" customHeight="1" s="185">
      <c r="A41" s="52">
        <f>row()-3</f>
        <v/>
      </c>
      <c r="B41" s="46" t="inlineStr">
        <is>
          <t>人間ドックとは？意味や目的などを解説</t>
        </is>
      </c>
      <c r="C41" s="6" t="inlineStr">
        <is>
          <t>https://dym.asia/media/thorough-physical-checkup/</t>
        </is>
      </c>
      <c r="D41" s="47" t="inlineStr">
        <is>
          <t>人間ドック 時間</t>
        </is>
      </c>
      <c r="E41" s="35" t="n">
        <v>4</v>
      </c>
      <c r="F41" s="36" t="n">
        <v>1.253263707571802</v>
      </c>
      <c r="G41" s="47" t="inlineStr">
        <is>
          <t>なし</t>
        </is>
      </c>
      <c r="H41" s="47" t="inlineStr">
        <is>
          <t>可</t>
        </is>
      </c>
      <c r="I41" s="47" t="inlineStr">
        <is>
          <t>Q: 健康診断と人間ドックは、何が違うのですか？
A: 健康診断は、法律で定められた基本項目を確認するもので、主に病気の予防や生活習慣病の早期発見が目的です。身長・体重・血圧や血液検査の一部などが中心です。一方、人間ドックはより詳しい検査が含まれ、胃カメラやCT、MRIなどで全身の健康状態を総合的にチェックし、自覚症状がない病気の早期発見を目的としています。
Q: 人間ドックの適切な受診頻度はどれくらいですか？
A: 健康な方でも年に1回の受診が一般的に推奨されます。特に40歳以降は、がんや生活習慣病のリスクが高まるため、年1回の人間ドックが重要です。医師から特定のリスクを指摘されている場合は、より短い間隔での受診が必要になることもあります。
Q: 人間ドックの費用は、健康保険が適用されますか？
A: 人間ドックは病気の治療を目的としない予防的検査であるため、基本的に公的医療保険は適用されず、全額自己負担になります。ただし、会社が費用を負担したり、加入している健康保険組合から補助が出る場合もあるため、事前に確認しておくことが大切です。</t>
        </is>
      </c>
      <c r="J41" s="47" t="n"/>
      <c r="K41" s="47" t="inlineStr">
        <is>
          <t>未確認</t>
        </is>
      </c>
      <c r="L41" s="47" t="inlineStr">
        <is>
          <t>たぶんクリニック</t>
        </is>
      </c>
      <c r="M41" s="47" t="n"/>
      <c r="N41" s="47" t="n"/>
      <c r="O41" s="47" t="n"/>
      <c r="P41" s="47" t="n"/>
      <c r="Q41" s="47" t="n"/>
      <c r="R41" s="47" t="n"/>
      <c r="S41" s="47" t="n"/>
      <c r="T41" s="47" t="n"/>
      <c r="U41" s="47" t="n"/>
      <c r="V41" s="47" t="n"/>
      <c r="W41" s="47" t="n"/>
      <c r="X41" s="47" t="n"/>
      <c r="Y41" s="47" t="n"/>
      <c r="Z41" s="47" t="n"/>
    </row>
    <row r="42" ht="15.75" customHeight="1" s="185">
      <c r="A42" s="52">
        <f>row()-3</f>
        <v/>
      </c>
      <c r="B42" s="46" t="inlineStr">
        <is>
          <t>アメリカ渡航前に受けるべき予防接種の種類｜重要性や帰国後の確認ポイント</t>
        </is>
      </c>
      <c r="C42" s="10" t="inlineStr">
        <is>
          <t>https://dym.asia/media/america-vaccine-before-traveling/</t>
        </is>
      </c>
      <c r="D42" s="47" t="inlineStr">
        <is>
          <t>アメリカ 赴任 予防接種 大人</t>
        </is>
      </c>
      <c r="E42" s="35" t="n">
        <v>3</v>
      </c>
      <c r="F42" s="36" t="n">
        <v>5.988235294117647</v>
      </c>
      <c r="G42" s="47" t="inlineStr">
        <is>
          <t>なし</t>
        </is>
      </c>
      <c r="H42" s="47" t="inlineStr">
        <is>
          <t>可</t>
        </is>
      </c>
      <c r="I42" s="47" t="inlineStr">
        <is>
          <t>Q: アメリカへ渡航する際に、必ず接種が義務付けられているワクチンはありますか？
A: 観光や短期留学など一般的な渡航では、必ず接種が義務付けられているワクチンは基本的にありません。ただし、特定の学校や大学への入学、あるいは医療従事者など特定の職種で働く場合は、MMR（麻疹・おたふく風邪・風疹）や水痘の接種証明を求められることがあります。
Q: アメリカへの渡航前に、推奨されているワクチンにはどのようなものがありますか？
A: CDC（アメリカ疾病予防管理センター）では、麻疹・風疹・おたふく風邪（MMR）、破傷風・ジフテリア・百日咳（Tdap）、インフルエンザなどの接種を推奨しています。特に長期滞在や医療機関での活動がある場合は、A型肝炎やB型肝炎のワクチンも検討すると安心です。
Q: ワクチン接種の証明書は、日本語で発行されたものでも有効ですか？
A: 日本語の証明書だけでは、空港や学校などで認められないことがあります。接種証明が必要な場合は、医療機関や自治体で英文の証明書を発行してもらうか、国際予防接種証明書（イエローカード）を取得するのが確実です。</t>
        </is>
      </c>
      <c r="J42" s="47" t="n"/>
      <c r="K42" s="47" t="inlineStr">
        <is>
          <t>未確認</t>
        </is>
      </c>
      <c r="L42" s="47" t="inlineStr">
        <is>
          <t>たぶんクリニック</t>
        </is>
      </c>
      <c r="M42" s="47" t="n"/>
      <c r="N42" s="47" t="n"/>
      <c r="O42" s="47" t="n"/>
      <c r="P42" s="47" t="n"/>
      <c r="Q42" s="47" t="n"/>
      <c r="R42" s="47" t="n"/>
      <c r="S42" s="47" t="n"/>
      <c r="T42" s="47" t="n"/>
      <c r="U42" s="47" t="n"/>
      <c r="V42" s="47" t="n"/>
      <c r="W42" s="47" t="n"/>
      <c r="X42" s="47" t="n"/>
      <c r="Y42" s="47" t="n"/>
      <c r="Z42" s="47" t="n"/>
    </row>
    <row r="43" ht="15.75" customHeight="1" s="185">
      <c r="A43" s="52">
        <f>row()-3</f>
        <v/>
      </c>
      <c r="B43" s="46" t="inlineStr">
        <is>
          <t>血液検査でわかる病気｜人間ドックの検査項目一覧と結果の見方</t>
        </is>
      </c>
      <c r="C43" s="10" t="inlineStr">
        <is>
          <t>https://dym.asia/media/complete-medical-blood-test/</t>
        </is>
      </c>
      <c r="D43" s="47" t="inlineStr">
        <is>
          <t>血液検査 見方</t>
        </is>
      </c>
      <c r="E43" s="35" t="n">
        <v>3</v>
      </c>
      <c r="F43" s="36" t="n">
        <v>5.448275862068965</v>
      </c>
      <c r="G43" s="47" t="inlineStr">
        <is>
          <t>なし</t>
        </is>
      </c>
      <c r="H43" s="47" t="inlineStr">
        <is>
          <t>可</t>
        </is>
      </c>
      <c r="I43" s="47" t="inlineStr">
        <is>
          <t>Q: 健康診断の血液検査は、具体的にどのような病気のリスクを判定しているのですか？
A: 血液検査は主に生活習慣病のリスクを確認するために行われます。脂質異常症や糖尿病の兆候を血液の数値で把握できるほか、肝機能や腎機能の低下も早期にチェックできます。これにより、自覚症状が出る前の段階で体の異常や臓器の状態を知ることが可能です。
Q: 血液検査の結果に異常が見つかった場合、生活習慣をどのように見直すべきですか？
A: 異常の内容によって改善策は変わりますが、基本は食事の見直しと運動習慣の改善です。高血圧や脂質異常があれば塩分や脂質を控え、血糖値が高ければ糖質の管理を意識します。また、週数回の有酸素運動を取り入れるなど、医師や保健師の指導に従い、日々の生活で具体的に改善を続けることが大切です。
Q: 血液検査を受ける前に、食事制限は必要ですか？
A: はい、血糖値や中性脂肪などは食事の影響を受けやすいため、通常は検査前10時間以上の絶食が求められます。水以外の飲食物や飴、ガムなども控え、正確な検査結果が出るよう注意しましょう。</t>
        </is>
      </c>
      <c r="J43" s="47" t="n"/>
      <c r="K43" s="47" t="inlineStr">
        <is>
          <t>未確認</t>
        </is>
      </c>
      <c r="L43" s="47" t="inlineStr">
        <is>
          <t>たぶんクリニック</t>
        </is>
      </c>
      <c r="M43" s="47" t="n"/>
      <c r="N43" s="47" t="n"/>
      <c r="O43" s="47" t="n"/>
      <c r="P43" s="47" t="n"/>
      <c r="Q43" s="47" t="n"/>
      <c r="R43" s="47" t="n"/>
      <c r="S43" s="47" t="n"/>
      <c r="T43" s="47" t="n"/>
      <c r="U43" s="47" t="n"/>
      <c r="V43" s="47" t="n"/>
      <c r="W43" s="47" t="n"/>
      <c r="X43" s="47" t="n"/>
      <c r="Y43" s="47" t="n"/>
      <c r="Z43" s="47" t="n"/>
    </row>
    <row r="44" ht="15.75" customHeight="1" s="185">
      <c r="A44" s="52">
        <f>row()-3</f>
        <v/>
      </c>
      <c r="B44" s="46" t="inlineStr">
        <is>
          <t>健康診断、人間ドックは何歳から受診すべき？リスクと検査したい項目を解説</t>
        </is>
      </c>
      <c r="C44" s="6" t="inlineStr">
        <is>
          <t>https://dym.asia/media/health-check-age/</t>
        </is>
      </c>
      <c r="D44" s="47" t="inlineStr">
        <is>
          <t>人間ドック 何歳から</t>
        </is>
      </c>
      <c r="E44" s="35" t="n">
        <v>3</v>
      </c>
      <c r="F44" s="36" t="n">
        <v>33.8370786516854</v>
      </c>
      <c r="G44" s="47" t="inlineStr">
        <is>
          <t>なし</t>
        </is>
      </c>
      <c r="H44" s="47" t="inlineStr">
        <is>
          <t>可</t>
        </is>
      </c>
      <c r="I44" s="47" t="inlineStr">
        <is>
          <t>Q: 健康診断は、何歳から定期的に受けるべきですか？
A: 企業に雇用されている場合は、労働安全衛生法により全年齢で年1回の健康診断が義務付けられています。特に30代は生活習慣病の兆候が出やすく、40歳以降はがんや心疾患のリスクが急増するため、人間ドックなど詳しい検査も検討し、定期的に自身の健康状態を把握することが大切です。
Q: 20代の健康診断では、どのような項目を特に重視すべきですか？
A: 20代は病気のリスク自体は低いものの、生活習慣の乱れが少しずつ現れ始める時期です。脂質や血糖値、肝機能など将来の生活習慣病につながる兆候をチェックすることが重要です。また、長時間労働やストレスによるメンタルヘルスにも注意を払うことが望まれます。
Q: 家族に特定の病気の既往歴がある場合、健康診断で追加すべき検査項目はありますか？
A: 家族歴がある場合は、その病気に関連する項目を重点的に追加することが推奨されます。例えば、家族に糖尿病がいればHbA1cの精密検査を、がんの既往があれば該当部位の画像検査や腫瘍マーカーを追加することで、リスクの高い病気を早期に発見する可能性が高まります。</t>
        </is>
      </c>
      <c r="J44" s="47" t="n"/>
      <c r="K44" s="47" t="inlineStr">
        <is>
          <t>未確認</t>
        </is>
      </c>
      <c r="L44" s="47" t="inlineStr">
        <is>
          <t>たぶんクリニック</t>
        </is>
      </c>
      <c r="M44" s="47" t="n"/>
      <c r="N44" s="47" t="n"/>
      <c r="O44" s="47" t="n"/>
      <c r="P44" s="47" t="n"/>
      <c r="Q44" s="47" t="n"/>
      <c r="R44" s="47" t="n"/>
      <c r="S44" s="47" t="n"/>
      <c r="T44" s="47" t="n"/>
      <c r="U44" s="47" t="n"/>
      <c r="V44" s="47" t="n"/>
      <c r="W44" s="47" t="n"/>
      <c r="X44" s="47" t="n"/>
      <c r="Y44" s="47" t="n"/>
      <c r="Z44" s="47" t="n"/>
    </row>
    <row r="45" ht="15.75" customHeight="1" s="185">
      <c r="A45" s="52">
        <f>row()-3</f>
        <v/>
      </c>
      <c r="B45" s="46" t="inlineStr">
        <is>
          <t>健康診断の基本とは</t>
        </is>
      </c>
      <c r="C45" s="10" t="inlineStr">
        <is>
          <t>https://dym.asia/media/health-check-whole-body/</t>
        </is>
      </c>
      <c r="D45" s="47" t="inlineStr">
        <is>
          <t>dym 健康診断</t>
        </is>
      </c>
      <c r="E45" s="35" t="n">
        <v>3</v>
      </c>
      <c r="F45" s="36" t="n">
        <v>4.461538461538462</v>
      </c>
      <c r="G45" s="47" t="inlineStr">
        <is>
          <t>なし</t>
        </is>
      </c>
      <c r="H45" s="47" t="inlineStr">
        <is>
          <t>可</t>
        </is>
      </c>
      <c r="I45" s="10" t="inlineStr">
        <is>
          <t>Q: 全身の健康状態をチェックする最も効果的な方法は何ですか？
A: 全身の健康状態を網羅的に確認するには、人間ドックの受診が最も効果的です。一般的な健康診断よりも検査項目が多く、がんや心臓病、脳疾患など自覚症状のない重篤な病気を早期に発見するのに非常に役立ちます。
Q: 全身チェックでがんを早期発見するために、どのような検査を受けるべきですか？
A: がんの早期発見には、血液検査の腫瘍マーカーだけでなく、臓器の状態を詳しく確認できる画像検査が欠かせません。具体的には、胸部X線、胃カメラや胃バリウム検査、腹部超音波検査、さらに女性は乳がん・子宮がん検診などをオプションで追加すると安心です。
Q: 全身の健康状態をチェックする頻度は、何歳から年1回が推奨されますか？
A: 一般的に40歳以降は、がんや生活習慣病のリスクが高まるため、年1回の人間ドックを含む全身チェックが推奨されます。30代でも家族に病歴がある場合や生活習慣が乱れがちな場合は、35歳を目安に受診を検討すると良いでしょう。ぜひお問い合わせください。　　　　　　　　　　　　　　　　　　　　　　　　　　　　　　　　　　　　　　　　　　　　　　　問い合わせ先は下記
https://dym.asia/contact/?sid=681795991</t>
        </is>
      </c>
      <c r="J45" s="47" t="n"/>
      <c r="K45" s="47" t="inlineStr">
        <is>
          <t>未確認</t>
        </is>
      </c>
      <c r="L45" s="47" t="inlineStr">
        <is>
          <t>たぶんクリニック</t>
        </is>
      </c>
      <c r="M45" s="47" t="n"/>
      <c r="N45" s="47" t="n"/>
      <c r="O45" s="47" t="n"/>
      <c r="P45" s="47" t="n"/>
      <c r="Q45" s="47" t="n"/>
      <c r="R45" s="47" t="n"/>
      <c r="S45" s="47" t="n"/>
      <c r="T45" s="47" t="n"/>
      <c r="U45" s="47" t="n"/>
      <c r="V45" s="47" t="n"/>
      <c r="W45" s="47" t="n"/>
      <c r="X45" s="47" t="n"/>
      <c r="Y45" s="47" t="n"/>
      <c r="Z45" s="47" t="n"/>
    </row>
    <row r="46" ht="15.75" customHeight="1" s="185">
      <c r="A46" s="52">
        <f>row()-3</f>
        <v/>
      </c>
      <c r="B46" s="46" t="inlineStr">
        <is>
          <t>20代のための健康診断と人間ドックとの違い</t>
        </is>
      </c>
      <c r="C46" s="6" t="inlineStr">
        <is>
          <t>https://dym.asia/media/health-check-20s/</t>
        </is>
      </c>
      <c r="D46" s="47" t="inlineStr">
        <is>
          <t>人間ドック 20代</t>
        </is>
      </c>
      <c r="E46" s="35" t="n">
        <v>2</v>
      </c>
      <c r="F46" s="36" t="n">
        <v>15.27184466019417</v>
      </c>
      <c r="G46" s="47" t="inlineStr">
        <is>
          <t>なし</t>
        </is>
      </c>
      <c r="H46" s="47" t="inlineStr">
        <is>
          <t>可</t>
        </is>
      </c>
      <c r="I46" s="47" t="inlineStr">
        <is>
          <t>Q: 20代でも健康診断や人間ドックを受ける必要はありますか？
A: はい、20代でも受けることは重要です。生活習慣の乱れが将来の生活習慣病につながる可能性があるため、定期的に検査を受けて自身の健康状態を把握し、早期発見や早期治療に役立てることが長期的な健康維持につながります。
Q: 「健康診断」と「人間ドック」は、具体的に何が違いますか？
A: 健康診断は法律に基づく基本的な検査で、会社員であれば年に1回の受診が義務付けられています。人間ドックは個人の意思で受けるより詳細な精密検査で、胃カメラやCTなど多くの検査項目を含み、病気の早期発見を目的としています。
Q: 20代の女性が特に注意して受けるべき検査は何ですか？
A: 子宮頸がんや乳がんのリスクは20代から高まるため、レディースドックなどで子宮頸がん検診や乳房超音波検査などを早期から定期的に受けることが推奨されます。</t>
        </is>
      </c>
      <c r="J46" s="47" t="n"/>
      <c r="K46" s="47" t="inlineStr">
        <is>
          <t>未確認</t>
        </is>
      </c>
      <c r="L46" s="47" t="inlineStr">
        <is>
          <t>たぶんクリニック</t>
        </is>
      </c>
      <c r="M46" s="47" t="n"/>
      <c r="N46" s="47" t="n"/>
      <c r="O46" s="47" t="n"/>
      <c r="P46" s="47" t="n"/>
      <c r="Q46" s="47" t="n"/>
      <c r="R46" s="47" t="n"/>
      <c r="S46" s="47" t="n"/>
      <c r="T46" s="47" t="n"/>
      <c r="U46" s="47" t="n"/>
      <c r="V46" s="47" t="n"/>
      <c r="W46" s="47" t="n"/>
      <c r="X46" s="47" t="n"/>
      <c r="Y46" s="47" t="n"/>
      <c r="Z46" s="47" t="n"/>
    </row>
    <row r="47" ht="15.75" customHeight="1" s="185">
      <c r="A47" s="52">
        <f>row()-3</f>
        <v/>
      </c>
      <c r="B47" s="46" t="inlineStr">
        <is>
          <t>30代は人間ドックを受けるべき？疾患リスクを考える</t>
        </is>
      </c>
      <c r="C47" s="6" t="inlineStr">
        <is>
          <t>https://dym.asia/media/health-check-30s/</t>
        </is>
      </c>
      <c r="D47" s="47" t="inlineStr">
        <is>
          <t>30代 病気</t>
        </is>
      </c>
      <c r="E47" s="35" t="n">
        <v>2</v>
      </c>
      <c r="F47" s="36" t="n">
        <v>9.389830508474576</v>
      </c>
      <c r="G47" s="47" t="inlineStr">
        <is>
          <t>なし</t>
        </is>
      </c>
      <c r="H47" s="47" t="inlineStr">
        <is>
          <t>可</t>
        </is>
      </c>
      <c r="I47" s="47" t="inlineStr">
        <is>
          <t>Q: 30代が人間ドックを受けるべき理由は何ですか？
A: 30代は、これまでの生活習慣の影響が体に表れ始め、がんや心疾患、脳血管疾患などのリスクが高まる時期です。法定の健康診断よりも詳しい検査で、自覚症状がない潜在的な病気や動脈硬化の初期を早期に見つけ、生活習慣の改善や予防につなげることが大切です。
Q: 30代向けの人間ドックで、特におすすめのオプション検査は何ですか？
A: 血液検査や腹部超音波などの生活習慣病関連検査に加え、胃カメラやバリウム検査、大腸がん検査（便潜血検査）が有効です。女性の場合は乳がんや子宮頸がんの検査を含むレディースドックを受けると、早期発見につながります。
Q: 人間ドックの受診施設を選ぶ際、どのような点に注意すべきですか？
A: 施設を選ぶ際は、日本人間ドック学会の「機能評価認定施設」であるかを確認し、質の高い検査が受けられるかを見極めます。また、自分の健康リスクに応じた検査項目が選べるか、医師による健康相談の時間があるかも重要です。</t>
        </is>
      </c>
      <c r="J47" s="47" t="n"/>
      <c r="K47" s="47" t="inlineStr">
        <is>
          <t>未確認</t>
        </is>
      </c>
      <c r="L47" s="47" t="inlineStr">
        <is>
          <t>たぶんクリニック</t>
        </is>
      </c>
      <c r="M47" s="47" t="n"/>
      <c r="N47" s="47" t="n"/>
      <c r="O47" s="47" t="n"/>
      <c r="P47" s="47" t="n"/>
      <c r="Q47" s="47" t="n"/>
      <c r="R47" s="47" t="n"/>
      <c r="S47" s="47" t="n"/>
      <c r="T47" s="47" t="n"/>
      <c r="U47" s="47" t="n"/>
      <c r="V47" s="47" t="n"/>
      <c r="W47" s="47" t="n"/>
      <c r="X47" s="47" t="n"/>
      <c r="Y47" s="47" t="n"/>
      <c r="Z47" s="47" t="n"/>
    </row>
    <row r="48" ht="15.75" customHeight="1" s="185">
      <c r="A48" s="52">
        <f>row()-3</f>
        <v/>
      </c>
      <c r="B48" s="46" t="inlineStr">
        <is>
          <t>人間ドックで心臓の健康を守る！心臓ドックの重要性と選び方</t>
        </is>
      </c>
      <c r="C48" s="10" t="inlineStr">
        <is>
          <t>https://dym.asia/media/thorough-physical-checkup-heart/</t>
        </is>
      </c>
      <c r="D48" s="47" t="inlineStr">
        <is>
          <t>心臓ドック 意味 ない</t>
        </is>
      </c>
      <c r="E48" s="35" t="n">
        <v>2</v>
      </c>
      <c r="F48" s="36" t="n">
        <v>10</v>
      </c>
      <c r="G48" s="47" t="inlineStr">
        <is>
          <t>なし</t>
        </is>
      </c>
      <c r="H48" s="47" t="inlineStr">
        <is>
          <t>可</t>
        </is>
      </c>
      <c r="I48" s="47" t="inlineStr">
        <is>
          <t>Q: 心臓ドックとは何ですか？一般的な人間ドックとどう違いますか？
A: 心臓ドックは、一般的な人間ドックよりも心臓に特化して精密な検査を行う専門コースです。全身を幅広くチェックする人間ドックと比べ、心臓の構造や機能を詳しく評価することで、狭心症や心筋梗塞、不整脈など潜在的な心臓疾患を早期に発見し、予防することを目的としています。
Q: 心臓ドックで発見できる主な疾患にはどのようなものがありますか？
A: 虚血性心疾患や心臓弁膜症、不整脈、心筋症、大動脈疾患など、命に関わる可能性のある疾患を早期に見つけることができます。血液検査の結果と組み合わせることで、将来的な心臓病のリスク評価も可能です。
Q: 心臓ドックで行われる主な検査項目には何がありますか？
A: 基本的には心電図検査で心臓の電気的活動を記録し、心エコーで構造や動きを確認します。必要に応じて、冠動脈の状態を調べる心臓CTや運動負荷試験など、より詳細で動的な評価が追加されることもあります。</t>
        </is>
      </c>
      <c r="J48" s="47" t="n"/>
      <c r="K48" s="47" t="inlineStr">
        <is>
          <t>未確認</t>
        </is>
      </c>
      <c r="L48" s="47" t="inlineStr">
        <is>
          <t>たぶんクリニック</t>
        </is>
      </c>
      <c r="M48" s="47" t="n"/>
      <c r="N48" s="47" t="n"/>
      <c r="O48" s="47" t="n"/>
      <c r="P48" s="47" t="n"/>
      <c r="Q48" s="47" t="n"/>
      <c r="R48" s="47" t="n"/>
      <c r="S48" s="47" t="n"/>
      <c r="T48" s="47" t="n"/>
      <c r="U48" s="47" t="n"/>
      <c r="V48" s="47" t="n"/>
      <c r="W48" s="47" t="n"/>
      <c r="X48" s="47" t="n"/>
      <c r="Y48" s="47" t="n"/>
      <c r="Z48" s="47" t="n"/>
    </row>
    <row r="49" ht="15.75" customHeight="1" s="185">
      <c r="A49" s="52">
        <f>row()-3</f>
        <v/>
      </c>
      <c r="B49" s="46" t="inlineStr">
        <is>
          <t>20代の人間ドック：若いうちからの健康管理の重要性と選び方</t>
        </is>
      </c>
      <c r="C49" s="6" t="inlineStr">
        <is>
          <t>https://dym.asia/media/thorough-physical-checkup-20s/</t>
        </is>
      </c>
      <c r="D49" s="47" t="inlineStr">
        <is>
          <t>20代 健康 気をつけること</t>
        </is>
      </c>
      <c r="E49" s="35" t="n">
        <v>1</v>
      </c>
      <c r="F49" s="36" t="n">
        <v>8.923076923076923</v>
      </c>
      <c r="G49" s="47" t="inlineStr">
        <is>
          <t>なし</t>
        </is>
      </c>
      <c r="H49" s="47" t="inlineStr">
        <is>
          <t>可</t>
        </is>
      </c>
      <c r="I49" s="10" t="inlineStr">
        <is>
          <t>Q: 20代でも「人間ドック」を受ける必要はありますか？
A: はい、20代でも受けることが推奨されます。この年代は生活習慣の乱れが将来の生活習慣病リスクとして現れ始める時期であり、健康診断では見つけにくい異常や病気の兆候を早期に把握することができます。人間ドックを通して、自分の健康の基準値を知っておくことは、長期的な健康管理に役立ちます。
Q: 20代が人間ドックを受ける場合、一般的な健康診断と何が違いますか？
A: 健康診断は法令で定められた基本項目が中心で、費用も会社が負担することが多いです。一方、人間ドックは個人の意思で受ける任意の検査で、胃カメラや超音波検査、各種がん検診など詳細な項目が含まれ、病気の早期発見に特化しています。
Q: 20代の女性が人間ドックで特に検討すべきオプション検査は何ですか？
A: 女性の場合、子宮頸がんや乳がんのリスクは30代に向けて高まるため、通常の検査に加えて子宮頸がん検診や乳房超音波検査を含むレディースドックをオプションとして検討することが推奨されます。健康に関する相談は、下記からお問い合わせください。　　　　　　　　　　　　　
問い合わせ先は下記
https://dym.asia/contact/?sid=681795991</t>
        </is>
      </c>
      <c r="J49" s="47" t="n"/>
      <c r="K49" s="47" t="inlineStr">
        <is>
          <t>未確認</t>
        </is>
      </c>
      <c r="L49" s="47" t="inlineStr">
        <is>
          <t>たぶんクリニック</t>
        </is>
      </c>
      <c r="M49" s="47" t="n"/>
      <c r="N49" s="47" t="n"/>
      <c r="O49" s="47" t="n"/>
      <c r="P49" s="47" t="n"/>
      <c r="Q49" s="47" t="n"/>
      <c r="R49" s="47" t="n"/>
      <c r="S49" s="47" t="n"/>
      <c r="T49" s="47" t="n"/>
      <c r="U49" s="47" t="n"/>
      <c r="V49" s="47" t="n"/>
      <c r="W49" s="47" t="n"/>
      <c r="X49" s="47" t="n"/>
      <c r="Y49" s="47" t="n"/>
      <c r="Z49" s="47" t="n"/>
    </row>
    <row r="50" ht="15.75" customHeight="1" s="185">
      <c r="A50" s="52">
        <f>row()-3</f>
        <v/>
      </c>
      <c r="B50" s="46" t="inlineStr">
        <is>
          <t>人間ドックとがん検診の違いを徹底比較！効果的な健康管理法とは</t>
        </is>
      </c>
      <c r="C50" s="6" t="inlineStr">
        <is>
          <t>https://dym.asia/media/thorough-physical-checkup-cancer-screening/</t>
        </is>
      </c>
      <c r="D50" s="47" t="inlineStr">
        <is>
          <t>人間ドックとがん検診の違い</t>
        </is>
      </c>
      <c r="E50" s="35" t="n">
        <v>1</v>
      </c>
      <c r="F50" s="36" t="n">
        <v>3.75</v>
      </c>
      <c r="G50" s="47" t="inlineStr">
        <is>
          <t>なし</t>
        </is>
      </c>
      <c r="H50" s="47" t="inlineStr">
        <is>
          <t>可</t>
        </is>
      </c>
      <c r="I50" s="10" t="inlineStr">
        <is>
          <t>Q: 「人間ドック」と「がん検診」は、目的や検査項目にどのような違いがありますか？
A: 人間ドックは全身の健康状態を総合的に確認し、がんだけでなく生活習慣病や心血管疾患など幅広い病気の早期発見と予防を目的としています。これに対し、がん検診は特定の臓器のがんを早期に見つけることに特化しており、検査項目が限られている点が大きな違いです。
Q: がんの早期発見という点で、人間ドックとがん検診のどちらが優れていますか？
A: 特定のがんに関しては、がん検診が科学的に早期発見の効果を示しています。ただ、人間ドックは複数の検査を組み合わせて実施できるため、がんに加えてその他の病気も含めた総合的な発見率が高くなります。両方を活用することで、より安心できる健康管理が可能です。
Q: 人間ドックで受けられる、がんの具体的な検査項目にはどのようなものがありますか？
A: 人間ドックでは基本的な検査に加えて、胃カメラ（胃内視鏡）、大腸内視鏡、胸部CT、腫瘍マーカー検査などをオプションで受けられます。特に胃がんや大腸がんは発見率が高いため、自分の年齢やリスクに合わせて検査を選ぶことが大切です。詳しくは下記からお問い合わせください。
問い合わせ先は下記
https://dym.asia/contact/?sid=681795991</t>
        </is>
      </c>
      <c r="J50" s="47" t="n"/>
      <c r="K50" s="47" t="inlineStr">
        <is>
          <t>未確認</t>
        </is>
      </c>
      <c r="L50" s="47" t="inlineStr">
        <is>
          <t>たぶんクリニック</t>
        </is>
      </c>
      <c r="M50" s="47" t="n"/>
      <c r="N50" s="47" t="n"/>
      <c r="O50" s="47" t="n"/>
      <c r="P50" s="47" t="n"/>
      <c r="Q50" s="47" t="n"/>
      <c r="R50" s="47" t="n"/>
      <c r="S50" s="47" t="n"/>
      <c r="T50" s="47" t="n"/>
      <c r="U50" s="47" t="n"/>
      <c r="V50" s="47" t="n"/>
      <c r="W50" s="47" t="n"/>
      <c r="X50" s="47" t="n"/>
      <c r="Y50" s="47" t="n"/>
      <c r="Z50" s="47" t="n"/>
    </row>
    <row r="51" ht="15.75" customHeight="1" s="185">
      <c r="A51" s="52">
        <f>row()-3</f>
        <v/>
      </c>
      <c r="B51" s="46" t="inlineStr">
        <is>
          <t>人間ドックは何歳から受診すべき？リスクと検査項目のポイント解説</t>
        </is>
      </c>
      <c r="C51" s="6" t="inlineStr">
        <is>
          <t>https://dym.asia/media/thorough-physical-checkup-how-old/</t>
        </is>
      </c>
      <c r="D51" s="47" t="inlineStr">
        <is>
          <t>人間ドック いつから</t>
        </is>
      </c>
      <c r="E51" s="35" t="n">
        <v>1</v>
      </c>
      <c r="F51" s="36" t="n">
        <v>12.40540540540541</v>
      </c>
      <c r="G51" s="47" t="inlineStr">
        <is>
          <t>なし</t>
        </is>
      </c>
      <c r="H51" s="47" t="inlineStr">
        <is>
          <t>可</t>
        </is>
      </c>
      <c r="I51" s="10" t="inlineStr">
        <is>
          <t>Q: 人間ドックは何歳から受診すべきだと推奨されていますか？
A: 一般的には、生活習慣病やがんのリスクが徐々に高まる30代からの受診が推奨されています。特に健康保険組合では、40歳以降は5年に1回の人間ドック受診が目安とされています。女性は乳がんや子宮頸がんのリスク増加に伴い、男性より早めの受診が望ましいです。詳しくは下記からお問い合わせください。　　　　　　　　　　　　　　　　　　　　　　　　　　　　
問い合わせ先は下記
https://dym.asia/contact/?sid=681795991
Q: 年齢を重ねることで、人間ドックの検査項目はどのように変わりますか？
A: 30代では生活習慣病や胃・大腸のがんリスクに注目した検査が中心になります。40代以降は、男性は前立腺がん、女性は乳がんや骨密度の検査が加わります。50代以降は心血管疾患のリスクが高まるため、心エコーや運動負荷試験など心臓関連の精密検査が推奨されます。
Q: 人間ドックを受ける際、施設を選ぶ上で重視すべきポイントは何ですか？
A: CTやMRIなど最新設備が整っているか、年齢や健康状態に応じた検査コースが選べるかを確認しましょう。また、日本人間ドック学会の「機能評価認定施設」であることや、口コミ・評判が良いことも、信頼できる検査を受けるための大切な判断基準です。</t>
        </is>
      </c>
      <c r="J51" s="47" t="n"/>
      <c r="K51" s="47" t="inlineStr">
        <is>
          <t>未確認</t>
        </is>
      </c>
      <c r="L51" s="47" t="inlineStr">
        <is>
          <t>たぶんクリニック</t>
        </is>
      </c>
      <c r="M51" s="47" t="n"/>
      <c r="N51" s="47" t="n"/>
      <c r="O51" s="47" t="n"/>
      <c r="P51" s="47" t="n"/>
      <c r="Q51" s="47" t="n"/>
      <c r="R51" s="47" t="n"/>
      <c r="S51" s="47" t="n"/>
      <c r="T51" s="47" t="n"/>
      <c r="U51" s="47" t="n"/>
      <c r="V51" s="47" t="n"/>
      <c r="W51" s="47" t="n"/>
      <c r="X51" s="47" t="n"/>
      <c r="Y51" s="47" t="n"/>
      <c r="Z51" s="47" t="n"/>
    </row>
    <row r="52" ht="15.75" customHeight="1" s="185">
      <c r="A52" s="52">
        <f>row()-3</f>
        <v/>
      </c>
      <c r="B52" s="46" t="inlineStr">
        <is>
          <t>人間ドックでわかることは？検査項目と注意すべき病気を解説</t>
        </is>
      </c>
      <c r="C52" s="6" t="inlineStr">
        <is>
          <t>https://dym.asia/media/thorough-physical-checkup-items/</t>
        </is>
      </c>
      <c r="D52" s="47" t="inlineStr">
        <is>
          <t>人間ドック 受けた方がいいオプション</t>
        </is>
      </c>
      <c r="E52" s="35" t="n">
        <v>1</v>
      </c>
      <c r="F52" s="36" t="n">
        <v>1</v>
      </c>
      <c r="G52" s="47" t="inlineStr">
        <is>
          <t>なし</t>
        </is>
      </c>
      <c r="H52" s="47" t="inlineStr">
        <is>
          <t>可</t>
        </is>
      </c>
      <c r="I52" s="47" t="inlineStr">
        <is>
          <t>Q: 人間ドックの「必須項目」と「オプション項目」の違いは何ですか？
A: 必須項目は、全身の健康状態を総合的に把握するために必要な基本的な検査で、身体計測や血液検査、心電図などが含まれます。オプション項目は、基本検査だけでは分かりにくい特定の部位や疾患リスクを詳しく調べるもので、脳ドックや大腸内視鏡、腫瘍マーカー検査など、個人の希望やリスクに応じて追加できます。
Q: 人間ドックで早期発見できる可能性が高い、注意すべき主な病気は何ですか？
A: 胃がんや大腸がん、肺がん、女性特有のがんなどの悪性腫瘍をはじめ、腹部や脳の動脈瘤、不整脈、肝炎など、自覚症状が出にくく進行すると重篤なリスクにつながる病気の早期発見に役立ちます。
Q: 人間ドックの検査項目を選ぶ際、どのような基準でオプション検査を追加すべきですか？
A: 年齢や性別に加え、家族歴や生活習慣からリスクを判断して追加するのが基本です。例えば、家族に大腸がんの既往がある場合は大腸内視鏡検査を選ぶなど、自身のリスクに合わせて検査内容を決めることが重要です。</t>
        </is>
      </c>
      <c r="J52" s="47" t="n"/>
      <c r="K52" s="47" t="inlineStr">
        <is>
          <t>未確認</t>
        </is>
      </c>
      <c r="L52" s="47" t="inlineStr">
        <is>
          <t>たぶんクリニック</t>
        </is>
      </c>
      <c r="M52" s="47" t="n"/>
      <c r="N52" s="47" t="n"/>
      <c r="O52" s="47" t="n"/>
      <c r="P52" s="47" t="n"/>
      <c r="Q52" s="47" t="n"/>
      <c r="R52" s="47" t="n"/>
      <c r="S52" s="47" t="n"/>
      <c r="T52" s="47" t="n"/>
      <c r="U52" s="47" t="n"/>
      <c r="V52" s="47" t="n"/>
      <c r="W52" s="47" t="n"/>
      <c r="X52" s="47" t="n"/>
      <c r="Y52" s="47" t="n"/>
      <c r="Z52" s="47" t="n"/>
    </row>
    <row r="53" ht="15.75" customHeight="1" s="185">
      <c r="A53" s="52">
        <f>row()-3</f>
        <v/>
      </c>
      <c r="B53" s="46" t="inlineStr">
        <is>
          <t>人間ドックは受けたほうがいい？検査項目と重要性をご紹介</t>
        </is>
      </c>
      <c r="C53" s="6" t="inlineStr">
        <is>
          <t>https://dym.asia/media/thorough-physical-checkup-should/</t>
        </is>
      </c>
      <c r="D53" s="47" t="inlineStr">
        <is>
          <t>人間ドック 受けた方がいい検査</t>
        </is>
      </c>
      <c r="E53" s="35" t="n">
        <v>1</v>
      </c>
      <c r="F53" s="36" t="n">
        <v>11.39130434782609</v>
      </c>
      <c r="G53" s="47" t="inlineStr">
        <is>
          <t>なし</t>
        </is>
      </c>
      <c r="H53" s="47" t="inlineStr">
        <is>
          <t>可</t>
        </is>
      </c>
      <c r="I53" s="47" t="inlineStr">
        <is>
          <t>Q: 人間ドックは、企業が義務付けられた「健康診断」と何が違いますか？　　　　　　　　　　　　　　　　　　　　　　　　　　A: 人間ドックは自分の意思で受けるもので、全身を詳細に調べることで病気の早期発見や予防を目的としています。一方、健康診断は労働安全衛生法に基づく法定検査が中心で、検査項目は限られ、主に労働者の健康管理を目的としています。　　　　　　　　　　　　　
Q: 人間ドックはいつから、どのくらいの頻度で受けるべきですか？　　　　　　　　　　　　　　　　　　　　　　　　　A: 30代からの受診が推奨されます。この年代から生活習慣病やがんのリスクが高まり始めるためです。健康保険組合の基準では、40歳以上は5年に1回が目安ですが、家族歴や生活習慣にリスクがある場合は、より早い段階から定期的に受けることが望ましいです。　　　　　　　　　　　　　
Q: 人間ドックを受けることの最大のメリットは何ですか？　　　　　　　　　　　　　　　　　　　　　　　　　　　　　　　　　　　　A: 無自覚のうちに進行するがんや心血管疾患などを早期に発見でき、早期治療につなげられる点です。加えて、自分の健康状態や病気のリスクを総合的に把握することで、生活習慣の改善や健康意識の向上に役立ち、健康寿命を延ばす具体的な対策を立てられることも大きなメリットです。</t>
        </is>
      </c>
      <c r="J53" s="47" t="n"/>
      <c r="K53" s="47" t="inlineStr">
        <is>
          <t>未確認</t>
        </is>
      </c>
      <c r="L53" s="47" t="inlineStr">
        <is>
          <t>たぶんクリニック</t>
        </is>
      </c>
      <c r="M53" s="47" t="n"/>
      <c r="N53" s="47" t="n"/>
      <c r="O53" s="47" t="n"/>
      <c r="P53" s="47" t="n"/>
      <c r="Q53" s="47" t="n"/>
      <c r="R53" s="47" t="n"/>
      <c r="S53" s="47" t="n"/>
      <c r="T53" s="47" t="n"/>
      <c r="U53" s="47" t="n"/>
      <c r="V53" s="47" t="n"/>
      <c r="W53" s="47" t="n"/>
      <c r="X53" s="47" t="n"/>
      <c r="Y53" s="47" t="n"/>
      <c r="Z53" s="47" t="n"/>
    </row>
    <row r="54" ht="15.75" customHeight="1" s="185">
      <c r="A54" s="52">
        <f>row()-3</f>
        <v/>
      </c>
      <c r="B54" s="46" t="inlineStr">
        <is>
          <t>ベトナムでの病院の選び方とおすすめクリニック【日本語対応可、予約優先、保険会社と提携】</t>
        </is>
      </c>
      <c r="C54" s="6" t="inlineStr">
        <is>
          <t>https://dym.asia/media/vietnam_hospital/</t>
        </is>
      </c>
      <c r="D54" s="47" t="inlineStr">
        <is>
          <t>おすすめクリニック</t>
        </is>
      </c>
      <c r="E54" s="35" t="n">
        <v>1</v>
      </c>
      <c r="F54" s="36" t="n">
        <v>3</v>
      </c>
      <c r="G54" s="47" t="inlineStr">
        <is>
          <t>なし</t>
        </is>
      </c>
      <c r="H54" s="47" t="inlineStr">
        <is>
          <t>可</t>
        </is>
      </c>
      <c r="I54" s="47" t="inlineStr">
        <is>
          <t>Q: ベトナム（ホーチミン・ハノイ）で日本人が病院を選ぶ際、最も重要なポイントは何ですか？
A: 診断や治療の内容を正確に理解し、安心して受診するためには、日本語で対応できるかどうかが最も重要です。日本語通訳が常駐しているか、医師やスタッフが日本語でコミュニケーションできるかを確認し、現地の日本人コミュニティや口コミ情報を参考に選ぶと安心です。
Q: ベトナムで病院を受診する際、費用面や保険の注意点は何ですか？
A: 国際病院や私立クリニックは医療費が高額になりやすいため、海外旅行保険や医療保険の加入が必須です。多くの日本語対応病院では、日本の保険会社と提携してキャッシュレス支払いに対応しています。事前に提携保険会社を確認しておくと、高額な医療費の自己負担を避けられます。
Q: ベトナムの病院の「予約システム」で、日本人が重視すべき点は何ですか？
A: 予約優先制で待ち時間が短い病院を選ぶことが大切です。さらに、日本語でオンライン予約や相談ができる病院であれば、仕事や生活スタイルに合わせて24時間いつでも予約可能で、緊急時でも迅速に対応してもらえるメリットがあります。</t>
        </is>
      </c>
      <c r="J54" s="47" t="n"/>
      <c r="K54" s="47" t="inlineStr">
        <is>
          <t>未確認</t>
        </is>
      </c>
      <c r="L54" s="47" t="inlineStr">
        <is>
          <t>たぶんクリニック</t>
        </is>
      </c>
      <c r="M54" s="47" t="n"/>
      <c r="N54" s="47" t="n"/>
      <c r="O54" s="47" t="n"/>
      <c r="P54" s="47" t="n"/>
      <c r="Q54" s="47" t="n"/>
      <c r="R54" s="47" t="n"/>
      <c r="S54" s="47" t="n"/>
      <c r="T54" s="47" t="n"/>
      <c r="U54" s="47" t="n"/>
      <c r="V54" s="47" t="n"/>
      <c r="W54" s="47" t="n"/>
      <c r="X54" s="47" t="n"/>
      <c r="Y54" s="47" t="n"/>
      <c r="Z54" s="47" t="n"/>
    </row>
    <row r="55" ht="15.75" customHeight="1" s="185">
      <c r="A55" s="55" t="n"/>
      <c r="B55" s="55"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row>
    <row r="56" ht="15.75" customHeight="1" s="185">
      <c r="A56" s="55" t="n"/>
      <c r="B56" s="55" t="n"/>
      <c r="C56" s="47"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row>
    <row r="57" ht="15.75" customHeight="1" s="185">
      <c r="A57" s="55" t="n"/>
      <c r="B57" s="55" t="n"/>
      <c r="C57" s="47"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c r="Y57" s="47" t="n"/>
      <c r="Z57" s="47" t="n"/>
    </row>
    <row r="58" ht="15.75" customHeight="1" s="185">
      <c r="A58" s="55" t="n"/>
      <c r="B58" s="55" t="n"/>
      <c r="C58" s="47"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row>
    <row r="59" ht="15.75" customHeight="1" s="185">
      <c r="A59" s="55" t="n"/>
      <c r="B59" s="55" t="n"/>
      <c r="C59" s="47"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c r="Y59" s="47" t="n"/>
      <c r="Z59" s="47" t="n"/>
    </row>
    <row r="60" ht="15.75" customHeight="1" s="185">
      <c r="A60" s="55" t="n"/>
      <c r="B60" s="55" t="n"/>
      <c r="C60" s="47"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row>
    <row r="61" ht="15.75" customHeight="1" s="185">
      <c r="A61" s="55" t="n"/>
      <c r="B61" s="55" t="n"/>
      <c r="C61" s="47"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c r="Y61" s="47" t="n"/>
      <c r="Z61" s="47" t="n"/>
    </row>
    <row r="62" ht="15.75" customHeight="1" s="185">
      <c r="A62" s="55" t="n"/>
      <c r="B62" s="55"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row>
    <row r="63" ht="15.75" customHeight="1" s="185">
      <c r="A63" s="55" t="n"/>
      <c r="B63" s="55" t="n"/>
      <c r="C63" s="47"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c r="Y63" s="47" t="n"/>
      <c r="Z63" s="47" t="n"/>
    </row>
    <row r="64" ht="15.75" customHeight="1" s="185">
      <c r="A64" s="55" t="n"/>
      <c r="B64" s="55" t="n"/>
      <c r="C64" s="47"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row>
    <row r="65" ht="15.75" customHeight="1" s="185">
      <c r="A65" s="55" t="n"/>
      <c r="B65" s="55" t="n"/>
      <c r="C65" s="47"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c r="Y65" s="47" t="n"/>
      <c r="Z65" s="47" t="n"/>
    </row>
    <row r="66" ht="15.75" customHeight="1" s="185">
      <c r="A66" s="55" t="n"/>
      <c r="B66" s="55" t="n"/>
      <c r="C66" s="47"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c r="Z66" s="47" t="n"/>
    </row>
    <row r="67" ht="15.75" customHeight="1" s="185">
      <c r="A67" s="55" t="n"/>
      <c r="B67" s="55" t="n"/>
      <c r="C67" s="47"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c r="Y67" s="47" t="n"/>
      <c r="Z67" s="47" t="n"/>
    </row>
    <row r="68" ht="15.75" customHeight="1" s="185">
      <c r="A68" s="55" t="n"/>
      <c r="B68" s="55" t="n"/>
      <c r="C68" s="47"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row>
    <row r="69" ht="15.75" customHeight="1" s="185">
      <c r="A69" s="55" t="n"/>
      <c r="B69" s="55"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row>
    <row r="70" ht="15.75" customHeight="1" s="185">
      <c r="A70" s="55" t="n"/>
      <c r="B70" s="55" t="n"/>
      <c r="C70" s="47"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row>
    <row r="71" ht="15.75" customHeight="1" s="185">
      <c r="A71" s="55" t="n"/>
      <c r="B71" s="55"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row>
    <row r="72" ht="15.75" customHeight="1" s="185">
      <c r="A72" s="55" t="n"/>
      <c r="B72" s="55" t="n"/>
      <c r="C72" s="47"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row>
    <row r="73" ht="15.75" customHeight="1" s="185">
      <c r="A73" s="55" t="n"/>
      <c r="B73" s="55" t="n"/>
      <c r="C73" s="47"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c r="Y73" s="47" t="n"/>
      <c r="Z73" s="47" t="n"/>
    </row>
    <row r="74" ht="15.75" customHeight="1" s="185">
      <c r="A74" s="55" t="n"/>
      <c r="B74" s="55" t="n"/>
      <c r="C74" s="47" t="n"/>
      <c r="D74" s="47" t="n"/>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row>
    <row r="75" ht="15.75" customHeight="1" s="185">
      <c r="A75" s="55" t="n"/>
      <c r="B75" s="55" t="n"/>
      <c r="C75" s="47" t="n"/>
      <c r="D75" s="47" t="n"/>
      <c r="E75" s="47" t="n"/>
      <c r="F75" s="47" t="n"/>
      <c r="G75" s="47" t="n"/>
      <c r="H75" s="47" t="n"/>
      <c r="I75" s="47" t="n"/>
      <c r="J75" s="47" t="n"/>
      <c r="K75" s="47" t="n"/>
      <c r="L75" s="47" t="n"/>
      <c r="M75" s="47" t="n"/>
      <c r="N75" s="47" t="n"/>
      <c r="O75" s="47" t="n"/>
      <c r="P75" s="47" t="n"/>
      <c r="Q75" s="47" t="n"/>
      <c r="R75" s="47" t="n"/>
      <c r="S75" s="47" t="n"/>
      <c r="T75" s="47" t="n"/>
      <c r="U75" s="47" t="n"/>
      <c r="V75" s="47" t="n"/>
      <c r="W75" s="47" t="n"/>
      <c r="X75" s="47" t="n"/>
      <c r="Y75" s="47" t="n"/>
      <c r="Z75" s="47" t="n"/>
    </row>
    <row r="76" ht="15.75" customHeight="1" s="185">
      <c r="A76" s="55" t="n"/>
      <c r="B76" s="55" t="n"/>
      <c r="C76" s="47" t="n"/>
      <c r="D76" s="47" t="n"/>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row>
    <row r="77" ht="15.75" customHeight="1" s="185">
      <c r="A77" s="55" t="n"/>
      <c r="B77" s="55"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row>
    <row r="78" ht="15.75" customHeight="1" s="185">
      <c r="A78" s="55" t="n"/>
      <c r="B78" s="55" t="n"/>
      <c r="C78" s="47" t="n"/>
      <c r="D78" s="47" t="n"/>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row>
    <row r="79" ht="15.75" customHeight="1" s="185">
      <c r="A79" s="55" t="n"/>
      <c r="B79" s="55" t="n"/>
      <c r="C79" s="47" t="n"/>
      <c r="D79" s="47" t="n"/>
      <c r="E79" s="47" t="n"/>
      <c r="F79" s="47" t="n"/>
      <c r="G79" s="47" t="n"/>
      <c r="H79" s="47" t="n"/>
      <c r="I79" s="47" t="n"/>
      <c r="J79" s="47" t="n"/>
      <c r="K79" s="47" t="n"/>
      <c r="L79" s="47" t="n"/>
      <c r="M79" s="47" t="n"/>
      <c r="N79" s="47" t="n"/>
      <c r="O79" s="47" t="n"/>
      <c r="P79" s="47" t="n"/>
      <c r="Q79" s="47" t="n"/>
      <c r="R79" s="47" t="n"/>
      <c r="S79" s="47" t="n"/>
      <c r="T79" s="47" t="n"/>
      <c r="U79" s="47" t="n"/>
      <c r="V79" s="47" t="n"/>
      <c r="W79" s="47" t="n"/>
      <c r="X79" s="47" t="n"/>
      <c r="Y79" s="47" t="n"/>
      <c r="Z79" s="47" t="n"/>
    </row>
    <row r="80" ht="15.75" customHeight="1" s="185">
      <c r="A80" s="55" t="n"/>
      <c r="B80" s="55" t="n"/>
      <c r="C80" s="47" t="n"/>
      <c r="D80" s="47" t="n"/>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row>
    <row r="81" ht="15.75" customHeight="1" s="185">
      <c r="A81" s="55" t="n"/>
      <c r="B81" s="55"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row>
    <row r="82" ht="15.75" customHeight="1" s="185">
      <c r="A82" s="55" t="n"/>
      <c r="B82" s="55"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row>
    <row r="83" ht="15.75" customHeight="1" s="185">
      <c r="A83" s="55" t="n"/>
      <c r="B83" s="55"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row>
    <row r="84" ht="15.75" customHeight="1" s="185">
      <c r="A84" s="55" t="n"/>
      <c r="B84" s="55" t="n"/>
      <c r="C84" s="47" t="n"/>
      <c r="D84" s="47" t="n"/>
      <c r="E84" s="47" t="n"/>
      <c r="F84" s="47" t="n"/>
      <c r="G84" s="47" t="n"/>
      <c r="H84" s="47" t="n"/>
      <c r="I84" s="47" t="n"/>
      <c r="J84" s="47" t="n"/>
      <c r="K84" s="47" t="n"/>
      <c r="L84" s="47" t="n"/>
      <c r="M84" s="47" t="n"/>
      <c r="N84" s="47" t="n"/>
      <c r="O84" s="47" t="n"/>
      <c r="P84" s="47" t="n"/>
      <c r="Q84" s="47" t="n"/>
      <c r="R84" s="47" t="n"/>
      <c r="S84" s="47" t="n"/>
      <c r="T84" s="47" t="n"/>
      <c r="U84" s="47" t="n"/>
      <c r="V84" s="47" t="n"/>
      <c r="W84" s="47" t="n"/>
      <c r="X84" s="47" t="n"/>
      <c r="Y84" s="47" t="n"/>
      <c r="Z84" s="47" t="n"/>
    </row>
    <row r="85" ht="15.75" customHeight="1" s="185">
      <c r="A85" s="55" t="n"/>
      <c r="B85" s="55" t="n"/>
      <c r="C85" s="47" t="n"/>
      <c r="D85" s="47" t="n"/>
      <c r="E85" s="47" t="n"/>
      <c r="F85" s="47" t="n"/>
      <c r="G85" s="47" t="n"/>
      <c r="H85" s="47" t="n"/>
      <c r="I85" s="47" t="n"/>
      <c r="J85" s="47" t="n"/>
      <c r="K85" s="47" t="n"/>
      <c r="L85" s="47" t="n"/>
      <c r="M85" s="47" t="n"/>
      <c r="N85" s="47" t="n"/>
      <c r="O85" s="47" t="n"/>
      <c r="P85" s="47" t="n"/>
      <c r="Q85" s="47" t="n"/>
      <c r="R85" s="47" t="n"/>
      <c r="S85" s="47" t="n"/>
      <c r="T85" s="47" t="n"/>
      <c r="U85" s="47" t="n"/>
      <c r="V85" s="47" t="n"/>
      <c r="W85" s="47" t="n"/>
      <c r="X85" s="47" t="n"/>
      <c r="Y85" s="47" t="n"/>
      <c r="Z85" s="47" t="n"/>
    </row>
    <row r="86" ht="15.75" customHeight="1" s="185">
      <c r="A86" s="55" t="n"/>
      <c r="B86" s="55" t="n"/>
      <c r="C86" s="47" t="n"/>
      <c r="D86" s="47" t="n"/>
      <c r="E86" s="47" t="n"/>
      <c r="F86" s="47" t="n"/>
      <c r="G86" s="47" t="n"/>
      <c r="H86" s="47" t="n"/>
      <c r="I86" s="47" t="n"/>
      <c r="J86" s="47" t="n"/>
      <c r="K86" s="47" t="n"/>
      <c r="L86" s="47" t="n"/>
      <c r="M86" s="47" t="n"/>
      <c r="N86" s="47" t="n"/>
      <c r="O86" s="47" t="n"/>
      <c r="P86" s="47" t="n"/>
      <c r="Q86" s="47" t="n"/>
      <c r="R86" s="47" t="n"/>
      <c r="S86" s="47" t="n"/>
      <c r="T86" s="47" t="n"/>
      <c r="U86" s="47" t="n"/>
      <c r="V86" s="47" t="n"/>
      <c r="W86" s="47" t="n"/>
      <c r="X86" s="47" t="n"/>
      <c r="Y86" s="47" t="n"/>
      <c r="Z86" s="47" t="n"/>
    </row>
    <row r="87" ht="15.75" customHeight="1" s="185">
      <c r="A87" s="55" t="n"/>
      <c r="B87" s="55" t="n"/>
      <c r="C87" s="47" t="n"/>
      <c r="D87" s="47" t="n"/>
      <c r="E87" s="47" t="n"/>
      <c r="F87" s="47" t="n"/>
      <c r="G87" s="47" t="n"/>
      <c r="H87" s="47" t="n"/>
      <c r="I87" s="47" t="n"/>
      <c r="J87" s="47" t="n"/>
      <c r="K87" s="47" t="n"/>
      <c r="L87" s="47" t="n"/>
      <c r="M87" s="47" t="n"/>
      <c r="N87" s="47" t="n"/>
      <c r="O87" s="47" t="n"/>
      <c r="P87" s="47" t="n"/>
      <c r="Q87" s="47" t="n"/>
      <c r="R87" s="47" t="n"/>
      <c r="S87" s="47" t="n"/>
      <c r="T87" s="47" t="n"/>
      <c r="U87" s="47" t="n"/>
      <c r="V87" s="47" t="n"/>
      <c r="W87" s="47" t="n"/>
      <c r="X87" s="47" t="n"/>
      <c r="Y87" s="47" t="n"/>
      <c r="Z87" s="47" t="n"/>
    </row>
    <row r="88" ht="15.75" customHeight="1" s="185">
      <c r="A88" s="55" t="n"/>
      <c r="B88" s="55" t="n"/>
      <c r="C88" s="47" t="n"/>
      <c r="D88" s="47" t="n"/>
      <c r="E88" s="47" t="n"/>
      <c r="F88" s="47" t="n"/>
      <c r="G88" s="47" t="n"/>
      <c r="H88" s="47" t="n"/>
      <c r="I88" s="47" t="n"/>
      <c r="J88" s="47" t="n"/>
      <c r="K88" s="47" t="n"/>
      <c r="L88" s="47" t="n"/>
      <c r="M88" s="47" t="n"/>
      <c r="N88" s="47" t="n"/>
      <c r="O88" s="47" t="n"/>
      <c r="P88" s="47" t="n"/>
      <c r="Q88" s="47" t="n"/>
      <c r="R88" s="47" t="n"/>
      <c r="S88" s="47" t="n"/>
      <c r="T88" s="47" t="n"/>
      <c r="U88" s="47" t="n"/>
      <c r="V88" s="47" t="n"/>
      <c r="W88" s="47" t="n"/>
      <c r="X88" s="47" t="n"/>
      <c r="Y88" s="47" t="n"/>
      <c r="Z88" s="47" t="n"/>
    </row>
    <row r="89" ht="15.75" customHeight="1" s="185">
      <c r="A89" s="55" t="n"/>
      <c r="B89" s="55" t="n"/>
      <c r="C89" s="47" t="n"/>
      <c r="D89" s="47" t="n"/>
      <c r="E89" s="47" t="n"/>
      <c r="F89" s="47" t="n"/>
      <c r="G89" s="47" t="n"/>
      <c r="H89" s="47" t="n"/>
      <c r="I89" s="47" t="n"/>
      <c r="J89" s="47" t="n"/>
      <c r="K89" s="47" t="n"/>
      <c r="L89" s="47" t="n"/>
      <c r="M89" s="47" t="n"/>
      <c r="N89" s="47" t="n"/>
      <c r="O89" s="47" t="n"/>
      <c r="P89" s="47" t="n"/>
      <c r="Q89" s="47" t="n"/>
      <c r="R89" s="47" t="n"/>
      <c r="S89" s="47" t="n"/>
      <c r="T89" s="47" t="n"/>
      <c r="U89" s="47" t="n"/>
      <c r="V89" s="47" t="n"/>
      <c r="W89" s="47" t="n"/>
      <c r="X89" s="47" t="n"/>
      <c r="Y89" s="47" t="n"/>
      <c r="Z89" s="47" t="n"/>
    </row>
    <row r="90" ht="15.75" customHeight="1" s="185">
      <c r="A90" s="55" t="n"/>
      <c r="B90" s="55" t="n"/>
      <c r="C90" s="47" t="n"/>
      <c r="D90" s="47" t="n"/>
      <c r="E90" s="47" t="n"/>
      <c r="F90" s="47" t="n"/>
      <c r="G90" s="47" t="n"/>
      <c r="H90" s="47" t="n"/>
      <c r="I90" s="47" t="n"/>
      <c r="J90" s="47" t="n"/>
      <c r="K90" s="47" t="n"/>
      <c r="L90" s="47" t="n"/>
      <c r="M90" s="47" t="n"/>
      <c r="N90" s="47" t="n"/>
      <c r="O90" s="47" t="n"/>
      <c r="P90" s="47" t="n"/>
      <c r="Q90" s="47" t="n"/>
      <c r="R90" s="47" t="n"/>
      <c r="S90" s="47" t="n"/>
      <c r="T90" s="47" t="n"/>
      <c r="U90" s="47" t="n"/>
      <c r="V90" s="47" t="n"/>
      <c r="W90" s="47" t="n"/>
      <c r="X90" s="47" t="n"/>
      <c r="Y90" s="47" t="n"/>
      <c r="Z90" s="47" t="n"/>
    </row>
    <row r="91" ht="15.75" customHeight="1" s="185">
      <c r="A91" s="55" t="n"/>
      <c r="B91" s="55" t="n"/>
      <c r="C91" s="47" t="n"/>
      <c r="D91" s="47" t="n"/>
      <c r="E91" s="47" t="n"/>
      <c r="F91" s="47" t="n"/>
      <c r="G91" s="47" t="n"/>
      <c r="H91" s="47" t="n"/>
      <c r="I91" s="47" t="n"/>
      <c r="J91" s="47" t="n"/>
      <c r="K91" s="47" t="n"/>
      <c r="L91" s="47" t="n"/>
      <c r="M91" s="47" t="n"/>
      <c r="N91" s="47" t="n"/>
      <c r="O91" s="47" t="n"/>
      <c r="P91" s="47" t="n"/>
      <c r="Q91" s="47" t="n"/>
      <c r="R91" s="47" t="n"/>
      <c r="S91" s="47" t="n"/>
      <c r="T91" s="47" t="n"/>
      <c r="U91" s="47" t="n"/>
      <c r="V91" s="47" t="n"/>
      <c r="W91" s="47" t="n"/>
      <c r="X91" s="47" t="n"/>
      <c r="Y91" s="47" t="n"/>
      <c r="Z91" s="47" t="n"/>
    </row>
    <row r="92" ht="15.75" customHeight="1" s="185">
      <c r="A92" s="55" t="n"/>
      <c r="B92" s="55" t="n"/>
      <c r="C92" s="47" t="n"/>
      <c r="D92" s="47" t="n"/>
      <c r="E92" s="47" t="n"/>
      <c r="F92" s="47" t="n"/>
      <c r="G92" s="47" t="n"/>
      <c r="H92" s="47" t="n"/>
      <c r="I92" s="47" t="n"/>
      <c r="J92" s="47" t="n"/>
      <c r="K92" s="47" t="n"/>
      <c r="L92" s="47" t="n"/>
      <c r="M92" s="47" t="n"/>
      <c r="N92" s="47" t="n"/>
      <c r="O92" s="47" t="n"/>
      <c r="P92" s="47" t="n"/>
      <c r="Q92" s="47" t="n"/>
      <c r="R92" s="47" t="n"/>
      <c r="S92" s="47" t="n"/>
      <c r="T92" s="47" t="n"/>
      <c r="U92" s="47" t="n"/>
      <c r="V92" s="47" t="n"/>
      <c r="W92" s="47" t="n"/>
      <c r="X92" s="47" t="n"/>
      <c r="Y92" s="47" t="n"/>
      <c r="Z92" s="47" t="n"/>
    </row>
    <row r="93" ht="15.75" customHeight="1" s="185">
      <c r="A93" s="55" t="n"/>
      <c r="B93" s="55" t="n"/>
      <c r="C93" s="47" t="n"/>
      <c r="D93" s="47" t="n"/>
      <c r="E93" s="47" t="n"/>
      <c r="F93" s="47" t="n"/>
      <c r="G93" s="47" t="n"/>
      <c r="H93" s="47" t="n"/>
      <c r="I93" s="47" t="n"/>
      <c r="J93" s="47" t="n"/>
      <c r="K93" s="47" t="n"/>
      <c r="L93" s="47" t="n"/>
      <c r="M93" s="47" t="n"/>
      <c r="N93" s="47" t="n"/>
      <c r="O93" s="47" t="n"/>
      <c r="P93" s="47" t="n"/>
      <c r="Q93" s="47" t="n"/>
      <c r="R93" s="47" t="n"/>
      <c r="S93" s="47" t="n"/>
      <c r="T93" s="47" t="n"/>
      <c r="U93" s="47" t="n"/>
      <c r="V93" s="47" t="n"/>
      <c r="W93" s="47" t="n"/>
      <c r="X93" s="47" t="n"/>
      <c r="Y93" s="47" t="n"/>
      <c r="Z93" s="47" t="n"/>
    </row>
    <row r="94" ht="15.75" customHeight="1" s="185">
      <c r="A94" s="55" t="n"/>
      <c r="B94" s="55" t="n"/>
      <c r="C94" s="47" t="n"/>
      <c r="D94" s="47" t="n"/>
      <c r="E94" s="47" t="n"/>
      <c r="F94" s="47" t="n"/>
      <c r="G94" s="47" t="n"/>
      <c r="H94" s="47" t="n"/>
      <c r="I94" s="47" t="n"/>
      <c r="J94" s="47" t="n"/>
      <c r="K94" s="47" t="n"/>
      <c r="L94" s="47" t="n"/>
      <c r="M94" s="47" t="n"/>
      <c r="N94" s="47" t="n"/>
      <c r="O94" s="47" t="n"/>
      <c r="P94" s="47" t="n"/>
      <c r="Q94" s="47" t="n"/>
      <c r="R94" s="47" t="n"/>
      <c r="S94" s="47" t="n"/>
      <c r="T94" s="47" t="n"/>
      <c r="U94" s="47" t="n"/>
      <c r="V94" s="47" t="n"/>
      <c r="W94" s="47" t="n"/>
      <c r="X94" s="47" t="n"/>
      <c r="Y94" s="47" t="n"/>
      <c r="Z94" s="47" t="n"/>
    </row>
    <row r="95" ht="15.75" customHeight="1" s="185">
      <c r="A95" s="55" t="n"/>
      <c r="B95" s="55" t="n"/>
      <c r="C95" s="47" t="n"/>
      <c r="D95" s="47" t="n"/>
      <c r="E95" s="47" t="n"/>
      <c r="F95" s="47" t="n"/>
      <c r="G95" s="47" t="n"/>
      <c r="H95" s="47" t="n"/>
      <c r="I95" s="47" t="n"/>
      <c r="J95" s="47" t="n"/>
      <c r="K95" s="47" t="n"/>
      <c r="L95" s="47" t="n"/>
      <c r="M95" s="47" t="n"/>
      <c r="N95" s="47" t="n"/>
      <c r="O95" s="47" t="n"/>
      <c r="P95" s="47" t="n"/>
      <c r="Q95" s="47" t="n"/>
      <c r="R95" s="47" t="n"/>
      <c r="S95" s="47" t="n"/>
      <c r="T95" s="47" t="n"/>
      <c r="U95" s="47" t="n"/>
      <c r="V95" s="47" t="n"/>
      <c r="W95" s="47" t="n"/>
      <c r="X95" s="47" t="n"/>
      <c r="Y95" s="47" t="n"/>
      <c r="Z95" s="47" t="n"/>
    </row>
    <row r="96" ht="15.75" customHeight="1" s="185">
      <c r="A96" s="55" t="n"/>
      <c r="B96" s="55" t="n"/>
      <c r="C96" s="47" t="n"/>
      <c r="D96" s="47" t="n"/>
      <c r="E96" s="47" t="n"/>
      <c r="F96" s="47" t="n"/>
      <c r="G96" s="47" t="n"/>
      <c r="H96" s="47" t="n"/>
      <c r="I96" s="47" t="n"/>
      <c r="J96" s="47" t="n"/>
      <c r="K96" s="47" t="n"/>
      <c r="L96" s="47" t="n"/>
      <c r="M96" s="47" t="n"/>
      <c r="N96" s="47" t="n"/>
      <c r="O96" s="47" t="n"/>
      <c r="P96" s="47" t="n"/>
      <c r="Q96" s="47" t="n"/>
      <c r="R96" s="47" t="n"/>
      <c r="S96" s="47" t="n"/>
      <c r="T96" s="47" t="n"/>
      <c r="U96" s="47" t="n"/>
      <c r="V96" s="47" t="n"/>
      <c r="W96" s="47" t="n"/>
      <c r="X96" s="47" t="n"/>
      <c r="Y96" s="47" t="n"/>
      <c r="Z96" s="47" t="n"/>
    </row>
    <row r="97" ht="15.75" customHeight="1" s="185">
      <c r="A97" s="55" t="n"/>
      <c r="B97" s="55" t="n"/>
      <c r="C97" s="47" t="n"/>
      <c r="D97" s="47" t="n"/>
      <c r="E97" s="47" t="n"/>
      <c r="F97" s="47" t="n"/>
      <c r="G97" s="47" t="n"/>
      <c r="H97" s="47" t="n"/>
      <c r="I97" s="47" t="n"/>
      <c r="J97" s="47" t="n"/>
      <c r="K97" s="47" t="n"/>
      <c r="L97" s="47" t="n"/>
      <c r="M97" s="47" t="n"/>
      <c r="N97" s="47" t="n"/>
      <c r="O97" s="47" t="n"/>
      <c r="P97" s="47" t="n"/>
      <c r="Q97" s="47" t="n"/>
      <c r="R97" s="47" t="n"/>
      <c r="S97" s="47" t="n"/>
      <c r="T97" s="47" t="n"/>
      <c r="U97" s="47" t="n"/>
      <c r="V97" s="47" t="n"/>
      <c r="W97" s="47" t="n"/>
      <c r="X97" s="47" t="n"/>
      <c r="Y97" s="47" t="n"/>
      <c r="Z97" s="47" t="n"/>
    </row>
    <row r="98" ht="15.75" customHeight="1" s="185">
      <c r="A98" s="55" t="n"/>
      <c r="B98" s="55" t="n"/>
      <c r="C98" s="47" t="n"/>
      <c r="D98" s="47" t="n"/>
      <c r="E98" s="47" t="n"/>
      <c r="F98" s="47" t="n"/>
      <c r="G98" s="47" t="n"/>
      <c r="H98" s="47" t="n"/>
      <c r="I98" s="47" t="n"/>
      <c r="J98" s="47" t="n"/>
      <c r="K98" s="47" t="n"/>
      <c r="L98" s="47" t="n"/>
      <c r="M98" s="47" t="n"/>
      <c r="N98" s="47" t="n"/>
      <c r="O98" s="47" t="n"/>
      <c r="P98" s="47" t="n"/>
      <c r="Q98" s="47" t="n"/>
      <c r="R98" s="47" t="n"/>
      <c r="S98" s="47" t="n"/>
      <c r="T98" s="47" t="n"/>
      <c r="U98" s="47" t="n"/>
      <c r="V98" s="47" t="n"/>
      <c r="W98" s="47" t="n"/>
      <c r="X98" s="47" t="n"/>
      <c r="Y98" s="47" t="n"/>
      <c r="Z98" s="47" t="n"/>
    </row>
    <row r="99" ht="15.75" customHeight="1" s="185">
      <c r="A99" s="55" t="n"/>
      <c r="B99" s="55" t="n"/>
      <c r="C99" s="47" t="n"/>
      <c r="D99" s="47" t="n"/>
      <c r="E99" s="47" t="n"/>
      <c r="F99" s="47" t="n"/>
      <c r="G99" s="47" t="n"/>
      <c r="H99" s="47" t="n"/>
      <c r="I99" s="47" t="n"/>
      <c r="J99" s="47" t="n"/>
      <c r="K99" s="47" t="n"/>
      <c r="L99" s="47" t="n"/>
      <c r="M99" s="47" t="n"/>
      <c r="N99" s="47" t="n"/>
      <c r="O99" s="47" t="n"/>
      <c r="P99" s="47" t="n"/>
      <c r="Q99" s="47" t="n"/>
      <c r="R99" s="47" t="n"/>
      <c r="S99" s="47" t="n"/>
      <c r="T99" s="47" t="n"/>
      <c r="U99" s="47" t="n"/>
      <c r="V99" s="47" t="n"/>
      <c r="W99" s="47" t="n"/>
      <c r="X99" s="47" t="n"/>
      <c r="Y99" s="47" t="n"/>
      <c r="Z99" s="47" t="n"/>
    </row>
    <row r="100" ht="15.75" customHeight="1" s="185">
      <c r="A100" s="55" t="n"/>
      <c r="B100" s="55" t="n"/>
      <c r="C100" s="47" t="n"/>
      <c r="D100" s="47" t="n"/>
      <c r="E100" s="47" t="n"/>
      <c r="F100" s="47" t="n"/>
      <c r="G100" s="47" t="n"/>
      <c r="H100" s="47" t="n"/>
      <c r="I100" s="47" t="n"/>
      <c r="J100" s="47" t="n"/>
      <c r="K100" s="47" t="n"/>
      <c r="L100" s="47" t="n"/>
      <c r="M100" s="47" t="n"/>
      <c r="N100" s="47" t="n"/>
      <c r="O100" s="47" t="n"/>
      <c r="P100" s="47" t="n"/>
      <c r="Q100" s="47" t="n"/>
      <c r="R100" s="47" t="n"/>
      <c r="S100" s="47" t="n"/>
      <c r="T100" s="47" t="n"/>
      <c r="U100" s="47" t="n"/>
      <c r="V100" s="47" t="n"/>
      <c r="W100" s="47" t="n"/>
      <c r="X100" s="47" t="n"/>
      <c r="Y100" s="47" t="n"/>
      <c r="Z100" s="47" t="n"/>
    </row>
    <row r="101" ht="15.75" customHeight="1" s="185">
      <c r="A101" s="55" t="n"/>
      <c r="B101" s="55" t="n"/>
      <c r="C101" s="47" t="n"/>
      <c r="D101" s="47" t="n"/>
      <c r="E101" s="47" t="n"/>
      <c r="F101" s="47" t="n"/>
      <c r="G101" s="47" t="n"/>
      <c r="H101" s="47" t="n"/>
      <c r="I101" s="47" t="n"/>
      <c r="J101" s="47" t="n"/>
      <c r="K101" s="47" t="n"/>
      <c r="L101" s="47" t="n"/>
      <c r="M101" s="47" t="n"/>
      <c r="N101" s="47" t="n"/>
      <c r="O101" s="47" t="n"/>
      <c r="P101" s="47" t="n"/>
      <c r="Q101" s="47" t="n"/>
      <c r="R101" s="47" t="n"/>
      <c r="S101" s="47" t="n"/>
      <c r="T101" s="47" t="n"/>
      <c r="U101" s="47" t="n"/>
      <c r="V101" s="47" t="n"/>
      <c r="W101" s="47" t="n"/>
      <c r="X101" s="47" t="n"/>
      <c r="Y101" s="47" t="n"/>
      <c r="Z101" s="47" t="n"/>
    </row>
    <row r="102" ht="15.75" customHeight="1" s="185">
      <c r="A102" s="55" t="n"/>
      <c r="B102" s="55" t="n"/>
      <c r="C102" s="47" t="n"/>
      <c r="D102" s="47" t="n"/>
      <c r="E102" s="47" t="n"/>
      <c r="F102" s="47" t="n"/>
      <c r="G102" s="47" t="n"/>
      <c r="H102" s="47" t="n"/>
      <c r="I102" s="47" t="n"/>
      <c r="J102" s="47" t="n"/>
      <c r="K102" s="47" t="n"/>
      <c r="L102" s="47" t="n"/>
      <c r="M102" s="47" t="n"/>
      <c r="N102" s="47" t="n"/>
      <c r="O102" s="47" t="n"/>
      <c r="P102" s="47" t="n"/>
      <c r="Q102" s="47" t="n"/>
      <c r="R102" s="47" t="n"/>
      <c r="S102" s="47" t="n"/>
      <c r="T102" s="47" t="n"/>
      <c r="U102" s="47" t="n"/>
      <c r="V102" s="47" t="n"/>
      <c r="W102" s="47" t="n"/>
      <c r="X102" s="47" t="n"/>
      <c r="Y102" s="47" t="n"/>
      <c r="Z102" s="47" t="n"/>
    </row>
    <row r="103" ht="15.75" customHeight="1" s="185">
      <c r="A103" s="55" t="n"/>
      <c r="B103" s="55" t="n"/>
      <c r="C103" s="47" t="n"/>
      <c r="D103" s="47" t="n"/>
      <c r="E103" s="47" t="n"/>
      <c r="F103" s="47" t="n"/>
      <c r="G103" s="47" t="n"/>
      <c r="H103" s="47" t="n"/>
      <c r="I103" s="47" t="n"/>
      <c r="J103" s="47" t="n"/>
      <c r="K103" s="47" t="n"/>
      <c r="L103" s="47" t="n"/>
      <c r="M103" s="47" t="n"/>
      <c r="N103" s="47" t="n"/>
      <c r="O103" s="47" t="n"/>
      <c r="P103" s="47" t="n"/>
      <c r="Q103" s="47" t="n"/>
      <c r="R103" s="47" t="n"/>
      <c r="S103" s="47" t="n"/>
      <c r="T103" s="47" t="n"/>
      <c r="U103" s="47" t="n"/>
      <c r="V103" s="47" t="n"/>
      <c r="W103" s="47" t="n"/>
      <c r="X103" s="47" t="n"/>
      <c r="Y103" s="47" t="n"/>
      <c r="Z103" s="47" t="n"/>
    </row>
    <row r="104" ht="15.75" customHeight="1" s="185">
      <c r="A104" s="55" t="n"/>
      <c r="B104" s="55" t="n"/>
      <c r="C104" s="47" t="n"/>
      <c r="D104" s="47" t="n"/>
      <c r="E104" s="47" t="n"/>
      <c r="F104" s="47" t="n"/>
      <c r="G104" s="47" t="n"/>
      <c r="H104" s="47" t="n"/>
      <c r="I104" s="47" t="n"/>
      <c r="J104" s="47" t="n"/>
      <c r="K104" s="47" t="n"/>
      <c r="L104" s="47" t="n"/>
      <c r="M104" s="47" t="n"/>
      <c r="N104" s="47" t="n"/>
      <c r="O104" s="47" t="n"/>
      <c r="P104" s="47" t="n"/>
      <c r="Q104" s="47" t="n"/>
      <c r="R104" s="47" t="n"/>
      <c r="S104" s="47" t="n"/>
      <c r="T104" s="47" t="n"/>
      <c r="U104" s="47" t="n"/>
      <c r="V104" s="47" t="n"/>
      <c r="W104" s="47" t="n"/>
      <c r="X104" s="47" t="n"/>
      <c r="Y104" s="47" t="n"/>
      <c r="Z104" s="47" t="n"/>
    </row>
    <row r="105" ht="15.75" customHeight="1" s="185">
      <c r="A105" s="55" t="n"/>
      <c r="B105" s="55" t="n"/>
      <c r="C105" s="47" t="n"/>
      <c r="D105" s="47" t="n"/>
      <c r="E105" s="47" t="n"/>
      <c r="F105" s="47" t="n"/>
      <c r="G105" s="47" t="n"/>
      <c r="H105" s="47" t="n"/>
      <c r="I105" s="47" t="n"/>
      <c r="J105" s="47" t="n"/>
      <c r="K105" s="47" t="n"/>
      <c r="L105" s="47" t="n"/>
      <c r="M105" s="47" t="n"/>
      <c r="N105" s="47" t="n"/>
      <c r="O105" s="47" t="n"/>
      <c r="P105" s="47" t="n"/>
      <c r="Q105" s="47" t="n"/>
      <c r="R105" s="47" t="n"/>
      <c r="S105" s="47" t="n"/>
      <c r="T105" s="47" t="n"/>
      <c r="U105" s="47" t="n"/>
      <c r="V105" s="47" t="n"/>
      <c r="W105" s="47" t="n"/>
      <c r="X105" s="47" t="n"/>
      <c r="Y105" s="47" t="n"/>
      <c r="Z105" s="47" t="n"/>
    </row>
    <row r="106" ht="15.75" customHeight="1" s="185">
      <c r="A106" s="55" t="n"/>
      <c r="B106" s="55" t="n"/>
      <c r="C106" s="47" t="n"/>
      <c r="D106" s="47" t="n"/>
      <c r="E106" s="47" t="n"/>
      <c r="F106" s="47" t="n"/>
      <c r="G106" s="47" t="n"/>
      <c r="H106" s="47" t="n"/>
      <c r="I106" s="47" t="n"/>
      <c r="J106" s="47" t="n"/>
      <c r="K106" s="47" t="n"/>
      <c r="L106" s="47" t="n"/>
      <c r="M106" s="47" t="n"/>
      <c r="N106" s="47" t="n"/>
      <c r="O106" s="47" t="n"/>
      <c r="P106" s="47" t="n"/>
      <c r="Q106" s="47" t="n"/>
      <c r="R106" s="47" t="n"/>
      <c r="S106" s="47" t="n"/>
      <c r="T106" s="47" t="n"/>
      <c r="U106" s="47" t="n"/>
      <c r="V106" s="47" t="n"/>
      <c r="W106" s="47" t="n"/>
      <c r="X106" s="47" t="n"/>
      <c r="Y106" s="47" t="n"/>
      <c r="Z106" s="47" t="n"/>
    </row>
    <row r="107" ht="15.75" customHeight="1" s="185">
      <c r="A107" s="55" t="n"/>
      <c r="B107" s="55" t="n"/>
      <c r="C107" s="47" t="n"/>
      <c r="D107" s="47" t="n"/>
      <c r="E107" s="47" t="n"/>
      <c r="F107" s="47" t="n"/>
      <c r="G107" s="47" t="n"/>
      <c r="H107" s="47" t="n"/>
      <c r="I107" s="47" t="n"/>
      <c r="J107" s="47" t="n"/>
      <c r="K107" s="47" t="n"/>
      <c r="L107" s="47" t="n"/>
      <c r="M107" s="47" t="n"/>
      <c r="N107" s="47" t="n"/>
      <c r="O107" s="47" t="n"/>
      <c r="P107" s="47" t="n"/>
      <c r="Q107" s="47" t="n"/>
      <c r="R107" s="47" t="n"/>
      <c r="S107" s="47" t="n"/>
      <c r="T107" s="47" t="n"/>
      <c r="U107" s="47" t="n"/>
      <c r="V107" s="47" t="n"/>
      <c r="W107" s="47" t="n"/>
      <c r="X107" s="47" t="n"/>
      <c r="Y107" s="47" t="n"/>
      <c r="Z107" s="47" t="n"/>
    </row>
    <row r="108" ht="15.75" customHeight="1" s="185">
      <c r="A108" s="55" t="n"/>
      <c r="B108" s="55" t="n"/>
      <c r="C108" s="47" t="n"/>
      <c r="D108" s="47" t="n"/>
      <c r="E108" s="47" t="n"/>
      <c r="F108" s="47" t="n"/>
      <c r="G108" s="47" t="n"/>
      <c r="H108" s="47" t="n"/>
      <c r="I108" s="47" t="n"/>
      <c r="J108" s="47" t="n"/>
      <c r="K108" s="47" t="n"/>
      <c r="L108" s="47" t="n"/>
      <c r="M108" s="47" t="n"/>
      <c r="N108" s="47" t="n"/>
      <c r="O108" s="47" t="n"/>
      <c r="P108" s="47" t="n"/>
      <c r="Q108" s="47" t="n"/>
      <c r="R108" s="47" t="n"/>
      <c r="S108" s="47" t="n"/>
      <c r="T108" s="47" t="n"/>
      <c r="U108" s="47" t="n"/>
      <c r="V108" s="47" t="n"/>
      <c r="W108" s="47" t="n"/>
      <c r="X108" s="47" t="n"/>
      <c r="Y108" s="47" t="n"/>
      <c r="Z108" s="47" t="n"/>
    </row>
    <row r="109" ht="15.75" customHeight="1" s="185">
      <c r="A109" s="55" t="n"/>
      <c r="B109" s="55" t="n"/>
      <c r="C109" s="47" t="n"/>
      <c r="D109" s="47" t="n"/>
      <c r="E109" s="47" t="n"/>
      <c r="F109" s="47" t="n"/>
      <c r="G109" s="47" t="n"/>
      <c r="H109" s="47" t="n"/>
      <c r="I109" s="47" t="n"/>
      <c r="J109" s="47" t="n"/>
      <c r="K109" s="47" t="n"/>
      <c r="L109" s="47" t="n"/>
      <c r="M109" s="47" t="n"/>
      <c r="N109" s="47" t="n"/>
      <c r="O109" s="47" t="n"/>
      <c r="P109" s="47" t="n"/>
      <c r="Q109" s="47" t="n"/>
      <c r="R109" s="47" t="n"/>
      <c r="S109" s="47" t="n"/>
      <c r="T109" s="47" t="n"/>
      <c r="U109" s="47" t="n"/>
      <c r="V109" s="47" t="n"/>
      <c r="W109" s="47" t="n"/>
      <c r="X109" s="47" t="n"/>
      <c r="Y109" s="47" t="n"/>
      <c r="Z109" s="47" t="n"/>
    </row>
    <row r="110" ht="15.75" customHeight="1" s="185">
      <c r="A110" s="55" t="n"/>
      <c r="B110" s="55" t="n"/>
      <c r="C110" s="47" t="n"/>
      <c r="D110" s="47" t="n"/>
      <c r="E110" s="47" t="n"/>
      <c r="F110" s="47" t="n"/>
      <c r="G110" s="47" t="n"/>
      <c r="H110" s="47" t="n"/>
      <c r="I110" s="47" t="n"/>
      <c r="J110" s="47" t="n"/>
      <c r="K110" s="47" t="n"/>
      <c r="L110" s="47" t="n"/>
      <c r="M110" s="47" t="n"/>
      <c r="N110" s="47" t="n"/>
      <c r="O110" s="47" t="n"/>
      <c r="P110" s="47" t="n"/>
      <c r="Q110" s="47" t="n"/>
      <c r="R110" s="47" t="n"/>
      <c r="S110" s="47" t="n"/>
      <c r="T110" s="47" t="n"/>
      <c r="U110" s="47" t="n"/>
      <c r="V110" s="47" t="n"/>
      <c r="W110" s="47" t="n"/>
      <c r="X110" s="47" t="n"/>
      <c r="Y110" s="47" t="n"/>
      <c r="Z110" s="47" t="n"/>
    </row>
    <row r="111" ht="15.75" customHeight="1" s="185">
      <c r="A111" s="55" t="n"/>
      <c r="B111" s="55" t="n"/>
      <c r="C111" s="47" t="n"/>
      <c r="D111" s="47" t="n"/>
      <c r="E111" s="47" t="n"/>
      <c r="F111" s="47" t="n"/>
      <c r="G111" s="47" t="n"/>
      <c r="H111" s="47" t="n"/>
      <c r="I111" s="47" t="n"/>
      <c r="J111" s="47" t="n"/>
      <c r="K111" s="47" t="n"/>
      <c r="L111" s="47" t="n"/>
      <c r="M111" s="47" t="n"/>
      <c r="N111" s="47" t="n"/>
      <c r="O111" s="47" t="n"/>
      <c r="P111" s="47" t="n"/>
      <c r="Q111" s="47" t="n"/>
      <c r="R111" s="47" t="n"/>
      <c r="S111" s="47" t="n"/>
      <c r="T111" s="47" t="n"/>
      <c r="U111" s="47" t="n"/>
      <c r="V111" s="47" t="n"/>
      <c r="W111" s="47" t="n"/>
      <c r="X111" s="47" t="n"/>
      <c r="Y111" s="47" t="n"/>
      <c r="Z111" s="47" t="n"/>
    </row>
    <row r="112" ht="15.75" customHeight="1" s="185">
      <c r="A112" s="55" t="n"/>
      <c r="B112" s="55" t="n"/>
      <c r="C112" s="47" t="n"/>
      <c r="D112" s="47" t="n"/>
      <c r="E112" s="47" t="n"/>
      <c r="F112" s="47" t="n"/>
      <c r="G112" s="47" t="n"/>
      <c r="H112" s="47" t="n"/>
      <c r="I112" s="47" t="n"/>
      <c r="J112" s="47" t="n"/>
      <c r="K112" s="47" t="n"/>
      <c r="L112" s="47" t="n"/>
      <c r="M112" s="47" t="n"/>
      <c r="N112" s="47" t="n"/>
      <c r="O112" s="47" t="n"/>
      <c r="P112" s="47" t="n"/>
      <c r="Q112" s="47" t="n"/>
      <c r="R112" s="47" t="n"/>
      <c r="S112" s="47" t="n"/>
      <c r="T112" s="47" t="n"/>
      <c r="U112" s="47" t="n"/>
      <c r="V112" s="47" t="n"/>
      <c r="W112" s="47" t="n"/>
      <c r="X112" s="47" t="n"/>
      <c r="Y112" s="47" t="n"/>
      <c r="Z112" s="47" t="n"/>
    </row>
    <row r="113" ht="15.75" customHeight="1" s="185">
      <c r="A113" s="55" t="n"/>
      <c r="B113" s="55" t="n"/>
      <c r="C113" s="47" t="n"/>
      <c r="D113" s="47" t="n"/>
      <c r="E113" s="47" t="n"/>
      <c r="F113" s="47" t="n"/>
      <c r="G113" s="47" t="n"/>
      <c r="H113" s="47" t="n"/>
      <c r="I113" s="47" t="n"/>
      <c r="J113" s="47" t="n"/>
      <c r="K113" s="47" t="n"/>
      <c r="L113" s="47" t="n"/>
      <c r="M113" s="47" t="n"/>
      <c r="N113" s="47" t="n"/>
      <c r="O113" s="47" t="n"/>
      <c r="P113" s="47" t="n"/>
      <c r="Q113" s="47" t="n"/>
      <c r="R113" s="47" t="n"/>
      <c r="S113" s="47" t="n"/>
      <c r="T113" s="47" t="n"/>
      <c r="U113" s="47" t="n"/>
      <c r="V113" s="47" t="n"/>
      <c r="W113" s="47" t="n"/>
      <c r="X113" s="47" t="n"/>
      <c r="Y113" s="47" t="n"/>
      <c r="Z113" s="47" t="n"/>
    </row>
    <row r="114" ht="15.75" customHeight="1" s="185">
      <c r="A114" s="55" t="n"/>
      <c r="B114" s="55" t="n"/>
      <c r="C114" s="47" t="n"/>
      <c r="D114" s="47" t="n"/>
      <c r="E114" s="47" t="n"/>
      <c r="F114" s="47" t="n"/>
      <c r="G114" s="47" t="n"/>
      <c r="H114" s="47" t="n"/>
      <c r="I114" s="47" t="n"/>
      <c r="J114" s="47" t="n"/>
      <c r="K114" s="47" t="n"/>
      <c r="L114" s="47" t="n"/>
      <c r="M114" s="47" t="n"/>
      <c r="N114" s="47" t="n"/>
      <c r="O114" s="47" t="n"/>
      <c r="P114" s="47" t="n"/>
      <c r="Q114" s="47" t="n"/>
      <c r="R114" s="47" t="n"/>
      <c r="S114" s="47" t="n"/>
      <c r="T114" s="47" t="n"/>
      <c r="U114" s="47" t="n"/>
      <c r="V114" s="47" t="n"/>
      <c r="W114" s="47" t="n"/>
      <c r="X114" s="47" t="n"/>
      <c r="Y114" s="47" t="n"/>
      <c r="Z114" s="47" t="n"/>
    </row>
    <row r="115" ht="15.75" customHeight="1" s="185">
      <c r="A115" s="55" t="n"/>
      <c r="B115" s="55" t="n"/>
      <c r="C115" s="47" t="n"/>
      <c r="D115" s="47" t="n"/>
      <c r="E115" s="47" t="n"/>
      <c r="F115" s="47" t="n"/>
      <c r="G115" s="47" t="n"/>
      <c r="H115" s="47" t="n"/>
      <c r="I115" s="47" t="n"/>
      <c r="J115" s="47" t="n"/>
      <c r="K115" s="47" t="n"/>
      <c r="L115" s="47" t="n"/>
      <c r="M115" s="47" t="n"/>
      <c r="N115" s="47" t="n"/>
      <c r="O115" s="47" t="n"/>
      <c r="P115" s="47" t="n"/>
      <c r="Q115" s="47" t="n"/>
      <c r="R115" s="47" t="n"/>
      <c r="S115" s="47" t="n"/>
      <c r="T115" s="47" t="n"/>
      <c r="U115" s="47" t="n"/>
      <c r="V115" s="47" t="n"/>
      <c r="W115" s="47" t="n"/>
      <c r="X115" s="47" t="n"/>
      <c r="Y115" s="47" t="n"/>
      <c r="Z115" s="47" t="n"/>
    </row>
    <row r="116" ht="15.75" customHeight="1" s="185">
      <c r="A116" s="55" t="n"/>
      <c r="B116" s="55" t="n"/>
      <c r="C116" s="47" t="n"/>
      <c r="D116" s="47" t="n"/>
      <c r="E116" s="47" t="n"/>
      <c r="F116" s="47" t="n"/>
      <c r="G116" s="47" t="n"/>
      <c r="H116" s="47" t="n"/>
      <c r="I116" s="47" t="n"/>
      <c r="J116" s="47" t="n"/>
      <c r="K116" s="47" t="n"/>
      <c r="L116" s="47" t="n"/>
      <c r="M116" s="47" t="n"/>
      <c r="N116" s="47" t="n"/>
      <c r="O116" s="47" t="n"/>
      <c r="P116" s="47" t="n"/>
      <c r="Q116" s="47" t="n"/>
      <c r="R116" s="47" t="n"/>
      <c r="S116" s="47" t="n"/>
      <c r="T116" s="47" t="n"/>
      <c r="U116" s="47" t="n"/>
      <c r="V116" s="47" t="n"/>
      <c r="W116" s="47" t="n"/>
      <c r="X116" s="47" t="n"/>
      <c r="Y116" s="47" t="n"/>
      <c r="Z116" s="47" t="n"/>
    </row>
    <row r="117" ht="15.75" customHeight="1" s="185">
      <c r="A117" s="55" t="n"/>
      <c r="B117" s="55" t="n"/>
      <c r="C117" s="47" t="n"/>
      <c r="D117" s="47" t="n"/>
      <c r="E117" s="47" t="n"/>
      <c r="F117" s="47" t="n"/>
      <c r="G117" s="47" t="n"/>
      <c r="H117" s="47" t="n"/>
      <c r="I117" s="47" t="n"/>
      <c r="J117" s="47" t="n"/>
      <c r="K117" s="47" t="n"/>
      <c r="L117" s="47" t="n"/>
      <c r="M117" s="47" t="n"/>
      <c r="N117" s="47" t="n"/>
      <c r="O117" s="47" t="n"/>
      <c r="P117" s="47" t="n"/>
      <c r="Q117" s="47" t="n"/>
      <c r="R117" s="47" t="n"/>
      <c r="S117" s="47" t="n"/>
      <c r="T117" s="47" t="n"/>
      <c r="U117" s="47" t="n"/>
      <c r="V117" s="47" t="n"/>
      <c r="W117" s="47" t="n"/>
      <c r="X117" s="47" t="n"/>
      <c r="Y117" s="47" t="n"/>
      <c r="Z117" s="47" t="n"/>
    </row>
    <row r="118" ht="15.75" customHeight="1" s="185">
      <c r="A118" s="55" t="n"/>
      <c r="B118" s="55" t="n"/>
      <c r="C118" s="47" t="n"/>
      <c r="D118" s="47" t="n"/>
      <c r="E118" s="47" t="n"/>
      <c r="F118" s="47" t="n"/>
      <c r="G118" s="47" t="n"/>
      <c r="H118" s="47" t="n"/>
      <c r="I118" s="47" t="n"/>
      <c r="J118" s="47" t="n"/>
      <c r="K118" s="47" t="n"/>
      <c r="L118" s="47" t="n"/>
      <c r="M118" s="47" t="n"/>
      <c r="N118" s="47" t="n"/>
      <c r="O118" s="47" t="n"/>
      <c r="P118" s="47" t="n"/>
      <c r="Q118" s="47" t="n"/>
      <c r="R118" s="47" t="n"/>
      <c r="S118" s="47" t="n"/>
      <c r="T118" s="47" t="n"/>
      <c r="U118" s="47" t="n"/>
      <c r="V118" s="47" t="n"/>
      <c r="W118" s="47" t="n"/>
      <c r="X118" s="47" t="n"/>
      <c r="Y118" s="47" t="n"/>
      <c r="Z118" s="47" t="n"/>
    </row>
    <row r="119" ht="15.75" customHeight="1" s="185">
      <c r="A119" s="55" t="n"/>
      <c r="B119" s="55" t="n"/>
      <c r="C119" s="47" t="n"/>
      <c r="D119" s="47" t="n"/>
      <c r="E119" s="47" t="n"/>
      <c r="F119" s="47" t="n"/>
      <c r="G119" s="47" t="n"/>
      <c r="H119" s="47" t="n"/>
      <c r="I119" s="47" t="n"/>
      <c r="J119" s="47" t="n"/>
      <c r="K119" s="47" t="n"/>
      <c r="L119" s="47" t="n"/>
      <c r="M119" s="47" t="n"/>
      <c r="N119" s="47" t="n"/>
      <c r="O119" s="47" t="n"/>
      <c r="P119" s="47" t="n"/>
      <c r="Q119" s="47" t="n"/>
      <c r="R119" s="47" t="n"/>
      <c r="S119" s="47" t="n"/>
      <c r="T119" s="47" t="n"/>
      <c r="U119" s="47" t="n"/>
      <c r="V119" s="47" t="n"/>
      <c r="W119" s="47" t="n"/>
      <c r="X119" s="47" t="n"/>
      <c r="Y119" s="47" t="n"/>
      <c r="Z119" s="47" t="n"/>
    </row>
    <row r="120" ht="15.75" customHeight="1" s="185">
      <c r="A120" s="55" t="n"/>
      <c r="B120" s="55" t="n"/>
      <c r="C120" s="47" t="n"/>
      <c r="D120" s="47" t="n"/>
      <c r="E120" s="47" t="n"/>
      <c r="F120" s="47" t="n"/>
      <c r="G120" s="47" t="n"/>
      <c r="H120" s="47" t="n"/>
      <c r="I120" s="47" t="n"/>
      <c r="J120" s="47" t="n"/>
      <c r="K120" s="47" t="n"/>
      <c r="L120" s="47" t="n"/>
      <c r="M120" s="47" t="n"/>
      <c r="N120" s="47" t="n"/>
      <c r="O120" s="47" t="n"/>
      <c r="P120" s="47" t="n"/>
      <c r="Q120" s="47" t="n"/>
      <c r="R120" s="47" t="n"/>
      <c r="S120" s="47" t="n"/>
      <c r="T120" s="47" t="n"/>
      <c r="U120" s="47" t="n"/>
      <c r="V120" s="47" t="n"/>
      <c r="W120" s="47" t="n"/>
      <c r="X120" s="47" t="n"/>
      <c r="Y120" s="47" t="n"/>
      <c r="Z120" s="47" t="n"/>
    </row>
    <row r="121" ht="15.75" customHeight="1" s="185">
      <c r="A121" s="55" t="n"/>
      <c r="B121" s="55" t="n"/>
      <c r="C121" s="47" t="n"/>
      <c r="D121" s="47" t="n"/>
      <c r="E121" s="47" t="n"/>
      <c r="F121" s="47" t="n"/>
      <c r="G121" s="47" t="n"/>
      <c r="H121" s="47" t="n"/>
      <c r="I121" s="47" t="n"/>
      <c r="J121" s="47" t="n"/>
      <c r="K121" s="47" t="n"/>
      <c r="L121" s="47" t="n"/>
      <c r="M121" s="47" t="n"/>
      <c r="N121" s="47" t="n"/>
      <c r="O121" s="47" t="n"/>
      <c r="P121" s="47" t="n"/>
      <c r="Q121" s="47" t="n"/>
      <c r="R121" s="47" t="n"/>
      <c r="S121" s="47" t="n"/>
      <c r="T121" s="47" t="n"/>
      <c r="U121" s="47" t="n"/>
      <c r="V121" s="47" t="n"/>
      <c r="W121" s="47" t="n"/>
      <c r="X121" s="47" t="n"/>
      <c r="Y121" s="47" t="n"/>
      <c r="Z121" s="47" t="n"/>
    </row>
    <row r="122" ht="15.75" customHeight="1" s="185">
      <c r="A122" s="55" t="n"/>
      <c r="B122" s="55" t="n"/>
      <c r="C122" s="47" t="n"/>
      <c r="D122" s="47" t="n"/>
      <c r="E122" s="47" t="n"/>
      <c r="F122" s="47" t="n"/>
      <c r="G122" s="47" t="n"/>
      <c r="H122" s="47" t="n"/>
      <c r="I122" s="47" t="n"/>
      <c r="J122" s="47" t="n"/>
      <c r="K122" s="47" t="n"/>
      <c r="L122" s="47" t="n"/>
      <c r="M122" s="47" t="n"/>
      <c r="N122" s="47" t="n"/>
      <c r="O122" s="47" t="n"/>
      <c r="P122" s="47" t="n"/>
      <c r="Q122" s="47" t="n"/>
      <c r="R122" s="47" t="n"/>
      <c r="S122" s="47" t="n"/>
      <c r="T122" s="47" t="n"/>
      <c r="U122" s="47" t="n"/>
      <c r="V122" s="47" t="n"/>
      <c r="W122" s="47" t="n"/>
      <c r="X122" s="47" t="n"/>
      <c r="Y122" s="47" t="n"/>
      <c r="Z122" s="47" t="n"/>
    </row>
    <row r="123" ht="15.75" customHeight="1" s="185">
      <c r="A123" s="55" t="n"/>
      <c r="B123" s="55" t="n"/>
      <c r="C123" s="47" t="n"/>
      <c r="D123" s="47" t="n"/>
      <c r="E123" s="47" t="n"/>
      <c r="F123" s="47" t="n"/>
      <c r="G123" s="47" t="n"/>
      <c r="H123" s="47" t="n"/>
      <c r="I123" s="47" t="n"/>
      <c r="J123" s="47" t="n"/>
      <c r="K123" s="47" t="n"/>
      <c r="L123" s="47" t="n"/>
      <c r="M123" s="47" t="n"/>
      <c r="N123" s="47" t="n"/>
      <c r="O123" s="47" t="n"/>
      <c r="P123" s="47" t="n"/>
      <c r="Q123" s="47" t="n"/>
      <c r="R123" s="47" t="n"/>
      <c r="S123" s="47" t="n"/>
      <c r="T123" s="47" t="n"/>
      <c r="U123" s="47" t="n"/>
      <c r="V123" s="47" t="n"/>
      <c r="W123" s="47" t="n"/>
      <c r="X123" s="47" t="n"/>
      <c r="Y123" s="47" t="n"/>
      <c r="Z123" s="47" t="n"/>
    </row>
    <row r="124" ht="15.75" customHeight="1" s="185">
      <c r="A124" s="55" t="n"/>
      <c r="B124" s="55" t="n"/>
      <c r="C124" s="47" t="n"/>
      <c r="D124" s="47" t="n"/>
      <c r="E124" s="47" t="n"/>
      <c r="F124" s="47" t="n"/>
      <c r="G124" s="47" t="n"/>
      <c r="H124" s="47" t="n"/>
      <c r="I124" s="47" t="n"/>
      <c r="J124" s="47" t="n"/>
      <c r="K124" s="47" t="n"/>
      <c r="L124" s="47" t="n"/>
      <c r="M124" s="47" t="n"/>
      <c r="N124" s="47" t="n"/>
      <c r="O124" s="47" t="n"/>
      <c r="P124" s="47" t="n"/>
      <c r="Q124" s="47" t="n"/>
      <c r="R124" s="47" t="n"/>
      <c r="S124" s="47" t="n"/>
      <c r="T124" s="47" t="n"/>
      <c r="U124" s="47" t="n"/>
      <c r="V124" s="47" t="n"/>
      <c r="W124" s="47" t="n"/>
      <c r="X124" s="47" t="n"/>
      <c r="Y124" s="47" t="n"/>
      <c r="Z124" s="47" t="n"/>
    </row>
    <row r="125" ht="15.75" customHeight="1" s="185">
      <c r="A125" s="55" t="n"/>
      <c r="B125" s="55" t="n"/>
      <c r="C125" s="47" t="n"/>
      <c r="D125" s="47" t="n"/>
      <c r="E125" s="47" t="n"/>
      <c r="F125" s="47" t="n"/>
      <c r="G125" s="47" t="n"/>
      <c r="H125" s="47" t="n"/>
      <c r="I125" s="47" t="n"/>
      <c r="J125" s="47" t="n"/>
      <c r="K125" s="47" t="n"/>
      <c r="L125" s="47" t="n"/>
      <c r="M125" s="47" t="n"/>
      <c r="N125" s="47" t="n"/>
      <c r="O125" s="47" t="n"/>
      <c r="P125" s="47" t="n"/>
      <c r="Q125" s="47" t="n"/>
      <c r="R125" s="47" t="n"/>
      <c r="S125" s="47" t="n"/>
      <c r="T125" s="47" t="n"/>
      <c r="U125" s="47" t="n"/>
      <c r="V125" s="47" t="n"/>
      <c r="W125" s="47" t="n"/>
      <c r="X125" s="47" t="n"/>
      <c r="Y125" s="47" t="n"/>
      <c r="Z125" s="47" t="n"/>
    </row>
    <row r="126" ht="15.75" customHeight="1" s="185">
      <c r="A126" s="55" t="n"/>
      <c r="B126" s="55" t="n"/>
      <c r="C126" s="47" t="n"/>
      <c r="D126" s="47" t="n"/>
      <c r="E126" s="47" t="n"/>
      <c r="F126" s="47" t="n"/>
      <c r="G126" s="47" t="n"/>
      <c r="H126" s="47" t="n"/>
      <c r="I126" s="47" t="n"/>
      <c r="J126" s="47" t="n"/>
      <c r="K126" s="47" t="n"/>
      <c r="L126" s="47" t="n"/>
      <c r="M126" s="47" t="n"/>
      <c r="N126" s="47" t="n"/>
      <c r="O126" s="47" t="n"/>
      <c r="P126" s="47" t="n"/>
      <c r="Q126" s="47" t="n"/>
      <c r="R126" s="47" t="n"/>
      <c r="S126" s="47" t="n"/>
      <c r="T126" s="47" t="n"/>
      <c r="U126" s="47" t="n"/>
      <c r="V126" s="47" t="n"/>
      <c r="W126" s="47" t="n"/>
      <c r="X126" s="47" t="n"/>
      <c r="Y126" s="47" t="n"/>
      <c r="Z126" s="47" t="n"/>
    </row>
    <row r="127" ht="15.75" customHeight="1" s="185">
      <c r="A127" s="55" t="n"/>
      <c r="B127" s="55" t="n"/>
      <c r="C127" s="47" t="n"/>
      <c r="D127" s="47" t="n"/>
      <c r="E127" s="47" t="n"/>
      <c r="F127" s="47" t="n"/>
      <c r="G127" s="47" t="n"/>
      <c r="H127" s="47" t="n"/>
      <c r="I127" s="47" t="n"/>
      <c r="J127" s="47" t="n"/>
      <c r="K127" s="47" t="n"/>
      <c r="L127" s="47" t="n"/>
      <c r="M127" s="47" t="n"/>
      <c r="N127" s="47" t="n"/>
      <c r="O127" s="47" t="n"/>
      <c r="P127" s="47" t="n"/>
      <c r="Q127" s="47" t="n"/>
      <c r="R127" s="47" t="n"/>
      <c r="S127" s="47" t="n"/>
      <c r="T127" s="47" t="n"/>
      <c r="U127" s="47" t="n"/>
      <c r="V127" s="47" t="n"/>
      <c r="W127" s="47" t="n"/>
      <c r="X127" s="47" t="n"/>
      <c r="Y127" s="47" t="n"/>
      <c r="Z127" s="47" t="n"/>
    </row>
    <row r="128" ht="15.75" customHeight="1" s="185">
      <c r="A128" s="55" t="n"/>
      <c r="B128" s="55" t="n"/>
      <c r="C128" s="47" t="n"/>
      <c r="D128" s="47" t="n"/>
      <c r="E128" s="47" t="n"/>
      <c r="F128" s="47" t="n"/>
      <c r="G128" s="47" t="n"/>
      <c r="H128" s="47" t="n"/>
      <c r="I128" s="47" t="n"/>
      <c r="J128" s="47" t="n"/>
      <c r="K128" s="47" t="n"/>
      <c r="L128" s="47" t="n"/>
      <c r="M128" s="47" t="n"/>
      <c r="N128" s="47" t="n"/>
      <c r="O128" s="47" t="n"/>
      <c r="P128" s="47" t="n"/>
      <c r="Q128" s="47" t="n"/>
      <c r="R128" s="47" t="n"/>
      <c r="S128" s="47" t="n"/>
      <c r="T128" s="47" t="n"/>
      <c r="U128" s="47" t="n"/>
      <c r="V128" s="47" t="n"/>
      <c r="W128" s="47" t="n"/>
      <c r="X128" s="47" t="n"/>
      <c r="Y128" s="47" t="n"/>
      <c r="Z128" s="47" t="n"/>
    </row>
    <row r="129" ht="15.75" customHeight="1" s="185">
      <c r="A129" s="55" t="n"/>
      <c r="B129" s="55" t="n"/>
      <c r="C129" s="47" t="n"/>
      <c r="D129" s="47" t="n"/>
      <c r="E129" s="47" t="n"/>
      <c r="F129" s="47" t="n"/>
      <c r="G129" s="47" t="n"/>
      <c r="H129" s="47" t="n"/>
      <c r="I129" s="47" t="n"/>
      <c r="J129" s="47" t="n"/>
      <c r="K129" s="47" t="n"/>
      <c r="L129" s="47" t="n"/>
      <c r="M129" s="47" t="n"/>
      <c r="N129" s="47" t="n"/>
      <c r="O129" s="47" t="n"/>
      <c r="P129" s="47" t="n"/>
      <c r="Q129" s="47" t="n"/>
      <c r="R129" s="47" t="n"/>
      <c r="S129" s="47" t="n"/>
      <c r="T129" s="47" t="n"/>
      <c r="U129" s="47" t="n"/>
      <c r="V129" s="47" t="n"/>
      <c r="W129" s="47" t="n"/>
      <c r="X129" s="47" t="n"/>
      <c r="Y129" s="47" t="n"/>
      <c r="Z129" s="47" t="n"/>
    </row>
    <row r="130" ht="15.75" customHeight="1" s="185">
      <c r="A130" s="55" t="n"/>
      <c r="B130" s="55" t="n"/>
      <c r="C130" s="47" t="n"/>
      <c r="D130" s="47" t="n"/>
      <c r="E130" s="47" t="n"/>
      <c r="F130" s="47" t="n"/>
      <c r="G130" s="47" t="n"/>
      <c r="H130" s="47" t="n"/>
      <c r="I130" s="47" t="n"/>
      <c r="J130" s="47" t="n"/>
      <c r="K130" s="47" t="n"/>
      <c r="L130" s="47" t="n"/>
      <c r="M130" s="47" t="n"/>
      <c r="N130" s="47" t="n"/>
      <c r="O130" s="47" t="n"/>
      <c r="P130" s="47" t="n"/>
      <c r="Q130" s="47" t="n"/>
      <c r="R130" s="47" t="n"/>
      <c r="S130" s="47" t="n"/>
      <c r="T130" s="47" t="n"/>
      <c r="U130" s="47" t="n"/>
      <c r="V130" s="47" t="n"/>
      <c r="W130" s="47" t="n"/>
      <c r="X130" s="47" t="n"/>
      <c r="Y130" s="47" t="n"/>
      <c r="Z130" s="47" t="n"/>
    </row>
    <row r="131" ht="15.75" customHeight="1" s="185">
      <c r="A131" s="55" t="n"/>
      <c r="B131" s="55" t="n"/>
      <c r="C131" s="47" t="n"/>
      <c r="D131" s="47" t="n"/>
      <c r="E131" s="47" t="n"/>
      <c r="F131" s="47" t="n"/>
      <c r="G131" s="47" t="n"/>
      <c r="H131" s="47" t="n"/>
      <c r="I131" s="47" t="n"/>
      <c r="J131" s="47" t="n"/>
      <c r="K131" s="47" t="n"/>
      <c r="L131" s="47" t="n"/>
      <c r="M131" s="47" t="n"/>
      <c r="N131" s="47" t="n"/>
      <c r="O131" s="47" t="n"/>
      <c r="P131" s="47" t="n"/>
      <c r="Q131" s="47" t="n"/>
      <c r="R131" s="47" t="n"/>
      <c r="S131" s="47" t="n"/>
      <c r="T131" s="47" t="n"/>
      <c r="U131" s="47" t="n"/>
      <c r="V131" s="47" t="n"/>
      <c r="W131" s="47" t="n"/>
      <c r="X131" s="47" t="n"/>
      <c r="Y131" s="47" t="n"/>
      <c r="Z131" s="47" t="n"/>
    </row>
    <row r="132" ht="15.75" customHeight="1" s="185">
      <c r="A132" s="55" t="n"/>
      <c r="B132" s="55" t="n"/>
      <c r="C132" s="47" t="n"/>
      <c r="D132" s="47" t="n"/>
      <c r="E132" s="47" t="n"/>
      <c r="F132" s="47" t="n"/>
      <c r="G132" s="47" t="n"/>
      <c r="H132" s="47" t="n"/>
      <c r="I132" s="47" t="n"/>
      <c r="J132" s="47" t="n"/>
      <c r="K132" s="47" t="n"/>
      <c r="L132" s="47" t="n"/>
      <c r="M132" s="47" t="n"/>
      <c r="N132" s="47" t="n"/>
      <c r="O132" s="47" t="n"/>
      <c r="P132" s="47" t="n"/>
      <c r="Q132" s="47" t="n"/>
      <c r="R132" s="47" t="n"/>
      <c r="S132" s="47" t="n"/>
      <c r="T132" s="47" t="n"/>
      <c r="U132" s="47" t="n"/>
      <c r="V132" s="47" t="n"/>
      <c r="W132" s="47" t="n"/>
      <c r="X132" s="47" t="n"/>
      <c r="Y132" s="47" t="n"/>
      <c r="Z132" s="47" t="n"/>
    </row>
    <row r="133" ht="15.75" customHeight="1" s="185">
      <c r="A133" s="55" t="n"/>
      <c r="B133" s="55" t="n"/>
      <c r="C133" s="47" t="n"/>
      <c r="D133" s="47" t="n"/>
      <c r="E133" s="47" t="n"/>
      <c r="F133" s="47" t="n"/>
      <c r="G133" s="47" t="n"/>
      <c r="H133" s="47" t="n"/>
      <c r="I133" s="47" t="n"/>
      <c r="J133" s="47" t="n"/>
      <c r="K133" s="47" t="n"/>
      <c r="L133" s="47" t="n"/>
      <c r="M133" s="47" t="n"/>
      <c r="N133" s="47" t="n"/>
      <c r="O133" s="47" t="n"/>
      <c r="P133" s="47" t="n"/>
      <c r="Q133" s="47" t="n"/>
      <c r="R133" s="47" t="n"/>
      <c r="S133" s="47" t="n"/>
      <c r="T133" s="47" t="n"/>
      <c r="U133" s="47" t="n"/>
      <c r="V133" s="47" t="n"/>
      <c r="W133" s="47" t="n"/>
      <c r="X133" s="47" t="n"/>
      <c r="Y133" s="47" t="n"/>
      <c r="Z133" s="47" t="n"/>
    </row>
    <row r="134" ht="15.75" customHeight="1" s="185">
      <c r="A134" s="55" t="n"/>
      <c r="B134" s="55" t="n"/>
      <c r="C134" s="47" t="n"/>
      <c r="D134" s="47" t="n"/>
      <c r="E134" s="47" t="n"/>
      <c r="F134" s="47" t="n"/>
      <c r="G134" s="47" t="n"/>
      <c r="H134" s="47" t="n"/>
      <c r="I134" s="47" t="n"/>
      <c r="J134" s="47" t="n"/>
      <c r="K134" s="47" t="n"/>
      <c r="L134" s="47" t="n"/>
      <c r="M134" s="47" t="n"/>
      <c r="N134" s="47" t="n"/>
      <c r="O134" s="47" t="n"/>
      <c r="P134" s="47" t="n"/>
      <c r="Q134" s="47" t="n"/>
      <c r="R134" s="47" t="n"/>
      <c r="S134" s="47" t="n"/>
      <c r="T134" s="47" t="n"/>
      <c r="U134" s="47" t="n"/>
      <c r="V134" s="47" t="n"/>
      <c r="W134" s="47" t="n"/>
      <c r="X134" s="47" t="n"/>
      <c r="Y134" s="47" t="n"/>
      <c r="Z134" s="47" t="n"/>
    </row>
    <row r="135" ht="15.75" customHeight="1" s="185">
      <c r="A135" s="55" t="n"/>
      <c r="B135" s="55" t="n"/>
      <c r="C135" s="47" t="n"/>
      <c r="D135" s="47" t="n"/>
      <c r="E135" s="47" t="n"/>
      <c r="F135" s="47" t="n"/>
      <c r="G135" s="47" t="n"/>
      <c r="H135" s="47" t="n"/>
      <c r="I135" s="47" t="n"/>
      <c r="J135" s="47" t="n"/>
      <c r="K135" s="47" t="n"/>
      <c r="L135" s="47" t="n"/>
      <c r="M135" s="47" t="n"/>
      <c r="N135" s="47" t="n"/>
      <c r="O135" s="47" t="n"/>
      <c r="P135" s="47" t="n"/>
      <c r="Q135" s="47" t="n"/>
      <c r="R135" s="47" t="n"/>
      <c r="S135" s="47" t="n"/>
      <c r="T135" s="47" t="n"/>
      <c r="U135" s="47" t="n"/>
      <c r="V135" s="47" t="n"/>
      <c r="W135" s="47" t="n"/>
      <c r="X135" s="47" t="n"/>
      <c r="Y135" s="47" t="n"/>
      <c r="Z135" s="47" t="n"/>
    </row>
    <row r="136" ht="15.75" customHeight="1" s="185">
      <c r="A136" s="55" t="n"/>
      <c r="B136" s="55" t="n"/>
      <c r="C136" s="47" t="n"/>
      <c r="D136" s="47" t="n"/>
      <c r="E136" s="47" t="n"/>
      <c r="F136" s="47" t="n"/>
      <c r="G136" s="47" t="n"/>
      <c r="H136" s="47" t="n"/>
      <c r="I136" s="47" t="n"/>
      <c r="J136" s="47" t="n"/>
      <c r="K136" s="47" t="n"/>
      <c r="L136" s="47" t="n"/>
      <c r="M136" s="47" t="n"/>
      <c r="N136" s="47" t="n"/>
      <c r="O136" s="47" t="n"/>
      <c r="P136" s="47" t="n"/>
      <c r="Q136" s="47" t="n"/>
      <c r="R136" s="47" t="n"/>
      <c r="S136" s="47" t="n"/>
      <c r="T136" s="47" t="n"/>
      <c r="U136" s="47" t="n"/>
      <c r="V136" s="47" t="n"/>
      <c r="W136" s="47" t="n"/>
      <c r="X136" s="47" t="n"/>
      <c r="Y136" s="47" t="n"/>
      <c r="Z136" s="47" t="n"/>
    </row>
    <row r="137" ht="15.75" customHeight="1" s="185">
      <c r="A137" s="55" t="n"/>
      <c r="B137" s="55" t="n"/>
      <c r="C137" s="47" t="n"/>
      <c r="D137" s="47" t="n"/>
      <c r="E137" s="47" t="n"/>
      <c r="F137" s="47" t="n"/>
      <c r="G137" s="47" t="n"/>
      <c r="H137" s="47" t="n"/>
      <c r="I137" s="47" t="n"/>
      <c r="J137" s="47" t="n"/>
      <c r="K137" s="47" t="n"/>
      <c r="L137" s="47" t="n"/>
      <c r="M137" s="47" t="n"/>
      <c r="N137" s="47" t="n"/>
      <c r="O137" s="47" t="n"/>
      <c r="P137" s="47" t="n"/>
      <c r="Q137" s="47" t="n"/>
      <c r="R137" s="47" t="n"/>
      <c r="S137" s="47" t="n"/>
      <c r="T137" s="47" t="n"/>
      <c r="U137" s="47" t="n"/>
      <c r="V137" s="47" t="n"/>
      <c r="W137" s="47" t="n"/>
      <c r="X137" s="47" t="n"/>
      <c r="Y137" s="47" t="n"/>
      <c r="Z137" s="47" t="n"/>
    </row>
    <row r="138" ht="15.75" customHeight="1" s="185">
      <c r="A138" s="55" t="n"/>
      <c r="B138" s="55" t="n"/>
      <c r="C138" s="47" t="n"/>
      <c r="D138" s="47" t="n"/>
      <c r="E138" s="47" t="n"/>
      <c r="F138" s="47" t="n"/>
      <c r="G138" s="47" t="n"/>
      <c r="H138" s="47" t="n"/>
      <c r="I138" s="47" t="n"/>
      <c r="J138" s="47" t="n"/>
      <c r="K138" s="47" t="n"/>
      <c r="L138" s="47" t="n"/>
      <c r="M138" s="47" t="n"/>
      <c r="N138" s="47" t="n"/>
      <c r="O138" s="47" t="n"/>
      <c r="P138" s="47" t="n"/>
      <c r="Q138" s="47" t="n"/>
      <c r="R138" s="47" t="n"/>
      <c r="S138" s="47" t="n"/>
      <c r="T138" s="47" t="n"/>
      <c r="U138" s="47" t="n"/>
      <c r="V138" s="47" t="n"/>
      <c r="W138" s="47" t="n"/>
      <c r="X138" s="47" t="n"/>
      <c r="Y138" s="47" t="n"/>
      <c r="Z138" s="47" t="n"/>
    </row>
    <row r="139" ht="15.75" customHeight="1" s="185">
      <c r="A139" s="55" t="n"/>
      <c r="B139" s="55" t="n"/>
      <c r="C139" s="47" t="n"/>
      <c r="D139" s="47" t="n"/>
      <c r="E139" s="47" t="n"/>
      <c r="F139" s="47" t="n"/>
      <c r="G139" s="47" t="n"/>
      <c r="H139" s="47" t="n"/>
      <c r="I139" s="47" t="n"/>
      <c r="J139" s="47" t="n"/>
      <c r="K139" s="47" t="n"/>
      <c r="L139" s="47" t="n"/>
      <c r="M139" s="47" t="n"/>
      <c r="N139" s="47" t="n"/>
      <c r="O139" s="47" t="n"/>
      <c r="P139" s="47" t="n"/>
      <c r="Q139" s="47" t="n"/>
      <c r="R139" s="47" t="n"/>
      <c r="S139" s="47" t="n"/>
      <c r="T139" s="47" t="n"/>
      <c r="U139" s="47" t="n"/>
      <c r="V139" s="47" t="n"/>
      <c r="W139" s="47" t="n"/>
      <c r="X139" s="47" t="n"/>
      <c r="Y139" s="47" t="n"/>
      <c r="Z139" s="47" t="n"/>
    </row>
    <row r="140" ht="15.75" customHeight="1" s="185">
      <c r="A140" s="55" t="n"/>
      <c r="B140" s="55" t="n"/>
      <c r="C140" s="47" t="n"/>
      <c r="D140" s="47" t="n"/>
      <c r="E140" s="47" t="n"/>
      <c r="F140" s="47" t="n"/>
      <c r="G140" s="47" t="n"/>
      <c r="H140" s="47" t="n"/>
      <c r="I140" s="47" t="n"/>
      <c r="J140" s="47" t="n"/>
      <c r="K140" s="47" t="n"/>
      <c r="L140" s="47" t="n"/>
      <c r="M140" s="47" t="n"/>
      <c r="N140" s="47" t="n"/>
      <c r="O140" s="47" t="n"/>
      <c r="P140" s="47" t="n"/>
      <c r="Q140" s="47" t="n"/>
      <c r="R140" s="47" t="n"/>
      <c r="S140" s="47" t="n"/>
      <c r="T140" s="47" t="n"/>
      <c r="U140" s="47" t="n"/>
      <c r="V140" s="47" t="n"/>
      <c r="W140" s="47" t="n"/>
      <c r="X140" s="47" t="n"/>
      <c r="Y140" s="47" t="n"/>
      <c r="Z140" s="47" t="n"/>
    </row>
    <row r="141" ht="15.75" customHeight="1" s="185">
      <c r="A141" s="55" t="n"/>
      <c r="B141" s="55" t="n"/>
      <c r="C141" s="47" t="n"/>
      <c r="D141" s="47" t="n"/>
      <c r="E141" s="47" t="n"/>
      <c r="F141" s="47" t="n"/>
      <c r="G141" s="47" t="n"/>
      <c r="H141" s="47" t="n"/>
      <c r="I141" s="47" t="n"/>
      <c r="J141" s="47" t="n"/>
      <c r="K141" s="47" t="n"/>
      <c r="L141" s="47" t="n"/>
      <c r="M141" s="47" t="n"/>
      <c r="N141" s="47" t="n"/>
      <c r="O141" s="47" t="n"/>
      <c r="P141" s="47" t="n"/>
      <c r="Q141" s="47" t="n"/>
      <c r="R141" s="47" t="n"/>
      <c r="S141" s="47" t="n"/>
      <c r="T141" s="47" t="n"/>
      <c r="U141" s="47" t="n"/>
      <c r="V141" s="47" t="n"/>
      <c r="W141" s="47" t="n"/>
      <c r="X141" s="47" t="n"/>
      <c r="Y141" s="47" t="n"/>
      <c r="Z141" s="47" t="n"/>
    </row>
    <row r="142" ht="15.75" customHeight="1" s="185">
      <c r="A142" s="55" t="n"/>
      <c r="B142" s="55" t="n"/>
      <c r="C142" s="47" t="n"/>
      <c r="D142" s="47" t="n"/>
      <c r="E142" s="47" t="n"/>
      <c r="F142" s="47" t="n"/>
      <c r="G142" s="47" t="n"/>
      <c r="H142" s="47" t="n"/>
      <c r="I142" s="47" t="n"/>
      <c r="J142" s="47" t="n"/>
      <c r="K142" s="47" t="n"/>
      <c r="L142" s="47" t="n"/>
      <c r="M142" s="47" t="n"/>
      <c r="N142" s="47" t="n"/>
      <c r="O142" s="47" t="n"/>
      <c r="P142" s="47" t="n"/>
      <c r="Q142" s="47" t="n"/>
      <c r="R142" s="47" t="n"/>
      <c r="S142" s="47" t="n"/>
      <c r="T142" s="47" t="n"/>
      <c r="U142" s="47" t="n"/>
      <c r="V142" s="47" t="n"/>
      <c r="W142" s="47" t="n"/>
      <c r="X142" s="47" t="n"/>
      <c r="Y142" s="47" t="n"/>
      <c r="Z142" s="47" t="n"/>
    </row>
    <row r="143" ht="15.75" customHeight="1" s="185">
      <c r="A143" s="55" t="n"/>
      <c r="B143" s="55" t="n"/>
      <c r="C143" s="47" t="n"/>
      <c r="D143" s="47" t="n"/>
      <c r="E143" s="47" t="n"/>
      <c r="F143" s="47" t="n"/>
      <c r="G143" s="47" t="n"/>
      <c r="H143" s="47" t="n"/>
      <c r="I143" s="47" t="n"/>
      <c r="J143" s="47" t="n"/>
      <c r="K143" s="47" t="n"/>
      <c r="L143" s="47" t="n"/>
      <c r="M143" s="47" t="n"/>
      <c r="N143" s="47" t="n"/>
      <c r="O143" s="47" t="n"/>
      <c r="P143" s="47" t="n"/>
      <c r="Q143" s="47" t="n"/>
      <c r="R143" s="47" t="n"/>
      <c r="S143" s="47" t="n"/>
      <c r="T143" s="47" t="n"/>
      <c r="U143" s="47" t="n"/>
      <c r="V143" s="47" t="n"/>
      <c r="W143" s="47" t="n"/>
      <c r="X143" s="47" t="n"/>
      <c r="Y143" s="47" t="n"/>
      <c r="Z143" s="47" t="n"/>
    </row>
    <row r="144" ht="15.75" customHeight="1" s="185">
      <c r="A144" s="55" t="n"/>
      <c r="B144" s="55" t="n"/>
      <c r="C144" s="47" t="n"/>
      <c r="D144" s="47" t="n"/>
      <c r="E144" s="47" t="n"/>
      <c r="F144" s="47" t="n"/>
      <c r="G144" s="47" t="n"/>
      <c r="H144" s="47" t="n"/>
      <c r="I144" s="47" t="n"/>
      <c r="J144" s="47" t="n"/>
      <c r="K144" s="47" t="n"/>
      <c r="L144" s="47" t="n"/>
      <c r="M144" s="47" t="n"/>
      <c r="N144" s="47" t="n"/>
      <c r="O144" s="47" t="n"/>
      <c r="P144" s="47" t="n"/>
      <c r="Q144" s="47" t="n"/>
      <c r="R144" s="47" t="n"/>
      <c r="S144" s="47" t="n"/>
      <c r="T144" s="47" t="n"/>
      <c r="U144" s="47" t="n"/>
      <c r="V144" s="47" t="n"/>
      <c r="W144" s="47" t="n"/>
      <c r="X144" s="47" t="n"/>
      <c r="Y144" s="47" t="n"/>
      <c r="Z144" s="47" t="n"/>
    </row>
    <row r="145" ht="15.75" customHeight="1" s="185">
      <c r="A145" s="55" t="n"/>
      <c r="B145" s="55" t="n"/>
      <c r="C145" s="47" t="n"/>
      <c r="D145" s="47" t="n"/>
      <c r="E145" s="47" t="n"/>
      <c r="F145" s="47" t="n"/>
      <c r="G145" s="47" t="n"/>
      <c r="H145" s="47" t="n"/>
      <c r="I145" s="47" t="n"/>
      <c r="J145" s="47" t="n"/>
      <c r="K145" s="47" t="n"/>
      <c r="L145" s="47" t="n"/>
      <c r="M145" s="47" t="n"/>
      <c r="N145" s="47" t="n"/>
      <c r="O145" s="47" t="n"/>
      <c r="P145" s="47" t="n"/>
      <c r="Q145" s="47" t="n"/>
      <c r="R145" s="47" t="n"/>
      <c r="S145" s="47" t="n"/>
      <c r="T145" s="47" t="n"/>
      <c r="U145" s="47" t="n"/>
      <c r="V145" s="47" t="n"/>
      <c r="W145" s="47" t="n"/>
      <c r="X145" s="47" t="n"/>
      <c r="Y145" s="47" t="n"/>
      <c r="Z145" s="47" t="n"/>
    </row>
    <row r="146" ht="15.75" customHeight="1" s="185">
      <c r="A146" s="55" t="n"/>
      <c r="B146" s="55" t="n"/>
      <c r="C146" s="47" t="n"/>
      <c r="D146" s="47" t="n"/>
      <c r="E146" s="47" t="n"/>
      <c r="F146" s="47" t="n"/>
      <c r="G146" s="47" t="n"/>
      <c r="H146" s="47" t="n"/>
      <c r="I146" s="47" t="n"/>
      <c r="J146" s="47" t="n"/>
      <c r="K146" s="47" t="n"/>
      <c r="L146" s="47" t="n"/>
      <c r="M146" s="47" t="n"/>
      <c r="N146" s="47" t="n"/>
      <c r="O146" s="47" t="n"/>
      <c r="P146" s="47" t="n"/>
      <c r="Q146" s="47" t="n"/>
      <c r="R146" s="47" t="n"/>
      <c r="S146" s="47" t="n"/>
      <c r="T146" s="47" t="n"/>
      <c r="U146" s="47" t="n"/>
      <c r="V146" s="47" t="n"/>
      <c r="W146" s="47" t="n"/>
      <c r="X146" s="47" t="n"/>
      <c r="Y146" s="47" t="n"/>
      <c r="Z146" s="47" t="n"/>
    </row>
    <row r="147" ht="15.75" customHeight="1" s="185">
      <c r="A147" s="55" t="n"/>
      <c r="B147" s="55" t="n"/>
      <c r="C147" s="47" t="n"/>
      <c r="D147" s="47" t="n"/>
      <c r="E147" s="47" t="n"/>
      <c r="F147" s="47" t="n"/>
      <c r="G147" s="47" t="n"/>
      <c r="H147" s="47" t="n"/>
      <c r="I147" s="47" t="n"/>
      <c r="J147" s="47" t="n"/>
      <c r="K147" s="47" t="n"/>
      <c r="L147" s="47" t="n"/>
      <c r="M147" s="47" t="n"/>
      <c r="N147" s="47" t="n"/>
      <c r="O147" s="47" t="n"/>
      <c r="P147" s="47" t="n"/>
      <c r="Q147" s="47" t="n"/>
      <c r="R147" s="47" t="n"/>
      <c r="S147" s="47" t="n"/>
      <c r="T147" s="47" t="n"/>
      <c r="U147" s="47" t="n"/>
      <c r="V147" s="47" t="n"/>
      <c r="W147" s="47" t="n"/>
      <c r="X147" s="47" t="n"/>
      <c r="Y147" s="47" t="n"/>
      <c r="Z147" s="47" t="n"/>
    </row>
    <row r="148" ht="15.75" customHeight="1" s="185">
      <c r="A148" s="55" t="n"/>
      <c r="B148" s="55" t="n"/>
      <c r="C148" s="47" t="n"/>
      <c r="D148" s="47" t="n"/>
      <c r="E148" s="47" t="n"/>
      <c r="F148" s="47" t="n"/>
      <c r="G148" s="47" t="n"/>
      <c r="H148" s="47" t="n"/>
      <c r="I148" s="47" t="n"/>
      <c r="J148" s="47" t="n"/>
      <c r="K148" s="47" t="n"/>
      <c r="L148" s="47" t="n"/>
      <c r="M148" s="47" t="n"/>
      <c r="N148" s="47" t="n"/>
      <c r="O148" s="47" t="n"/>
      <c r="P148" s="47" t="n"/>
      <c r="Q148" s="47" t="n"/>
      <c r="R148" s="47" t="n"/>
      <c r="S148" s="47" t="n"/>
      <c r="T148" s="47" t="n"/>
      <c r="U148" s="47" t="n"/>
      <c r="V148" s="47" t="n"/>
      <c r="W148" s="47" t="n"/>
      <c r="X148" s="47" t="n"/>
      <c r="Y148" s="47" t="n"/>
      <c r="Z148" s="47" t="n"/>
    </row>
    <row r="149" ht="15.75" customHeight="1" s="185">
      <c r="A149" s="55" t="n"/>
      <c r="B149" s="55" t="n"/>
      <c r="C149" s="47" t="n"/>
      <c r="D149" s="47" t="n"/>
      <c r="E149" s="47" t="n"/>
      <c r="F149" s="47" t="n"/>
      <c r="G149" s="47" t="n"/>
      <c r="H149" s="47" t="n"/>
      <c r="I149" s="47" t="n"/>
      <c r="J149" s="47" t="n"/>
      <c r="K149" s="47" t="n"/>
      <c r="L149" s="47" t="n"/>
      <c r="M149" s="47" t="n"/>
      <c r="N149" s="47" t="n"/>
      <c r="O149" s="47" t="n"/>
      <c r="P149" s="47" t="n"/>
      <c r="Q149" s="47" t="n"/>
      <c r="R149" s="47" t="n"/>
      <c r="S149" s="47" t="n"/>
      <c r="T149" s="47" t="n"/>
      <c r="U149" s="47" t="n"/>
      <c r="V149" s="47" t="n"/>
      <c r="W149" s="47" t="n"/>
      <c r="X149" s="47" t="n"/>
      <c r="Y149" s="47" t="n"/>
      <c r="Z149" s="47" t="n"/>
    </row>
    <row r="150" ht="15.75" customHeight="1" s="185">
      <c r="A150" s="55" t="n"/>
      <c r="B150" s="55" t="n"/>
      <c r="C150" s="47" t="n"/>
      <c r="D150" s="47" t="n"/>
      <c r="E150" s="47" t="n"/>
      <c r="F150" s="47" t="n"/>
      <c r="G150" s="47" t="n"/>
      <c r="H150" s="47" t="n"/>
      <c r="I150" s="47" t="n"/>
      <c r="J150" s="47" t="n"/>
      <c r="K150" s="47" t="n"/>
      <c r="L150" s="47" t="n"/>
      <c r="M150" s="47" t="n"/>
      <c r="N150" s="47" t="n"/>
      <c r="O150" s="47" t="n"/>
      <c r="P150" s="47" t="n"/>
      <c r="Q150" s="47" t="n"/>
      <c r="R150" s="47" t="n"/>
      <c r="S150" s="47" t="n"/>
      <c r="T150" s="47" t="n"/>
      <c r="U150" s="47" t="n"/>
      <c r="V150" s="47" t="n"/>
      <c r="W150" s="47" t="n"/>
      <c r="X150" s="47" t="n"/>
      <c r="Y150" s="47" t="n"/>
      <c r="Z150" s="47" t="n"/>
    </row>
    <row r="151" ht="15.75" customHeight="1" s="185">
      <c r="A151" s="55" t="n"/>
      <c r="B151" s="55" t="n"/>
      <c r="C151" s="47" t="n"/>
      <c r="D151" s="47" t="n"/>
      <c r="E151" s="47" t="n"/>
      <c r="F151" s="47" t="n"/>
      <c r="G151" s="47" t="n"/>
      <c r="H151" s="47" t="n"/>
      <c r="I151" s="47" t="n"/>
      <c r="J151" s="47" t="n"/>
      <c r="K151" s="47" t="n"/>
      <c r="L151" s="47" t="n"/>
      <c r="M151" s="47" t="n"/>
      <c r="N151" s="47" t="n"/>
      <c r="O151" s="47" t="n"/>
      <c r="P151" s="47" t="n"/>
      <c r="Q151" s="47" t="n"/>
      <c r="R151" s="47" t="n"/>
      <c r="S151" s="47" t="n"/>
      <c r="T151" s="47" t="n"/>
      <c r="U151" s="47" t="n"/>
      <c r="V151" s="47" t="n"/>
      <c r="W151" s="47" t="n"/>
      <c r="X151" s="47" t="n"/>
      <c r="Y151" s="47" t="n"/>
      <c r="Z151" s="47" t="n"/>
    </row>
    <row r="152" ht="15.75" customHeight="1" s="185">
      <c r="A152" s="55" t="n"/>
      <c r="B152" s="55" t="n"/>
      <c r="C152" s="47" t="n"/>
      <c r="D152" s="47" t="n"/>
      <c r="E152" s="47" t="n"/>
      <c r="F152" s="47" t="n"/>
      <c r="G152" s="47" t="n"/>
      <c r="H152" s="47" t="n"/>
      <c r="I152" s="47" t="n"/>
      <c r="J152" s="47" t="n"/>
      <c r="K152" s="47" t="n"/>
      <c r="L152" s="47" t="n"/>
      <c r="M152" s="47" t="n"/>
      <c r="N152" s="47" t="n"/>
      <c r="O152" s="47" t="n"/>
      <c r="P152" s="47" t="n"/>
      <c r="Q152" s="47" t="n"/>
      <c r="R152" s="47" t="n"/>
      <c r="S152" s="47" t="n"/>
      <c r="T152" s="47" t="n"/>
      <c r="U152" s="47" t="n"/>
      <c r="V152" s="47" t="n"/>
      <c r="W152" s="47" t="n"/>
      <c r="X152" s="47" t="n"/>
      <c r="Y152" s="47" t="n"/>
      <c r="Z152" s="47" t="n"/>
    </row>
    <row r="153" ht="15.75" customHeight="1" s="185">
      <c r="A153" s="55" t="n"/>
      <c r="B153" s="55" t="n"/>
      <c r="C153" s="47" t="n"/>
      <c r="D153" s="47" t="n"/>
      <c r="E153" s="47" t="n"/>
      <c r="F153" s="47" t="n"/>
      <c r="G153" s="47" t="n"/>
      <c r="H153" s="47" t="n"/>
      <c r="I153" s="47" t="n"/>
      <c r="J153" s="47" t="n"/>
      <c r="K153" s="47" t="n"/>
      <c r="L153" s="47" t="n"/>
      <c r="M153" s="47" t="n"/>
      <c r="N153" s="47" t="n"/>
      <c r="O153" s="47" t="n"/>
      <c r="P153" s="47" t="n"/>
      <c r="Q153" s="47" t="n"/>
      <c r="R153" s="47" t="n"/>
      <c r="S153" s="47" t="n"/>
      <c r="T153" s="47" t="n"/>
      <c r="U153" s="47" t="n"/>
      <c r="V153" s="47" t="n"/>
      <c r="W153" s="47" t="n"/>
      <c r="X153" s="47" t="n"/>
      <c r="Y153" s="47" t="n"/>
      <c r="Z153" s="47" t="n"/>
    </row>
    <row r="154" ht="15.75" customHeight="1" s="185">
      <c r="A154" s="55" t="n"/>
      <c r="B154" s="55" t="n"/>
      <c r="C154" s="47" t="n"/>
      <c r="D154" s="47" t="n"/>
      <c r="E154" s="47" t="n"/>
      <c r="F154" s="47" t="n"/>
      <c r="G154" s="47" t="n"/>
      <c r="H154" s="47" t="n"/>
      <c r="I154" s="47" t="n"/>
      <c r="J154" s="47" t="n"/>
      <c r="K154" s="47" t="n"/>
      <c r="L154" s="47" t="n"/>
      <c r="M154" s="47" t="n"/>
      <c r="N154" s="47" t="n"/>
      <c r="O154" s="47" t="n"/>
      <c r="P154" s="47" t="n"/>
      <c r="Q154" s="47" t="n"/>
      <c r="R154" s="47" t="n"/>
      <c r="S154" s="47" t="n"/>
      <c r="T154" s="47" t="n"/>
      <c r="U154" s="47" t="n"/>
      <c r="V154" s="47" t="n"/>
      <c r="W154" s="47" t="n"/>
      <c r="X154" s="47" t="n"/>
      <c r="Y154" s="47" t="n"/>
      <c r="Z154" s="47" t="n"/>
    </row>
    <row r="155" ht="15.75" customHeight="1" s="185">
      <c r="A155" s="55" t="n"/>
      <c r="B155" s="55" t="n"/>
      <c r="C155" s="47" t="n"/>
      <c r="D155" s="47" t="n"/>
      <c r="E155" s="47" t="n"/>
      <c r="F155" s="47" t="n"/>
      <c r="G155" s="47" t="n"/>
      <c r="H155" s="47" t="n"/>
      <c r="I155" s="47" t="n"/>
      <c r="J155" s="47" t="n"/>
      <c r="K155" s="47" t="n"/>
      <c r="L155" s="47" t="n"/>
      <c r="M155" s="47" t="n"/>
      <c r="N155" s="47" t="n"/>
      <c r="O155" s="47" t="n"/>
      <c r="P155" s="47" t="n"/>
      <c r="Q155" s="47" t="n"/>
      <c r="R155" s="47" t="n"/>
      <c r="S155" s="47" t="n"/>
      <c r="T155" s="47" t="n"/>
      <c r="U155" s="47" t="n"/>
      <c r="V155" s="47" t="n"/>
      <c r="W155" s="47" t="n"/>
      <c r="X155" s="47" t="n"/>
      <c r="Y155" s="47" t="n"/>
      <c r="Z155" s="47" t="n"/>
    </row>
    <row r="156" ht="15.75" customHeight="1" s="185">
      <c r="A156" s="55" t="n"/>
      <c r="B156" s="55" t="n"/>
      <c r="C156" s="47" t="n"/>
      <c r="D156" s="47" t="n"/>
      <c r="E156" s="47" t="n"/>
      <c r="F156" s="47" t="n"/>
      <c r="G156" s="47" t="n"/>
      <c r="H156" s="47" t="n"/>
      <c r="I156" s="47" t="n"/>
      <c r="J156" s="47" t="n"/>
      <c r="K156" s="47" t="n"/>
      <c r="L156" s="47" t="n"/>
      <c r="M156" s="47" t="n"/>
      <c r="N156" s="47" t="n"/>
      <c r="O156" s="47" t="n"/>
      <c r="P156" s="47" t="n"/>
      <c r="Q156" s="47" t="n"/>
      <c r="R156" s="47" t="n"/>
      <c r="S156" s="47" t="n"/>
      <c r="T156" s="47" t="n"/>
      <c r="U156" s="47" t="n"/>
      <c r="V156" s="47" t="n"/>
      <c r="W156" s="47" t="n"/>
      <c r="X156" s="47" t="n"/>
      <c r="Y156" s="47" t="n"/>
      <c r="Z156" s="47" t="n"/>
    </row>
    <row r="157" ht="15.75" customHeight="1" s="185">
      <c r="A157" s="55" t="n"/>
      <c r="B157" s="55" t="n"/>
      <c r="C157" s="47" t="n"/>
      <c r="D157" s="47" t="n"/>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47" t="n"/>
    </row>
    <row r="158" ht="15.75" customHeight="1" s="185">
      <c r="A158" s="55" t="n"/>
      <c r="B158" s="55" t="n"/>
      <c r="C158" s="47" t="n"/>
      <c r="D158" s="47" t="n"/>
      <c r="E158" s="47" t="n"/>
      <c r="F158" s="47" t="n"/>
      <c r="G158" s="47" t="n"/>
      <c r="H158" s="47" t="n"/>
      <c r="I158" s="47" t="n"/>
      <c r="J158" s="47" t="n"/>
      <c r="K158" s="47" t="n"/>
      <c r="L158" s="47" t="n"/>
      <c r="M158" s="47" t="n"/>
      <c r="N158" s="47" t="n"/>
      <c r="O158" s="47" t="n"/>
      <c r="P158" s="47" t="n"/>
      <c r="Q158" s="47" t="n"/>
      <c r="R158" s="47" t="n"/>
      <c r="S158" s="47" t="n"/>
      <c r="T158" s="47" t="n"/>
      <c r="U158" s="47" t="n"/>
      <c r="V158" s="47" t="n"/>
      <c r="W158" s="47" t="n"/>
      <c r="X158" s="47" t="n"/>
      <c r="Y158" s="47" t="n"/>
      <c r="Z158" s="47" t="n"/>
    </row>
    <row r="159" ht="15.75" customHeight="1" s="185">
      <c r="A159" s="55" t="n"/>
      <c r="B159" s="55" t="n"/>
      <c r="C159" s="47" t="n"/>
      <c r="D159" s="47" t="n"/>
      <c r="E159" s="47" t="n"/>
      <c r="F159" s="47" t="n"/>
      <c r="G159" s="47" t="n"/>
      <c r="H159" s="47" t="n"/>
      <c r="I159" s="47" t="n"/>
      <c r="J159" s="47" t="n"/>
      <c r="K159" s="47" t="n"/>
      <c r="L159" s="47" t="n"/>
      <c r="M159" s="47" t="n"/>
      <c r="N159" s="47" t="n"/>
      <c r="O159" s="47" t="n"/>
      <c r="P159" s="47" t="n"/>
      <c r="Q159" s="47" t="n"/>
      <c r="R159" s="47" t="n"/>
      <c r="S159" s="47" t="n"/>
      <c r="T159" s="47" t="n"/>
      <c r="U159" s="47" t="n"/>
      <c r="V159" s="47" t="n"/>
      <c r="W159" s="47" t="n"/>
      <c r="X159" s="47" t="n"/>
      <c r="Y159" s="47" t="n"/>
      <c r="Z159" s="47" t="n"/>
    </row>
    <row r="160" ht="15.75" customHeight="1" s="185">
      <c r="A160" s="55" t="n"/>
      <c r="B160" s="55" t="n"/>
      <c r="C160" s="47" t="n"/>
      <c r="D160" s="47" t="n"/>
      <c r="E160" s="47" t="n"/>
      <c r="F160" s="47" t="n"/>
      <c r="G160" s="47" t="n"/>
      <c r="H160" s="47" t="n"/>
      <c r="I160" s="47" t="n"/>
      <c r="J160" s="47" t="n"/>
      <c r="K160" s="47" t="n"/>
      <c r="L160" s="47" t="n"/>
      <c r="M160" s="47" t="n"/>
      <c r="N160" s="47" t="n"/>
      <c r="O160" s="47" t="n"/>
      <c r="P160" s="47" t="n"/>
      <c r="Q160" s="47" t="n"/>
      <c r="R160" s="47" t="n"/>
      <c r="S160" s="47" t="n"/>
      <c r="T160" s="47" t="n"/>
      <c r="U160" s="47" t="n"/>
      <c r="V160" s="47" t="n"/>
      <c r="W160" s="47" t="n"/>
      <c r="X160" s="47" t="n"/>
      <c r="Y160" s="47" t="n"/>
      <c r="Z160" s="47" t="n"/>
    </row>
    <row r="161" ht="15.75" customHeight="1" s="185">
      <c r="A161" s="55" t="n"/>
      <c r="B161" s="55" t="n"/>
      <c r="C161" s="47" t="n"/>
      <c r="D161" s="47" t="n"/>
      <c r="E161" s="47" t="n"/>
      <c r="F161" s="47" t="n"/>
      <c r="G161" s="47" t="n"/>
      <c r="H161" s="47" t="n"/>
      <c r="I161" s="47" t="n"/>
      <c r="J161" s="47" t="n"/>
      <c r="K161" s="47" t="n"/>
      <c r="L161" s="47" t="n"/>
      <c r="M161" s="47" t="n"/>
      <c r="N161" s="47" t="n"/>
      <c r="O161" s="47" t="n"/>
      <c r="P161" s="47" t="n"/>
      <c r="Q161" s="47" t="n"/>
      <c r="R161" s="47" t="n"/>
      <c r="S161" s="47" t="n"/>
      <c r="T161" s="47" t="n"/>
      <c r="U161" s="47" t="n"/>
      <c r="V161" s="47" t="n"/>
      <c r="W161" s="47" t="n"/>
      <c r="X161" s="47" t="n"/>
      <c r="Y161" s="47" t="n"/>
      <c r="Z161" s="47" t="n"/>
    </row>
    <row r="162" ht="15.75" customHeight="1" s="185">
      <c r="A162" s="55" t="n"/>
      <c r="B162" s="55" t="n"/>
      <c r="C162" s="47" t="n"/>
      <c r="D162" s="47" t="n"/>
      <c r="E162" s="47" t="n"/>
      <c r="F162" s="47" t="n"/>
      <c r="G162" s="47" t="n"/>
      <c r="H162" s="47" t="n"/>
      <c r="I162" s="47" t="n"/>
      <c r="J162" s="47" t="n"/>
      <c r="K162" s="47" t="n"/>
      <c r="L162" s="47" t="n"/>
      <c r="M162" s="47" t="n"/>
      <c r="N162" s="47" t="n"/>
      <c r="O162" s="47" t="n"/>
      <c r="P162" s="47" t="n"/>
      <c r="Q162" s="47" t="n"/>
      <c r="R162" s="47" t="n"/>
      <c r="S162" s="47" t="n"/>
      <c r="T162" s="47" t="n"/>
      <c r="U162" s="47" t="n"/>
      <c r="V162" s="47" t="n"/>
      <c r="W162" s="47" t="n"/>
      <c r="X162" s="47" t="n"/>
      <c r="Y162" s="47" t="n"/>
      <c r="Z162" s="47" t="n"/>
    </row>
    <row r="163" ht="15.75" customHeight="1" s="185">
      <c r="A163" s="55" t="n"/>
      <c r="B163" s="55" t="n"/>
      <c r="C163" s="47" t="n"/>
      <c r="D163" s="47" t="n"/>
      <c r="E163" s="47" t="n"/>
      <c r="F163" s="47" t="n"/>
      <c r="G163" s="47" t="n"/>
      <c r="H163" s="47" t="n"/>
      <c r="I163" s="47" t="n"/>
      <c r="J163" s="47" t="n"/>
      <c r="K163" s="47" t="n"/>
      <c r="L163" s="47" t="n"/>
      <c r="M163" s="47" t="n"/>
      <c r="N163" s="47" t="n"/>
      <c r="O163" s="47" t="n"/>
      <c r="P163" s="47" t="n"/>
      <c r="Q163" s="47" t="n"/>
      <c r="R163" s="47" t="n"/>
      <c r="S163" s="47" t="n"/>
      <c r="T163" s="47" t="n"/>
      <c r="U163" s="47" t="n"/>
      <c r="V163" s="47" t="n"/>
      <c r="W163" s="47" t="n"/>
      <c r="X163" s="47" t="n"/>
      <c r="Y163" s="47" t="n"/>
      <c r="Z163" s="47" t="n"/>
    </row>
    <row r="164" ht="15.75" customHeight="1" s="185">
      <c r="A164" s="55" t="n"/>
      <c r="B164" s="55" t="n"/>
      <c r="C164" s="47" t="n"/>
      <c r="D164" s="47" t="n"/>
      <c r="E164" s="47" t="n"/>
      <c r="F164" s="47" t="n"/>
      <c r="G164" s="47" t="n"/>
      <c r="H164" s="47" t="n"/>
      <c r="I164" s="47" t="n"/>
      <c r="J164" s="47" t="n"/>
      <c r="K164" s="47" t="n"/>
      <c r="L164" s="47" t="n"/>
      <c r="M164" s="47" t="n"/>
      <c r="N164" s="47" t="n"/>
      <c r="O164" s="47" t="n"/>
      <c r="P164" s="47" t="n"/>
      <c r="Q164" s="47" t="n"/>
      <c r="R164" s="47" t="n"/>
      <c r="S164" s="47" t="n"/>
      <c r="T164" s="47" t="n"/>
      <c r="U164" s="47" t="n"/>
      <c r="V164" s="47" t="n"/>
      <c r="W164" s="47" t="n"/>
      <c r="X164" s="47" t="n"/>
      <c r="Y164" s="47" t="n"/>
      <c r="Z164" s="47" t="n"/>
    </row>
    <row r="165" ht="15.75" customHeight="1" s="185">
      <c r="A165" s="55" t="n"/>
      <c r="B165" s="55" t="n"/>
      <c r="C165" s="47" t="n"/>
      <c r="D165" s="47" t="n"/>
      <c r="E165" s="47" t="n"/>
      <c r="F165" s="47" t="n"/>
      <c r="G165" s="47" t="n"/>
      <c r="H165" s="47" t="n"/>
      <c r="I165" s="47" t="n"/>
      <c r="J165" s="47" t="n"/>
      <c r="K165" s="47" t="n"/>
      <c r="L165" s="47" t="n"/>
      <c r="M165" s="47" t="n"/>
      <c r="N165" s="47" t="n"/>
      <c r="O165" s="47" t="n"/>
      <c r="P165" s="47" t="n"/>
      <c r="Q165" s="47" t="n"/>
      <c r="R165" s="47" t="n"/>
      <c r="S165" s="47" t="n"/>
      <c r="T165" s="47" t="n"/>
      <c r="U165" s="47" t="n"/>
      <c r="V165" s="47" t="n"/>
      <c r="W165" s="47" t="n"/>
      <c r="X165" s="47" t="n"/>
      <c r="Y165" s="47" t="n"/>
      <c r="Z165" s="47" t="n"/>
    </row>
    <row r="166" ht="15.75" customHeight="1" s="185">
      <c r="A166" s="55" t="n"/>
      <c r="B166" s="55" t="n"/>
      <c r="C166" s="47" t="n"/>
      <c r="D166" s="47" t="n"/>
      <c r="E166" s="47" t="n"/>
      <c r="F166" s="47" t="n"/>
      <c r="G166" s="47" t="n"/>
      <c r="H166" s="47" t="n"/>
      <c r="I166" s="47" t="n"/>
      <c r="J166" s="47" t="n"/>
      <c r="K166" s="47" t="n"/>
      <c r="L166" s="47" t="n"/>
      <c r="M166" s="47" t="n"/>
      <c r="N166" s="47" t="n"/>
      <c r="O166" s="47" t="n"/>
      <c r="P166" s="47" t="n"/>
      <c r="Q166" s="47" t="n"/>
      <c r="R166" s="47" t="n"/>
      <c r="S166" s="47" t="n"/>
      <c r="T166" s="47" t="n"/>
      <c r="U166" s="47" t="n"/>
      <c r="V166" s="47" t="n"/>
      <c r="W166" s="47" t="n"/>
      <c r="X166" s="47" t="n"/>
      <c r="Y166" s="47" t="n"/>
      <c r="Z166" s="47" t="n"/>
    </row>
    <row r="167" ht="15.75" customHeight="1" s="185">
      <c r="A167" s="55" t="n"/>
      <c r="B167" s="55" t="n"/>
      <c r="C167" s="47" t="n"/>
      <c r="D167" s="47" t="n"/>
      <c r="E167" s="47" t="n"/>
      <c r="F167" s="47" t="n"/>
      <c r="G167" s="47" t="n"/>
      <c r="H167" s="47" t="n"/>
      <c r="I167" s="47" t="n"/>
      <c r="J167" s="47" t="n"/>
      <c r="K167" s="47" t="n"/>
      <c r="L167" s="47" t="n"/>
      <c r="M167" s="47" t="n"/>
      <c r="N167" s="47" t="n"/>
      <c r="O167" s="47" t="n"/>
      <c r="P167" s="47" t="n"/>
      <c r="Q167" s="47" t="n"/>
      <c r="R167" s="47" t="n"/>
      <c r="S167" s="47" t="n"/>
      <c r="T167" s="47" t="n"/>
      <c r="U167" s="47" t="n"/>
      <c r="V167" s="47" t="n"/>
      <c r="W167" s="47" t="n"/>
      <c r="X167" s="47" t="n"/>
      <c r="Y167" s="47" t="n"/>
      <c r="Z167" s="47" t="n"/>
    </row>
    <row r="168" ht="15.75" customHeight="1" s="185">
      <c r="A168" s="55" t="n"/>
      <c r="B168" s="55" t="n"/>
      <c r="C168" s="47" t="n"/>
      <c r="D168" s="47" t="n"/>
      <c r="E168" s="47" t="n"/>
      <c r="F168" s="47" t="n"/>
      <c r="G168" s="47" t="n"/>
      <c r="H168" s="47" t="n"/>
      <c r="I168" s="47" t="n"/>
      <c r="J168" s="47" t="n"/>
      <c r="K168" s="47" t="n"/>
      <c r="L168" s="47" t="n"/>
      <c r="M168" s="47" t="n"/>
      <c r="N168" s="47" t="n"/>
      <c r="O168" s="47" t="n"/>
      <c r="P168" s="47" t="n"/>
      <c r="Q168" s="47" t="n"/>
      <c r="R168" s="47" t="n"/>
      <c r="S168" s="47" t="n"/>
      <c r="T168" s="47" t="n"/>
      <c r="U168" s="47" t="n"/>
      <c r="V168" s="47" t="n"/>
      <c r="W168" s="47" t="n"/>
      <c r="X168" s="47" t="n"/>
      <c r="Y168" s="47" t="n"/>
      <c r="Z168" s="47" t="n"/>
    </row>
    <row r="169" ht="15.75" customHeight="1" s="185">
      <c r="A169" s="55" t="n"/>
      <c r="B169" s="55" t="n"/>
      <c r="C169" s="47" t="n"/>
      <c r="D169" s="47" t="n"/>
      <c r="E169" s="47" t="n"/>
      <c r="F169" s="47" t="n"/>
      <c r="G169" s="47" t="n"/>
      <c r="H169" s="47" t="n"/>
      <c r="I169" s="47" t="n"/>
      <c r="J169" s="47" t="n"/>
      <c r="K169" s="47" t="n"/>
      <c r="L169" s="47" t="n"/>
      <c r="M169" s="47" t="n"/>
      <c r="N169" s="47" t="n"/>
      <c r="O169" s="47" t="n"/>
      <c r="P169" s="47" t="n"/>
      <c r="Q169" s="47" t="n"/>
      <c r="R169" s="47" t="n"/>
      <c r="S169" s="47" t="n"/>
      <c r="T169" s="47" t="n"/>
      <c r="U169" s="47" t="n"/>
      <c r="V169" s="47" t="n"/>
      <c r="W169" s="47" t="n"/>
      <c r="X169" s="47" t="n"/>
      <c r="Y169" s="47" t="n"/>
      <c r="Z169" s="47" t="n"/>
    </row>
    <row r="170" ht="15.75" customHeight="1" s="185">
      <c r="A170" s="55" t="n"/>
      <c r="B170" s="55" t="n"/>
      <c r="C170" s="47" t="n"/>
      <c r="D170" s="47" t="n"/>
      <c r="E170" s="47" t="n"/>
      <c r="F170" s="47" t="n"/>
      <c r="G170" s="47" t="n"/>
      <c r="H170" s="47" t="n"/>
      <c r="I170" s="47" t="n"/>
      <c r="J170" s="47" t="n"/>
      <c r="K170" s="47" t="n"/>
      <c r="L170" s="47" t="n"/>
      <c r="M170" s="47" t="n"/>
      <c r="N170" s="47" t="n"/>
      <c r="O170" s="47" t="n"/>
      <c r="P170" s="47" t="n"/>
      <c r="Q170" s="47" t="n"/>
      <c r="R170" s="47" t="n"/>
      <c r="S170" s="47" t="n"/>
      <c r="T170" s="47" t="n"/>
      <c r="U170" s="47" t="n"/>
      <c r="V170" s="47" t="n"/>
      <c r="W170" s="47" t="n"/>
      <c r="X170" s="47" t="n"/>
      <c r="Y170" s="47" t="n"/>
      <c r="Z170" s="47" t="n"/>
    </row>
    <row r="171" ht="15.75" customHeight="1" s="185">
      <c r="A171" s="55" t="n"/>
      <c r="B171" s="55" t="n"/>
      <c r="C171" s="47" t="n"/>
      <c r="D171" s="47" t="n"/>
      <c r="E171" s="47" t="n"/>
      <c r="F171" s="47" t="n"/>
      <c r="G171" s="47" t="n"/>
      <c r="H171" s="47" t="n"/>
      <c r="I171" s="47" t="n"/>
      <c r="J171" s="47" t="n"/>
      <c r="K171" s="47" t="n"/>
      <c r="L171" s="47" t="n"/>
      <c r="M171" s="47" t="n"/>
      <c r="N171" s="47" t="n"/>
      <c r="O171" s="47" t="n"/>
      <c r="P171" s="47" t="n"/>
      <c r="Q171" s="47" t="n"/>
      <c r="R171" s="47" t="n"/>
      <c r="S171" s="47" t="n"/>
      <c r="T171" s="47" t="n"/>
      <c r="U171" s="47" t="n"/>
      <c r="V171" s="47" t="n"/>
      <c r="W171" s="47" t="n"/>
      <c r="X171" s="47" t="n"/>
      <c r="Y171" s="47" t="n"/>
      <c r="Z171" s="47" t="n"/>
    </row>
    <row r="172" ht="15.75" customHeight="1" s="185">
      <c r="A172" s="55" t="n"/>
      <c r="B172" s="55" t="n"/>
      <c r="C172" s="47" t="n"/>
      <c r="D172" s="47" t="n"/>
      <c r="E172" s="47" t="n"/>
      <c r="F172" s="47" t="n"/>
      <c r="G172" s="47" t="n"/>
      <c r="H172" s="47" t="n"/>
      <c r="I172" s="47" t="n"/>
      <c r="J172" s="47" t="n"/>
      <c r="K172" s="47" t="n"/>
      <c r="L172" s="47" t="n"/>
      <c r="M172" s="47" t="n"/>
      <c r="N172" s="47" t="n"/>
      <c r="O172" s="47" t="n"/>
      <c r="P172" s="47" t="n"/>
      <c r="Q172" s="47" t="n"/>
      <c r="R172" s="47" t="n"/>
      <c r="S172" s="47" t="n"/>
      <c r="T172" s="47" t="n"/>
      <c r="U172" s="47" t="n"/>
      <c r="V172" s="47" t="n"/>
      <c r="W172" s="47" t="n"/>
      <c r="X172" s="47" t="n"/>
      <c r="Y172" s="47" t="n"/>
      <c r="Z172" s="47" t="n"/>
    </row>
    <row r="173" ht="15.75" customHeight="1" s="185">
      <c r="A173" s="55" t="n"/>
      <c r="B173" s="55" t="n"/>
      <c r="C173" s="47" t="n"/>
      <c r="D173" s="47" t="n"/>
      <c r="E173" s="47" t="n"/>
      <c r="F173" s="47" t="n"/>
      <c r="G173" s="47" t="n"/>
      <c r="H173" s="47" t="n"/>
      <c r="I173" s="47" t="n"/>
      <c r="J173" s="47" t="n"/>
      <c r="K173" s="47" t="n"/>
      <c r="L173" s="47" t="n"/>
      <c r="M173" s="47" t="n"/>
      <c r="N173" s="47" t="n"/>
      <c r="O173" s="47" t="n"/>
      <c r="P173" s="47" t="n"/>
      <c r="Q173" s="47" t="n"/>
      <c r="R173" s="47" t="n"/>
      <c r="S173" s="47" t="n"/>
      <c r="T173" s="47" t="n"/>
      <c r="U173" s="47" t="n"/>
      <c r="V173" s="47" t="n"/>
      <c r="W173" s="47" t="n"/>
      <c r="X173" s="47" t="n"/>
      <c r="Y173" s="47" t="n"/>
      <c r="Z173" s="47" t="n"/>
    </row>
    <row r="174" ht="15.75" customHeight="1" s="185">
      <c r="A174" s="55" t="n"/>
      <c r="B174" s="55" t="n"/>
      <c r="C174" s="47" t="n"/>
      <c r="D174" s="47" t="n"/>
      <c r="E174" s="47" t="n"/>
      <c r="F174" s="47" t="n"/>
      <c r="G174" s="47" t="n"/>
      <c r="H174" s="47" t="n"/>
      <c r="I174" s="47" t="n"/>
      <c r="J174" s="47" t="n"/>
      <c r="K174" s="47" t="n"/>
      <c r="L174" s="47" t="n"/>
      <c r="M174" s="47" t="n"/>
      <c r="N174" s="47" t="n"/>
      <c r="O174" s="47" t="n"/>
      <c r="P174" s="47" t="n"/>
      <c r="Q174" s="47" t="n"/>
      <c r="R174" s="47" t="n"/>
      <c r="S174" s="47" t="n"/>
      <c r="T174" s="47" t="n"/>
      <c r="U174" s="47" t="n"/>
      <c r="V174" s="47" t="n"/>
      <c r="W174" s="47" t="n"/>
      <c r="X174" s="47" t="n"/>
      <c r="Y174" s="47" t="n"/>
      <c r="Z174" s="47" t="n"/>
    </row>
    <row r="175" ht="15.75" customHeight="1" s="185">
      <c r="A175" s="55" t="n"/>
      <c r="B175" s="55" t="n"/>
      <c r="C175" s="47" t="n"/>
      <c r="D175" s="47" t="n"/>
      <c r="E175" s="47" t="n"/>
      <c r="F175" s="47" t="n"/>
      <c r="G175" s="47" t="n"/>
      <c r="H175" s="47" t="n"/>
      <c r="I175" s="47" t="n"/>
      <c r="J175" s="47" t="n"/>
      <c r="K175" s="47" t="n"/>
      <c r="L175" s="47" t="n"/>
      <c r="M175" s="47" t="n"/>
      <c r="N175" s="47" t="n"/>
      <c r="O175" s="47" t="n"/>
      <c r="P175" s="47" t="n"/>
      <c r="Q175" s="47" t="n"/>
      <c r="R175" s="47" t="n"/>
      <c r="S175" s="47" t="n"/>
      <c r="T175" s="47" t="n"/>
      <c r="U175" s="47" t="n"/>
      <c r="V175" s="47" t="n"/>
      <c r="W175" s="47" t="n"/>
      <c r="X175" s="47" t="n"/>
      <c r="Y175" s="47" t="n"/>
      <c r="Z175" s="47" t="n"/>
    </row>
    <row r="176" ht="15.75" customHeight="1" s="185">
      <c r="A176" s="55" t="n"/>
      <c r="B176" s="55" t="n"/>
      <c r="C176" s="47" t="n"/>
      <c r="D176" s="47" t="n"/>
      <c r="E176" s="47" t="n"/>
      <c r="F176" s="47" t="n"/>
      <c r="G176" s="47" t="n"/>
      <c r="H176" s="47" t="n"/>
      <c r="I176" s="47" t="n"/>
      <c r="J176" s="47" t="n"/>
      <c r="K176" s="47" t="n"/>
      <c r="L176" s="47" t="n"/>
      <c r="M176" s="47" t="n"/>
      <c r="N176" s="47" t="n"/>
      <c r="O176" s="47" t="n"/>
      <c r="P176" s="47" t="n"/>
      <c r="Q176" s="47" t="n"/>
      <c r="R176" s="47" t="n"/>
      <c r="S176" s="47" t="n"/>
      <c r="T176" s="47" t="n"/>
      <c r="U176" s="47" t="n"/>
      <c r="V176" s="47" t="n"/>
      <c r="W176" s="47" t="n"/>
      <c r="X176" s="47" t="n"/>
      <c r="Y176" s="47" t="n"/>
      <c r="Z176" s="47" t="n"/>
    </row>
    <row r="177" ht="15.75" customHeight="1" s="185">
      <c r="A177" s="55" t="n"/>
      <c r="B177" s="55" t="n"/>
      <c r="C177" s="47" t="n"/>
      <c r="D177" s="47" t="n"/>
      <c r="E177" s="47" t="n"/>
      <c r="F177" s="47" t="n"/>
      <c r="G177" s="47" t="n"/>
      <c r="H177" s="47" t="n"/>
      <c r="I177" s="47" t="n"/>
      <c r="J177" s="47" t="n"/>
      <c r="K177" s="47" t="n"/>
      <c r="L177" s="47" t="n"/>
      <c r="M177" s="47" t="n"/>
      <c r="N177" s="47" t="n"/>
      <c r="O177" s="47" t="n"/>
      <c r="P177" s="47" t="n"/>
      <c r="Q177" s="47" t="n"/>
      <c r="R177" s="47" t="n"/>
      <c r="S177" s="47" t="n"/>
      <c r="T177" s="47" t="n"/>
      <c r="U177" s="47" t="n"/>
      <c r="V177" s="47" t="n"/>
      <c r="W177" s="47" t="n"/>
      <c r="X177" s="47" t="n"/>
      <c r="Y177" s="47" t="n"/>
      <c r="Z177" s="47" t="n"/>
    </row>
    <row r="178" ht="15.75" customHeight="1" s="185">
      <c r="A178" s="55" t="n"/>
      <c r="B178" s="55" t="n"/>
      <c r="C178" s="47" t="n"/>
      <c r="D178" s="47" t="n"/>
      <c r="E178" s="47" t="n"/>
      <c r="F178" s="47" t="n"/>
      <c r="G178" s="47" t="n"/>
      <c r="H178" s="47" t="n"/>
      <c r="I178" s="47" t="n"/>
      <c r="J178" s="47" t="n"/>
      <c r="K178" s="47" t="n"/>
      <c r="L178" s="47" t="n"/>
      <c r="M178" s="47" t="n"/>
      <c r="N178" s="47" t="n"/>
      <c r="O178" s="47" t="n"/>
      <c r="P178" s="47" t="n"/>
      <c r="Q178" s="47" t="n"/>
      <c r="R178" s="47" t="n"/>
      <c r="S178" s="47" t="n"/>
      <c r="T178" s="47" t="n"/>
      <c r="U178" s="47" t="n"/>
      <c r="V178" s="47" t="n"/>
      <c r="W178" s="47" t="n"/>
      <c r="X178" s="47" t="n"/>
      <c r="Y178" s="47" t="n"/>
      <c r="Z178" s="47" t="n"/>
    </row>
    <row r="179" ht="15.75" customHeight="1" s="185">
      <c r="A179" s="55" t="n"/>
      <c r="B179" s="55" t="n"/>
      <c r="C179" s="47" t="n"/>
      <c r="D179" s="47" t="n"/>
      <c r="E179" s="47" t="n"/>
      <c r="F179" s="47" t="n"/>
      <c r="G179" s="47" t="n"/>
      <c r="H179" s="47" t="n"/>
      <c r="I179" s="47" t="n"/>
      <c r="J179" s="47" t="n"/>
      <c r="K179" s="47" t="n"/>
      <c r="L179" s="47" t="n"/>
      <c r="M179" s="47" t="n"/>
      <c r="N179" s="47" t="n"/>
      <c r="O179" s="47" t="n"/>
      <c r="P179" s="47" t="n"/>
      <c r="Q179" s="47" t="n"/>
      <c r="R179" s="47" t="n"/>
      <c r="S179" s="47" t="n"/>
      <c r="T179" s="47" t="n"/>
      <c r="U179" s="47" t="n"/>
      <c r="V179" s="47" t="n"/>
      <c r="W179" s="47" t="n"/>
      <c r="X179" s="47" t="n"/>
      <c r="Y179" s="47" t="n"/>
      <c r="Z179" s="47" t="n"/>
    </row>
    <row r="180" ht="15.75" customHeight="1" s="185">
      <c r="A180" s="55" t="n"/>
      <c r="B180" s="55" t="n"/>
      <c r="C180" s="47" t="n"/>
      <c r="D180" s="47" t="n"/>
      <c r="E180" s="47" t="n"/>
      <c r="F180" s="47" t="n"/>
      <c r="G180" s="47" t="n"/>
      <c r="H180" s="47" t="n"/>
      <c r="I180" s="47" t="n"/>
      <c r="J180" s="47" t="n"/>
      <c r="K180" s="47" t="n"/>
      <c r="L180" s="47" t="n"/>
      <c r="M180" s="47" t="n"/>
      <c r="N180" s="47" t="n"/>
      <c r="O180" s="47" t="n"/>
      <c r="P180" s="47" t="n"/>
      <c r="Q180" s="47" t="n"/>
      <c r="R180" s="47" t="n"/>
      <c r="S180" s="47" t="n"/>
      <c r="T180" s="47" t="n"/>
      <c r="U180" s="47" t="n"/>
      <c r="V180" s="47" t="n"/>
      <c r="W180" s="47" t="n"/>
      <c r="X180" s="47" t="n"/>
      <c r="Y180" s="47" t="n"/>
      <c r="Z180" s="47" t="n"/>
    </row>
    <row r="181" ht="15.75" customHeight="1" s="185">
      <c r="A181" s="55" t="n"/>
      <c r="B181" s="55" t="n"/>
      <c r="C181" s="47" t="n"/>
      <c r="D181" s="47" t="n"/>
      <c r="E181" s="47" t="n"/>
      <c r="F181" s="47" t="n"/>
      <c r="G181" s="47" t="n"/>
      <c r="H181" s="47" t="n"/>
      <c r="I181" s="47" t="n"/>
      <c r="J181" s="47" t="n"/>
      <c r="K181" s="47" t="n"/>
      <c r="L181" s="47" t="n"/>
      <c r="M181" s="47" t="n"/>
      <c r="N181" s="47" t="n"/>
      <c r="O181" s="47" t="n"/>
      <c r="P181" s="47" t="n"/>
      <c r="Q181" s="47" t="n"/>
      <c r="R181" s="47" t="n"/>
      <c r="S181" s="47" t="n"/>
      <c r="T181" s="47" t="n"/>
      <c r="U181" s="47" t="n"/>
      <c r="V181" s="47" t="n"/>
      <c r="W181" s="47" t="n"/>
      <c r="X181" s="47" t="n"/>
      <c r="Y181" s="47" t="n"/>
      <c r="Z181" s="47" t="n"/>
    </row>
    <row r="182" ht="15.75" customHeight="1" s="185">
      <c r="A182" s="55" t="n"/>
      <c r="B182" s="55" t="n"/>
      <c r="C182" s="47" t="n"/>
      <c r="D182" s="47" t="n"/>
      <c r="E182" s="47" t="n"/>
      <c r="F182" s="47" t="n"/>
      <c r="G182" s="47" t="n"/>
      <c r="H182" s="47" t="n"/>
      <c r="I182" s="47" t="n"/>
      <c r="J182" s="47" t="n"/>
      <c r="K182" s="47" t="n"/>
      <c r="L182" s="47" t="n"/>
      <c r="M182" s="47" t="n"/>
      <c r="N182" s="47" t="n"/>
      <c r="O182" s="47" t="n"/>
      <c r="P182" s="47" t="n"/>
      <c r="Q182" s="47" t="n"/>
      <c r="R182" s="47" t="n"/>
      <c r="S182" s="47" t="n"/>
      <c r="T182" s="47" t="n"/>
      <c r="U182" s="47" t="n"/>
      <c r="V182" s="47" t="n"/>
      <c r="W182" s="47" t="n"/>
      <c r="X182" s="47" t="n"/>
      <c r="Y182" s="47" t="n"/>
      <c r="Z182" s="47" t="n"/>
    </row>
    <row r="183" ht="15.75" customHeight="1" s="185">
      <c r="A183" s="55" t="n"/>
      <c r="B183" s="55" t="n"/>
      <c r="C183" s="47" t="n"/>
      <c r="D183" s="47" t="n"/>
      <c r="E183" s="47" t="n"/>
      <c r="F183" s="47" t="n"/>
      <c r="G183" s="47" t="n"/>
      <c r="H183" s="47" t="n"/>
      <c r="I183" s="47" t="n"/>
      <c r="J183" s="47" t="n"/>
      <c r="K183" s="47" t="n"/>
      <c r="L183" s="47" t="n"/>
      <c r="M183" s="47" t="n"/>
      <c r="N183" s="47" t="n"/>
      <c r="O183" s="47" t="n"/>
      <c r="P183" s="47" t="n"/>
      <c r="Q183" s="47" t="n"/>
      <c r="R183" s="47" t="n"/>
      <c r="S183" s="47" t="n"/>
      <c r="T183" s="47" t="n"/>
      <c r="U183" s="47" t="n"/>
      <c r="V183" s="47" t="n"/>
      <c r="W183" s="47" t="n"/>
      <c r="X183" s="47" t="n"/>
      <c r="Y183" s="47" t="n"/>
      <c r="Z183" s="47" t="n"/>
    </row>
    <row r="184" ht="15.75" customHeight="1" s="185">
      <c r="A184" s="55" t="n"/>
      <c r="B184" s="55" t="n"/>
      <c r="C184" s="47" t="n"/>
      <c r="D184" s="47" t="n"/>
      <c r="E184" s="47" t="n"/>
      <c r="F184" s="47" t="n"/>
      <c r="G184" s="47" t="n"/>
      <c r="H184" s="47" t="n"/>
      <c r="I184" s="47" t="n"/>
      <c r="J184" s="47" t="n"/>
      <c r="K184" s="47" t="n"/>
      <c r="L184" s="47" t="n"/>
      <c r="M184" s="47" t="n"/>
      <c r="N184" s="47" t="n"/>
      <c r="O184" s="47" t="n"/>
      <c r="P184" s="47" t="n"/>
      <c r="Q184" s="47" t="n"/>
      <c r="R184" s="47" t="n"/>
      <c r="S184" s="47" t="n"/>
      <c r="T184" s="47" t="n"/>
      <c r="U184" s="47" t="n"/>
      <c r="V184" s="47" t="n"/>
      <c r="W184" s="47" t="n"/>
      <c r="X184" s="47" t="n"/>
      <c r="Y184" s="47" t="n"/>
      <c r="Z184" s="47" t="n"/>
    </row>
    <row r="185" ht="15.75" customHeight="1" s="185">
      <c r="A185" s="55" t="n"/>
      <c r="B185" s="55" t="n"/>
      <c r="C185" s="47" t="n"/>
      <c r="D185" s="47" t="n"/>
      <c r="E185" s="47" t="n"/>
      <c r="F185" s="47" t="n"/>
      <c r="G185" s="47" t="n"/>
      <c r="H185" s="47" t="n"/>
      <c r="I185" s="47" t="n"/>
      <c r="J185" s="47" t="n"/>
      <c r="K185" s="47" t="n"/>
      <c r="L185" s="47" t="n"/>
      <c r="M185" s="47" t="n"/>
      <c r="N185" s="47" t="n"/>
      <c r="O185" s="47" t="n"/>
      <c r="P185" s="47" t="n"/>
      <c r="Q185" s="47" t="n"/>
      <c r="R185" s="47" t="n"/>
      <c r="S185" s="47" t="n"/>
      <c r="T185" s="47" t="n"/>
      <c r="U185" s="47" t="n"/>
      <c r="V185" s="47" t="n"/>
      <c r="W185" s="47" t="n"/>
      <c r="X185" s="47" t="n"/>
      <c r="Y185" s="47" t="n"/>
      <c r="Z185" s="47" t="n"/>
    </row>
    <row r="186" ht="15.75" customHeight="1" s="185">
      <c r="A186" s="55" t="n"/>
      <c r="B186" s="55" t="n"/>
      <c r="C186" s="47" t="n"/>
      <c r="D186" s="47" t="n"/>
      <c r="E186" s="47" t="n"/>
      <c r="F186" s="47" t="n"/>
      <c r="G186" s="47" t="n"/>
      <c r="H186" s="47" t="n"/>
      <c r="I186" s="47" t="n"/>
      <c r="J186" s="47" t="n"/>
      <c r="K186" s="47" t="n"/>
      <c r="L186" s="47" t="n"/>
      <c r="M186" s="47" t="n"/>
      <c r="N186" s="47" t="n"/>
      <c r="O186" s="47" t="n"/>
      <c r="P186" s="47" t="n"/>
      <c r="Q186" s="47" t="n"/>
      <c r="R186" s="47" t="n"/>
      <c r="S186" s="47" t="n"/>
      <c r="T186" s="47" t="n"/>
      <c r="U186" s="47" t="n"/>
      <c r="V186" s="47" t="n"/>
      <c r="W186" s="47" t="n"/>
      <c r="X186" s="47" t="n"/>
      <c r="Y186" s="47" t="n"/>
      <c r="Z186" s="47" t="n"/>
    </row>
    <row r="187" ht="15.75" customHeight="1" s="185">
      <c r="A187" s="55" t="n"/>
      <c r="B187" s="55" t="n"/>
      <c r="C187" s="47" t="n"/>
      <c r="D187" s="47" t="n"/>
      <c r="E187" s="47" t="n"/>
      <c r="F187" s="47" t="n"/>
      <c r="G187" s="47" t="n"/>
      <c r="H187" s="47" t="n"/>
      <c r="I187" s="47" t="n"/>
      <c r="J187" s="47" t="n"/>
      <c r="K187" s="47" t="n"/>
      <c r="L187" s="47" t="n"/>
      <c r="M187" s="47" t="n"/>
      <c r="N187" s="47" t="n"/>
      <c r="O187" s="47" t="n"/>
      <c r="P187" s="47" t="n"/>
      <c r="Q187" s="47" t="n"/>
      <c r="R187" s="47" t="n"/>
      <c r="S187" s="47" t="n"/>
      <c r="T187" s="47" t="n"/>
      <c r="U187" s="47" t="n"/>
      <c r="V187" s="47" t="n"/>
      <c r="W187" s="47" t="n"/>
      <c r="X187" s="47" t="n"/>
      <c r="Y187" s="47" t="n"/>
      <c r="Z187" s="47" t="n"/>
    </row>
    <row r="188" ht="15.75" customHeight="1" s="185">
      <c r="A188" s="55" t="n"/>
      <c r="B188" s="55" t="n"/>
      <c r="C188" s="47" t="n"/>
      <c r="D188" s="47" t="n"/>
      <c r="E188" s="47" t="n"/>
      <c r="F188" s="47" t="n"/>
      <c r="G188" s="47" t="n"/>
      <c r="H188" s="47" t="n"/>
      <c r="I188" s="47" t="n"/>
      <c r="J188" s="47" t="n"/>
      <c r="K188" s="47" t="n"/>
      <c r="L188" s="47" t="n"/>
      <c r="M188" s="47" t="n"/>
      <c r="N188" s="47" t="n"/>
      <c r="O188" s="47" t="n"/>
      <c r="P188" s="47" t="n"/>
      <c r="Q188" s="47" t="n"/>
      <c r="R188" s="47" t="n"/>
      <c r="S188" s="47" t="n"/>
      <c r="T188" s="47" t="n"/>
      <c r="U188" s="47" t="n"/>
      <c r="V188" s="47" t="n"/>
      <c r="W188" s="47" t="n"/>
      <c r="X188" s="47" t="n"/>
      <c r="Y188" s="47" t="n"/>
      <c r="Z188" s="47" t="n"/>
    </row>
    <row r="189" ht="15.75" customHeight="1" s="185">
      <c r="A189" s="55" t="n"/>
      <c r="B189" s="55" t="n"/>
      <c r="C189" s="47" t="n"/>
      <c r="D189" s="47" t="n"/>
      <c r="E189" s="47" t="n"/>
      <c r="F189" s="47" t="n"/>
      <c r="G189" s="47" t="n"/>
      <c r="H189" s="47" t="n"/>
      <c r="I189" s="47" t="n"/>
      <c r="J189" s="47" t="n"/>
      <c r="K189" s="47" t="n"/>
      <c r="L189" s="47" t="n"/>
      <c r="M189" s="47" t="n"/>
      <c r="N189" s="47" t="n"/>
      <c r="O189" s="47" t="n"/>
      <c r="P189" s="47" t="n"/>
      <c r="Q189" s="47" t="n"/>
      <c r="R189" s="47" t="n"/>
      <c r="S189" s="47" t="n"/>
      <c r="T189" s="47" t="n"/>
      <c r="U189" s="47" t="n"/>
      <c r="V189" s="47" t="n"/>
      <c r="W189" s="47" t="n"/>
      <c r="X189" s="47" t="n"/>
      <c r="Y189" s="47" t="n"/>
      <c r="Z189" s="47" t="n"/>
    </row>
    <row r="190" ht="15.75" customHeight="1" s="185">
      <c r="A190" s="55" t="n"/>
      <c r="B190" s="55" t="n"/>
      <c r="C190" s="47" t="n"/>
      <c r="D190" s="47" t="n"/>
      <c r="E190" s="47" t="n"/>
      <c r="F190" s="47" t="n"/>
      <c r="G190" s="47" t="n"/>
      <c r="H190" s="47" t="n"/>
      <c r="I190" s="47" t="n"/>
      <c r="J190" s="47" t="n"/>
      <c r="K190" s="47" t="n"/>
      <c r="L190" s="47" t="n"/>
      <c r="M190" s="47" t="n"/>
      <c r="N190" s="47" t="n"/>
      <c r="O190" s="47" t="n"/>
      <c r="P190" s="47" t="n"/>
      <c r="Q190" s="47" t="n"/>
      <c r="R190" s="47" t="n"/>
      <c r="S190" s="47" t="n"/>
      <c r="T190" s="47" t="n"/>
      <c r="U190" s="47" t="n"/>
      <c r="V190" s="47" t="n"/>
      <c r="W190" s="47" t="n"/>
      <c r="X190" s="47" t="n"/>
      <c r="Y190" s="47" t="n"/>
      <c r="Z190" s="47" t="n"/>
    </row>
    <row r="191" ht="15.75" customHeight="1" s="185">
      <c r="A191" s="55" t="n"/>
      <c r="B191" s="55" t="n"/>
      <c r="C191" s="47" t="n"/>
      <c r="D191" s="47" t="n"/>
      <c r="E191" s="47" t="n"/>
      <c r="F191" s="47" t="n"/>
      <c r="G191" s="47" t="n"/>
      <c r="H191" s="47" t="n"/>
      <c r="I191" s="47" t="n"/>
      <c r="J191" s="47" t="n"/>
      <c r="K191" s="47" t="n"/>
      <c r="L191" s="47" t="n"/>
      <c r="M191" s="47" t="n"/>
      <c r="N191" s="47" t="n"/>
      <c r="O191" s="47" t="n"/>
      <c r="P191" s="47" t="n"/>
      <c r="Q191" s="47" t="n"/>
      <c r="R191" s="47" t="n"/>
      <c r="S191" s="47" t="n"/>
      <c r="T191" s="47" t="n"/>
      <c r="U191" s="47" t="n"/>
      <c r="V191" s="47" t="n"/>
      <c r="W191" s="47" t="n"/>
      <c r="X191" s="47" t="n"/>
      <c r="Y191" s="47" t="n"/>
      <c r="Z191" s="47" t="n"/>
    </row>
    <row r="192" ht="15.75" customHeight="1" s="185">
      <c r="A192" s="55" t="n"/>
      <c r="B192" s="55" t="n"/>
      <c r="C192" s="47" t="n"/>
      <c r="D192" s="47" t="n"/>
      <c r="E192" s="47" t="n"/>
      <c r="F192" s="47" t="n"/>
      <c r="G192" s="47" t="n"/>
      <c r="H192" s="47" t="n"/>
      <c r="I192" s="47" t="n"/>
      <c r="J192" s="47" t="n"/>
      <c r="K192" s="47" t="n"/>
      <c r="L192" s="47" t="n"/>
      <c r="M192" s="47" t="n"/>
      <c r="N192" s="47" t="n"/>
      <c r="O192" s="47" t="n"/>
      <c r="P192" s="47" t="n"/>
      <c r="Q192" s="47" t="n"/>
      <c r="R192" s="47" t="n"/>
      <c r="S192" s="47" t="n"/>
      <c r="T192" s="47" t="n"/>
      <c r="U192" s="47" t="n"/>
      <c r="V192" s="47" t="n"/>
      <c r="W192" s="47" t="n"/>
      <c r="X192" s="47" t="n"/>
      <c r="Y192" s="47" t="n"/>
      <c r="Z192" s="47" t="n"/>
    </row>
    <row r="193" ht="15.75" customHeight="1" s="185">
      <c r="A193" s="55" t="n"/>
      <c r="B193" s="55" t="n"/>
      <c r="C193" s="47" t="n"/>
      <c r="D193" s="47" t="n"/>
      <c r="E193" s="47" t="n"/>
      <c r="F193" s="47" t="n"/>
      <c r="G193" s="47" t="n"/>
      <c r="H193" s="47" t="n"/>
      <c r="I193" s="47" t="n"/>
      <c r="J193" s="47" t="n"/>
      <c r="K193" s="47" t="n"/>
      <c r="L193" s="47" t="n"/>
      <c r="M193" s="47" t="n"/>
      <c r="N193" s="47" t="n"/>
      <c r="O193" s="47" t="n"/>
      <c r="P193" s="47" t="n"/>
      <c r="Q193" s="47" t="n"/>
      <c r="R193" s="47" t="n"/>
      <c r="S193" s="47" t="n"/>
      <c r="T193" s="47" t="n"/>
      <c r="U193" s="47" t="n"/>
      <c r="V193" s="47" t="n"/>
      <c r="W193" s="47" t="n"/>
      <c r="X193" s="47" t="n"/>
      <c r="Y193" s="47" t="n"/>
      <c r="Z193" s="47" t="n"/>
    </row>
    <row r="194" ht="15.75" customHeight="1" s="185">
      <c r="A194" s="55" t="n"/>
      <c r="B194" s="55" t="n"/>
      <c r="C194" s="47" t="n"/>
      <c r="D194" s="47" t="n"/>
      <c r="E194" s="47" t="n"/>
      <c r="F194" s="47" t="n"/>
      <c r="G194" s="47" t="n"/>
      <c r="H194" s="47" t="n"/>
      <c r="I194" s="47" t="n"/>
      <c r="J194" s="47" t="n"/>
      <c r="K194" s="47" t="n"/>
      <c r="L194" s="47" t="n"/>
      <c r="M194" s="47" t="n"/>
      <c r="N194" s="47" t="n"/>
      <c r="O194" s="47" t="n"/>
      <c r="P194" s="47" t="n"/>
      <c r="Q194" s="47" t="n"/>
      <c r="R194" s="47" t="n"/>
      <c r="S194" s="47" t="n"/>
      <c r="T194" s="47" t="n"/>
      <c r="U194" s="47" t="n"/>
      <c r="V194" s="47" t="n"/>
      <c r="W194" s="47" t="n"/>
      <c r="X194" s="47" t="n"/>
      <c r="Y194" s="47" t="n"/>
      <c r="Z194" s="47" t="n"/>
    </row>
    <row r="195" ht="15.75" customHeight="1" s="185">
      <c r="A195" s="55" t="n"/>
      <c r="B195" s="55" t="n"/>
      <c r="C195" s="47" t="n"/>
      <c r="D195" s="47" t="n"/>
      <c r="E195" s="47" t="n"/>
      <c r="F195" s="47" t="n"/>
      <c r="G195" s="47" t="n"/>
      <c r="H195" s="47" t="n"/>
      <c r="I195" s="47" t="n"/>
      <c r="J195" s="47" t="n"/>
      <c r="K195" s="47" t="n"/>
      <c r="L195" s="47" t="n"/>
      <c r="M195" s="47" t="n"/>
      <c r="N195" s="47" t="n"/>
      <c r="O195" s="47" t="n"/>
      <c r="P195" s="47" t="n"/>
      <c r="Q195" s="47" t="n"/>
      <c r="R195" s="47" t="n"/>
      <c r="S195" s="47" t="n"/>
      <c r="T195" s="47" t="n"/>
      <c r="U195" s="47" t="n"/>
      <c r="V195" s="47" t="n"/>
      <c r="W195" s="47" t="n"/>
      <c r="X195" s="47" t="n"/>
      <c r="Y195" s="47" t="n"/>
      <c r="Z195" s="47" t="n"/>
    </row>
    <row r="196" ht="15.75" customHeight="1" s="185">
      <c r="A196" s="55" t="n"/>
      <c r="B196" s="55" t="n"/>
      <c r="C196" s="47" t="n"/>
      <c r="D196" s="47" t="n"/>
      <c r="E196" s="47" t="n"/>
      <c r="F196" s="47" t="n"/>
      <c r="G196" s="47" t="n"/>
      <c r="H196" s="47" t="n"/>
      <c r="I196" s="47" t="n"/>
      <c r="J196" s="47" t="n"/>
      <c r="K196" s="47" t="n"/>
      <c r="L196" s="47" t="n"/>
      <c r="M196" s="47" t="n"/>
      <c r="N196" s="47" t="n"/>
      <c r="O196" s="47" t="n"/>
      <c r="P196" s="47" t="n"/>
      <c r="Q196" s="47" t="n"/>
      <c r="R196" s="47" t="n"/>
      <c r="S196" s="47" t="n"/>
      <c r="T196" s="47" t="n"/>
      <c r="U196" s="47" t="n"/>
      <c r="V196" s="47" t="n"/>
      <c r="W196" s="47" t="n"/>
      <c r="X196" s="47" t="n"/>
      <c r="Y196" s="47" t="n"/>
      <c r="Z196" s="47" t="n"/>
    </row>
    <row r="197" ht="15.75" customHeight="1" s="185">
      <c r="A197" s="55" t="n"/>
      <c r="B197" s="55" t="n"/>
      <c r="C197" s="47" t="n"/>
      <c r="D197" s="47" t="n"/>
      <c r="E197" s="47" t="n"/>
      <c r="F197" s="47" t="n"/>
      <c r="G197" s="47" t="n"/>
      <c r="H197" s="47" t="n"/>
      <c r="I197" s="47" t="n"/>
      <c r="J197" s="47" t="n"/>
      <c r="K197" s="47" t="n"/>
      <c r="L197" s="47" t="n"/>
      <c r="M197" s="47" t="n"/>
      <c r="N197" s="47" t="n"/>
      <c r="O197" s="47" t="n"/>
      <c r="P197" s="47" t="n"/>
      <c r="Q197" s="47" t="n"/>
      <c r="R197" s="47" t="n"/>
      <c r="S197" s="47" t="n"/>
      <c r="T197" s="47" t="n"/>
      <c r="U197" s="47" t="n"/>
      <c r="V197" s="47" t="n"/>
      <c r="W197" s="47" t="n"/>
      <c r="X197" s="47" t="n"/>
      <c r="Y197" s="47" t="n"/>
      <c r="Z197" s="47" t="n"/>
    </row>
    <row r="198" ht="15.75" customHeight="1" s="185">
      <c r="A198" s="55" t="n"/>
      <c r="B198" s="55" t="n"/>
      <c r="C198" s="47" t="n"/>
      <c r="D198" s="47" t="n"/>
      <c r="E198" s="47" t="n"/>
      <c r="F198" s="47" t="n"/>
      <c r="G198" s="47" t="n"/>
      <c r="H198" s="47" t="n"/>
      <c r="I198" s="47" t="n"/>
      <c r="J198" s="47" t="n"/>
      <c r="K198" s="47" t="n"/>
      <c r="L198" s="47" t="n"/>
      <c r="M198" s="47" t="n"/>
      <c r="N198" s="47" t="n"/>
      <c r="O198" s="47" t="n"/>
      <c r="P198" s="47" t="n"/>
      <c r="Q198" s="47" t="n"/>
      <c r="R198" s="47" t="n"/>
      <c r="S198" s="47" t="n"/>
      <c r="T198" s="47" t="n"/>
      <c r="U198" s="47" t="n"/>
      <c r="V198" s="47" t="n"/>
      <c r="W198" s="47" t="n"/>
      <c r="X198" s="47" t="n"/>
      <c r="Y198" s="47" t="n"/>
      <c r="Z198" s="47" t="n"/>
    </row>
    <row r="199" ht="15.75" customHeight="1" s="185">
      <c r="A199" s="55" t="n"/>
      <c r="B199" s="55" t="n"/>
      <c r="C199" s="47" t="n"/>
      <c r="D199" s="47" t="n"/>
      <c r="E199" s="47" t="n"/>
      <c r="F199" s="47" t="n"/>
      <c r="G199" s="47" t="n"/>
      <c r="H199" s="47" t="n"/>
      <c r="I199" s="47" t="n"/>
      <c r="J199" s="47" t="n"/>
      <c r="K199" s="47" t="n"/>
      <c r="L199" s="47" t="n"/>
      <c r="M199" s="47" t="n"/>
      <c r="N199" s="47" t="n"/>
      <c r="O199" s="47" t="n"/>
      <c r="P199" s="47" t="n"/>
      <c r="Q199" s="47" t="n"/>
      <c r="R199" s="47" t="n"/>
      <c r="S199" s="47" t="n"/>
      <c r="T199" s="47" t="n"/>
      <c r="U199" s="47" t="n"/>
      <c r="V199" s="47" t="n"/>
      <c r="W199" s="47" t="n"/>
      <c r="X199" s="47" t="n"/>
      <c r="Y199" s="47" t="n"/>
      <c r="Z199" s="47" t="n"/>
    </row>
    <row r="200" ht="15.75" customHeight="1" s="185">
      <c r="A200" s="55" t="n"/>
      <c r="B200" s="55" t="n"/>
      <c r="C200" s="47" t="n"/>
      <c r="D200" s="47" t="n"/>
      <c r="E200" s="47" t="n"/>
      <c r="F200" s="47" t="n"/>
      <c r="G200" s="47" t="n"/>
      <c r="H200" s="47" t="n"/>
      <c r="I200" s="47" t="n"/>
      <c r="J200" s="47" t="n"/>
      <c r="K200" s="47" t="n"/>
      <c r="L200" s="47" t="n"/>
      <c r="M200" s="47" t="n"/>
      <c r="N200" s="47" t="n"/>
      <c r="O200" s="47" t="n"/>
      <c r="P200" s="47" t="n"/>
      <c r="Q200" s="47" t="n"/>
      <c r="R200" s="47" t="n"/>
      <c r="S200" s="47" t="n"/>
      <c r="T200" s="47" t="n"/>
      <c r="U200" s="47" t="n"/>
      <c r="V200" s="47" t="n"/>
      <c r="W200" s="47" t="n"/>
      <c r="X200" s="47" t="n"/>
      <c r="Y200" s="47" t="n"/>
      <c r="Z200" s="47" t="n"/>
    </row>
    <row r="201" ht="15.75" customHeight="1" s="185">
      <c r="A201" s="55" t="n"/>
      <c r="B201" s="55" t="n"/>
      <c r="C201" s="47" t="n"/>
      <c r="D201" s="47" t="n"/>
      <c r="E201" s="47" t="n"/>
      <c r="F201" s="47" t="n"/>
      <c r="G201" s="47" t="n"/>
      <c r="H201" s="47" t="n"/>
      <c r="I201" s="47" t="n"/>
      <c r="J201" s="47" t="n"/>
      <c r="K201" s="47" t="n"/>
      <c r="L201" s="47" t="n"/>
      <c r="M201" s="47" t="n"/>
      <c r="N201" s="47" t="n"/>
      <c r="O201" s="47" t="n"/>
      <c r="P201" s="47" t="n"/>
      <c r="Q201" s="47" t="n"/>
      <c r="R201" s="47" t="n"/>
      <c r="S201" s="47" t="n"/>
      <c r="T201" s="47" t="n"/>
      <c r="U201" s="47" t="n"/>
      <c r="V201" s="47" t="n"/>
      <c r="W201" s="47" t="n"/>
      <c r="X201" s="47" t="n"/>
      <c r="Y201" s="47" t="n"/>
      <c r="Z201" s="47" t="n"/>
    </row>
    <row r="202" ht="15.75" customHeight="1" s="185">
      <c r="A202" s="55" t="n"/>
      <c r="B202" s="55"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row>
    <row r="203" ht="15.75" customHeight="1" s="185">
      <c r="A203" s="55" t="n"/>
      <c r="B203" s="55"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row>
    <row r="204" ht="15.75" customHeight="1" s="185">
      <c r="A204" s="55" t="n"/>
      <c r="B204" s="55"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row>
    <row r="205" ht="15.75" customHeight="1" s="185">
      <c r="A205" s="55" t="n"/>
      <c r="B205" s="55"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row>
    <row r="206" ht="15.75" customHeight="1" s="185">
      <c r="A206" s="55" t="n"/>
      <c r="B206" s="55"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row>
    <row r="207" ht="15.75" customHeight="1" s="185">
      <c r="A207" s="55" t="n"/>
      <c r="B207" s="55"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row>
    <row r="208" ht="15.75" customHeight="1" s="185">
      <c r="A208" s="55" t="n"/>
      <c r="B208" s="55"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row>
    <row r="209" ht="15.75" customHeight="1" s="185">
      <c r="A209" s="55" t="n"/>
      <c r="B209" s="55"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row>
    <row r="210" ht="15.75" customHeight="1" s="185">
      <c r="A210" s="55" t="n"/>
      <c r="B210" s="55"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row>
    <row r="211" ht="15.75" customHeight="1" s="185">
      <c r="A211" s="55" t="n"/>
      <c r="B211" s="55"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row>
    <row r="212" ht="15.75" customHeight="1" s="185">
      <c r="A212" s="55" t="n"/>
      <c r="B212" s="55"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row>
    <row r="213" ht="15.75" customHeight="1" s="185">
      <c r="A213" s="55" t="n"/>
      <c r="B213" s="55"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row>
    <row r="214" ht="15.75" customHeight="1" s="185">
      <c r="A214" s="55" t="n"/>
      <c r="B214" s="55"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row>
    <row r="215" ht="15.75" customHeight="1" s="185">
      <c r="A215" s="55" t="n"/>
      <c r="B215" s="55"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row>
    <row r="216" ht="15.75" customHeight="1" s="185">
      <c r="A216" s="55" t="n"/>
      <c r="B216" s="55"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row>
    <row r="217" ht="15.75" customHeight="1" s="185">
      <c r="A217" s="55" t="n"/>
      <c r="B217" s="55"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row>
    <row r="218" ht="15.75" customHeight="1" s="185">
      <c r="A218" s="55" t="n"/>
      <c r="B218" s="55"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row>
    <row r="219" ht="15.75" customHeight="1" s="185">
      <c r="A219" s="55" t="n"/>
      <c r="B219" s="55"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row>
    <row r="220" ht="15.75" customHeight="1" s="185">
      <c r="A220" s="55" t="n"/>
      <c r="B220" s="55"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row>
    <row r="221" ht="15.75" customHeight="1" s="185">
      <c r="A221" s="55" t="n"/>
      <c r="B221" s="55"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row>
    <row r="222" ht="15.75" customHeight="1" s="185">
      <c r="A222" s="55" t="n"/>
      <c r="B222" s="55"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row>
    <row r="223" ht="15.75" customHeight="1" s="185">
      <c r="A223" s="55" t="n"/>
      <c r="B223" s="55"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row>
    <row r="224" ht="15.75" customHeight="1" s="185">
      <c r="A224" s="55" t="n"/>
      <c r="B224" s="55"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row>
    <row r="225" ht="15.75" customHeight="1" s="185">
      <c r="A225" s="55" t="n"/>
      <c r="B225" s="55"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row>
    <row r="226" ht="15.75" customHeight="1" s="185">
      <c r="A226" s="55" t="n"/>
      <c r="B226" s="55"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row>
    <row r="227" ht="15.75" customHeight="1" s="185">
      <c r="A227" s="55" t="n"/>
      <c r="B227" s="55"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row>
    <row r="228" ht="15.75" customHeight="1" s="185">
      <c r="A228" s="55" t="n"/>
      <c r="B228" s="55"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row>
    <row r="229" ht="15.75" customHeight="1" s="185">
      <c r="A229" s="55" t="n"/>
      <c r="B229" s="55"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row>
    <row r="230" ht="15.75" customHeight="1" s="185">
      <c r="A230" s="55" t="n"/>
      <c r="B230" s="55"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row>
    <row r="231" ht="15.75" customHeight="1" s="185">
      <c r="A231" s="55" t="n"/>
      <c r="B231" s="55"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row>
    <row r="232" ht="15.75" customHeight="1" s="185">
      <c r="A232" s="55" t="n"/>
      <c r="B232" s="55"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row>
    <row r="233" ht="15.75" customHeight="1" s="185">
      <c r="A233" s="55" t="n"/>
      <c r="B233" s="55"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row>
    <row r="234" ht="15.75" customHeight="1" s="185">
      <c r="A234" s="55" t="n"/>
      <c r="B234" s="55"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row>
    <row r="235" ht="15.75" customHeight="1" s="185">
      <c r="A235" s="55" t="n"/>
      <c r="B235" s="55"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row>
    <row r="236" ht="15.75" customHeight="1" s="185">
      <c r="A236" s="55" t="n"/>
      <c r="B236" s="55"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row>
    <row r="237" ht="15.75" customHeight="1" s="185">
      <c r="A237" s="55" t="n"/>
      <c r="B237" s="55"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row>
    <row r="238" ht="15.75" customHeight="1" s="185">
      <c r="A238" s="55" t="n"/>
      <c r="B238" s="55"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row>
    <row r="239" ht="15.75" customHeight="1" s="185">
      <c r="A239" s="55" t="n"/>
      <c r="B239" s="55"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row>
    <row r="240" ht="15.75" customHeight="1" s="185">
      <c r="A240" s="55" t="n"/>
      <c r="B240" s="55"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row>
    <row r="241" ht="15.75" customHeight="1" s="185">
      <c r="A241" s="55" t="n"/>
      <c r="B241" s="55"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row>
    <row r="242" ht="15.75" customHeight="1" s="185">
      <c r="A242" s="55" t="n"/>
      <c r="B242" s="55"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row>
    <row r="243" ht="15.75" customHeight="1" s="185">
      <c r="A243" s="55" t="n"/>
      <c r="B243" s="55"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row>
    <row r="244" ht="15.75" customHeight="1" s="185">
      <c r="A244" s="55" t="n"/>
      <c r="B244" s="55"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row>
    <row r="245" ht="15.75" customHeight="1" s="185">
      <c r="A245" s="55" t="n"/>
      <c r="B245" s="55"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row>
    <row r="246" ht="15.75" customHeight="1" s="185">
      <c r="A246" s="55" t="n"/>
      <c r="B246" s="55"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row>
    <row r="247" ht="15.75" customHeight="1" s="185">
      <c r="A247" s="55" t="n"/>
      <c r="B247" s="55"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row>
    <row r="248" ht="15.75" customHeight="1" s="185">
      <c r="A248" s="55" t="n"/>
      <c r="B248" s="55"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row>
    <row r="249" ht="15.75" customHeight="1" s="185">
      <c r="A249" s="55" t="n"/>
      <c r="B249" s="55"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row>
    <row r="250" ht="15.75" customHeight="1" s="185">
      <c r="A250" s="55" t="n"/>
      <c r="B250" s="55"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row>
  </sheetData>
  <mergeCells count="1">
    <mergeCell ref="B1:C1"/>
  </mergeCells>
  <dataValidations count="4">
    <dataValidation sqref="H4:H54" showDropDown="0" showInputMessage="0" showErrorMessage="1" allowBlank="1" type="list">
      <formula1>"既存,可,不可"</formula1>
    </dataValidation>
    <dataValidation sqref="G4:G54" showDropDown="0" showInputMessage="0" showErrorMessage="1" allowBlank="1" type="list">
      <formula1>"あり,なし"</formula1>
    </dataValidation>
    <dataValidation sqref="K4:K54" showDropDown="0" showInputMessage="0" showErrorMessage="1" allowBlank="1" type="list">
      <formula1>"OK,要修正,未確認,修正中"</formula1>
    </dataValidation>
    <dataValidation sqref="L4:L54" showDropDown="0" showInputMessage="0" showErrorMessage="1" allowBlank="1" type="list">
      <formula1>"クリニック,クリニック以外,たぶんクリニック"</formula1>
    </dataValidation>
  </dataValidation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I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I39" r:id="rId38"/>
    <hyperlink xmlns:r="http://schemas.openxmlformats.org/officeDocument/2006/relationships" ref="C40" r:id="rId39"/>
    <hyperlink xmlns:r="http://schemas.openxmlformats.org/officeDocument/2006/relationships" ref="I40" r:id="rId40"/>
    <hyperlink xmlns:r="http://schemas.openxmlformats.org/officeDocument/2006/relationships" ref="C41" r:id="rId41"/>
    <hyperlink xmlns:r="http://schemas.openxmlformats.org/officeDocument/2006/relationships" ref="C42" r:id="rId42"/>
    <hyperlink xmlns:r="http://schemas.openxmlformats.org/officeDocument/2006/relationships" ref="C43" r:id="rId43"/>
    <hyperlink xmlns:r="http://schemas.openxmlformats.org/officeDocument/2006/relationships" ref="C44" r:id="rId44"/>
    <hyperlink xmlns:r="http://schemas.openxmlformats.org/officeDocument/2006/relationships" ref="C45" r:id="rId45"/>
    <hyperlink xmlns:r="http://schemas.openxmlformats.org/officeDocument/2006/relationships" ref="I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I49" r:id="rId51"/>
    <hyperlink xmlns:r="http://schemas.openxmlformats.org/officeDocument/2006/relationships" ref="C50" r:id="rId52"/>
    <hyperlink xmlns:r="http://schemas.openxmlformats.org/officeDocument/2006/relationships" ref="I50" r:id="rId53"/>
    <hyperlink xmlns:r="http://schemas.openxmlformats.org/officeDocument/2006/relationships" ref="C51" r:id="rId54"/>
    <hyperlink xmlns:r="http://schemas.openxmlformats.org/officeDocument/2006/relationships" ref="I51" r:id="rId55"/>
    <hyperlink xmlns:r="http://schemas.openxmlformats.org/officeDocument/2006/relationships" ref="C52" r:id="rId56"/>
    <hyperlink xmlns:r="http://schemas.openxmlformats.org/officeDocument/2006/relationships" ref="C53" r:id="rId57"/>
    <hyperlink xmlns:r="http://schemas.openxmlformats.org/officeDocument/2006/relationships" ref="C54" r:id="rId58"/>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N546"/>
  <sheetViews>
    <sheetView workbookViewId="0">
      <selection activeCell="A1" sqref="A1"/>
    </sheetView>
  </sheetViews>
  <sheetFormatPr baseColWidth="8" defaultColWidth="12.63" defaultRowHeight="15.75" customHeight="1"/>
  <cols>
    <col width="46.88" customWidth="1" style="185" min="2" max="2"/>
    <col width="102.5" customWidth="1" style="185" min="3" max="3"/>
    <col width="20.38" customWidth="1" style="185" min="4" max="4"/>
    <col width="20.88" customWidth="1" style="185" min="5" max="5"/>
    <col width="27.25" customWidth="1" style="185" min="6" max="6"/>
    <col width="16.63" customWidth="1" style="185" min="7" max="7"/>
    <col width="39.25" customWidth="1" style="185" min="11" max="11"/>
  </cols>
  <sheetData>
    <row r="1">
      <c r="A1" s="57" t="inlineStr">
        <is>
          <t>企画・構成案</t>
        </is>
      </c>
      <c r="B1" s="58" t="inlineStr">
        <is>
          <t>「SEO対策」構成案 未完成</t>
        </is>
      </c>
      <c r="C1" s="59" t="n"/>
      <c r="D1" s="59" t="n"/>
      <c r="N1" s="88" t="n"/>
    </row>
    <row r="2">
      <c r="A2" s="84" t="n"/>
      <c r="B2" s="62" t="inlineStr">
        <is>
          <t>ＵＲＬ</t>
        </is>
      </c>
      <c r="C2" s="62" t="inlineStr">
        <is>
          <t>タイトル</t>
        </is>
      </c>
      <c r="D2" s="62" t="inlineStr">
        <is>
          <t>KW</t>
        </is>
      </c>
      <c r="F2" s="63" t="inlineStr">
        <is>
          <t>キーワード</t>
        </is>
      </c>
      <c r="G2" s="63" t="inlineStr">
        <is>
          <t>1位</t>
        </is>
      </c>
      <c r="H2" s="63" t="inlineStr">
        <is>
          <t>2位</t>
        </is>
      </c>
      <c r="I2" s="63" t="inlineStr">
        <is>
          <t>3位</t>
        </is>
      </c>
      <c r="J2" s="63" t="inlineStr">
        <is>
          <t>5位</t>
        </is>
      </c>
      <c r="K2" s="57" t="inlineStr">
        <is>
          <t>メモ</t>
        </is>
      </c>
      <c r="N2" s="88" t="n"/>
    </row>
    <row r="3">
      <c r="A3" s="84" t="inlineStr">
        <is>
          <t>1位</t>
        </is>
      </c>
      <c r="B3" s="15" t="inlineStr">
        <is>
          <t>https://www.willgate.co.jp/promonista/seo-how-to-start-it/</t>
        </is>
      </c>
      <c r="C3" s="84" t="inlineStr">
        <is>
          <t>【2026年最新】SEOとは？SEO対策の基本から施策方法までを解説！ ウィルゲート</t>
        </is>
      </c>
      <c r="F3" s="92" t="inlineStr">
        <is>
          <t>内部リンク</t>
        </is>
      </c>
      <c r="G3" s="72" t="inlineStr">
        <is>
          <t>〇</t>
        </is>
      </c>
      <c r="H3" s="72" t="inlineStr">
        <is>
          <t>〇</t>
        </is>
      </c>
      <c r="I3" s="72" t="inlineStr">
        <is>
          <t>〇</t>
        </is>
      </c>
      <c r="J3" s="72" t="inlineStr">
        <is>
          <t>〇</t>
        </is>
      </c>
      <c r="K3" s="103" t="inlineStr">
        <is>
          <t>内部対策 / 内部SEO / 内部設計</t>
        </is>
      </c>
      <c r="N3" s="88" t="n"/>
    </row>
    <row r="4">
      <c r="B4" s="84" t="n"/>
      <c r="F4" s="95" t="inlineStr">
        <is>
          <t>E-E-A-T</t>
        </is>
      </c>
      <c r="G4" s="72" t="inlineStr">
        <is>
          <t>〇</t>
        </is>
      </c>
      <c r="H4" s="72" t="inlineStr">
        <is>
          <t>〇</t>
        </is>
      </c>
      <c r="I4" s="72" t="inlineStr">
        <is>
          <t>〇</t>
        </is>
      </c>
      <c r="J4" s="103" t="inlineStr">
        <is>
          <t>-</t>
        </is>
      </c>
      <c r="K4" s="84" t="inlineStr">
        <is>
          <t>外部対策 / 外部施策 / 被リンク獲得</t>
        </is>
      </c>
      <c r="N4" s="88" t="n"/>
    </row>
    <row r="5">
      <c r="A5" s="84" t="inlineStr">
        <is>
          <t>内部発リンク</t>
        </is>
      </c>
      <c r="B5" s="16" t="inlineStr">
        <is>
          <t>https://www.willgate.co.jp/promonista/casestudy/mixi_recruitment/</t>
        </is>
      </c>
      <c r="C5" s="84" t="inlineStr">
        <is>
          <t>専門情報サイトのセッション下落が低品質ページ対策で回復した事例 | プロモニスタ</t>
        </is>
      </c>
      <c r="D5" s="84" t="inlineStr">
        <is>
          <t>低品質ページ回復</t>
        </is>
      </c>
      <c r="F5" s="95" t="inlineStr">
        <is>
          <t>ブラックハットSEO</t>
        </is>
      </c>
      <c r="G5" s="72" t="inlineStr">
        <is>
          <t>〇</t>
        </is>
      </c>
      <c r="H5" s="72" t="inlineStr">
        <is>
          <t>〇</t>
        </is>
      </c>
      <c r="I5" s="72" t="inlineStr">
        <is>
          <t>〇</t>
        </is>
      </c>
      <c r="J5" s="103" t="inlineStr">
        <is>
          <t>-</t>
        </is>
      </c>
      <c r="K5" s="84" t="inlineStr">
        <is>
          <t>表示速度 / ページスピード / コアウェブバイタル</t>
        </is>
      </c>
      <c r="N5" s="88" t="n"/>
    </row>
    <row r="6">
      <c r="B6" s="16" t="inlineStr">
        <is>
          <t>https://www.willgate.co.jp/promonista/glossary-index/</t>
        </is>
      </c>
      <c r="C6" s="84" t="inlineStr">
        <is>
          <t>インデックス（index）とは何か？+インデックスを早める手法3つ【SEO用語解説】 | プロモニスタ</t>
        </is>
      </c>
      <c r="D6" s="84" t="inlineStr">
        <is>
          <t>インデックス</t>
        </is>
      </c>
      <c r="F6" s="95" t="inlineStr">
        <is>
          <t>重複コンテンツ</t>
        </is>
      </c>
      <c r="G6" s="72" t="inlineStr">
        <is>
          <t>〇</t>
        </is>
      </c>
      <c r="H6" s="72" t="inlineStr">
        <is>
          <t>〇</t>
        </is>
      </c>
      <c r="I6" s="72" t="inlineStr">
        <is>
          <t>〇</t>
        </is>
      </c>
      <c r="J6" s="103" t="inlineStr">
        <is>
          <t>-</t>
        </is>
      </c>
      <c r="K6" s="84" t="inlineStr">
        <is>
          <t>コンテンツSEO / 記事制作 / オウンドメディア運用</t>
        </is>
      </c>
      <c r="N6" s="88" t="n"/>
    </row>
    <row r="7">
      <c r="B7" s="16" t="inlineStr">
        <is>
          <t>https://www.willgate.co.jp/promonista/authoritativeness/</t>
        </is>
      </c>
      <c r="C7" s="84" t="inlineStr">
        <is>
          <t>SEOにおける「権威性」の重要性｜E-E-A-T・YMYLについて解説 | ウィルゲート</t>
        </is>
      </c>
      <c r="D7" s="84" t="inlineStr">
        <is>
          <t>E-E-A-T</t>
        </is>
      </c>
      <c r="F7" s="95" t="inlineStr">
        <is>
          <t>関連キーワード</t>
        </is>
      </c>
      <c r="G7" s="72" t="inlineStr">
        <is>
          <t>〇</t>
        </is>
      </c>
      <c r="H7" s="72" t="inlineStr">
        <is>
          <t>〇</t>
        </is>
      </c>
      <c r="I7" s="72" t="inlineStr">
        <is>
          <t>〇</t>
        </is>
      </c>
      <c r="J7" s="103" t="inlineStr">
        <is>
          <t>-</t>
        </is>
      </c>
      <c r="K7" s="84" t="inlineStr">
        <is>
          <t>サジェスト / サジェストキーワード</t>
        </is>
      </c>
      <c r="N7" s="88" t="n"/>
    </row>
    <row r="8">
      <c r="B8" s="16" t="inlineStr">
        <is>
          <t>https://www.willgate.co.jp/promonista/seo-ymyl/</t>
        </is>
      </c>
      <c r="C8" s="84" t="inlineStr">
        <is>
          <t>YMYLジャンルにおけるSEO対策は？具体的なポイントを4つ解説 | ウィルゲート</t>
        </is>
      </c>
      <c r="D8" s="84" t="inlineStr">
        <is>
          <t>YMYL</t>
        </is>
      </c>
      <c r="F8" s="95" t="inlineStr">
        <is>
          <t>hタグ</t>
        </is>
      </c>
      <c r="G8" s="72" t="inlineStr">
        <is>
          <t>〇</t>
        </is>
      </c>
      <c r="H8" s="72" t="inlineStr">
        <is>
          <t>〇</t>
        </is>
      </c>
      <c r="I8" s="72" t="inlineStr">
        <is>
          <t>〇</t>
        </is>
      </c>
      <c r="J8" s="103" t="inlineStr">
        <is>
          <t>-</t>
        </is>
      </c>
      <c r="K8" s="84" t="inlineStr">
        <is>
          <t>301リダイレクト / URL転送</t>
        </is>
      </c>
      <c r="N8" s="88" t="n"/>
    </row>
    <row r="9">
      <c r="B9" s="16" t="inlineStr">
        <is>
          <t>https://www.willgate.co.jp/promonista/blackhat-seo/</t>
        </is>
      </c>
      <c r="C9" s="84" t="inlineStr">
        <is>
          <t>ブラックハットSEOとは？ホワイトハットSEOとの違いや手法 | ウィルゲート</t>
        </is>
      </c>
      <c r="D9" s="70" t="inlineStr">
        <is>
          <t>ブラックハットSEO</t>
        </is>
      </c>
      <c r="F9" s="95" t="inlineStr">
        <is>
          <t>h1タグ</t>
        </is>
      </c>
      <c r="G9" s="72" t="inlineStr">
        <is>
          <t>〇</t>
        </is>
      </c>
      <c r="H9" s="72" t="inlineStr">
        <is>
          <t>〇</t>
        </is>
      </c>
      <c r="I9" s="72" t="inlineStr">
        <is>
          <t>〇</t>
        </is>
      </c>
      <c r="J9" s="103" t="inlineStr">
        <is>
          <t>-</t>
        </is>
      </c>
      <c r="K9" s="84" t="n"/>
      <c r="N9" s="88" t="n"/>
    </row>
    <row r="10">
      <c r="B10" s="16" t="inlineStr">
        <is>
          <t>https://www.willgate.co.jp/promonista/seo-duplicate-content/</t>
        </is>
      </c>
      <c r="C10" s="84" t="inlineStr">
        <is>
          <t>SEO対策で重複コンテンツを避けるべき理由は？対処法も併せて解説 | ウィルゲート</t>
        </is>
      </c>
      <c r="D10" s="84" t="inlineStr">
        <is>
          <t>重複コンテンツ</t>
        </is>
      </c>
      <c r="F10" s="95" t="inlineStr">
        <is>
          <t>検索エンジン</t>
        </is>
      </c>
      <c r="G10" s="72" t="inlineStr">
        <is>
          <t>-</t>
        </is>
      </c>
      <c r="H10" s="72" t="inlineStr">
        <is>
          <t>〇</t>
        </is>
      </c>
      <c r="I10" s="72" t="inlineStr">
        <is>
          <t>〇</t>
        </is>
      </c>
      <c r="J10" s="72" t="inlineStr">
        <is>
          <t>〇</t>
        </is>
      </c>
      <c r="K10" s="84" t="inlineStr">
        <is>
          <t>インデックス / インデックス登録</t>
        </is>
      </c>
      <c r="N10" s="88" t="n"/>
    </row>
    <row r="11">
      <c r="B11" s="16" t="inlineStr">
        <is>
          <t>https://www.willgate.co.jp/promonista/html_xml_sitemap/</t>
        </is>
      </c>
      <c r="C11" s="86" t="inlineStr">
        <is>
          <t>サイトマップとは？役割、SEO効果と作成方法を解説 | ウィルゲート</t>
        </is>
      </c>
      <c r="D11" s="84" t="inlineStr">
        <is>
          <t>サイトマップ</t>
        </is>
      </c>
      <c r="E11" s="103" t="n"/>
      <c r="F11" s="95" t="inlineStr">
        <is>
          <t>Googleアナリティクス4</t>
        </is>
      </c>
      <c r="G11" s="72" t="inlineStr">
        <is>
          <t>〇</t>
        </is>
      </c>
      <c r="H11" s="72" t="inlineStr">
        <is>
          <t>〇</t>
        </is>
      </c>
      <c r="I11" s="72" t="inlineStr">
        <is>
          <t>〇</t>
        </is>
      </c>
      <c r="J11" s="103" t="inlineStr">
        <is>
          <t>-</t>
        </is>
      </c>
      <c r="K11" s="84" t="inlineStr">
        <is>
          <t>インデックス削除 / noindex</t>
        </is>
      </c>
      <c r="N11" s="88" t="n"/>
    </row>
    <row r="12">
      <c r="B12" s="16" t="inlineStr">
        <is>
          <t>https://www.willgate.co.jp/promonista/glossary-sitemapxml/</t>
        </is>
      </c>
      <c r="C12" s="87" t="inlineStr">
        <is>
          <t>sitemap.xmlの作り方と効果的な使い方 | プロモニスタ</t>
        </is>
      </c>
      <c r="D12" s="84" t="inlineStr">
        <is>
          <t>XMLサイトマップ</t>
        </is>
      </c>
      <c r="F12" s="99" t="inlineStr">
        <is>
          <t>YMYL</t>
        </is>
      </c>
      <c r="G12" s="72" t="inlineStr">
        <is>
          <t>〇</t>
        </is>
      </c>
      <c r="H12" s="103" t="inlineStr">
        <is>
          <t>-</t>
        </is>
      </c>
      <c r="I12" s="72" t="inlineStr">
        <is>
          <t>〇</t>
        </is>
      </c>
      <c r="J12" s="103" t="inlineStr">
        <is>
          <t>-</t>
        </is>
      </c>
      <c r="K12" s="84" t="inlineStr">
        <is>
          <t>サイトマップ / XMLサイトマップ</t>
        </is>
      </c>
      <c r="N12" s="88" t="n"/>
    </row>
    <row r="13">
      <c r="B13" s="16" t="inlineStr">
        <is>
          <t>https://www.willgate.co.jp/promonista/casestudy/optimisation-of-naibulink/</t>
        </is>
      </c>
      <c r="C13" s="84" t="inlineStr">
        <is>
          <t>効果的な内部リンクの設計方法とは？上位表示に必要な理論と実例をご紹介 - プロモニスタ</t>
        </is>
      </c>
      <c r="D13" s="84" t="inlineStr">
        <is>
          <t>内部リンク</t>
        </is>
      </c>
      <c r="F13" s="99" t="inlineStr">
        <is>
          <t>サイトマップ</t>
        </is>
      </c>
      <c r="G13" s="72" t="inlineStr">
        <is>
          <t>〇</t>
        </is>
      </c>
      <c r="H13" s="103" t="inlineStr">
        <is>
          <t>-</t>
        </is>
      </c>
      <c r="I13" s="72" t="inlineStr">
        <is>
          <t>〇</t>
        </is>
      </c>
      <c r="J13" s="103" t="inlineStr">
        <is>
          <t>-</t>
        </is>
      </c>
      <c r="K13" s="84" t="inlineStr">
        <is>
          <t>Googleサーチコンソール / サチコ</t>
        </is>
      </c>
      <c r="N13" s="88" t="n"/>
    </row>
    <row r="14">
      <c r="B14" s="16" t="inlineStr">
        <is>
          <t>https://www.willgate.co.jp/promonista/ssl/</t>
        </is>
      </c>
      <c r="C14" s="84" t="inlineStr">
        <is>
          <t>Googleが全面支持する「常時SSL」のSEO対策への影響とは | ウィルゲート</t>
        </is>
      </c>
      <c r="D14" s="84" t="inlineStr">
        <is>
          <t>常時SSL</t>
        </is>
      </c>
      <c r="F14" s="99" t="inlineStr">
        <is>
          <t>XMLサイトマップ</t>
        </is>
      </c>
      <c r="G14" s="72" t="inlineStr">
        <is>
          <t>〇</t>
        </is>
      </c>
      <c r="H14" s="103" t="inlineStr">
        <is>
          <t>-</t>
        </is>
      </c>
      <c r="I14" s="72" t="inlineStr">
        <is>
          <t>〇</t>
        </is>
      </c>
      <c r="J14" s="103" t="inlineStr">
        <is>
          <t>-</t>
        </is>
      </c>
      <c r="N14" s="88" t="n"/>
    </row>
    <row r="15">
      <c r="B15" s="16" t="inlineStr">
        <is>
          <t>https://www.willgate.co.jp/promonista/title-number-of-characters/</t>
        </is>
      </c>
      <c r="C15" s="84" t="inlineStr">
        <is>
          <t>最適なタイトル文字数とは？SEOに効果的なタイトルの作り方を解説 | ウィルゲート</t>
        </is>
      </c>
      <c r="D15" s="84" t="inlineStr">
        <is>
          <t>タイトル文字数</t>
        </is>
      </c>
      <c r="F15" s="99" t="inlineStr">
        <is>
          <t>タイトル文字数</t>
        </is>
      </c>
      <c r="G15" s="72" t="inlineStr">
        <is>
          <t>〇</t>
        </is>
      </c>
      <c r="H15" s="72" t="inlineStr">
        <is>
          <t>〇</t>
        </is>
      </c>
      <c r="I15" s="103" t="inlineStr">
        <is>
          <t>-</t>
        </is>
      </c>
      <c r="J15" s="103" t="inlineStr">
        <is>
          <t>-</t>
        </is>
      </c>
      <c r="N15" s="88" t="n"/>
    </row>
    <row r="16">
      <c r="B16" s="16" t="inlineStr">
        <is>
          <t>https://www.willgate.co.jp/promonista/seo-titletag/</t>
        </is>
      </c>
      <c r="C16" s="84" t="inlineStr">
        <is>
          <t>SEOに効果的なtitle（タイトル）タグの記述方法とは？ | ウィルゲート</t>
        </is>
      </c>
      <c r="D16" s="84" t="inlineStr">
        <is>
          <t>titleタグ</t>
        </is>
      </c>
      <c r="F16" s="99" t="inlineStr">
        <is>
          <t>表示速度</t>
        </is>
      </c>
      <c r="G16" s="72" t="inlineStr">
        <is>
          <t>〇</t>
        </is>
      </c>
      <c r="H16" s="103" t="inlineStr">
        <is>
          <t>-</t>
        </is>
      </c>
      <c r="I16" s="72" t="inlineStr">
        <is>
          <t>〇</t>
        </is>
      </c>
      <c r="J16" s="103" t="inlineStr">
        <is>
          <t>-</t>
        </is>
      </c>
      <c r="N16" s="88" t="n"/>
    </row>
    <row r="17">
      <c r="B17" s="16" t="inlineStr">
        <is>
          <t>https://www.willgate.co.jp/promonista/page-speed/</t>
        </is>
      </c>
      <c r="C17" s="84" t="inlineStr">
        <is>
          <t>ページ表示速度の計測・改善方法｜Googleが重視する理由と対策 | ウィルゲート</t>
        </is>
      </c>
      <c r="D17" s="84" t="inlineStr">
        <is>
          <t>表示速度</t>
        </is>
      </c>
      <c r="F17" s="99" t="inlineStr">
        <is>
          <t>低品質ページ</t>
        </is>
      </c>
      <c r="G17" s="72" t="inlineStr">
        <is>
          <t>〇</t>
        </is>
      </c>
      <c r="H17" s="103" t="inlineStr">
        <is>
          <t>-</t>
        </is>
      </c>
      <c r="I17" s="72" t="inlineStr">
        <is>
          <t>〇</t>
        </is>
      </c>
      <c r="J17" s="103" t="inlineStr">
        <is>
          <t>-</t>
        </is>
      </c>
      <c r="N17" s="88" t="n"/>
    </row>
    <row r="18">
      <c r="B18" s="16" t="inlineStr">
        <is>
          <t>https://www.willgate.co.jp/promonista/googleanalytics-setting/</t>
        </is>
      </c>
      <c r="C18" s="84" t="inlineStr">
        <is>
          <t>Google Analytics（アナリティクス）の導入方法とおすすめの使い方4つ | プロモニスタ</t>
        </is>
      </c>
      <c r="D18" s="84" t="inlineStr">
        <is>
          <t>Google Analytics</t>
        </is>
      </c>
      <c r="F18" s="99" t="inlineStr">
        <is>
          <t>内部対策</t>
        </is>
      </c>
      <c r="G18" s="72" t="inlineStr">
        <is>
          <t>〇</t>
        </is>
      </c>
      <c r="H18" s="103" t="inlineStr">
        <is>
          <t>-</t>
        </is>
      </c>
      <c r="I18" s="72" t="inlineStr">
        <is>
          <t>〇</t>
        </is>
      </c>
      <c r="J18" s="103" t="inlineStr">
        <is>
          <t>-</t>
        </is>
      </c>
      <c r="N18" s="88" t="n"/>
    </row>
    <row r="19">
      <c r="B19" s="16" t="inlineStr">
        <is>
          <t>https://www.willgate.co.jp/promonista/google-analytics-4/</t>
        </is>
      </c>
      <c r="C19" s="84" t="inlineStr">
        <is>
          <t>Googleアナリティクス4（GA4）とは？メリットと設定方法を画像付きで徹底解説 | ウィルゲート</t>
        </is>
      </c>
      <c r="D19" s="84" t="inlineStr">
        <is>
          <t>Googleアナリティクス4</t>
        </is>
      </c>
      <c r="F19" s="99" t="inlineStr">
        <is>
          <t>nofollow属性</t>
        </is>
      </c>
      <c r="G19" s="72" t="inlineStr">
        <is>
          <t>〇</t>
        </is>
      </c>
      <c r="H19" s="103" t="inlineStr">
        <is>
          <t>-</t>
        </is>
      </c>
      <c r="I19" s="72" t="inlineStr">
        <is>
          <t>〇</t>
        </is>
      </c>
      <c r="J19" s="103" t="inlineStr">
        <is>
          <t>-</t>
        </is>
      </c>
      <c r="K19" s="103" t="n"/>
      <c r="N19" s="88" t="n"/>
    </row>
    <row r="20">
      <c r="B20" s="16" t="inlineStr">
        <is>
          <t>https://www.willgate.co.jp/promonista/internal-seo/</t>
        </is>
      </c>
      <c r="C20" s="84" t="inlineStr">
        <is>
          <t>SEO内部対策とは？具体的な方法と基本の13項目チェックリストでわかりやすく解説 | ウィルゲート</t>
        </is>
      </c>
      <c r="D20" s="84" t="inlineStr">
        <is>
          <t>内部対策</t>
        </is>
      </c>
      <c r="F20" s="99" t="inlineStr">
        <is>
          <t>外部施策</t>
        </is>
      </c>
      <c r="G20" s="72" t="inlineStr">
        <is>
          <t>〇</t>
        </is>
      </c>
      <c r="H20" s="72" t="inlineStr">
        <is>
          <t>〇</t>
        </is>
      </c>
      <c r="I20" s="103" t="inlineStr">
        <is>
          <t>-</t>
        </is>
      </c>
      <c r="J20" s="103" t="inlineStr">
        <is>
          <t>-</t>
        </is>
      </c>
      <c r="K20" s="103" t="n"/>
      <c r="N20" s="88" t="n"/>
    </row>
    <row r="21">
      <c r="B21" s="16" t="inlineStr">
        <is>
          <t>https://www.willgate.co.jp/promonista/casestudy/atoffice/</t>
        </is>
      </c>
      <c r="C21" s="84" t="inlineStr">
        <is>
          <t>強化領域を絞ったSEO対策でお問い合わせ数が2倍に！不動産系専門情報サイトのコンサル事例 | プロモニスタ</t>
        </is>
      </c>
      <c r="D21" s="84" t="inlineStr">
        <is>
          <t>コンサル事例</t>
        </is>
      </c>
      <c r="F21" s="99" t="inlineStr">
        <is>
          <t>被リンク</t>
        </is>
      </c>
      <c r="G21" s="72" t="inlineStr">
        <is>
          <t>〇</t>
        </is>
      </c>
      <c r="H21" s="72" t="inlineStr">
        <is>
          <t>〇</t>
        </is>
      </c>
      <c r="I21" s="103" t="inlineStr">
        <is>
          <t>-</t>
        </is>
      </c>
      <c r="J21" s="103" t="inlineStr">
        <is>
          <t>-</t>
        </is>
      </c>
      <c r="K21" s="103" t="n"/>
      <c r="N21" s="88" t="n"/>
    </row>
    <row r="22">
      <c r="B22" s="16" t="inlineStr">
        <is>
          <t>https://www.willgate.co.jp/promonista/seo-tool/</t>
        </is>
      </c>
      <c r="C22" s="84" t="inlineStr">
        <is>
          <t>【2026年最新版】SEOツールおすすめ49選！無料～有料まで目的別に徹底比較</t>
        </is>
      </c>
      <c r="D22" s="84" t="inlineStr">
        <is>
          <t>SEOツール</t>
        </is>
      </c>
      <c r="F22" s="99" t="inlineStr">
        <is>
          <t>HTMLタグ</t>
        </is>
      </c>
      <c r="G22" s="72" t="inlineStr">
        <is>
          <t>〇</t>
        </is>
      </c>
      <c r="H22" s="72" t="inlineStr">
        <is>
          <t>〇</t>
        </is>
      </c>
      <c r="I22" s="103" t="inlineStr">
        <is>
          <t>-</t>
        </is>
      </c>
      <c r="J22" s="103" t="inlineStr">
        <is>
          <t>-</t>
        </is>
      </c>
      <c r="K22" s="103" t="n"/>
      <c r="N22" s="88" t="n"/>
    </row>
    <row r="23">
      <c r="B23" s="16" t="inlineStr">
        <is>
          <t>https://www.willgate.co.jp/promonista/seo-word-count/</t>
        </is>
      </c>
      <c r="C23" s="84" t="inlineStr">
        <is>
          <t>SEOと文字数は関係ある？上位表示には長文コンテンツが有利？ | ウィルゲート</t>
        </is>
      </c>
      <c r="D23" s="84" t="inlineStr">
        <is>
          <t>文字数</t>
        </is>
      </c>
      <c r="F23" s="99" t="inlineStr">
        <is>
          <t>モバイルファーストインデックス</t>
        </is>
      </c>
      <c r="G23" s="72" t="inlineStr">
        <is>
          <t>〇</t>
        </is>
      </c>
      <c r="H23" s="103" t="inlineStr">
        <is>
          <t>-</t>
        </is>
      </c>
      <c r="I23" s="72" t="inlineStr">
        <is>
          <t>〇</t>
        </is>
      </c>
      <c r="J23" s="103" t="inlineStr">
        <is>
          <t>-</t>
        </is>
      </c>
      <c r="K23" s="103" t="n"/>
      <c r="N23" s="88" t="n"/>
    </row>
    <row r="24">
      <c r="B24" s="16" t="inlineStr">
        <is>
          <t>https://www.willgate.co.jp/promonista/related-keywords/</t>
        </is>
      </c>
      <c r="C24" s="84" t="inlineStr">
        <is>
          <t>関連キーワードとは？SEO対策の基本と取得ツールについて解説 | ウィルゲート</t>
        </is>
      </c>
      <c r="D24" s="84" t="inlineStr">
        <is>
          <t>関連キーワード</t>
        </is>
      </c>
      <c r="F24" s="76" t="inlineStr">
        <is>
          <t>URL正規化</t>
        </is>
      </c>
      <c r="G24" s="72" t="n"/>
      <c r="H24" s="72" t="inlineStr">
        <is>
          <t>〇</t>
        </is>
      </c>
      <c r="I24" s="72" t="inlineStr">
        <is>
          <t>〇</t>
        </is>
      </c>
      <c r="J24" s="103" t="inlineStr">
        <is>
          <t>-</t>
        </is>
      </c>
      <c r="K24" s="103" t="n"/>
      <c r="N24" s="88" t="n"/>
    </row>
    <row r="25">
      <c r="B25" s="16" t="inlineStr">
        <is>
          <t>https://www.willgate.co.jp/promonista/nofollow/</t>
        </is>
      </c>
      <c r="C25" s="84" t="inlineStr">
        <is>
          <t>nofollow属性とは？SEOにおける意味と使い方を解説 | ウィルゲート</t>
        </is>
      </c>
      <c r="D25" s="84" t="inlineStr">
        <is>
          <t>nofollow属性</t>
        </is>
      </c>
      <c r="F25" s="99" t="inlineStr">
        <is>
          <t>noindexタグ</t>
        </is>
      </c>
      <c r="G25" s="72" t="inlineStr">
        <is>
          <t>〇</t>
        </is>
      </c>
      <c r="H25" s="103" t="inlineStr">
        <is>
          <t>-</t>
        </is>
      </c>
      <c r="I25" s="72" t="inlineStr">
        <is>
          <t>〇</t>
        </is>
      </c>
      <c r="J25" s="103" t="inlineStr">
        <is>
          <t>-</t>
        </is>
      </c>
      <c r="K25" s="103" t="n"/>
      <c r="N25" s="88" t="n"/>
    </row>
    <row r="26">
      <c r="B26" s="16" t="inlineStr">
        <is>
          <t>https://www.willgate.co.jp/promonista/seo-offpage/</t>
        </is>
      </c>
      <c r="C26" s="84" t="inlineStr">
        <is>
          <t>SEOの外部施策は何すればいい？【SEO歴20年】の会社が施策内容を徹底解説！ | ウィルゲート</t>
        </is>
      </c>
      <c r="D26" s="84" t="inlineStr">
        <is>
          <t>外部施策</t>
        </is>
      </c>
      <c r="E26" s="88" t="n"/>
      <c r="F26" s="99" t="inlineStr">
        <is>
          <t>サイト構造</t>
        </is>
      </c>
      <c r="G26" s="103" t="inlineStr">
        <is>
          <t>-</t>
        </is>
      </c>
      <c r="H26" s="72" t="inlineStr">
        <is>
          <t>〇</t>
        </is>
      </c>
      <c r="I26" s="72" t="inlineStr">
        <is>
          <t>〇</t>
        </is>
      </c>
      <c r="J26" s="103" t="inlineStr">
        <is>
          <t>-</t>
        </is>
      </c>
      <c r="K26" s="103" t="n"/>
      <c r="N26" s="88" t="n"/>
    </row>
    <row r="27">
      <c r="B27" s="84" t="n"/>
      <c r="D27" s="84" t="n"/>
      <c r="F27" s="99" t="inlineStr">
        <is>
          <t>メタタグ</t>
        </is>
      </c>
      <c r="G27" s="72" t="inlineStr">
        <is>
          <t>〇</t>
        </is>
      </c>
      <c r="H27" s="72" t="inlineStr">
        <is>
          <t>〇</t>
        </is>
      </c>
      <c r="I27" s="72" t="inlineStr">
        <is>
          <t>〇</t>
        </is>
      </c>
      <c r="J27" s="103" t="inlineStr">
        <is>
          <t>-</t>
        </is>
      </c>
      <c r="K27" s="103" t="n"/>
      <c r="N27" s="88" t="n"/>
    </row>
    <row r="28">
      <c r="B28" s="16" t="inlineStr">
        <is>
          <t>https://www.willgate.co.jp/promonista/seo-backlink/</t>
        </is>
      </c>
      <c r="C28" s="84" t="inlineStr">
        <is>
          <t>被リンクのSEO効果って？獲得方法や注意点を解説 | ウィルゲート</t>
        </is>
      </c>
      <c r="D28" s="84" t="inlineStr">
        <is>
          <t>被リンク</t>
        </is>
      </c>
      <c r="F28" s="99" t="inlineStr">
        <is>
          <t>パンくずリスト</t>
        </is>
      </c>
      <c r="G28" s="103" t="inlineStr">
        <is>
          <t>-</t>
        </is>
      </c>
      <c r="H28" s="72" t="inlineStr">
        <is>
          <t>〇</t>
        </is>
      </c>
      <c r="I28" s="72" t="inlineStr">
        <is>
          <t>〇</t>
        </is>
      </c>
      <c r="J28" s="103" t="inlineStr">
        <is>
          <t>-</t>
        </is>
      </c>
      <c r="K28" s="103" t="n"/>
      <c r="N28" s="88" t="n"/>
    </row>
    <row r="29">
      <c r="B29" s="16" t="inlineStr">
        <is>
          <t>https://www.willgate.co.jp/promonista/seo-htag/</t>
        </is>
      </c>
      <c r="C29" s="84" t="inlineStr">
        <is>
          <t>hタグとは？役割や記述方法を知って見出しタグを使いこなそう | ウィルゲート</t>
        </is>
      </c>
      <c r="D29" s="84" t="inlineStr">
        <is>
          <t>hタグ</t>
        </is>
      </c>
      <c r="F29" s="99" t="inlineStr">
        <is>
          <t>構造化データ</t>
        </is>
      </c>
      <c r="G29" s="103" t="inlineStr">
        <is>
          <t>-</t>
        </is>
      </c>
      <c r="H29" s="72" t="inlineStr">
        <is>
          <t>〇</t>
        </is>
      </c>
      <c r="I29" s="103" t="inlineStr">
        <is>
          <t>-</t>
        </is>
      </c>
      <c r="J29" s="72" t="inlineStr">
        <is>
          <t>〇</t>
        </is>
      </c>
      <c r="K29" s="103" t="n"/>
      <c r="N29" s="88" t="n"/>
    </row>
    <row r="30">
      <c r="B30" s="16" t="inlineStr">
        <is>
          <t>https://www.willgate.co.jp/promonista/h1/</t>
        </is>
      </c>
      <c r="C30" s="84" t="inlineStr">
        <is>
          <t>h1タグとは？SEO効果と5つの使い方を解説 | ウィルゲート</t>
        </is>
      </c>
      <c r="D30" s="84" t="inlineStr">
        <is>
          <t>h1タグ</t>
        </is>
      </c>
      <c r="F30" s="99" t="inlineStr">
        <is>
          <t>ECサイト</t>
        </is>
      </c>
      <c r="G30" s="103" t="inlineStr">
        <is>
          <t>-</t>
        </is>
      </c>
      <c r="H30" s="72" t="inlineStr">
        <is>
          <t>〇</t>
        </is>
      </c>
      <c r="I30" s="72" t="inlineStr">
        <is>
          <t>〇</t>
        </is>
      </c>
      <c r="J30" s="103" t="inlineStr">
        <is>
          <t>-</t>
        </is>
      </c>
      <c r="K30" s="103" t="n"/>
      <c r="N30" s="88" t="n"/>
    </row>
    <row r="31">
      <c r="B31" s="16" t="inlineStr">
        <is>
          <t>https://www.willgate.co.jp/promonista/metadescription/</t>
        </is>
      </c>
      <c r="C31" s="84" t="inlineStr">
        <is>
          <t>meta descriptionとは？SEO効果や書き方、文字数を解説！ | ウィルゲート</t>
        </is>
      </c>
      <c r="D31" s="84" t="inlineStr">
        <is>
          <t>メタタグ</t>
        </is>
      </c>
      <c r="F31" s="99" t="inlineStr">
        <is>
          <t>画像SEO</t>
        </is>
      </c>
      <c r="G31" s="103" t="inlineStr">
        <is>
          <t>-</t>
        </is>
      </c>
      <c r="H31" s="72" t="inlineStr">
        <is>
          <t>〇</t>
        </is>
      </c>
      <c r="I31" s="72" t="inlineStr">
        <is>
          <t>〇</t>
        </is>
      </c>
      <c r="J31" s="103" t="inlineStr">
        <is>
          <t>-</t>
        </is>
      </c>
      <c r="K31" s="103" t="n"/>
      <c r="N31" s="88" t="n"/>
    </row>
    <row r="32">
      <c r="B32" s="16" t="inlineStr">
        <is>
          <t>https://www.willgate.co.jp/promonista/seo-coding/</t>
        </is>
      </c>
      <c r="C32" s="84" t="inlineStr">
        <is>
          <t>SEOに効果的なHTMLタグのコーディング方法とは？ | ウィルゲート</t>
        </is>
      </c>
      <c r="D32" s="84" t="inlineStr">
        <is>
          <t>HTMLタグ</t>
        </is>
      </c>
      <c r="F32" s="99" t="inlineStr">
        <is>
          <t>インハウスSEO</t>
        </is>
      </c>
      <c r="G32" s="103" t="inlineStr">
        <is>
          <t>-</t>
        </is>
      </c>
      <c r="H32" s="72" t="inlineStr">
        <is>
          <t>〇</t>
        </is>
      </c>
      <c r="I32" s="72" t="inlineStr">
        <is>
          <t>〇</t>
        </is>
      </c>
      <c r="J32" s="103" t="inlineStr">
        <is>
          <t>-</t>
        </is>
      </c>
      <c r="K32" s="103" t="n"/>
      <c r="N32" s="88" t="n"/>
    </row>
    <row r="33">
      <c r="B33" s="16" t="inlineStr">
        <is>
          <t>https://www.willgate.co.jp/promonista/seo-internal-links/</t>
        </is>
      </c>
      <c r="C33" s="84" t="inlineStr">
        <is>
          <t>内部リンクとは？役割やSEO（検索エンジン最適化）対策への効果 | ウィルゲート</t>
        </is>
      </c>
      <c r="D33" s="84" t="inlineStr">
        <is>
          <t>内部リンク</t>
        </is>
      </c>
      <c r="F33" s="99" t="inlineStr">
        <is>
          <t>301リダイレクト</t>
        </is>
      </c>
      <c r="G33" s="103" t="inlineStr">
        <is>
          <t>-</t>
        </is>
      </c>
      <c r="H33" s="72" t="inlineStr">
        <is>
          <t>〇</t>
        </is>
      </c>
      <c r="I33" s="72" t="inlineStr">
        <is>
          <t>〇</t>
        </is>
      </c>
      <c r="J33" s="103" t="inlineStr">
        <is>
          <t>-</t>
        </is>
      </c>
      <c r="K33" s="103" t="n"/>
      <c r="N33" s="88" t="n"/>
    </row>
    <row r="34">
      <c r="B34" s="16" t="inlineStr">
        <is>
          <t>https://www.willgate.co.jp/promonista/mobile-first-indexing/</t>
        </is>
      </c>
      <c r="C34" s="84" t="inlineStr">
        <is>
          <t>モバイルファーストインデックス（MFI）がSEOに及ぼす影響とは？ | ウィルゲート</t>
        </is>
      </c>
      <c r="D34" s="84" t="inlineStr">
        <is>
          <t>モバイルファーストインデックス</t>
        </is>
      </c>
      <c r="F34" s="99" t="inlineStr">
        <is>
          <t>インデックス</t>
        </is>
      </c>
      <c r="G34" s="103" t="inlineStr">
        <is>
          <t>-</t>
        </is>
      </c>
      <c r="H34" s="72" t="inlineStr">
        <is>
          <t>〇</t>
        </is>
      </c>
      <c r="I34" s="72" t="inlineStr">
        <is>
          <t>〇</t>
        </is>
      </c>
      <c r="J34" s="103" t="inlineStr">
        <is>
          <t>-</t>
        </is>
      </c>
      <c r="K34" s="103" t="n"/>
      <c r="N34" s="88" t="n"/>
    </row>
    <row r="35">
      <c r="B35" s="16" t="inlineStr">
        <is>
          <t>https://www.willgate.co.jp/promonista/seo-canonical/</t>
        </is>
      </c>
      <c r="C35" s="84" t="inlineStr">
        <is>
          <t>canonical（カノニカル）タグとは？SEOの関係性やURL正規化の定義を解説 | ウィルゲート</t>
        </is>
      </c>
      <c r="D35" s="84" t="inlineStr">
        <is>
          <t>URL正規化</t>
        </is>
      </c>
      <c r="F35" s="99" t="inlineStr">
        <is>
          <t>robots.txt</t>
        </is>
      </c>
      <c r="G35" s="103" t="inlineStr">
        <is>
          <t>-</t>
        </is>
      </c>
      <c r="H35" s="72" t="inlineStr">
        <is>
          <t>〇</t>
        </is>
      </c>
      <c r="I35" s="72" t="inlineStr">
        <is>
          <t>〇</t>
        </is>
      </c>
      <c r="J35" s="103" t="inlineStr">
        <is>
          <t>-</t>
        </is>
      </c>
      <c r="K35" s="103" t="n"/>
      <c r="N35" s="88" t="n"/>
    </row>
    <row r="36">
      <c r="B36" s="16" t="inlineStr">
        <is>
          <t>https://www.willgate.co.jp/promonista/url-normalization/</t>
        </is>
      </c>
      <c r="C36" s="84" t="inlineStr">
        <is>
          <t>URL正規化とは？必要性とcanonicalタグの設定方法を解説 | ウィルゲート</t>
        </is>
      </c>
      <c r="D36" s="84" t="inlineStr">
        <is>
          <t>URL正規化</t>
        </is>
      </c>
      <c r="F36" s="99" t="inlineStr">
        <is>
          <t>Googleトレンド</t>
        </is>
      </c>
      <c r="G36" s="103" t="inlineStr">
        <is>
          <t>-</t>
        </is>
      </c>
      <c r="H36" s="72" t="inlineStr">
        <is>
          <t>〇</t>
        </is>
      </c>
      <c r="I36" s="72" t="inlineStr">
        <is>
          <t>〇</t>
        </is>
      </c>
      <c r="J36" s="103" t="inlineStr">
        <is>
          <t>-</t>
        </is>
      </c>
      <c r="K36" s="103" t="n"/>
      <c r="N36" s="88" t="n"/>
    </row>
    <row r="37">
      <c r="B37" s="16" t="inlineStr">
        <is>
          <t>https://www.willgate.co.jp/promonista/noindex/</t>
        </is>
      </c>
      <c r="C37" s="84" t="inlineStr">
        <is>
          <t>noindexタグとは？SEO効果や設定方法、注意点について解説 | ウィルゲート</t>
        </is>
      </c>
      <c r="D37" s="84" t="inlineStr">
        <is>
          <t>noindexタグ</t>
        </is>
      </c>
      <c r="F37" s="99" t="inlineStr">
        <is>
          <t>検索ボリューム</t>
        </is>
      </c>
      <c r="G37" s="103" t="inlineStr">
        <is>
          <t>-</t>
        </is>
      </c>
      <c r="H37" s="72" t="inlineStr">
        <is>
          <t>〇</t>
        </is>
      </c>
      <c r="I37" s="72" t="inlineStr">
        <is>
          <t>〇</t>
        </is>
      </c>
      <c r="J37" s="103" t="inlineStr">
        <is>
          <t>-</t>
        </is>
      </c>
      <c r="K37" s="103" t="n"/>
      <c r="N37" s="88" t="n"/>
    </row>
    <row r="38">
      <c r="B38" s="16" t="inlineStr">
        <is>
          <t>https://www.willgate.co.jp/promonista/seocompany_tokyo/</t>
        </is>
      </c>
      <c r="C38" s="84" t="inlineStr">
        <is>
          <t>東京でおすすめのSEO対策・コンサルティング会社46選！20年間にわたるSEO対策の経験をもとに徹底比較！ | ウィルゲート</t>
        </is>
      </c>
      <c r="D38" s="84" t="inlineStr">
        <is>
          <t>おすすめ会社</t>
        </is>
      </c>
      <c r="F38" s="99" t="inlineStr">
        <is>
          <t>キーワード選定</t>
        </is>
      </c>
      <c r="G38" s="103" t="inlineStr">
        <is>
          <t>-</t>
        </is>
      </c>
      <c r="H38" s="72" t="inlineStr">
        <is>
          <t>〇</t>
        </is>
      </c>
      <c r="I38" s="72" t="inlineStr">
        <is>
          <t>〇</t>
        </is>
      </c>
      <c r="J38" s="103" t="inlineStr">
        <is>
          <t>-</t>
        </is>
      </c>
      <c r="K38" s="103" t="n"/>
      <c r="N38" s="88" t="n"/>
    </row>
    <row r="39">
      <c r="A39" s="84" t="n"/>
      <c r="B39" s="84" t="n"/>
      <c r="C39" s="84" t="n"/>
      <c r="F39" s="99" t="n"/>
      <c r="G39" s="103" t="n"/>
      <c r="H39" s="72" t="n"/>
      <c r="I39" s="72" t="n"/>
      <c r="J39" s="103" t="n"/>
      <c r="K39" s="103" t="n"/>
      <c r="N39" s="88" t="n"/>
    </row>
    <row r="40">
      <c r="A40" s="84" t="inlineStr">
        <is>
          <t>２位</t>
        </is>
      </c>
      <c r="B40" s="16" t="inlineStr">
        <is>
          <t>https://mieru-ca.com/blog/seo-measures/</t>
        </is>
      </c>
      <c r="C40" s="84" t="inlineStr">
        <is>
          <t>【2026年最新】SEOとは？優先度の高い10のSEO対策をわかりやすく解説</t>
        </is>
      </c>
      <c r="F40" s="99" t="inlineStr">
        <is>
          <t>オリジナルコンテンツ</t>
        </is>
      </c>
      <c r="G40" s="103" t="inlineStr">
        <is>
          <t>-</t>
        </is>
      </c>
      <c r="H40" s="72" t="inlineStr">
        <is>
          <t>〇</t>
        </is>
      </c>
      <c r="I40" s="72" t="inlineStr">
        <is>
          <t>〇</t>
        </is>
      </c>
      <c r="J40" s="103" t="inlineStr">
        <is>
          <t>-</t>
        </is>
      </c>
      <c r="K40" s="103" t="n"/>
      <c r="N40" s="88" t="n"/>
    </row>
    <row r="41">
      <c r="B41" s="84" t="n"/>
      <c r="F41" s="99" t="inlineStr">
        <is>
          <t>検索意図</t>
        </is>
      </c>
      <c r="G41" s="103" t="inlineStr">
        <is>
          <t>-</t>
        </is>
      </c>
      <c r="H41" s="72" t="inlineStr">
        <is>
          <t>〇</t>
        </is>
      </c>
      <c r="I41" s="72" t="inlineStr">
        <is>
          <t>〇</t>
        </is>
      </c>
      <c r="J41" s="103" t="inlineStr">
        <is>
          <t>-</t>
        </is>
      </c>
      <c r="K41" s="103" t="n"/>
      <c r="N41" s="88" t="n"/>
    </row>
    <row r="42">
      <c r="A42" s="84" t="inlineStr">
        <is>
          <t>内部発リンク</t>
        </is>
      </c>
      <c r="B42" s="28" t="inlineStr">
        <is>
          <t>https://mieru-ca.com/blog/website-plannning/</t>
        </is>
      </c>
      <c r="C42" s="84" t="inlineStr">
        <is>
          <t>Webサイト設計とは？手順と種類別のサイト構造を解説</t>
        </is>
      </c>
      <c r="D42" s="84" t="inlineStr">
        <is>
          <t>サイト構造</t>
        </is>
      </c>
      <c r="F42" s="99" t="inlineStr">
        <is>
          <t>コンテンツSEO</t>
        </is>
      </c>
      <c r="G42" s="103" t="inlineStr">
        <is>
          <t>-</t>
        </is>
      </c>
      <c r="H42" s="72" t="inlineStr">
        <is>
          <t>〇</t>
        </is>
      </c>
      <c r="I42" s="72" t="inlineStr">
        <is>
          <t>〇</t>
        </is>
      </c>
      <c r="J42" s="103" t="inlineStr">
        <is>
          <t>-</t>
        </is>
      </c>
      <c r="K42" s="103" t="n"/>
      <c r="N42" s="88" t="n"/>
    </row>
    <row r="43">
      <c r="B43" s="28" t="inlineStr">
        <is>
          <t>https://mieru-ca.com/blog/internal-link/</t>
        </is>
      </c>
      <c r="C43" s="78" t="inlineStr">
        <is>
          <t>内部リンクとは？定義とSEOに効く貼り方・注意点（専門家監修）</t>
        </is>
      </c>
      <c r="D43" s="84" t="inlineStr">
        <is>
          <t>内部リンク</t>
        </is>
      </c>
      <c r="F43" s="99" t="inlineStr">
        <is>
          <t>サイテーション</t>
        </is>
      </c>
      <c r="G43" s="103" t="inlineStr">
        <is>
          <t>-</t>
        </is>
      </c>
      <c r="H43" s="72" t="inlineStr">
        <is>
          <t>〇</t>
        </is>
      </c>
      <c r="I43" s="72" t="inlineStr">
        <is>
          <t>〇</t>
        </is>
      </c>
      <c r="J43" s="103" t="inlineStr">
        <is>
          <t>-</t>
        </is>
      </c>
      <c r="K43" s="103" t="n"/>
      <c r="N43" s="88" t="n"/>
    </row>
    <row r="44">
      <c r="B44" s="28" t="inlineStr">
        <is>
          <t>https://mieru-ca.com/blog/seo_title/</t>
        </is>
      </c>
      <c r="C44" s="84" t="inlineStr">
        <is>
          <t>SEOに効くタイトルの付け方とは？文字数や作成手順【事例つき】</t>
        </is>
      </c>
      <c r="D44" s="84" t="inlineStr">
        <is>
          <t>タイトル文字数</t>
        </is>
      </c>
      <c r="F44" s="99" t="inlineStr">
        <is>
          <t>アルゴリズム</t>
        </is>
      </c>
      <c r="G44" s="103" t="inlineStr">
        <is>
          <t>-</t>
        </is>
      </c>
      <c r="H44" s="72" t="inlineStr">
        <is>
          <t>〇</t>
        </is>
      </c>
      <c r="I44" s="72" t="inlineStr">
        <is>
          <t>〇</t>
        </is>
      </c>
      <c r="J44" s="103" t="inlineStr">
        <is>
          <t>-</t>
        </is>
      </c>
      <c r="K44" s="103" t="n"/>
      <c r="N44" s="88" t="n"/>
    </row>
    <row r="45">
      <c r="B45" s="28" t="inlineStr">
        <is>
          <t>https://mieru-ca.com/blog/meta-tag/</t>
        </is>
      </c>
      <c r="C45" s="84" t="inlineStr">
        <is>
          <t>メタタグ(meta tag)とは？書き方と例文を覚えよう</t>
        </is>
      </c>
      <c r="D45" s="84" t="inlineStr">
        <is>
          <t>メタタグ</t>
        </is>
      </c>
      <c r="F45" s="99" t="inlineStr">
        <is>
          <t>CVR</t>
        </is>
      </c>
      <c r="G45" s="103" t="inlineStr">
        <is>
          <t>-</t>
        </is>
      </c>
      <c r="H45" s="72" t="inlineStr">
        <is>
          <t>〇</t>
        </is>
      </c>
      <c r="I45" s="72" t="inlineStr">
        <is>
          <t>〇</t>
        </is>
      </c>
      <c r="J45" s="103" t="inlineStr">
        <is>
          <t>-</t>
        </is>
      </c>
      <c r="K45" s="103" t="n"/>
      <c r="N45" s="88" t="n"/>
    </row>
    <row r="46">
      <c r="B46" s="28" t="inlineStr">
        <is>
          <t>https://mieru-ca.com/blog/description/</t>
        </is>
      </c>
      <c r="C46" s="84" t="inlineStr">
        <is>
          <t>メタディスクリプションとは？文字数や書き方・例文、SEO効果をわかりやすく解説</t>
        </is>
      </c>
      <c r="D46" s="84" t="inlineStr">
        <is>
          <t>メタタグ</t>
        </is>
      </c>
      <c r="F46" s="99" t="inlineStr">
        <is>
          <t>Googleサーチコンソール</t>
        </is>
      </c>
      <c r="G46" s="103" t="inlineStr">
        <is>
          <t>-</t>
        </is>
      </c>
      <c r="H46" s="72" t="inlineStr">
        <is>
          <t>〇</t>
        </is>
      </c>
      <c r="I46" s="72" t="inlineStr">
        <is>
          <t>〇</t>
        </is>
      </c>
      <c r="J46" s="103" t="inlineStr">
        <is>
          <t>-</t>
        </is>
      </c>
      <c r="K46" s="103" t="n"/>
      <c r="N46" s="88" t="n"/>
    </row>
    <row r="47">
      <c r="B47" s="28" t="inlineStr">
        <is>
          <t>https://mieru-ca.com/blog/proper-heading/</t>
        </is>
      </c>
      <c r="C47" s="84" t="inlineStr">
        <is>
          <t>SEOでの見出しの適切な使い方と注意点を解説！ユーザビリティへ配慮して”使える”見出しをつけよう</t>
        </is>
      </c>
      <c r="D47" s="84" t="inlineStr">
        <is>
          <t>hタグ</t>
        </is>
      </c>
      <c r="F47" s="99" t="inlineStr">
        <is>
          <t>費用相場</t>
        </is>
      </c>
      <c r="G47" s="103" t="inlineStr">
        <is>
          <t>-</t>
        </is>
      </c>
      <c r="H47" s="72" t="inlineStr">
        <is>
          <t>〇</t>
        </is>
      </c>
      <c r="I47" s="72" t="inlineStr">
        <is>
          <t>〇</t>
        </is>
      </c>
      <c r="J47" s="103" t="inlineStr">
        <is>
          <t>-</t>
        </is>
      </c>
      <c r="K47" s="103" t="n"/>
      <c r="N47" s="88" t="n"/>
    </row>
    <row r="48">
      <c r="B48" s="28" t="inlineStr">
        <is>
          <t>https://mieru-ca.com/blog/what-is-breadcrumbs/</t>
        </is>
      </c>
      <c r="C48" s="84" t="inlineStr">
        <is>
          <t>パンくずリストとは？種類・設置方法・SEOメリットを解説</t>
        </is>
      </c>
      <c r="D48" s="84" t="inlineStr">
        <is>
          <t>パンくずリスト</t>
        </is>
      </c>
      <c r="F48" s="99" t="inlineStr">
        <is>
          <t>Googleペナルティ</t>
        </is>
      </c>
      <c r="G48" s="103" t="inlineStr">
        <is>
          <t>-</t>
        </is>
      </c>
      <c r="H48" s="72" t="inlineStr">
        <is>
          <t>〇</t>
        </is>
      </c>
      <c r="I48" s="72" t="inlineStr">
        <is>
          <t>〇</t>
        </is>
      </c>
      <c r="J48" s="103" t="inlineStr">
        <is>
          <t>-</t>
        </is>
      </c>
      <c r="K48" s="103" t="n"/>
      <c r="N48" s="88" t="n"/>
    </row>
    <row r="49">
      <c r="B49" s="28" t="inlineStr">
        <is>
          <t>https://mieru-ca.com/blog/structured-data-markup/</t>
        </is>
      </c>
      <c r="C49" s="84" t="inlineStr">
        <is>
          <t>SEOでの「構造化データ」とは？種類・機能とマークアップの書き方</t>
        </is>
      </c>
      <c r="D49" s="84" t="inlineStr">
        <is>
          <t>構造化データ</t>
        </is>
      </c>
      <c r="F49" s="99" t="inlineStr">
        <is>
          <t>Web集客</t>
        </is>
      </c>
      <c r="G49" s="103" t="inlineStr">
        <is>
          <t>-</t>
        </is>
      </c>
      <c r="H49" s="72" t="inlineStr">
        <is>
          <t>〇</t>
        </is>
      </c>
      <c r="I49" s="72" t="inlineStr">
        <is>
          <t>〇</t>
        </is>
      </c>
      <c r="J49" s="103" t="inlineStr">
        <is>
          <t>-</t>
        </is>
      </c>
      <c r="K49" s="103" t="n"/>
      <c r="N49" s="88" t="n"/>
    </row>
    <row r="50">
      <c r="B50" s="28" t="inlineStr">
        <is>
          <t>https://mieru-ca.com/blog/seo-for-contents-of-article/</t>
        </is>
      </c>
      <c r="C50" s="84" t="inlineStr">
        <is>
          <t>SEOに強い目次とは？作成と改善方法をお伝えします</t>
        </is>
      </c>
      <c r="D50" s="84" t="inlineStr">
        <is>
          <t>目次</t>
        </is>
      </c>
      <c r="F50" s="99" t="inlineStr">
        <is>
          <t>強調スニペット</t>
        </is>
      </c>
      <c r="G50" s="103" t="inlineStr">
        <is>
          <t>-</t>
        </is>
      </c>
      <c r="H50" s="103" t="inlineStr">
        <is>
          <t>-</t>
        </is>
      </c>
      <c r="I50" s="72" t="inlineStr">
        <is>
          <t>〇</t>
        </is>
      </c>
      <c r="J50" s="72" t="inlineStr">
        <is>
          <t>〇</t>
        </is>
      </c>
      <c r="K50" s="103" t="n"/>
      <c r="N50" s="88" t="n"/>
    </row>
    <row r="51">
      <c r="B51" s="28" t="inlineStr">
        <is>
          <t>https://mieru-ca.com/blog/html-tags/</t>
        </is>
      </c>
      <c r="C51" s="84" t="inlineStr">
        <is>
          <t>HTMLタグを基礎からおさらい。SEOに必須のタグを事例付きで紹介</t>
        </is>
      </c>
      <c r="D51" s="84" t="inlineStr">
        <is>
          <t>HTMLタグ</t>
        </is>
      </c>
      <c r="F51" s="99" t="inlineStr">
        <is>
          <t>Googleコアアップデート</t>
        </is>
      </c>
      <c r="G51" s="103" t="inlineStr">
        <is>
          <t>-</t>
        </is>
      </c>
      <c r="H51" s="103" t="inlineStr">
        <is>
          <t>-</t>
        </is>
      </c>
      <c r="I51" s="72" t="inlineStr">
        <is>
          <t>〇</t>
        </is>
      </c>
      <c r="J51" s="72" t="inlineStr">
        <is>
          <t>〇</t>
        </is>
      </c>
      <c r="K51" s="103" t="n"/>
      <c r="N51" s="88" t="n"/>
    </row>
    <row r="52">
      <c r="B52" s="28" t="inlineStr">
        <is>
          <t>https://mieru-ca.com/blog/tag/onpage/</t>
        </is>
      </c>
      <c r="C52" s="84" t="inlineStr">
        <is>
          <t>ミエルカの内部SEO対策情報</t>
        </is>
      </c>
      <c r="D52" s="84" t="inlineStr">
        <is>
          <t>内部SEO</t>
        </is>
      </c>
      <c r="F52" s="99" t="inlineStr">
        <is>
          <t>回復インデックス</t>
        </is>
      </c>
      <c r="G52" s="72" t="inlineStr">
        <is>
          <t>〇</t>
        </is>
      </c>
      <c r="H52" s="103" t="inlineStr">
        <is>
          <t>-</t>
        </is>
      </c>
      <c r="I52" s="103" t="inlineStr">
        <is>
          <t>-</t>
        </is>
      </c>
      <c r="J52" s="103" t="inlineStr">
        <is>
          <t>-</t>
        </is>
      </c>
      <c r="K52" s="103" t="n"/>
      <c r="N52" s="88" t="n"/>
    </row>
    <row r="53">
      <c r="B53" s="28" t="inlineStr">
        <is>
          <t>https://mieru-ca.com/case/8190/</t>
        </is>
      </c>
      <c r="C53" s="84" t="inlineStr">
        <is>
          <t>内部設計とUI/UXを見直して成果を出したバイク王＆カンパニーさま</t>
        </is>
      </c>
      <c r="D53" s="84" t="inlineStr">
        <is>
          <t xml:space="preserve">内部設計　</t>
        </is>
      </c>
      <c r="F53" s="99" t="inlineStr">
        <is>
          <t>常時SSL</t>
        </is>
      </c>
      <c r="G53" s="72" t="inlineStr">
        <is>
          <t>〇</t>
        </is>
      </c>
      <c r="H53" s="103" t="inlineStr">
        <is>
          <t>-</t>
        </is>
      </c>
      <c r="I53" s="72" t="inlineStr">
        <is>
          <t>〇</t>
        </is>
      </c>
      <c r="J53" s="103" t="inlineStr">
        <is>
          <t>-</t>
        </is>
      </c>
      <c r="K53" s="103" t="n"/>
      <c r="N53" s="88" t="n"/>
    </row>
    <row r="54">
      <c r="B54" s="23" t="inlineStr">
        <is>
          <t>https://mieru-ca.com/case/asianway/</t>
        </is>
      </c>
      <c r="C54" s="84" t="inlineStr">
        <is>
          <t>1年で売上3倍！過去最高益を叩き出した中古トラックECサイトの改善施策とは？</t>
        </is>
      </c>
      <c r="D54" s="84" t="inlineStr">
        <is>
          <t>ECサイト</t>
        </is>
      </c>
      <c r="F54" s="99" t="inlineStr">
        <is>
          <t>titleタグ</t>
        </is>
      </c>
      <c r="G54" s="72" t="inlineStr">
        <is>
          <t>〇</t>
        </is>
      </c>
      <c r="H54" s="103" t="inlineStr">
        <is>
          <t>-</t>
        </is>
      </c>
      <c r="I54" s="72" t="inlineStr">
        <is>
          <t>〇</t>
        </is>
      </c>
      <c r="J54" s="103" t="inlineStr">
        <is>
          <t>-</t>
        </is>
      </c>
      <c r="K54" s="103" t="n"/>
      <c r="N54" s="88" t="n"/>
    </row>
    <row r="55">
      <c r="B55" s="28" t="inlineStr">
        <is>
          <t>https://mieru-ca.com/blog/co-occurrence/</t>
        </is>
      </c>
      <c r="C55" s="84" t="inlineStr">
        <is>
          <t>SEO「共起語」とは？サジェストとの違い・調べ方、古いと言われる理由</t>
        </is>
      </c>
      <c r="D55" s="84" t="inlineStr">
        <is>
          <t>共起語</t>
        </is>
      </c>
      <c r="E55" s="103" t="n"/>
      <c r="F55" s="99" t="inlineStr">
        <is>
          <t>ドメイン年齢</t>
        </is>
      </c>
      <c r="G55" s="103" t="inlineStr">
        <is>
          <t>-</t>
        </is>
      </c>
      <c r="H55" s="72" t="inlineStr">
        <is>
          <t>〇</t>
        </is>
      </c>
      <c r="I55" s="72" t="inlineStr">
        <is>
          <t>〇</t>
        </is>
      </c>
      <c r="J55" s="103" t="inlineStr">
        <is>
          <t>-</t>
        </is>
      </c>
      <c r="K55" s="103" t="n"/>
      <c r="N55" s="88" t="n"/>
    </row>
    <row r="56">
      <c r="B56" s="28" t="inlineStr">
        <is>
          <t>https://mieru-ca.com/blog/external-link/</t>
        </is>
      </c>
      <c r="C56" s="84" t="inlineStr">
        <is>
          <t>外部リンクとは？被リンク・内部リンクとの違いやSEO効果・対策方法</t>
        </is>
      </c>
      <c r="D56" s="84" t="inlineStr">
        <is>
          <t>外部リンク</t>
        </is>
      </c>
      <c r="F56" s="105" t="inlineStr">
        <is>
          <t>Google Analytics</t>
        </is>
      </c>
      <c r="G56" s="72" t="inlineStr">
        <is>
          <t>〇</t>
        </is>
      </c>
      <c r="H56" s="103" t="inlineStr">
        <is>
          <t>-</t>
        </is>
      </c>
      <c r="I56" s="103" t="inlineStr">
        <is>
          <t>-</t>
        </is>
      </c>
      <c r="J56" s="103" t="inlineStr">
        <is>
          <t>-</t>
        </is>
      </c>
      <c r="K56" s="103" t="n"/>
      <c r="N56" s="88" t="n"/>
    </row>
    <row r="57">
      <c r="B57" s="28" t="inlineStr">
        <is>
          <t>https://www.youtube.com/watch?v=15uUa_hJWWk</t>
        </is>
      </c>
      <c r="C57" s="84" t="inlineStr">
        <is>
          <t>SEO対策の基礎・仕組み・キーワード選定を1から全解説【2026年最新完全講義】</t>
        </is>
      </c>
      <c r="D57" s="84" t="inlineStr">
        <is>
          <t>SEO対策の基礎</t>
        </is>
      </c>
      <c r="F57" s="105" t="inlineStr">
        <is>
          <t>コンサル</t>
        </is>
      </c>
      <c r="G57" s="72" t="inlineStr">
        <is>
          <t>〇</t>
        </is>
      </c>
      <c r="H57" s="103" t="inlineStr">
        <is>
          <t>-</t>
        </is>
      </c>
      <c r="I57" s="103" t="inlineStr">
        <is>
          <t>-</t>
        </is>
      </c>
      <c r="J57" s="103" t="inlineStr">
        <is>
          <t>-</t>
        </is>
      </c>
      <c r="K57" s="103" t="n"/>
      <c r="N57" s="88" t="n"/>
    </row>
    <row r="58">
      <c r="B58" s="28" t="inlineStr">
        <is>
          <t>https://mieru-ca.com/blog/image_seo/</t>
        </is>
      </c>
      <c r="C58" s="84" t="inlineStr">
        <is>
          <t>画像SEOの施策9選｜altタグ設定やデータ形式、注意点も解説</t>
        </is>
      </c>
      <c r="D58" s="84" t="inlineStr">
        <is>
          <t>画像SEO</t>
        </is>
      </c>
      <c r="F58" s="105" t="inlineStr">
        <is>
          <t>事例</t>
        </is>
      </c>
      <c r="G58" s="72" t="inlineStr">
        <is>
          <t>〇</t>
        </is>
      </c>
      <c r="H58" s="103" t="inlineStr">
        <is>
          <t>-</t>
        </is>
      </c>
      <c r="I58" s="103" t="inlineStr">
        <is>
          <t>-</t>
        </is>
      </c>
      <c r="J58" s="103" t="inlineStr">
        <is>
          <t>-</t>
        </is>
      </c>
      <c r="K58" s="103" t="n"/>
      <c r="N58" s="88" t="n"/>
    </row>
    <row r="59">
      <c r="B59" s="28" t="inlineStr">
        <is>
          <t>https://mieru-ca.com/blog/chatgpt-seo/</t>
        </is>
      </c>
      <c r="C59" s="84" t="inlineStr">
        <is>
          <t>ChatGPTを活用したSEO記事ライティング方法を解説します【プロンプト例有】</t>
        </is>
      </c>
      <c r="D59" s="84" t="inlineStr">
        <is>
          <t>ChatGPT</t>
        </is>
      </c>
      <c r="F59" s="105" t="inlineStr">
        <is>
          <t>SEOツール</t>
        </is>
      </c>
      <c r="G59" s="72" t="inlineStr">
        <is>
          <t>〇</t>
        </is>
      </c>
      <c r="H59" s="103" t="inlineStr">
        <is>
          <t>-</t>
        </is>
      </c>
      <c r="I59" s="103" t="inlineStr">
        <is>
          <t>-</t>
        </is>
      </c>
      <c r="J59" s="103" t="inlineStr">
        <is>
          <t>-</t>
        </is>
      </c>
      <c r="K59" s="103" t="n"/>
      <c r="N59" s="88" t="n"/>
    </row>
    <row r="60">
      <c r="B60" s="28" t="inlineStr">
        <is>
          <t>https://www.youtube.com/@mieruca-channel</t>
        </is>
      </c>
      <c r="C60" s="84" t="inlineStr">
        <is>
          <t>SEOならミエルカチャンネル</t>
        </is>
      </c>
      <c r="F60" s="105" t="inlineStr">
        <is>
          <t>文字数</t>
        </is>
      </c>
      <c r="G60" s="72" t="inlineStr">
        <is>
          <t>〇</t>
        </is>
      </c>
      <c r="H60" s="103" t="inlineStr">
        <is>
          <t>-</t>
        </is>
      </c>
      <c r="I60" s="103" t="inlineStr">
        <is>
          <t>-</t>
        </is>
      </c>
      <c r="J60" s="103" t="inlineStr">
        <is>
          <t>-</t>
        </is>
      </c>
      <c r="K60" s="103" t="n"/>
      <c r="N60" s="88" t="n"/>
    </row>
    <row r="61">
      <c r="B61" s="28" t="inlineStr">
        <is>
          <t>https://mieru-ca.com/blog/chatgpt-persona/</t>
        </is>
      </c>
      <c r="C61" s="84" t="inlineStr">
        <is>
          <t>ChatGPTでペルソナ設定はできるのか？</t>
        </is>
      </c>
      <c r="D61" s="84" t="inlineStr">
        <is>
          <t>ChatGPT</t>
        </is>
      </c>
      <c r="F61" s="105" t="inlineStr">
        <is>
          <t>URL正規化</t>
        </is>
      </c>
      <c r="G61" s="72" t="inlineStr">
        <is>
          <t>〇</t>
        </is>
      </c>
      <c r="H61" s="103" t="inlineStr">
        <is>
          <t>-</t>
        </is>
      </c>
      <c r="I61" s="103" t="inlineStr">
        <is>
          <t>-</t>
        </is>
      </c>
      <c r="J61" s="103" t="inlineStr">
        <is>
          <t>-</t>
        </is>
      </c>
      <c r="K61" s="103" t="n"/>
      <c r="N61" s="88" t="n"/>
    </row>
    <row r="62">
      <c r="B62" s="28" t="inlineStr">
        <is>
          <t>https://mieru-ca.com/blog/competitor_research/</t>
        </is>
      </c>
      <c r="C62" s="84" t="inlineStr">
        <is>
          <t>無料でできる競合サイト分析の7ステップ！SEOにも使える調査方法～アクセス数や流入キーワードを見ても無意味!?～</t>
        </is>
      </c>
      <c r="D62" s="84" t="inlineStr">
        <is>
          <t>競合サイト分析</t>
        </is>
      </c>
      <c r="F62" s="105" t="inlineStr">
        <is>
          <t>おすすめ会社</t>
        </is>
      </c>
      <c r="G62" s="72" t="inlineStr">
        <is>
          <t>〇</t>
        </is>
      </c>
      <c r="H62" s="103" t="inlineStr">
        <is>
          <t>-</t>
        </is>
      </c>
      <c r="I62" s="103" t="inlineStr">
        <is>
          <t>-</t>
        </is>
      </c>
      <c r="J62" s="103" t="inlineStr">
        <is>
          <t>-</t>
        </is>
      </c>
      <c r="K62" s="103" t="n"/>
      <c r="N62" s="88" t="n"/>
    </row>
    <row r="63">
      <c r="B63" s="28" t="inlineStr">
        <is>
          <t>https://mieru-ca.com/blog/google-suggest-keyword/</t>
        </is>
      </c>
      <c r="C63" s="80" t="inlineStr">
        <is>
          <t>サジェストキーワードとは？SEOでの活用方法・調査ツールも紹介</t>
        </is>
      </c>
      <c r="D63" s="84" t="inlineStr">
        <is>
          <t>サジェスト</t>
        </is>
      </c>
      <c r="F63" s="105" t="inlineStr">
        <is>
          <t>目次</t>
        </is>
      </c>
      <c r="G63" s="103" t="inlineStr">
        <is>
          <t>-</t>
        </is>
      </c>
      <c r="H63" s="72" t="inlineStr">
        <is>
          <t>〇</t>
        </is>
      </c>
      <c r="I63" s="103" t="inlineStr">
        <is>
          <t>-</t>
        </is>
      </c>
      <c r="J63" s="103" t="inlineStr">
        <is>
          <t>-</t>
        </is>
      </c>
      <c r="K63" s="103" t="n"/>
      <c r="N63" s="88" t="n"/>
    </row>
    <row r="64">
      <c r="B64" s="28" t="inlineStr">
        <is>
          <t>https://mieru-ca.com/blog/in-house-seo/</t>
        </is>
      </c>
      <c r="C64" s="84" t="inlineStr">
        <is>
          <t>インハウスSEOで結果を出す3ステップとやること一覧</t>
        </is>
      </c>
      <c r="D64" s="84" t="inlineStr">
        <is>
          <t>インハウスSEO</t>
        </is>
      </c>
      <c r="F64" s="105" t="inlineStr">
        <is>
          <t>内部SEO</t>
        </is>
      </c>
      <c r="G64" s="103" t="inlineStr">
        <is>
          <t>-</t>
        </is>
      </c>
      <c r="H64" s="72" t="inlineStr">
        <is>
          <t>〇</t>
        </is>
      </c>
      <c r="I64" s="103" t="inlineStr">
        <is>
          <t>-</t>
        </is>
      </c>
      <c r="J64" s="103" t="inlineStr">
        <is>
          <t>-</t>
        </is>
      </c>
      <c r="K64" s="103" t="n"/>
      <c r="N64" s="88" t="n"/>
    </row>
    <row r="65">
      <c r="B65" s="28" t="inlineStr">
        <is>
          <t>https://mieru-ca.com/blog/backlink-seo/</t>
        </is>
      </c>
      <c r="C65" s="84" t="inlineStr">
        <is>
          <t>被リンクとは？良質リンクの獲得方法や調べ方、SEOとの関係をわかりやすく解説</t>
        </is>
      </c>
      <c r="D65" s="84" t="inlineStr">
        <is>
          <t>被リンク</t>
        </is>
      </c>
      <c r="F65" s="105" t="inlineStr">
        <is>
          <t>内部設計</t>
        </is>
      </c>
      <c r="G65" s="103" t="inlineStr">
        <is>
          <t>-</t>
        </is>
      </c>
      <c r="H65" s="72" t="inlineStr">
        <is>
          <t>〇</t>
        </is>
      </c>
      <c r="I65" s="103" t="inlineStr">
        <is>
          <t>-</t>
        </is>
      </c>
      <c r="J65" s="103" t="inlineStr">
        <is>
          <t>-</t>
        </is>
      </c>
      <c r="K65" s="103" t="n"/>
      <c r="N65" s="88" t="n"/>
    </row>
    <row r="66">
      <c r="B66" s="28" t="inlineStr">
        <is>
          <t>https://mieru-ca.com/blog/seo-vender/</t>
        </is>
      </c>
      <c r="C66" s="84" t="inlineStr">
        <is>
          <t>SEO会社・SEO業者って何をしてくれる？選び方や注意点、特徴も解説</t>
        </is>
      </c>
      <c r="D66" s="84" t="inlineStr">
        <is>
          <t>業者選び</t>
        </is>
      </c>
      <c r="F66" s="105" t="inlineStr">
        <is>
          <t>共起語</t>
        </is>
      </c>
      <c r="G66" s="103" t="inlineStr">
        <is>
          <t>-</t>
        </is>
      </c>
      <c r="H66" s="72" t="inlineStr">
        <is>
          <t>〇</t>
        </is>
      </c>
      <c r="I66" s="103" t="inlineStr">
        <is>
          <t>-</t>
        </is>
      </c>
      <c r="J66" s="103" t="inlineStr">
        <is>
          <t>-</t>
        </is>
      </c>
      <c r="K66" s="103" t="n"/>
      <c r="N66" s="88" t="n"/>
    </row>
    <row r="67">
      <c r="B67" s="28" t="inlineStr">
        <is>
          <t>https://mieru-ca.com/blog/301redirect/</t>
        </is>
      </c>
      <c r="C67" s="84" t="inlineStr">
        <is>
          <t>301リダイレクトはいつまでかけ続ければいいのか？【SEO初級者によくある質問】</t>
        </is>
      </c>
      <c r="D67" s="84" t="inlineStr">
        <is>
          <t>301リダイレクト</t>
        </is>
      </c>
      <c r="F67" s="105" t="inlineStr">
        <is>
          <t>外部リンク</t>
        </is>
      </c>
      <c r="G67" s="103" t="inlineStr">
        <is>
          <t>-</t>
        </is>
      </c>
      <c r="H67" s="72" t="inlineStr">
        <is>
          <t>〇</t>
        </is>
      </c>
      <c r="I67" s="103" t="inlineStr">
        <is>
          <t>-</t>
        </is>
      </c>
      <c r="J67" s="103" t="inlineStr">
        <is>
          <t>-</t>
        </is>
      </c>
      <c r="K67" s="103" t="n"/>
      <c r="N67" s="88" t="n"/>
    </row>
    <row r="68">
      <c r="B68" s="28" t="inlineStr">
        <is>
          <t>https://mieru-ca.com/blog/old-domains/</t>
        </is>
      </c>
      <c r="C68" s="84" t="inlineStr">
        <is>
          <t>中古ドメインの活用方法やメリット、デメリットをSEO観点で解説</t>
        </is>
      </c>
      <c r="D68" s="84" t="inlineStr">
        <is>
          <t>中古ドメイン</t>
        </is>
      </c>
      <c r="E68" s="123" t="n"/>
      <c r="F68" s="105" t="inlineStr">
        <is>
          <t>SEO対策の基礎</t>
        </is>
      </c>
      <c r="G68" s="103" t="inlineStr">
        <is>
          <t>-</t>
        </is>
      </c>
      <c r="H68" s="72" t="inlineStr">
        <is>
          <t>〇</t>
        </is>
      </c>
      <c r="I68" s="103" t="inlineStr">
        <is>
          <t>-</t>
        </is>
      </c>
      <c r="J68" s="103" t="inlineStr">
        <is>
          <t>-</t>
        </is>
      </c>
      <c r="K68" s="103" t="n"/>
      <c r="N68" s="88" t="n"/>
    </row>
    <row r="69">
      <c r="B69" s="28" t="inlineStr">
        <is>
          <t>https://mieru-ca.com/blog/how-to-make-url/</t>
        </is>
      </c>
      <c r="C69" s="84" t="inlineStr">
        <is>
          <t>Googleが推奨するURLの付け方｜URL構造の基礎知識とSEO観点での注意点</t>
        </is>
      </c>
      <c r="D69" s="103" t="inlineStr">
        <is>
          <t>URL構造</t>
        </is>
      </c>
      <c r="E69" s="123" t="n"/>
      <c r="F69" s="105" t="inlineStr">
        <is>
          <t>ChatGPT</t>
        </is>
      </c>
      <c r="G69" s="103" t="inlineStr">
        <is>
          <t>-</t>
        </is>
      </c>
      <c r="H69" s="72" t="inlineStr">
        <is>
          <t>〇</t>
        </is>
      </c>
      <c r="I69" s="103" t="inlineStr">
        <is>
          <t>-</t>
        </is>
      </c>
      <c r="J69" s="103" t="inlineStr">
        <is>
          <t>-</t>
        </is>
      </c>
      <c r="K69" s="103" t="n"/>
      <c r="N69" s="88" t="n"/>
    </row>
    <row r="70">
      <c r="B70" s="28" t="inlineStr">
        <is>
          <t>https://mieru-ca.com/blog/ec_seo/</t>
        </is>
      </c>
      <c r="C70" s="84" t="inlineStr">
        <is>
          <t>【ECサイトのSEO】良いECサイトとは？テキストコンテンツは必要？不要？</t>
        </is>
      </c>
      <c r="D70" s="103" t="inlineStr">
        <is>
          <t>ECサイト SEO</t>
        </is>
      </c>
      <c r="E70" s="123" t="n"/>
      <c r="F70" s="105" t="inlineStr">
        <is>
          <t>競合サイト分析</t>
        </is>
      </c>
      <c r="G70" s="103" t="inlineStr">
        <is>
          <t>-</t>
        </is>
      </c>
      <c r="H70" s="72" t="inlineStr">
        <is>
          <t>〇</t>
        </is>
      </c>
      <c r="I70" s="103" t="inlineStr">
        <is>
          <t>-</t>
        </is>
      </c>
      <c r="J70" s="103" t="inlineStr">
        <is>
          <t>-</t>
        </is>
      </c>
      <c r="K70" s="103" t="n"/>
      <c r="N70" s="88" t="n"/>
    </row>
    <row r="71">
      <c r="B71" s="28" t="inlineStr">
        <is>
          <t>https://mieru-ca.com/blog/domain-age/</t>
        </is>
      </c>
      <c r="C71" s="84" t="inlineStr">
        <is>
          <t>ドメイン年齢とは？新規・中古ドメインのメリット、デメリット</t>
        </is>
      </c>
      <c r="D71" s="103" t="inlineStr">
        <is>
          <t>ドメイン年齢</t>
        </is>
      </c>
      <c r="E71" s="123" t="n"/>
      <c r="F71" s="105" t="inlineStr">
        <is>
          <t>サジェスト</t>
        </is>
      </c>
      <c r="G71" s="103" t="inlineStr">
        <is>
          <t>-</t>
        </is>
      </c>
      <c r="H71" s="72" t="inlineStr">
        <is>
          <t>〇</t>
        </is>
      </c>
      <c r="I71" s="103" t="inlineStr">
        <is>
          <t>-</t>
        </is>
      </c>
      <c r="J71" s="103" t="inlineStr">
        <is>
          <t>-</t>
        </is>
      </c>
      <c r="K71" s="103" t="n"/>
      <c r="N71" s="88" t="n"/>
    </row>
    <row r="72">
      <c r="B72" s="28" t="inlineStr">
        <is>
          <t>https://mieru-ca.com/blog/seo_domain/</t>
        </is>
      </c>
      <c r="C72" s="84" t="inlineStr">
        <is>
          <t>SEOを成功させるためにドメインと評価方法・関係を理解する</t>
        </is>
      </c>
      <c r="D72" s="103" t="inlineStr">
        <is>
          <t>ドメイン評価</t>
        </is>
      </c>
      <c r="E72" s="123" t="n"/>
      <c r="F72" s="105" t="inlineStr">
        <is>
          <t>被リンク業者選び</t>
        </is>
      </c>
      <c r="G72" s="103" t="inlineStr">
        <is>
          <t>-</t>
        </is>
      </c>
      <c r="H72" s="72" t="inlineStr">
        <is>
          <t>〇</t>
        </is>
      </c>
      <c r="I72" s="103" t="inlineStr">
        <is>
          <t>-</t>
        </is>
      </c>
      <c r="J72" s="103" t="inlineStr">
        <is>
          <t>-</t>
        </is>
      </c>
      <c r="K72" s="103" t="n"/>
      <c r="N72" s="88" t="n"/>
    </row>
    <row r="73">
      <c r="B73" s="28" t="inlineStr">
        <is>
          <t>https://mieru-ca.com/blog/core-web-vitals/</t>
        </is>
      </c>
      <c r="C73" s="84" t="inlineStr">
        <is>
          <t>コアウェブバイタルとは？各指標と改善方法をわかりやすく解説【動画あり】</t>
        </is>
      </c>
      <c r="D73" s="103" t="inlineStr">
        <is>
          <t>コアウェブバイタル</t>
        </is>
      </c>
      <c r="E73" s="123" t="n"/>
      <c r="F73" s="105" t="inlineStr">
        <is>
          <t>中古ドメイン</t>
        </is>
      </c>
      <c r="G73" s="103" t="inlineStr">
        <is>
          <t>-</t>
        </is>
      </c>
      <c r="H73" s="72" t="inlineStr">
        <is>
          <t>〇</t>
        </is>
      </c>
      <c r="I73" s="103" t="inlineStr">
        <is>
          <t>-</t>
        </is>
      </c>
      <c r="J73" s="103" t="inlineStr">
        <is>
          <t>-</t>
        </is>
      </c>
      <c r="K73" s="103" t="n"/>
      <c r="N73" s="88" t="n"/>
    </row>
    <row r="74">
      <c r="B74" s="28" t="inlineStr">
        <is>
          <t>https://mieru-ca.com/blog/seo-external-measures/</t>
        </is>
      </c>
      <c r="C74" s="84" t="inlineStr">
        <is>
          <t xml:space="preserve">SEO外部施策とは？具体策5つ・内部施策との違い【プロ解説】 </t>
        </is>
      </c>
      <c r="D74" s="103" t="inlineStr">
        <is>
          <t>外部施策</t>
        </is>
      </c>
      <c r="E74" s="123" t="n"/>
      <c r="F74" s="105" t="inlineStr">
        <is>
          <t>URL構造</t>
        </is>
      </c>
      <c r="G74" s="103" t="inlineStr">
        <is>
          <t>-</t>
        </is>
      </c>
      <c r="H74" s="72" t="inlineStr">
        <is>
          <t>〇</t>
        </is>
      </c>
      <c r="I74" s="103" t="inlineStr">
        <is>
          <t>-</t>
        </is>
      </c>
      <c r="J74" s="103" t="inlineStr">
        <is>
          <t>-</t>
        </is>
      </c>
      <c r="K74" s="103" t="n"/>
      <c r="N74" s="88" t="n"/>
    </row>
    <row r="75">
      <c r="B75" s="83" t="inlineStr">
        <is>
          <t>https://mieru-ca.com/blog/bing-search-fabrice-canel/</t>
        </is>
      </c>
      <c r="C75" s="84" t="inlineStr">
        <is>
          <t>SEOの「インデックス」とは？Google等検索エンジンの仕組みと登録方法（動画解説付き）</t>
        </is>
      </c>
      <c r="D75" s="103" t="inlineStr">
        <is>
          <t>インデックス</t>
        </is>
      </c>
      <c r="E75" s="123" t="n"/>
      <c r="F75" s="105" t="inlineStr">
        <is>
          <t>ドメイン評価</t>
        </is>
      </c>
      <c r="G75" s="103" t="inlineStr">
        <is>
          <t>-</t>
        </is>
      </c>
      <c r="H75" s="72" t="inlineStr">
        <is>
          <t>〇</t>
        </is>
      </c>
      <c r="I75" s="103" t="inlineStr">
        <is>
          <t>-</t>
        </is>
      </c>
      <c r="J75" s="103" t="inlineStr">
        <is>
          <t>-</t>
        </is>
      </c>
      <c r="K75" s="103" t="n"/>
      <c r="N75" s="88" t="n"/>
    </row>
    <row r="76">
      <c r="B76" s="28" t="inlineStr">
        <is>
          <t>https://mieru-ca.com/blog/robots-txt/</t>
        </is>
      </c>
      <c r="C76" s="84" t="inlineStr">
        <is>
          <t>クロールを拒否するURLがなくてもrobots.txtは必要か？【SEO初級者によくある質問】</t>
        </is>
      </c>
      <c r="D76" s="103" t="inlineStr">
        <is>
          <t>robots.txt</t>
        </is>
      </c>
      <c r="E76" s="123" t="n"/>
      <c r="F76" s="105" t="inlineStr">
        <is>
          <t>コアウェブバイタル</t>
        </is>
      </c>
      <c r="G76" s="103" t="inlineStr">
        <is>
          <t>-</t>
        </is>
      </c>
      <c r="H76" s="72" t="inlineStr">
        <is>
          <t>〇</t>
        </is>
      </c>
      <c r="I76" s="103" t="inlineStr">
        <is>
          <t>-</t>
        </is>
      </c>
      <c r="J76" s="103" t="inlineStr">
        <is>
          <t>-</t>
        </is>
      </c>
      <c r="K76" s="103" t="n"/>
      <c r="N76" s="88" t="n"/>
    </row>
    <row r="77">
      <c r="B77" s="28" t="inlineStr">
        <is>
          <t>https://mieru-ca.com/blog/seo_tool/</t>
        </is>
      </c>
      <c r="C77" s="84" t="inlineStr">
        <is>
          <t>検索順位をSEOチェックツールで確認！推移や変動を計測してPDCAを回そう</t>
        </is>
      </c>
      <c r="D77" s="103" t="inlineStr">
        <is>
          <t>検索順位チェックツール</t>
        </is>
      </c>
      <c r="E77" s="123" t="n"/>
      <c r="F77" s="105" t="inlineStr">
        <is>
          <t>検索順位チェックツール</t>
        </is>
      </c>
      <c r="G77" s="103" t="inlineStr">
        <is>
          <t>-</t>
        </is>
      </c>
      <c r="H77" s="72" t="inlineStr">
        <is>
          <t>〇</t>
        </is>
      </c>
      <c r="I77" s="103" t="inlineStr">
        <is>
          <t>-</t>
        </is>
      </c>
      <c r="J77" s="103" t="inlineStr">
        <is>
          <t>-</t>
        </is>
      </c>
      <c r="K77" s="103" t="n"/>
      <c r="N77" s="88" t="n"/>
    </row>
    <row r="78">
      <c r="B78" s="28" t="inlineStr">
        <is>
          <t>https://mieru-ca.com/blog/what-is-google-trends/</t>
        </is>
      </c>
      <c r="C78" s="84" t="inlineStr">
        <is>
          <t>Googleトレンドとは？使い方、見方を動画で解説！コンテンツ企画に活かそう</t>
        </is>
      </c>
      <c r="D78" s="103" t="inlineStr">
        <is>
          <t>Googleトレンド</t>
        </is>
      </c>
      <c r="E78" s="123" t="n"/>
      <c r="F78" s="105" t="inlineStr">
        <is>
          <t>サジェストキーワードプランナー</t>
        </is>
      </c>
      <c r="G78" s="103" t="inlineStr">
        <is>
          <t>-</t>
        </is>
      </c>
      <c r="H78" s="72" t="inlineStr">
        <is>
          <t>〇</t>
        </is>
      </c>
      <c r="I78" s="103" t="inlineStr">
        <is>
          <t>-</t>
        </is>
      </c>
      <c r="J78" s="103" t="inlineStr">
        <is>
          <t>-</t>
        </is>
      </c>
      <c r="K78" s="103" t="n"/>
      <c r="N78" s="88" t="n"/>
    </row>
    <row r="79">
      <c r="B79" s="28" t="inlineStr">
        <is>
          <t>https://mieru-ca.com/blog/search_volume/</t>
        </is>
      </c>
      <c r="C79" s="84" t="inlineStr">
        <is>
          <t>検索回数の調べ方と調査ツール、SEO対策キーワード選定方法</t>
        </is>
      </c>
      <c r="D79" s="103" t="inlineStr">
        <is>
          <t>検索ボリューム</t>
        </is>
      </c>
      <c r="E79" s="123" t="n"/>
      <c r="F79" s="105" t="inlineStr">
        <is>
          <t>検索クエリ</t>
        </is>
      </c>
      <c r="G79" s="103" t="inlineStr">
        <is>
          <t>-</t>
        </is>
      </c>
      <c r="H79" s="72" t="inlineStr">
        <is>
          <t>〇</t>
        </is>
      </c>
      <c r="I79" s="103" t="inlineStr">
        <is>
          <t>-</t>
        </is>
      </c>
      <c r="J79" s="103" t="inlineStr">
        <is>
          <t>-</t>
        </is>
      </c>
      <c r="K79" s="103" t="n"/>
      <c r="N79" s="88" t="n"/>
    </row>
    <row r="80">
      <c r="B80" s="28" t="inlineStr">
        <is>
          <t>https://mieru-ca.com/blog/kanren_keyword/</t>
        </is>
      </c>
      <c r="C80" s="84" t="inlineStr">
        <is>
          <t>関連キーワードとは？SEOへの活用法とサジェストキーワードとの違い</t>
        </is>
      </c>
      <c r="D80" s="103" t="inlineStr">
        <is>
          <t>関連キーワード</t>
        </is>
      </c>
      <c r="E80" s="123" t="n"/>
      <c r="F80" s="105" t="inlineStr">
        <is>
          <t>Bard（Gemini）</t>
        </is>
      </c>
      <c r="G80" s="103" t="inlineStr">
        <is>
          <t>-</t>
        </is>
      </c>
      <c r="H80" s="72" t="inlineStr">
        <is>
          <t>〇</t>
        </is>
      </c>
      <c r="I80" s="103" t="inlineStr">
        <is>
          <t>-</t>
        </is>
      </c>
      <c r="J80" s="103" t="inlineStr">
        <is>
          <t>-</t>
        </is>
      </c>
      <c r="K80" s="103" t="n"/>
      <c r="N80" s="88" t="n"/>
    </row>
    <row r="81">
      <c r="B81" s="28" t="inlineStr">
        <is>
          <t>https://mieru-ca.com/blog/suggest/</t>
        </is>
      </c>
      <c r="C81" s="84" t="inlineStr">
        <is>
          <t>サジェストとは？表示される仕組みやSEOでの活用方法・取得ツールを解説</t>
        </is>
      </c>
      <c r="D81" s="103" t="inlineStr">
        <is>
          <t>サジェスト</t>
        </is>
      </c>
      <c r="E81" s="123" t="n"/>
      <c r="F81" s="105" t="inlineStr">
        <is>
          <t>ユーザー行動データ</t>
        </is>
      </c>
      <c r="G81" s="103" t="inlineStr">
        <is>
          <t>-</t>
        </is>
      </c>
      <c r="H81" s="72" t="inlineStr">
        <is>
          <t>〇</t>
        </is>
      </c>
      <c r="I81" s="103" t="inlineStr">
        <is>
          <t>-</t>
        </is>
      </c>
      <c r="J81" s="103" t="inlineStr">
        <is>
          <t>-</t>
        </is>
      </c>
      <c r="K81" s="103" t="n"/>
      <c r="N81" s="88" t="n"/>
    </row>
    <row r="82">
      <c r="B82" s="28" t="inlineStr">
        <is>
          <t>https://mieru-ca.com/blog/keyword-planner/</t>
        </is>
      </c>
      <c r="C82" s="84" t="inlineStr">
        <is>
          <t>【最新】5分でわかるGoogleキーワードプランナーの使い方、無料でできること</t>
        </is>
      </c>
      <c r="D82" s="103" t="inlineStr">
        <is>
          <t>キーワードプランナー</t>
        </is>
      </c>
      <c r="E82" s="123" t="n"/>
      <c r="F82" s="105" t="inlineStr">
        <is>
          <t>SEOツール比較</t>
        </is>
      </c>
      <c r="G82" s="103" t="inlineStr">
        <is>
          <t>-</t>
        </is>
      </c>
      <c r="H82" s="72" t="inlineStr">
        <is>
          <t>〇</t>
        </is>
      </c>
      <c r="I82" s="103" t="inlineStr">
        <is>
          <t>-</t>
        </is>
      </c>
      <c r="J82" s="103" t="inlineStr">
        <is>
          <t>-</t>
        </is>
      </c>
      <c r="K82" s="103" t="n"/>
      <c r="N82" s="88" t="n"/>
    </row>
    <row r="83">
      <c r="B83" s="28" t="inlineStr">
        <is>
          <t>https://mieru-ca.com/blog/do-know-go-buy-query/</t>
        </is>
      </c>
      <c r="C83" s="84" t="inlineStr">
        <is>
          <t>【動画解説】Do・Know・Go・Buyクエリとは？検索クエリの違いと意味を分かりやすく解説</t>
        </is>
      </c>
      <c r="D83" s="103" t="inlineStr">
        <is>
          <t>検索クエリ</t>
        </is>
      </c>
      <c r="E83" s="123" t="n"/>
      <c r="F83" s="105" t="inlineStr">
        <is>
          <t>検索順位チェック</t>
        </is>
      </c>
      <c r="G83" s="103" t="inlineStr">
        <is>
          <t>-</t>
        </is>
      </c>
      <c r="H83" s="72" t="inlineStr">
        <is>
          <t>〇</t>
        </is>
      </c>
      <c r="I83" s="103" t="inlineStr">
        <is>
          <t>-</t>
        </is>
      </c>
      <c r="J83" s="103" t="inlineStr">
        <is>
          <t>-</t>
        </is>
      </c>
      <c r="K83" s="103" t="n"/>
      <c r="N83" s="88" t="n"/>
    </row>
    <row r="84">
      <c r="B84" s="28" t="inlineStr">
        <is>
          <t>https://mieru-ca.com/blog/seo_keyword/</t>
        </is>
      </c>
      <c r="C84" s="84" t="inlineStr">
        <is>
          <t>SEO施策に効く！キーワード選定のやり方・具体例</t>
        </is>
      </c>
      <c r="D84" s="103" t="inlineStr">
        <is>
          <t>キーワード選定</t>
        </is>
      </c>
      <c r="E84" s="123" t="n"/>
      <c r="F84" s="105" t="inlineStr">
        <is>
          <t>検索順位チェック</t>
        </is>
      </c>
      <c r="G84" s="103" t="inlineStr">
        <is>
          <t>-</t>
        </is>
      </c>
      <c r="H84" s="72" t="inlineStr">
        <is>
          <t>〇</t>
        </is>
      </c>
      <c r="I84" s="103" t="inlineStr">
        <is>
          <t>-</t>
        </is>
      </c>
      <c r="J84" s="103" t="inlineStr">
        <is>
          <t>-</t>
        </is>
      </c>
      <c r="K84" s="103" t="n"/>
      <c r="N84" s="88" t="n"/>
    </row>
    <row r="85">
      <c r="B85" s="28" t="inlineStr">
        <is>
          <t>https://mieru-ca.com/blog/bard/</t>
        </is>
      </c>
      <c r="C85" s="84" t="inlineStr">
        <is>
          <t>Google検索に導入予定のBardとは？対話型AIのチャットは検索の驚異となるのか</t>
        </is>
      </c>
      <c r="D85" s="103" t="inlineStr">
        <is>
          <t>Bard（Gemini）</t>
        </is>
      </c>
      <c r="E85" s="123" t="n"/>
      <c r="F85" s="105" t="inlineStr">
        <is>
          <t>直帰率・離脱率</t>
        </is>
      </c>
      <c r="G85" s="103" t="inlineStr">
        <is>
          <t>-</t>
        </is>
      </c>
      <c r="H85" s="72" t="inlineStr">
        <is>
          <t>〇</t>
        </is>
      </c>
      <c r="I85" s="103" t="inlineStr">
        <is>
          <t>-</t>
        </is>
      </c>
      <c r="J85" s="103" t="inlineStr">
        <is>
          <t>-</t>
        </is>
      </c>
      <c r="K85" s="103" t="n"/>
      <c r="N85" s="88" t="n"/>
    </row>
    <row r="86">
      <c r="B86" s="28" t="inlineStr">
        <is>
          <t>https://mieru-ca.com/blog/how_search_engines_work/</t>
        </is>
      </c>
      <c r="C86" s="84" t="inlineStr">
        <is>
          <t>検索エンジンとは? 種類一覧とGoogleの仕組み・上位表示を目指すためのSEO対策</t>
        </is>
      </c>
      <c r="D86" s="103" t="inlineStr">
        <is>
          <t>検索エンジン</t>
        </is>
      </c>
      <c r="E86" s="123" t="n"/>
      <c r="F86" s="105" t="inlineStr">
        <is>
          <t>ページスピード</t>
        </is>
      </c>
      <c r="G86" s="103" t="inlineStr">
        <is>
          <t>-</t>
        </is>
      </c>
      <c r="H86" s="72" t="inlineStr">
        <is>
          <t>〇</t>
        </is>
      </c>
      <c r="I86" s="103" t="inlineStr">
        <is>
          <t>-</t>
        </is>
      </c>
      <c r="J86" s="103" t="inlineStr">
        <is>
          <t>-</t>
        </is>
      </c>
      <c r="K86" s="103" t="n"/>
      <c r="N86" s="88" t="n"/>
    </row>
    <row r="87">
      <c r="B87" s="83" t="inlineStr">
        <is>
          <t>https://mieru-ca.com/blog/bing-search-fabrice-canel/</t>
        </is>
      </c>
      <c r="C87" s="84" t="inlineStr">
        <is>
          <t>【海外SEO】ユーザー行動のデータで記事のランキングも決まる？ファブリス・カナル氏に独占インタビュー</t>
        </is>
      </c>
      <c r="D87" s="103" t="inlineStr">
        <is>
          <t>ユーザー行動データ</t>
        </is>
      </c>
      <c r="E87" s="123" t="n"/>
      <c r="F87" s="105" t="inlineStr">
        <is>
          <t>インタースティシャル</t>
        </is>
      </c>
      <c r="G87" s="103" t="inlineStr">
        <is>
          <t>-</t>
        </is>
      </c>
      <c r="H87" s="72" t="inlineStr">
        <is>
          <t>〇</t>
        </is>
      </c>
      <c r="I87" s="103" t="inlineStr">
        <is>
          <t>-</t>
        </is>
      </c>
      <c r="J87" s="103" t="inlineStr">
        <is>
          <t>-</t>
        </is>
      </c>
      <c r="K87" s="103" t="n"/>
      <c r="N87" s="88" t="n"/>
    </row>
    <row r="88">
      <c r="B88" s="28" t="inlineStr">
        <is>
          <t>https://mieru-ca.com/blog/seotool-comparison/</t>
        </is>
      </c>
      <c r="C88" s="84" t="inlineStr">
        <is>
          <t>【比較】無料･有料SEOツール41選！機能や料金を比較しながらご紹介</t>
        </is>
      </c>
      <c r="D88" s="103" t="inlineStr">
        <is>
          <t>SEOツール比較</t>
        </is>
      </c>
      <c r="E88" s="123" t="n"/>
      <c r="F88" s="105" t="inlineStr">
        <is>
          <t>UI/UX</t>
        </is>
      </c>
      <c r="G88" s="103" t="inlineStr">
        <is>
          <t>-</t>
        </is>
      </c>
      <c r="H88" s="72" t="inlineStr">
        <is>
          <t>〇</t>
        </is>
      </c>
      <c r="I88" s="103" t="inlineStr">
        <is>
          <t>-</t>
        </is>
      </c>
      <c r="J88" s="103" t="inlineStr">
        <is>
          <t>-</t>
        </is>
      </c>
      <c r="K88" s="103" t="n"/>
      <c r="N88" s="88" t="n"/>
    </row>
    <row r="89">
      <c r="B89" s="28" t="inlineStr">
        <is>
          <t>https://mieru-ca.com/blog/how-to-increase-search-ranking/</t>
        </is>
      </c>
      <c r="C89" s="84" t="inlineStr">
        <is>
          <t>おすすめSEO検索順位チェックツール（無料）と順位を上げる6つの施策</t>
        </is>
      </c>
      <c r="D89" s="103" t="inlineStr">
        <is>
          <t>検索順位チェック</t>
        </is>
      </c>
      <c r="E89" s="123" t="n"/>
      <c r="F89" s="105" t="inlineStr">
        <is>
          <t>コンテンツ内製化</t>
        </is>
      </c>
      <c r="G89" s="103" t="inlineStr">
        <is>
          <t>-</t>
        </is>
      </c>
      <c r="H89" s="72" t="inlineStr">
        <is>
          <t>〇</t>
        </is>
      </c>
      <c r="I89" s="103" t="inlineStr">
        <is>
          <t>-</t>
        </is>
      </c>
      <c r="J89" s="103" t="inlineStr">
        <is>
          <t>-</t>
        </is>
      </c>
      <c r="K89" s="103" t="n"/>
    </row>
    <row r="90">
      <c r="B90" s="28" t="inlineStr">
        <is>
          <t>https://mieru-ca.com/case/souzoku/</t>
        </is>
      </c>
      <c r="C90" s="84" t="inlineStr">
        <is>
          <t>SEOでユーザーの意図分析に取り組み10ヵ月で約50倍の検索流入を達成</t>
        </is>
      </c>
      <c r="D90" s="84" t="inlineStr">
        <is>
          <t>検索意図</t>
        </is>
      </c>
      <c r="E90" s="123" t="n"/>
      <c r="F90" s="105" t="inlineStr">
        <is>
          <t>ヒートマップ</t>
        </is>
      </c>
      <c r="G90" s="103" t="inlineStr">
        <is>
          <t>-</t>
        </is>
      </c>
      <c r="H90" s="72" t="inlineStr">
        <is>
          <t>〇</t>
        </is>
      </c>
      <c r="I90" s="103" t="inlineStr">
        <is>
          <t>-</t>
        </is>
      </c>
      <c r="J90" s="103" t="inlineStr">
        <is>
          <t>-</t>
        </is>
      </c>
      <c r="K90" s="103" t="n"/>
    </row>
    <row r="91">
      <c r="B91" s="28" t="inlineStr">
        <is>
          <t>https://mieru-ca.com/blog/googleanalytics4_basic/</t>
        </is>
      </c>
      <c r="C91" s="84" t="inlineStr">
        <is>
          <t>GA4（Googleアナリティクス）とは？できること・使い方の基本を解説</t>
        </is>
      </c>
      <c r="D91" s="84" t="inlineStr">
        <is>
          <t>Googleアナリティクス4</t>
        </is>
      </c>
      <c r="E91" s="123" t="n"/>
      <c r="F91" s="105" t="inlineStr">
        <is>
          <t>アクセス解析ツール</t>
        </is>
      </c>
      <c r="G91" s="103" t="inlineStr">
        <is>
          <t>-</t>
        </is>
      </c>
      <c r="H91" s="72" t="inlineStr">
        <is>
          <t>〇</t>
        </is>
      </c>
      <c r="I91" s="103" t="inlineStr">
        <is>
          <t>-</t>
        </is>
      </c>
      <c r="J91" s="103" t="inlineStr">
        <is>
          <t>-</t>
        </is>
      </c>
      <c r="K91" s="103" t="n"/>
    </row>
    <row r="92">
      <c r="B92" s="28" t="inlineStr">
        <is>
          <t>https://mieru-ca.com/blog/ga4-ultimate-guide/</t>
        </is>
      </c>
      <c r="C92" s="84" t="inlineStr">
        <is>
          <t>【小川卓監修】GA4とは？最新！Google Analytics 4について徹底解説</t>
        </is>
      </c>
      <c r="D92" s="84" t="inlineStr">
        <is>
          <t>Googleアナリティクス4</t>
        </is>
      </c>
      <c r="E92" s="123" t="n"/>
      <c r="F92" s="105" t="inlineStr">
        <is>
          <t>キーワードマップ</t>
        </is>
      </c>
      <c r="G92" s="103" t="inlineStr">
        <is>
          <t>-</t>
        </is>
      </c>
      <c r="H92" s="72" t="inlineStr">
        <is>
          <t>〇</t>
        </is>
      </c>
      <c r="I92" s="103" t="inlineStr">
        <is>
          <t>-</t>
        </is>
      </c>
      <c r="J92" s="103" t="inlineStr">
        <is>
          <t>-</t>
        </is>
      </c>
      <c r="K92" s="103" t="n"/>
    </row>
    <row r="93">
      <c r="B93" s="28" t="inlineStr">
        <is>
          <t>https://mieru-ca.com/blog/what-is-abandonment-rate/</t>
        </is>
      </c>
      <c r="C93" s="84" t="inlineStr">
        <is>
          <t>直帰率と離脱率の違いとは？～目安や改善方法を徹底解説～</t>
        </is>
      </c>
      <c r="D93" s="103" t="inlineStr">
        <is>
          <t>直帰率・離脱率</t>
        </is>
      </c>
      <c r="E93" s="123" t="n"/>
      <c r="F93" s="105" t="inlineStr">
        <is>
          <t>コンテンツマーケティング</t>
        </is>
      </c>
      <c r="G93" s="103" t="inlineStr">
        <is>
          <t>-</t>
        </is>
      </c>
      <c r="H93" s="72" t="inlineStr">
        <is>
          <t>〇</t>
        </is>
      </c>
      <c r="I93" s="103" t="inlineStr">
        <is>
          <t>-</t>
        </is>
      </c>
      <c r="J93" s="103" t="inlineStr">
        <is>
          <t>-</t>
        </is>
      </c>
      <c r="K93" s="103" t="n"/>
    </row>
    <row r="94">
      <c r="B94" s="28" t="inlineStr">
        <is>
          <t>https://mieru-ca.com/blog/page-speed-4/</t>
        </is>
      </c>
      <c r="C94" s="84" t="inlineStr">
        <is>
          <t>ページスピードを落とさないための4つの改善施策｜ページスピードインサイト活用とSEOとの関係</t>
        </is>
      </c>
      <c r="D94" s="103" t="inlineStr">
        <is>
          <t xml:space="preserve">表示速度 </t>
        </is>
      </c>
      <c r="E94" s="123" t="n"/>
      <c r="F94" s="105" t="inlineStr">
        <is>
          <t>not provided</t>
        </is>
      </c>
      <c r="G94" s="103" t="inlineStr">
        <is>
          <t>-</t>
        </is>
      </c>
      <c r="H94" s="72" t="inlineStr">
        <is>
          <t>〇</t>
        </is>
      </c>
      <c r="I94" s="103" t="inlineStr">
        <is>
          <t>-</t>
        </is>
      </c>
      <c r="J94" s="103" t="inlineStr">
        <is>
          <t>-</t>
        </is>
      </c>
      <c r="K94" s="103" t="n"/>
    </row>
    <row r="95">
      <c r="B95" s="28" t="inlineStr">
        <is>
          <t>https://mieru-ca.com/blog/interstitial/</t>
        </is>
      </c>
      <c r="C95" s="84" t="inlineStr">
        <is>
          <t>インタースティシャルはSEOにどのくらい影響するのか？【SEO初級者によくある質問】</t>
        </is>
      </c>
      <c r="D95" s="103" t="inlineStr">
        <is>
          <t>インタースティシャル</t>
        </is>
      </c>
      <c r="E95" s="123" t="n"/>
      <c r="F95" s="105" t="inlineStr">
        <is>
          <t>コンテンツマーケティングのメリット</t>
        </is>
      </c>
      <c r="G95" s="103" t="inlineStr">
        <is>
          <t>-</t>
        </is>
      </c>
      <c r="H95" s="72" t="inlineStr">
        <is>
          <t>〇</t>
        </is>
      </c>
      <c r="I95" s="103" t="inlineStr">
        <is>
          <t>-</t>
        </is>
      </c>
      <c r="J95" s="103" t="inlineStr">
        <is>
          <t>-</t>
        </is>
      </c>
      <c r="K95" s="103" t="n"/>
    </row>
    <row r="96">
      <c r="B96" s="28" t="inlineStr">
        <is>
          <t>https://mieru-ca.com/heatmap/blog/what-is-uiux/</t>
        </is>
      </c>
      <c r="C96" s="84" t="inlineStr">
        <is>
          <t>UI/UXとは？2つの違いとUI改善のコツ3つを事例をもとに解説</t>
        </is>
      </c>
      <c r="D96" s="103" t="inlineStr">
        <is>
          <t>UI/UX</t>
        </is>
      </c>
      <c r="E96" s="123" t="n"/>
      <c r="F96" s="105" t="inlineStr">
        <is>
          <t>ホワイトハットSEO</t>
        </is>
      </c>
      <c r="G96" s="103" t="inlineStr">
        <is>
          <t>-</t>
        </is>
      </c>
      <c r="H96" s="72" t="inlineStr">
        <is>
          <t>〇</t>
        </is>
      </c>
      <c r="I96" s="103" t="inlineStr">
        <is>
          <t>-</t>
        </is>
      </c>
      <c r="J96" s="103" t="inlineStr">
        <is>
          <t>-</t>
        </is>
      </c>
      <c r="K96" s="103" t="n"/>
    </row>
    <row r="97">
      <c r="B97" s="28" t="inlineStr">
        <is>
          <t>https://mieru-ca.com/case/globis/</t>
        </is>
      </c>
      <c r="C97" s="84" t="inlineStr">
        <is>
          <t>立ち上げ1年でPV数18倍！ SEO初心者がコンテンツ内製化できる理由は執筆依頼方法にあった！？</t>
        </is>
      </c>
      <c r="D97" s="103" t="inlineStr">
        <is>
          <t>コンテンツ内製化</t>
        </is>
      </c>
      <c r="E97" s="123" t="n"/>
      <c r="F97" s="105" t="inlineStr">
        <is>
          <t>オウンドメディア</t>
        </is>
      </c>
      <c r="G97" s="103" t="inlineStr">
        <is>
          <t>-</t>
        </is>
      </c>
      <c r="H97" s="72" t="inlineStr">
        <is>
          <t>〇</t>
        </is>
      </c>
      <c r="I97" s="103" t="inlineStr">
        <is>
          <t>-</t>
        </is>
      </c>
      <c r="J97" s="103" t="inlineStr">
        <is>
          <t>-</t>
        </is>
      </c>
      <c r="K97" s="103" t="n"/>
    </row>
    <row r="98">
      <c r="B98" s="28" t="inlineStr">
        <is>
          <t>https://mieru-ca.com/blog/original-content/</t>
        </is>
      </c>
      <c r="C98" s="84" t="inlineStr">
        <is>
          <t>オリジナルコンテンツの作り方を解説します</t>
        </is>
      </c>
      <c r="D98" s="103" t="inlineStr">
        <is>
          <t>オリジナルコンテンツ</t>
        </is>
      </c>
      <c r="E98" s="123" t="n"/>
      <c r="F98" s="105" t="inlineStr">
        <is>
          <t>無料のお役立ち資料ダウンロード</t>
        </is>
      </c>
      <c r="G98" s="103" t="inlineStr">
        <is>
          <t>-</t>
        </is>
      </c>
      <c r="H98" s="72" t="inlineStr">
        <is>
          <t>〇</t>
        </is>
      </c>
      <c r="I98" s="103" t="inlineStr">
        <is>
          <t>-</t>
        </is>
      </c>
      <c r="J98" s="103" t="inlineStr">
        <is>
          <t>-</t>
        </is>
      </c>
      <c r="K98" s="103" t="n"/>
    </row>
    <row r="99">
      <c r="B99" s="28" t="inlineStr">
        <is>
          <t>https://mieru-ca.com/blog/e-e-a-t/</t>
        </is>
      </c>
      <c r="C99" s="84" t="inlineStr">
        <is>
          <t>E-E-A-T（旧EAT）とは？SEOへの影響・Googleの評価基準を解説</t>
        </is>
      </c>
      <c r="D99" s="103" t="inlineStr">
        <is>
          <t>E-E-A-T</t>
        </is>
      </c>
      <c r="E99" s="123" t="n"/>
      <c r="F99" s="105" t="inlineStr">
        <is>
          <t>ミエルカくん</t>
        </is>
      </c>
      <c r="G99" s="103" t="inlineStr">
        <is>
          <t>-</t>
        </is>
      </c>
      <c r="H99" s="72" t="inlineStr">
        <is>
          <t>〇</t>
        </is>
      </c>
      <c r="I99" s="103" t="inlineStr">
        <is>
          <t>-</t>
        </is>
      </c>
      <c r="J99" s="103" t="inlineStr">
        <is>
          <t>-</t>
        </is>
      </c>
      <c r="K99" s="103" t="n"/>
    </row>
    <row r="100">
      <c r="B100" s="28" t="inlineStr">
        <is>
          <t>https://mieru-ca.com/heatmap/what-is-heatmap/</t>
        </is>
      </c>
      <c r="C100" s="84" t="inlineStr">
        <is>
          <t>5分で理解。ヒートマップとは？仕組みと、活用方法を解説。</t>
        </is>
      </c>
      <c r="D100" s="103" t="inlineStr">
        <is>
          <t>ヒートマップ</t>
        </is>
      </c>
      <c r="E100" s="123" t="n"/>
      <c r="F100" s="105" t="inlineStr">
        <is>
          <t>セミナー・イベント情報</t>
        </is>
      </c>
      <c r="G100" s="103" t="inlineStr">
        <is>
          <t>-</t>
        </is>
      </c>
      <c r="H100" s="72" t="inlineStr">
        <is>
          <t>〇</t>
        </is>
      </c>
      <c r="I100" s="103" t="inlineStr">
        <is>
          <t>-</t>
        </is>
      </c>
      <c r="J100" s="103" t="inlineStr">
        <is>
          <t>-</t>
        </is>
      </c>
      <c r="K100" s="103" t="n"/>
    </row>
    <row r="101">
      <c r="B101" s="28" t="inlineStr">
        <is>
          <t>https://mieru-ca.com/blog/access_analytics_003/</t>
        </is>
      </c>
      <c r="C101" s="84" t="inlineStr">
        <is>
          <t>【事例付き】おすすめアクセス解析ツールでサイト改善する方法教えます</t>
        </is>
      </c>
      <c r="D101" s="103" t="inlineStr">
        <is>
          <t>アクセス解析ツール</t>
        </is>
      </c>
      <c r="E101" s="123" t="n"/>
      <c r="F101" s="105" t="inlineStr">
        <is>
          <t>ミエルカジャーナル</t>
        </is>
      </c>
      <c r="G101" s="103" t="inlineStr">
        <is>
          <t>-</t>
        </is>
      </c>
      <c r="H101" s="72" t="inlineStr">
        <is>
          <t>〇</t>
        </is>
      </c>
      <c r="I101" s="103" t="inlineStr">
        <is>
          <t>-</t>
        </is>
      </c>
      <c r="J101" s="103" t="inlineStr">
        <is>
          <t>-</t>
        </is>
      </c>
      <c r="K101" s="103" t="n"/>
    </row>
    <row r="102">
      <c r="B102" s="28" t="inlineStr">
        <is>
          <t>https://mieru-ca.com/blog/user-needs/</t>
        </is>
      </c>
      <c r="C102" s="84" t="inlineStr">
        <is>
          <t>検索意図（インテント）とは？SEOに大切な考え方と調べ方</t>
        </is>
      </c>
      <c r="D102" s="103" t="inlineStr">
        <is>
          <t>検索意図</t>
        </is>
      </c>
      <c r="E102" s="123" t="n"/>
      <c r="F102" s="105" t="inlineStr">
        <is>
          <t>音声検索</t>
        </is>
      </c>
      <c r="G102" s="103" t="inlineStr">
        <is>
          <t>-</t>
        </is>
      </c>
      <c r="H102" s="72" t="inlineStr">
        <is>
          <t>〇</t>
        </is>
      </c>
      <c r="I102" s="103" t="inlineStr">
        <is>
          <t>-</t>
        </is>
      </c>
      <c r="J102" s="103" t="inlineStr">
        <is>
          <t>-</t>
        </is>
      </c>
      <c r="K102" s="103" t="n"/>
    </row>
    <row r="103">
      <c r="B103" s="28" t="inlineStr">
        <is>
          <t>https://mieru-ca.com/blog/keywordmap/</t>
        </is>
      </c>
      <c r="C103" s="84" t="inlineStr">
        <is>
          <t>【無料】キーワードマップ(keywordmap)の作り方と使い方、ツールに頼らず検索意図を整理する方法とは</t>
        </is>
      </c>
      <c r="D103" s="103" t="inlineStr">
        <is>
          <t>キーワードマップ</t>
        </is>
      </c>
      <c r="E103" s="123" t="n"/>
      <c r="F103" s="105" t="inlineStr">
        <is>
          <t>Web広告</t>
        </is>
      </c>
      <c r="G103" s="103" t="inlineStr">
        <is>
          <t>-</t>
        </is>
      </c>
      <c r="H103" s="72" t="inlineStr">
        <is>
          <t>〇</t>
        </is>
      </c>
      <c r="I103" s="103" t="inlineStr">
        <is>
          <t>-</t>
        </is>
      </c>
      <c r="J103" s="103" t="inlineStr">
        <is>
          <t>-</t>
        </is>
      </c>
      <c r="K103" s="103" t="n"/>
    </row>
    <row r="104">
      <c r="B104" s="28" t="inlineStr">
        <is>
          <t>https://mieru-ca.com/blog/contents-seo-pro/</t>
        </is>
      </c>
      <c r="C104" s="84" t="inlineStr">
        <is>
          <t>コンテンツSEOとは？基本対策・費用対効果や事例を解説</t>
        </is>
      </c>
      <c r="D104" s="103" t="inlineStr">
        <is>
          <t>コンテンツSEO</t>
        </is>
      </c>
      <c r="E104" s="123" t="n"/>
      <c r="F104" s="105" t="inlineStr">
        <is>
          <t>SNS</t>
        </is>
      </c>
      <c r="G104" s="103" t="inlineStr">
        <is>
          <t>-</t>
        </is>
      </c>
      <c r="H104" s="72" t="inlineStr">
        <is>
          <t>〇</t>
        </is>
      </c>
      <c r="I104" s="103" t="inlineStr">
        <is>
          <t>-</t>
        </is>
      </c>
      <c r="J104" s="103" t="inlineStr">
        <is>
          <t>-</t>
        </is>
      </c>
      <c r="K104" s="103" t="n"/>
    </row>
    <row r="105">
      <c r="B105" s="28" t="inlineStr">
        <is>
          <t>https://mieru-ca.com/blog/content-marketing-success/</t>
        </is>
      </c>
      <c r="C105" s="84" t="inlineStr">
        <is>
          <t>コンテンツマーケティングとは？事例とともに戦略や手順、やり方をわかりやすく解説</t>
        </is>
      </c>
      <c r="D105" s="103" t="inlineStr">
        <is>
          <t>コンテンツマーケティング</t>
        </is>
      </c>
      <c r="E105" s="123" t="n"/>
      <c r="F105" s="105" t="inlineStr">
        <is>
          <t>SEO</t>
        </is>
      </c>
      <c r="G105" s="103" t="inlineStr">
        <is>
          <t>-</t>
        </is>
      </c>
      <c r="H105" s="72" t="inlineStr">
        <is>
          <t>〇</t>
        </is>
      </c>
      <c r="I105" s="103" t="inlineStr">
        <is>
          <t>-</t>
        </is>
      </c>
      <c r="J105" s="103" t="inlineStr">
        <is>
          <t>-</t>
        </is>
      </c>
      <c r="K105" s="103" t="n"/>
    </row>
    <row r="106">
      <c r="B106" s="28" t="inlineStr">
        <is>
          <t>https://mieru-ca.com/blog/citation/</t>
        </is>
      </c>
      <c r="C106" s="84" t="inlineStr">
        <is>
          <t>サイテーションとは？SEO効果の有無や被リンクとの違いも解説</t>
        </is>
      </c>
      <c r="D106" s="103" t="inlineStr">
        <is>
          <t>サイテーション</t>
        </is>
      </c>
      <c r="E106" s="123" t="n"/>
      <c r="F106" s="105" t="inlineStr">
        <is>
          <t>ブログ集客</t>
        </is>
      </c>
      <c r="G106" s="103" t="inlineStr">
        <is>
          <t>-</t>
        </is>
      </c>
      <c r="H106" s="72" t="inlineStr">
        <is>
          <t>〇</t>
        </is>
      </c>
      <c r="I106" s="103" t="inlineStr">
        <is>
          <t>-</t>
        </is>
      </c>
      <c r="J106" s="103" t="inlineStr">
        <is>
          <t>-</t>
        </is>
      </c>
      <c r="K106" s="103" t="n"/>
    </row>
    <row r="107">
      <c r="B107" s="28" t="inlineStr">
        <is>
          <t>https://mieru-ca.com/blog/not-provided/</t>
        </is>
      </c>
      <c r="C107" s="84" t="inlineStr">
        <is>
          <t>Google Analyticsの(not provided)とは？意味と検索アナリティクス(検索パフォーマンス)を使って検索ワードを把握する方法【動画解説あり】</t>
        </is>
      </c>
      <c r="D107" s="103" t="inlineStr">
        <is>
          <t>not provided</t>
        </is>
      </c>
      <c r="E107" s="123" t="n"/>
      <c r="F107" s="105" t="inlineStr">
        <is>
          <t>キーワード出現率</t>
        </is>
      </c>
      <c r="G107" s="103" t="inlineStr">
        <is>
          <t>-</t>
        </is>
      </c>
      <c r="H107" s="72" t="inlineStr">
        <is>
          <t>〇</t>
        </is>
      </c>
      <c r="I107" s="103" t="inlineStr">
        <is>
          <t>-</t>
        </is>
      </c>
      <c r="J107" s="103" t="inlineStr">
        <is>
          <t>-</t>
        </is>
      </c>
      <c r="K107" s="103" t="n"/>
    </row>
    <row r="108">
      <c r="B108" s="28" t="inlineStr">
        <is>
          <t>https://mieru-ca.com/blog/content-marketing-merit/#me</t>
        </is>
      </c>
      <c r="C108" s="84" t="inlineStr">
        <is>
          <t>コンテンツマーケティングのメリット・デメリット実践３社が回答！</t>
        </is>
      </c>
      <c r="D108" s="103" t="inlineStr">
        <is>
          <t>コンテンツマーケティングのメリット</t>
        </is>
      </c>
      <c r="E108" s="123" t="n"/>
      <c r="F108" s="105" t="inlineStr">
        <is>
          <t>逆SEO</t>
        </is>
      </c>
      <c r="G108" s="103" t="inlineStr">
        <is>
          <t>-</t>
        </is>
      </c>
      <c r="H108" s="72" t="inlineStr">
        <is>
          <t>〇</t>
        </is>
      </c>
      <c r="I108" s="103" t="inlineStr">
        <is>
          <t>-</t>
        </is>
      </c>
      <c r="J108" s="103" t="inlineStr">
        <is>
          <t>-</t>
        </is>
      </c>
      <c r="K108" s="103" t="n"/>
    </row>
    <row r="109">
      <c r="B109" s="28" t="inlineStr">
        <is>
          <t>https://mieru-ca.com/blog/white-hat-seo/</t>
        </is>
      </c>
      <c r="C109" s="84" t="inlineStr">
        <is>
          <t>ホワイトハットSEOとは？検索1位達成に重要な考え方</t>
        </is>
      </c>
      <c r="D109" s="103" t="inlineStr">
        <is>
          <t>ホワイトハットSEO</t>
        </is>
      </c>
      <c r="E109" s="123" t="n"/>
      <c r="F109" s="105" t="inlineStr">
        <is>
          <t>被リンクチェック</t>
        </is>
      </c>
      <c r="G109" s="103" t="inlineStr">
        <is>
          <t>-</t>
        </is>
      </c>
      <c r="H109" s="72" t="inlineStr">
        <is>
          <t>〇</t>
        </is>
      </c>
      <c r="I109" s="103" t="inlineStr">
        <is>
          <t>-</t>
        </is>
      </c>
      <c r="J109" s="103" t="inlineStr">
        <is>
          <t>-</t>
        </is>
      </c>
      <c r="K109" s="103" t="n"/>
    </row>
    <row r="110">
      <c r="B110" s="28" t="inlineStr">
        <is>
          <t>https://mieru-ca.com/blog/ownedmedia/</t>
        </is>
      </c>
      <c r="C110" s="84" t="inlineStr">
        <is>
          <t>5分で理解！オウンドメディアとは？ 意味やメリット、企業事例をわかりやすく解説</t>
        </is>
      </c>
      <c r="D110" s="103" t="inlineStr">
        <is>
          <t>オウンドメディア</t>
        </is>
      </c>
      <c r="E110" s="123" t="n"/>
      <c r="F110" s="105" t="inlineStr">
        <is>
          <t>記事制作費用</t>
        </is>
      </c>
      <c r="G110" s="103" t="inlineStr">
        <is>
          <t>-</t>
        </is>
      </c>
      <c r="H110" s="72" t="inlineStr">
        <is>
          <t>〇</t>
        </is>
      </c>
      <c r="I110" s="103" t="inlineStr">
        <is>
          <t>-</t>
        </is>
      </c>
      <c r="J110" s="103" t="inlineStr">
        <is>
          <t>-</t>
        </is>
      </c>
      <c r="K110" s="103" t="n"/>
    </row>
    <row r="111">
      <c r="B111" s="28" t="inlineStr">
        <is>
          <t>https://mieru-ca.com/blog/download/</t>
        </is>
      </c>
      <c r="C111" s="84" t="inlineStr">
        <is>
          <t>無料のお役立ち資料ダウンロード</t>
        </is>
      </c>
      <c r="D111" s="103" t="inlineStr">
        <is>
          <t>無料のお役立ち資料ダウンロード</t>
        </is>
      </c>
      <c r="E111" s="123" t="n"/>
      <c r="F111" s="105" t="inlineStr">
        <is>
          <t>スパムリンク</t>
        </is>
      </c>
      <c r="G111" s="103" t="inlineStr">
        <is>
          <t>-</t>
        </is>
      </c>
      <c r="H111" s="72" t="inlineStr">
        <is>
          <t>〇</t>
        </is>
      </c>
      <c r="I111" s="103" t="inlineStr">
        <is>
          <t>-</t>
        </is>
      </c>
      <c r="J111" s="103" t="inlineStr">
        <is>
          <t>-</t>
        </is>
      </c>
      <c r="K111" s="103" t="n"/>
    </row>
    <row r="112">
      <c r="B112" s="28" t="inlineStr">
        <is>
          <t>https://www.instagram.com/mierucakun_/</t>
        </is>
      </c>
      <c r="C112" s="84" t="inlineStr">
        <is>
          <t>ミエルカくん</t>
        </is>
      </c>
      <c r="D112" s="103" t="inlineStr">
        <is>
          <t>ミエルカくん</t>
        </is>
      </c>
      <c r="E112" s="123" t="n"/>
      <c r="F112" s="105" t="inlineStr">
        <is>
          <t>BERT</t>
        </is>
      </c>
      <c r="G112" s="103" t="inlineStr">
        <is>
          <t>-</t>
        </is>
      </c>
      <c r="H112" s="72" t="inlineStr">
        <is>
          <t>〇</t>
        </is>
      </c>
      <c r="I112" s="103" t="inlineStr">
        <is>
          <t>-</t>
        </is>
      </c>
      <c r="J112" s="103" t="inlineStr">
        <is>
          <t>-</t>
        </is>
      </c>
      <c r="K112" s="103" t="n"/>
    </row>
    <row r="113">
      <c r="B113" s="28" t="inlineStr">
        <is>
          <t>https://x.com/mieruca_kun/</t>
        </is>
      </c>
      <c r="C113" s="84" t="inlineStr">
        <is>
          <t>ミエルカくん　Ｘ</t>
        </is>
      </c>
      <c r="D113" s="103" t="inlineStr">
        <is>
          <t>ミエルカくん Ｘ</t>
        </is>
      </c>
      <c r="E113" s="123" t="n"/>
      <c r="F113" s="105" t="inlineStr">
        <is>
          <t>SEM</t>
        </is>
      </c>
      <c r="G113" s="103" t="inlineStr">
        <is>
          <t>-</t>
        </is>
      </c>
      <c r="H113" s="72" t="inlineStr">
        <is>
          <t>〇</t>
        </is>
      </c>
      <c r="I113" s="103" t="inlineStr">
        <is>
          <t>-</t>
        </is>
      </c>
      <c r="J113" s="103" t="inlineStr">
        <is>
          <t>-</t>
        </is>
      </c>
      <c r="K113" s="103" t="n"/>
    </row>
    <row r="114">
      <c r="B114" s="28" t="inlineStr">
        <is>
          <t>https://mieru-ca.com/blog/seminar/</t>
        </is>
      </c>
      <c r="C114" s="84" t="inlineStr">
        <is>
          <t>セミナー・イベント情報</t>
        </is>
      </c>
      <c r="D114" s="103" t="inlineStr">
        <is>
          <t>セミナー・イベント情報</t>
        </is>
      </c>
      <c r="E114" s="123" t="n"/>
      <c r="F114" s="105" t="inlineStr">
        <is>
          <t>海外SEO</t>
        </is>
      </c>
      <c r="G114" s="103" t="inlineStr">
        <is>
          <t>-</t>
        </is>
      </c>
      <c r="H114" s="72" t="inlineStr">
        <is>
          <t>〇</t>
        </is>
      </c>
      <c r="I114" s="103" t="inlineStr">
        <is>
          <t>-</t>
        </is>
      </c>
      <c r="J114" s="103" t="inlineStr">
        <is>
          <t>-</t>
        </is>
      </c>
      <c r="K114" s="103" t="n"/>
    </row>
    <row r="115">
      <c r="B115" s="28" t="inlineStr">
        <is>
          <t>https://mieru-ca.com/blog/</t>
        </is>
      </c>
      <c r="C115" s="84" t="inlineStr">
        <is>
          <t xml:space="preserve"> ミエルカジャーナル</t>
        </is>
      </c>
      <c r="D115" s="103" t="inlineStr">
        <is>
          <t>ミエルカジャーナル</t>
        </is>
      </c>
      <c r="E115" s="123" t="n"/>
      <c r="F115" s="105" t="inlineStr">
        <is>
          <t>WordPress</t>
        </is>
      </c>
      <c r="G115" s="103" t="inlineStr">
        <is>
          <t>-</t>
        </is>
      </c>
      <c r="H115" s="72" t="inlineStr">
        <is>
          <t>〇</t>
        </is>
      </c>
      <c r="I115" s="103" t="inlineStr">
        <is>
          <t>-</t>
        </is>
      </c>
      <c r="J115" s="103" t="inlineStr">
        <is>
          <t>-</t>
        </is>
      </c>
      <c r="K115" s="103" t="n"/>
    </row>
    <row r="116">
      <c r="B116" s="28" t="inlineStr">
        <is>
          <t>https://mieru-ca.com/blog/voice-search-optimization/</t>
        </is>
      </c>
      <c r="C116" s="84" t="inlineStr">
        <is>
          <t>音声検索最適化で1位を獲得する6つの重要ポイント</t>
        </is>
      </c>
      <c r="D116" s="103" t="inlineStr">
        <is>
          <t>音声検索</t>
        </is>
      </c>
      <c r="E116" s="123" t="n"/>
      <c r="F116" s="105" t="inlineStr">
        <is>
          <t>コンバージョン</t>
        </is>
      </c>
      <c r="G116" s="103" t="inlineStr">
        <is>
          <t>-</t>
        </is>
      </c>
      <c r="H116" s="72" t="inlineStr">
        <is>
          <t>〇</t>
        </is>
      </c>
      <c r="I116" s="103" t="inlineStr">
        <is>
          <t>-</t>
        </is>
      </c>
      <c r="J116" s="103" t="inlineStr">
        <is>
          <t>-</t>
        </is>
      </c>
      <c r="K116" s="103" t="n"/>
    </row>
    <row r="117">
      <c r="B117" s="28" t="inlineStr">
        <is>
          <t>https://mieru-ca.com/blog/youtube_seo/</t>
        </is>
      </c>
      <c r="C117" s="84" t="inlineStr">
        <is>
          <t>【最新】YouTubeのSEO施策を5分で学ぶ | 動画SEOにおけるキーワード選定、アルゴリズムの傾向などを解説</t>
        </is>
      </c>
      <c r="D117" s="84" t="inlineStr">
        <is>
          <t>アルゴリズム</t>
        </is>
      </c>
      <c r="E117" s="123" t="n"/>
      <c r="F117" s="105" t="inlineStr">
        <is>
          <t>AI文章作成ツール</t>
        </is>
      </c>
      <c r="G117" s="103" t="inlineStr">
        <is>
          <t>-</t>
        </is>
      </c>
      <c r="H117" s="72" t="inlineStr">
        <is>
          <t>〇</t>
        </is>
      </c>
      <c r="I117" s="103" t="inlineStr">
        <is>
          <t>-</t>
        </is>
      </c>
      <c r="J117" s="103" t="inlineStr">
        <is>
          <t>-</t>
        </is>
      </c>
      <c r="K117" s="103" t="n"/>
    </row>
    <row r="118">
      <c r="B118" s="28" t="inlineStr">
        <is>
          <t>https://mieru-ca.com/blog/web_ad/</t>
        </is>
      </c>
      <c r="C118" s="84" t="inlineStr">
        <is>
          <t>Web広告とは？ 種類や媒体、費用などを一覧でDL！ オススメ手法やコツも紹介</t>
        </is>
      </c>
      <c r="D118" s="103" t="inlineStr">
        <is>
          <t>Web広告</t>
        </is>
      </c>
      <c r="E118" s="123" t="n"/>
      <c r="F118" s="105" t="inlineStr">
        <is>
          <t>AI文章校正</t>
        </is>
      </c>
      <c r="G118" s="103" t="inlineStr">
        <is>
          <t>-</t>
        </is>
      </c>
      <c r="H118" s="72" t="inlineStr">
        <is>
          <t>〇</t>
        </is>
      </c>
      <c r="I118" s="103" t="inlineStr">
        <is>
          <t>-</t>
        </is>
      </c>
      <c r="J118" s="103" t="inlineStr">
        <is>
          <t>-</t>
        </is>
      </c>
      <c r="K118" s="103" t="n"/>
    </row>
    <row r="119">
      <c r="B119" s="28" t="inlineStr">
        <is>
          <t>https://mieru-ca.com/blog/sns_google/</t>
        </is>
      </c>
      <c r="C119" s="84" t="inlineStr">
        <is>
          <t>【動画解説】SNSの［いいね］や［リツイート］はGoogleに評価される？されない？＜ミエルカチャンネル＞</t>
        </is>
      </c>
      <c r="D119" s="103" t="inlineStr">
        <is>
          <t>SNS SEO</t>
        </is>
      </c>
      <c r="E119" s="123" t="n"/>
      <c r="F119" s="105" t="inlineStr">
        <is>
          <t>AI文章</t>
        </is>
      </c>
      <c r="G119" s="103" t="inlineStr">
        <is>
          <t>-</t>
        </is>
      </c>
      <c r="H119" s="72" t="inlineStr">
        <is>
          <t>〇</t>
        </is>
      </c>
      <c r="I119" s="103" t="inlineStr">
        <is>
          <t>-</t>
        </is>
      </c>
      <c r="J119" s="103" t="inlineStr">
        <is>
          <t>-</t>
        </is>
      </c>
      <c r="K119" s="103" t="n"/>
    </row>
    <row r="120">
      <c r="B120" s="23" t="inlineStr">
        <is>
          <t>https://mieru-ca.com/heatmap/blog/what_is_cvr/</t>
        </is>
      </c>
      <c r="C120" s="84" t="inlineStr">
        <is>
          <t>CVR（コンバージョンレート）の計算式やCVRが低い場合の改善方法を解説</t>
        </is>
      </c>
      <c r="D120" s="103" t="inlineStr">
        <is>
          <t>CVR</t>
        </is>
      </c>
      <c r="E120" s="123" t="n"/>
      <c r="F120" s="105" t="inlineStr">
        <is>
          <t>AI SEO</t>
        </is>
      </c>
      <c r="G120" s="103" t="inlineStr">
        <is>
          <t>-</t>
        </is>
      </c>
      <c r="H120" s="72" t="inlineStr">
        <is>
          <t>〇</t>
        </is>
      </c>
      <c r="I120" s="103" t="inlineStr">
        <is>
          <t>-</t>
        </is>
      </c>
      <c r="J120" s="103" t="inlineStr">
        <is>
          <t>-</t>
        </is>
      </c>
      <c r="K120" s="103" t="n"/>
    </row>
    <row r="121">
      <c r="B121" s="23" t="inlineStr">
        <is>
          <t>https://mieru-ca.com/blog/searchconsole/</t>
        </is>
      </c>
      <c r="C121" s="84" t="inlineStr">
        <is>
          <t>Googleサーチコンソールとは？基本と設定・使い方をわかりやすく解説</t>
        </is>
      </c>
      <c r="D121" s="103" t="inlineStr">
        <is>
          <t>Googleサーチコンソール</t>
        </is>
      </c>
      <c r="E121" s="123" t="n"/>
      <c r="F121" s="105" t="inlineStr">
        <is>
          <t>LPO</t>
        </is>
      </c>
      <c r="G121" s="103" t="inlineStr">
        <is>
          <t>-</t>
        </is>
      </c>
      <c r="H121" s="103" t="inlineStr">
        <is>
          <t>-</t>
        </is>
      </c>
      <c r="I121" s="72" t="inlineStr">
        <is>
          <t>〇</t>
        </is>
      </c>
      <c r="J121" s="103" t="inlineStr">
        <is>
          <t>-</t>
        </is>
      </c>
      <c r="K121" s="103" t="n"/>
    </row>
    <row r="122">
      <c r="B122" s="23" t="inlineStr">
        <is>
          <t>https://mieru-ca.com/blog/blog-tactics/</t>
        </is>
      </c>
      <c r="C122" s="84" t="inlineStr">
        <is>
          <t>【最新版】ブログ集客のコツを解説します</t>
        </is>
      </c>
      <c r="D122" s="103" t="inlineStr">
        <is>
          <t>ブログ集客</t>
        </is>
      </c>
      <c r="E122" s="123" t="n"/>
      <c r="F122" s="105" t="inlineStr">
        <is>
          <t>中小企業のSEO対策</t>
        </is>
      </c>
      <c r="G122" s="103" t="inlineStr">
        <is>
          <t>-</t>
        </is>
      </c>
      <c r="H122" s="103" t="inlineStr">
        <is>
          <t>-</t>
        </is>
      </c>
      <c r="I122" s="72" t="inlineStr">
        <is>
          <t>〇</t>
        </is>
      </c>
      <c r="J122" s="103" t="inlineStr">
        <is>
          <t>-</t>
        </is>
      </c>
      <c r="K122" s="103" t="n"/>
    </row>
    <row r="123">
      <c r="B123" s="23" t="inlineStr">
        <is>
          <t>https://mieru-ca.com/blog/seo-money/</t>
        </is>
      </c>
      <c r="C123" s="84" t="inlineStr">
        <is>
          <t>SEO対策の費用相場表【2026年】費用対効果・施策別の料金</t>
        </is>
      </c>
      <c r="D123" s="103" t="inlineStr">
        <is>
          <t>費用相場</t>
        </is>
      </c>
      <c r="E123" s="123" t="n"/>
      <c r="F123" s="105" t="inlineStr">
        <is>
          <t>オーガニック検索</t>
        </is>
      </c>
      <c r="G123" s="103" t="inlineStr">
        <is>
          <t>-</t>
        </is>
      </c>
      <c r="H123" s="103" t="inlineStr">
        <is>
          <t>-</t>
        </is>
      </c>
      <c r="I123" s="72" t="inlineStr">
        <is>
          <t>〇</t>
        </is>
      </c>
      <c r="J123" s="103" t="inlineStr">
        <is>
          <t>-</t>
        </is>
      </c>
      <c r="K123" s="103" t="n"/>
    </row>
    <row r="124">
      <c r="B124" s="23" t="inlineStr">
        <is>
          <t>https://mieru-ca.com/blog/keyword-density/</t>
        </is>
      </c>
      <c r="C124" s="84" t="inlineStr">
        <is>
          <t>キーワード出現率は2-3%？SEO的に正しい考え方はこれ</t>
        </is>
      </c>
      <c r="D124" s="103" t="inlineStr">
        <is>
          <t>キーワード出現率</t>
        </is>
      </c>
      <c r="E124" s="123" t="n"/>
      <c r="F124" s="105" t="inlineStr">
        <is>
          <t>Google Discover</t>
        </is>
      </c>
      <c r="G124" s="103" t="inlineStr">
        <is>
          <t>-</t>
        </is>
      </c>
      <c r="H124" s="103" t="inlineStr">
        <is>
          <t>-</t>
        </is>
      </c>
      <c r="I124" s="72" t="inlineStr">
        <is>
          <t>〇</t>
        </is>
      </c>
      <c r="J124" s="103" t="inlineStr">
        <is>
          <t>-</t>
        </is>
      </c>
      <c r="K124" s="103" t="n"/>
    </row>
    <row r="125">
      <c r="B125" s="28" t="inlineStr">
        <is>
          <t>https://mieru-ca.com/blog/negative-seo/</t>
        </is>
      </c>
      <c r="C125" s="84" t="inlineStr">
        <is>
          <t>逆SEOとは？4つの方法を「受けてしまった」時の対策</t>
        </is>
      </c>
      <c r="D125" s="103" t="inlineStr">
        <is>
          <t>逆SEO</t>
        </is>
      </c>
      <c r="E125" s="123" t="n"/>
      <c r="F125" s="105" t="inlineStr">
        <is>
          <t>検索エンジン一覧比較</t>
        </is>
      </c>
      <c r="G125" s="103" t="inlineStr">
        <is>
          <t>-</t>
        </is>
      </c>
      <c r="H125" s="103" t="inlineStr">
        <is>
          <t>-</t>
        </is>
      </c>
      <c r="I125" s="72" t="inlineStr">
        <is>
          <t>〇</t>
        </is>
      </c>
      <c r="J125" s="103" t="inlineStr">
        <is>
          <t>-</t>
        </is>
      </c>
      <c r="K125" s="103" t="n"/>
    </row>
    <row r="126">
      <c r="B126" s="28" t="inlineStr">
        <is>
          <t>https://mieru-ca.com/blog/penalty/</t>
        </is>
      </c>
      <c r="C126" s="85" t="inlineStr">
        <is>
          <t>【SEO】Googleからペナルティを受けたらすぐやるべきこと、再審査リクエストのやり方</t>
        </is>
      </c>
      <c r="D126" s="103" t="inlineStr">
        <is>
          <t>Googleペナルティ</t>
        </is>
      </c>
      <c r="E126" s="123" t="n"/>
      <c r="F126" s="105" t="inlineStr">
        <is>
          <t>SEO対策の基本</t>
        </is>
      </c>
      <c r="G126" s="103" t="inlineStr">
        <is>
          <t>-</t>
        </is>
      </c>
      <c r="H126" s="103" t="inlineStr">
        <is>
          <t>-</t>
        </is>
      </c>
      <c r="I126" s="72" t="inlineStr">
        <is>
          <t>〇</t>
        </is>
      </c>
      <c r="J126" s="103" t="inlineStr">
        <is>
          <t>-</t>
        </is>
      </c>
      <c r="K126" s="103" t="n"/>
    </row>
    <row r="127">
      <c r="B127" s="28" t="inlineStr">
        <is>
          <t>https://mieru-ca.com/blog/duplicate-content/</t>
        </is>
      </c>
      <c r="C127" s="84" t="inlineStr">
        <is>
          <t>重複コンテンツとは？SEOではペナルティ？｜基準と記事配信における3つの重複対策</t>
        </is>
      </c>
      <c r="D127" s="103" t="inlineStr">
        <is>
          <t>重複コンテンツ</t>
        </is>
      </c>
      <c r="E127" s="123" t="n"/>
      <c r="F127" s="105" t="inlineStr">
        <is>
          <t>コーディング（HTMLタグ）</t>
        </is>
      </c>
      <c r="G127" s="103" t="inlineStr">
        <is>
          <t>-</t>
        </is>
      </c>
      <c r="H127" s="103" t="inlineStr">
        <is>
          <t>-</t>
        </is>
      </c>
      <c r="I127" s="72" t="inlineStr">
        <is>
          <t>〇</t>
        </is>
      </c>
      <c r="J127" s="103" t="inlineStr">
        <is>
          <t>-</t>
        </is>
      </c>
      <c r="K127" s="103" t="n"/>
    </row>
    <row r="128">
      <c r="B128" s="28" t="inlineStr">
        <is>
          <t>https://mieru-ca.com/blog/linked-check/</t>
        </is>
      </c>
      <c r="C128" s="84" t="inlineStr">
        <is>
          <t>被リンクチェックおすすめ無料・有料ツール9選、やり方を解説</t>
        </is>
      </c>
      <c r="D128" s="103" t="inlineStr">
        <is>
          <t>被リンクチェック</t>
        </is>
      </c>
      <c r="E128" s="123" t="n"/>
      <c r="F128" s="105" t="inlineStr">
        <is>
          <t>ブラックハットSEOとホワイトハットSEOの違い</t>
        </is>
      </c>
      <c r="G128" s="103" t="inlineStr">
        <is>
          <t>-</t>
        </is>
      </c>
      <c r="H128" s="103" t="inlineStr">
        <is>
          <t>-</t>
        </is>
      </c>
      <c r="I128" s="72" t="inlineStr">
        <is>
          <t>〇</t>
        </is>
      </c>
      <c r="J128" s="103" t="inlineStr">
        <is>
          <t>-</t>
        </is>
      </c>
      <c r="K128" s="103" t="n"/>
    </row>
    <row r="129">
      <c r="B129" s="28" t="inlineStr">
        <is>
          <t>https://mieru-ca.com/blog/blackhat_seo/</t>
        </is>
      </c>
      <c r="C129" s="84" t="inlineStr">
        <is>
          <t>【ブラックハットSEOとは】具体的な手法やGoogleの対処法について解説＜ミエルカチャンネル＞</t>
        </is>
      </c>
      <c r="D129" s="103" t="inlineStr">
        <is>
          <t>ブラックハットSEO</t>
        </is>
      </c>
      <c r="E129" s="123" t="n"/>
      <c r="F129" s="105" t="inlineStr">
        <is>
          <t>施策例</t>
        </is>
      </c>
      <c r="G129" s="103" t="inlineStr">
        <is>
          <t>-</t>
        </is>
      </c>
      <c r="H129" s="103" t="inlineStr">
        <is>
          <t>-</t>
        </is>
      </c>
      <c r="I129" s="72" t="inlineStr">
        <is>
          <t>〇</t>
        </is>
      </c>
      <c r="J129" s="103" t="inlineStr">
        <is>
          <t>-</t>
        </is>
      </c>
      <c r="K129" s="103" t="n"/>
    </row>
    <row r="130">
      <c r="B130" s="28" t="inlineStr">
        <is>
          <t>https://mieru-ca.com/blog/contents-production-cost/</t>
        </is>
      </c>
      <c r="C130" s="84" t="inlineStr">
        <is>
          <t>コンテンツSEOの記事制作費用は？費用対効果や単価、相場感をプロが解説</t>
        </is>
      </c>
      <c r="D130" s="103" t="inlineStr">
        <is>
          <t>記事制作費用</t>
        </is>
      </c>
      <c r="E130" s="123" t="n"/>
      <c r="F130" s="105" t="inlineStr">
        <is>
          <t>パンダアップデート</t>
        </is>
      </c>
      <c r="G130" s="103" t="inlineStr">
        <is>
          <t>-</t>
        </is>
      </c>
      <c r="H130" s="103" t="inlineStr">
        <is>
          <t>-</t>
        </is>
      </c>
      <c r="I130" s="72" t="inlineStr">
        <is>
          <t>〇</t>
        </is>
      </c>
      <c r="J130" s="103" t="inlineStr">
        <is>
          <t>-</t>
        </is>
      </c>
      <c r="K130" s="103" t="n"/>
    </row>
    <row r="131">
      <c r="B131" s="28" t="inlineStr">
        <is>
          <t>https://mieru-ca.com/blog/spam-link/</t>
        </is>
      </c>
      <c r="C131" s="84" t="inlineStr">
        <is>
          <t>身に覚えがないスパムリンクが張られている、否認するべきか？</t>
        </is>
      </c>
      <c r="D131" s="103" t="inlineStr">
        <is>
          <t>スパムリンク</t>
        </is>
      </c>
      <c r="E131" s="123" t="n"/>
      <c r="F131" s="105" t="inlineStr">
        <is>
          <t>リンクスパムアップデート</t>
        </is>
      </c>
      <c r="G131" s="103" t="inlineStr">
        <is>
          <t>-</t>
        </is>
      </c>
      <c r="H131" s="103" t="inlineStr">
        <is>
          <t>-</t>
        </is>
      </c>
      <c r="I131" s="72" t="inlineStr">
        <is>
          <t>〇</t>
        </is>
      </c>
      <c r="J131" s="103" t="inlineStr">
        <is>
          <t>-</t>
        </is>
      </c>
      <c r="K131" s="103" t="n"/>
    </row>
    <row r="132">
      <c r="B132" s="28" t="inlineStr">
        <is>
          <t>https://mieru-ca.com/blog/bert/</t>
        </is>
      </c>
      <c r="C132" s="84" t="inlineStr">
        <is>
          <t>BERTとは？凄い点、SEOへの影響を解説</t>
        </is>
      </c>
      <c r="D132" s="103" t="inlineStr">
        <is>
          <t>BERT</t>
        </is>
      </c>
      <c r="E132" s="123" t="n"/>
      <c r="F132" s="105" t="inlineStr">
        <is>
          <t>BERTアップデート</t>
        </is>
      </c>
      <c r="G132" s="103" t="inlineStr">
        <is>
          <t>-</t>
        </is>
      </c>
      <c r="H132" s="103" t="inlineStr">
        <is>
          <t>-</t>
        </is>
      </c>
      <c r="I132" s="72" t="inlineStr">
        <is>
          <t>〇</t>
        </is>
      </c>
      <c r="J132" s="103" t="inlineStr">
        <is>
          <t>-</t>
        </is>
      </c>
      <c r="K132" s="103" t="n"/>
    </row>
    <row r="133">
      <c r="B133" s="28" t="inlineStr">
        <is>
          <t>https://mieru-ca.com/blog/difference-between-sem-and-seo/</t>
        </is>
      </c>
      <c r="C133" s="84" t="inlineStr">
        <is>
          <t>SEMとSEOの違いは？どう役割を分けるべき？</t>
        </is>
      </c>
      <c r="D133" s="103" t="inlineStr">
        <is>
          <t>SEM SEO</t>
        </is>
      </c>
      <c r="E133" s="123" t="n"/>
      <c r="F133" s="105" t="inlineStr">
        <is>
          <t>ヘルプフルコンテンツアップデート</t>
        </is>
      </c>
      <c r="G133" s="103" t="inlineStr">
        <is>
          <t>-</t>
        </is>
      </c>
      <c r="H133" s="103" t="inlineStr">
        <is>
          <t>-</t>
        </is>
      </c>
      <c r="I133" s="72" t="inlineStr">
        <is>
          <t>〇</t>
        </is>
      </c>
      <c r="J133" s="103" t="inlineStr">
        <is>
          <t>-</t>
        </is>
      </c>
      <c r="K133" s="103" t="n"/>
    </row>
    <row r="134">
      <c r="B134" s="28" t="inlineStr">
        <is>
          <t>https://mieru-ca.com/blog/international-seo/</t>
        </is>
      </c>
      <c r="C134" s="84" t="inlineStr">
        <is>
          <t>【最新版】海外SEOで大量の検索流入を獲得する方法</t>
        </is>
      </c>
      <c r="D134" s="103" t="inlineStr">
        <is>
          <t>海外SEO</t>
        </is>
      </c>
      <c r="E134" s="123" t="n"/>
      <c r="F134" s="105" t="inlineStr">
        <is>
          <t>ベニスアップデート</t>
        </is>
      </c>
      <c r="G134" s="103" t="inlineStr">
        <is>
          <t>-</t>
        </is>
      </c>
      <c r="H134" s="103" t="inlineStr">
        <is>
          <t>-</t>
        </is>
      </c>
      <c r="I134" s="72" t="inlineStr">
        <is>
          <t>〇</t>
        </is>
      </c>
      <c r="J134" s="103" t="inlineStr">
        <is>
          <t>-</t>
        </is>
      </c>
      <c r="K134" s="103" t="n"/>
    </row>
    <row r="135">
      <c r="B135" s="28" t="inlineStr">
        <is>
          <t>https://mieru-ca.com/blog/web_collect/</t>
        </is>
      </c>
      <c r="C135" s="84" t="inlineStr">
        <is>
          <t>Web集客のコツとは？13種類の方法と戦略、費用、ツールや事例まとめ</t>
        </is>
      </c>
      <c r="D135" s="103" t="inlineStr">
        <is>
          <t>Web集客</t>
        </is>
      </c>
      <c r="E135" s="123" t="n"/>
      <c r="F135" s="105" t="inlineStr">
        <is>
          <t>ビジョンアップデート</t>
        </is>
      </c>
      <c r="G135" s="103" t="inlineStr">
        <is>
          <t>-</t>
        </is>
      </c>
      <c r="H135" s="103" t="inlineStr">
        <is>
          <t>-</t>
        </is>
      </c>
      <c r="I135" s="72" t="inlineStr">
        <is>
          <t>〇</t>
        </is>
      </c>
      <c r="J135" s="103" t="inlineStr">
        <is>
          <t>-</t>
        </is>
      </c>
      <c r="K135" s="103" t="n"/>
    </row>
    <row r="136">
      <c r="B136" s="28" t="inlineStr">
        <is>
          <t>https://mieru-ca.com/blog/wordpress-seo/</t>
        </is>
      </c>
      <c r="C136" s="84" t="inlineStr">
        <is>
          <t>WordPressの簡単SEO手法とSEO向けプラグインはこれ</t>
        </is>
      </c>
      <c r="D136" s="103" t="inlineStr">
        <is>
          <t>WordPress SEO</t>
        </is>
      </c>
      <c r="E136" s="123" t="n"/>
      <c r="F136" s="105" t="inlineStr">
        <is>
          <t>ペンギンアップデート</t>
        </is>
      </c>
      <c r="G136" s="103" t="inlineStr">
        <is>
          <t>-</t>
        </is>
      </c>
      <c r="H136" s="103" t="inlineStr">
        <is>
          <t>-</t>
        </is>
      </c>
      <c r="I136" s="72" t="inlineStr">
        <is>
          <t>〇</t>
        </is>
      </c>
      <c r="J136" s="103" t="inlineStr">
        <is>
          <t>-</t>
        </is>
      </c>
      <c r="K136" s="103" t="n"/>
    </row>
    <row r="137">
      <c r="B137" s="28" t="inlineStr">
        <is>
          <t>https://mieru-ca.com/blog/what-is-ga4-2024/</t>
        </is>
      </c>
      <c r="C137" s="84" t="inlineStr">
        <is>
          <t>【初心者向け】GA4のデータの見方・基本的な使い方</t>
        </is>
      </c>
      <c r="D137" s="84" t="inlineStr">
        <is>
          <t>Googleアナリティクス4</t>
        </is>
      </c>
      <c r="E137" s="123" t="n"/>
      <c r="F137" s="105" t="inlineStr">
        <is>
          <t>測定効果</t>
        </is>
      </c>
      <c r="G137" s="103" t="inlineStr">
        <is>
          <t>-</t>
        </is>
      </c>
      <c r="H137" s="103" t="inlineStr">
        <is>
          <t>-</t>
        </is>
      </c>
      <c r="I137" s="72" t="inlineStr">
        <is>
          <t>〇</t>
        </is>
      </c>
      <c r="J137" s="103" t="inlineStr">
        <is>
          <t>-</t>
        </is>
      </c>
      <c r="K137" s="103" t="n"/>
    </row>
    <row r="138">
      <c r="B138" s="28" t="inlineStr">
        <is>
          <t>https://mieru-ca.com/blog/conversion_2/</t>
        </is>
      </c>
      <c r="C138" s="84" t="inlineStr">
        <is>
          <t>コンバージョン（CV）とは？サイト種類別の定義と改善の考え方を紹介</t>
        </is>
      </c>
      <c r="D138" s="103" t="inlineStr">
        <is>
          <t>コンバージョン</t>
        </is>
      </c>
      <c r="E138" s="123" t="n"/>
      <c r="F138" s="105" t="inlineStr">
        <is>
          <t>SEO リライト</t>
        </is>
      </c>
      <c r="G138" s="103" t="inlineStr">
        <is>
          <t>-</t>
        </is>
      </c>
      <c r="H138" s="103" t="inlineStr">
        <is>
          <t>-</t>
        </is>
      </c>
      <c r="I138" s="72" t="inlineStr">
        <is>
          <t>〇</t>
        </is>
      </c>
      <c r="J138" s="103" t="inlineStr">
        <is>
          <t>-</t>
        </is>
      </c>
      <c r="K138" s="103" t="n"/>
    </row>
    <row r="139">
      <c r="B139" s="28" t="inlineStr">
        <is>
          <t>https://mieru-ca.com/ai-seo/ai_writing_tool/</t>
        </is>
      </c>
      <c r="C139" s="84" t="inlineStr">
        <is>
          <t>無料で試せるAI文章作成ツールおすすめ7選｜特徴・使い方を徹底検証</t>
        </is>
      </c>
      <c r="D139" s="103" t="inlineStr">
        <is>
          <t>AI文章作成ツール</t>
        </is>
      </c>
      <c r="E139" s="123" t="n"/>
      <c r="F139" s="105" t="inlineStr">
        <is>
          <t>SEOの効果が出る期間</t>
        </is>
      </c>
      <c r="G139" s="103" t="inlineStr">
        <is>
          <t>-</t>
        </is>
      </c>
      <c r="H139" s="103" t="inlineStr">
        <is>
          <t>-</t>
        </is>
      </c>
      <c r="I139" s="72" t="inlineStr">
        <is>
          <t>〇</t>
        </is>
      </c>
      <c r="J139" s="103" t="inlineStr">
        <is>
          <t>-</t>
        </is>
      </c>
      <c r="K139" s="103" t="n"/>
    </row>
    <row r="140">
      <c r="B140" s="23" t="inlineStr">
        <is>
          <t>https://mieru-ca.com/ai-seo/ai_kousei/#02.6</t>
        </is>
      </c>
      <c r="C140" s="84" t="inlineStr">
        <is>
          <t>無料のAI文章校正ツールおすすめ4つ比較してみた｜使い方・導入効果を発表</t>
        </is>
      </c>
      <c r="D140" s="103" t="inlineStr">
        <is>
          <t>AI文章校正</t>
        </is>
      </c>
      <c r="E140" s="123" t="n"/>
      <c r="F140" s="105" t="inlineStr">
        <is>
          <t>リスティング広告</t>
        </is>
      </c>
      <c r="G140" s="103" t="inlineStr">
        <is>
          <t>-</t>
        </is>
      </c>
      <c r="H140" s="103" t="inlineStr">
        <is>
          <t>-</t>
        </is>
      </c>
      <c r="I140" s="72" t="inlineStr">
        <is>
          <t>〇</t>
        </is>
      </c>
      <c r="J140" s="103" t="inlineStr">
        <is>
          <t>-</t>
        </is>
      </c>
      <c r="K140" s="103" t="n"/>
    </row>
    <row r="141">
      <c r="B141" s="28" t="inlineStr">
        <is>
          <t>https://mieru-ca.com/ai-seo/ai_text/</t>
        </is>
      </c>
      <c r="C141" s="84" t="inlineStr">
        <is>
          <t>AI作成文章がバレる理由とは？人間らしい文章にする簡単編集術</t>
        </is>
      </c>
      <c r="D141" s="103" t="inlineStr">
        <is>
          <t>AI文章</t>
        </is>
      </c>
      <c r="E141" s="123" t="n"/>
      <c r="F141" s="105" t="inlineStr">
        <is>
          <t>SEO MEO</t>
        </is>
      </c>
      <c r="G141" s="103" t="inlineStr">
        <is>
          <t>-</t>
        </is>
      </c>
      <c r="H141" s="103" t="inlineStr">
        <is>
          <t>-</t>
        </is>
      </c>
      <c r="I141" s="72" t="inlineStr">
        <is>
          <t>〇</t>
        </is>
      </c>
      <c r="J141" s="103" t="inlineStr">
        <is>
          <t>-</t>
        </is>
      </c>
      <c r="K141" s="103" t="n"/>
    </row>
    <row r="142">
      <c r="B142" s="28" t="inlineStr">
        <is>
          <t>https://mieru-ca.com/ai-seo/</t>
        </is>
      </c>
      <c r="C142" s="84" t="inlineStr">
        <is>
          <t>AI×SEO</t>
        </is>
      </c>
      <c r="D142" s="103" t="inlineStr">
        <is>
          <t>AI SEO</t>
        </is>
      </c>
      <c r="E142" s="123" t="n"/>
      <c r="F142" s="105" t="inlineStr">
        <is>
          <t>SEO 地域</t>
        </is>
      </c>
      <c r="G142" s="103" t="inlineStr">
        <is>
          <t>-</t>
        </is>
      </c>
      <c r="H142" s="103" t="inlineStr">
        <is>
          <t>-</t>
        </is>
      </c>
      <c r="I142" s="72" t="inlineStr">
        <is>
          <t>〇</t>
        </is>
      </c>
      <c r="J142" s="103" t="inlineStr">
        <is>
          <t>-</t>
        </is>
      </c>
      <c r="K142" s="103" t="n"/>
    </row>
    <row r="143">
      <c r="B143" s="84" t="n"/>
      <c r="C143" s="84" t="n"/>
      <c r="F143" s="105" t="inlineStr">
        <is>
          <t>KPI設定</t>
        </is>
      </c>
      <c r="G143" s="103" t="inlineStr">
        <is>
          <t>-</t>
        </is>
      </c>
      <c r="H143" s="103" t="inlineStr">
        <is>
          <t>-</t>
        </is>
      </c>
      <c r="I143" s="72" t="inlineStr">
        <is>
          <t>〇</t>
        </is>
      </c>
      <c r="J143" s="103" t="inlineStr">
        <is>
          <t>-</t>
        </is>
      </c>
      <c r="K143" s="103" t="n"/>
    </row>
    <row r="144">
      <c r="A144" s="84" t="inlineStr">
        <is>
          <t>3位</t>
        </is>
      </c>
      <c r="B144" s="28" t="inlineStr">
        <is>
          <t>https://rank-quest.jp/column/column/how-to-seo/</t>
        </is>
      </c>
      <c r="C144" s="84">
        <f>IFERROR(__xludf.DUMMYFUNCTION("IMPORTXML(B144, ""//title"")"),"【2026年最新】SEOとは？SEO対策の基本から具体的な施策手順や注意点を初心者にもわかりやすくプロが解説 - 徹底的にSEO対策するならランクエスト")</f>
        <v/>
      </c>
      <c r="F144" s="105" t="inlineStr">
        <is>
          <t>SERPs</t>
        </is>
      </c>
      <c r="G144" s="103" t="inlineStr">
        <is>
          <t>-</t>
        </is>
      </c>
      <c r="H144" s="103" t="inlineStr">
        <is>
          <t>-</t>
        </is>
      </c>
      <c r="I144" s="72" t="inlineStr">
        <is>
          <t>〇</t>
        </is>
      </c>
      <c r="J144" s="103" t="inlineStr">
        <is>
          <t>-</t>
        </is>
      </c>
      <c r="K144" s="103" t="n"/>
    </row>
    <row r="145">
      <c r="B145" s="84" t="n"/>
      <c r="C145" s="84" t="n"/>
      <c r="F145" s="105" t="inlineStr">
        <is>
          <t>クロールリクエスト</t>
        </is>
      </c>
      <c r="G145" s="103" t="inlineStr">
        <is>
          <t>-</t>
        </is>
      </c>
      <c r="H145" s="103" t="inlineStr">
        <is>
          <t>-</t>
        </is>
      </c>
      <c r="I145" s="72" t="inlineStr">
        <is>
          <t>〇</t>
        </is>
      </c>
      <c r="J145" s="103" t="inlineStr">
        <is>
          <t>-</t>
        </is>
      </c>
      <c r="K145" s="103" t="n"/>
    </row>
    <row r="146">
      <c r="A146" s="84" t="inlineStr">
        <is>
          <t>内部発リンク</t>
        </is>
      </c>
      <c r="B146" s="28" t="inlineStr">
        <is>
          <t>https://rank-quest.jp/column/column/cvr/</t>
        </is>
      </c>
      <c r="C146" s="84">
        <f>IFERROR(__xludf.DUMMYFUNCTION("IMPORTXML(B146, ""//title"")"),"CVR（コンバージョンレート）とは？低い原因と改善のための方法を解説 - 徹底的にSEO対策するならランクエスト")</f>
        <v/>
      </c>
      <c r="D146" s="84" t="inlineStr">
        <is>
          <t>CVR</t>
        </is>
      </c>
      <c r="F146" s="105" t="inlineStr">
        <is>
          <t>クロール頻度</t>
        </is>
      </c>
      <c r="G146" s="103" t="inlineStr">
        <is>
          <t>-</t>
        </is>
      </c>
      <c r="H146" s="103" t="inlineStr">
        <is>
          <t>-</t>
        </is>
      </c>
      <c r="I146" s="72" t="inlineStr">
        <is>
          <t>〇</t>
        </is>
      </c>
      <c r="J146" s="103" t="inlineStr">
        <is>
          <t>-</t>
        </is>
      </c>
      <c r="K146" s="103" t="n"/>
    </row>
    <row r="147">
      <c r="B147" s="28" t="inlineStr">
        <is>
          <t>https://rank-quest.jp/column/column/landing-page-optimization/</t>
        </is>
      </c>
      <c r="C147" s="84">
        <f>IFERROR(__xludf.DUMMYFUNCTION("IMPORTXML(B147, ""//title"")"),"LPOとは？SEOとの違いや効果的な対策・改善方法を解説 - 徹底的にSEO対策するならランクエスト")</f>
        <v/>
      </c>
      <c r="D147" s="84" t="inlineStr">
        <is>
          <t>LPO</t>
        </is>
      </c>
      <c r="F147" s="105" t="inlineStr">
        <is>
          <t>SEOスパム</t>
        </is>
      </c>
      <c r="G147" s="103" t="inlineStr">
        <is>
          <t>-</t>
        </is>
      </c>
      <c r="H147" s="103" t="inlineStr">
        <is>
          <t>-</t>
        </is>
      </c>
      <c r="I147" s="72" t="inlineStr">
        <is>
          <t>〇</t>
        </is>
      </c>
      <c r="J147" s="103" t="inlineStr">
        <is>
          <t>-</t>
        </is>
      </c>
      <c r="K147" s="103" t="n"/>
    </row>
    <row r="148">
      <c r="B148" s="28" t="inlineStr">
        <is>
          <t>https://rank-quest.jp/column/column/ec-seo/</t>
        </is>
      </c>
      <c r="C148" s="84">
        <f>IFERROR(__xludf.DUMMYFUNCTION("IMPORTXML(B148, ""//title"")"),"ECサイトのSEO対策とは？商品ページで検索上位を狙う方法を解説 - 徹底的にSEO対策するならランクエスト")</f>
        <v/>
      </c>
      <c r="D148" s="84" t="inlineStr">
        <is>
          <t>ECサイト</t>
        </is>
      </c>
      <c r="F148" s="105" t="inlineStr">
        <is>
          <t>クロールバジェット</t>
        </is>
      </c>
      <c r="G148" s="103" t="inlineStr">
        <is>
          <t>-</t>
        </is>
      </c>
      <c r="H148" s="103" t="inlineStr">
        <is>
          <t>-</t>
        </is>
      </c>
      <c r="I148" s="72" t="inlineStr">
        <is>
          <t>〇</t>
        </is>
      </c>
      <c r="J148" s="103" t="inlineStr">
        <is>
          <t>-</t>
        </is>
      </c>
      <c r="K148" s="103" t="n"/>
    </row>
    <row r="149">
      <c r="B149" s="28" t="inlineStr">
        <is>
          <t>https://rank-quest.jp/column/column/sme-careful-seo/</t>
        </is>
      </c>
      <c r="C149" s="84">
        <f>IFERROR(__xludf.DUMMYFUNCTION("IMPORTXML(B149, ""//title"")"),"中小企業にこそ入念なSEO対策が必要な理由 - 徹底的にSEO対策するならランクエスト")</f>
        <v/>
      </c>
      <c r="D149" s="84" t="inlineStr">
        <is>
          <t>中小企業のSEO対策</t>
        </is>
      </c>
      <c r="F149" s="105" t="inlineStr">
        <is>
          <t>業者選び</t>
        </is>
      </c>
      <c r="G149" s="103" t="inlineStr">
        <is>
          <t>-</t>
        </is>
      </c>
      <c r="H149" s="103" t="inlineStr">
        <is>
          <t>-</t>
        </is>
      </c>
      <c r="I149" s="72" t="inlineStr">
        <is>
          <t>〇</t>
        </is>
      </c>
      <c r="J149" s="103" t="inlineStr">
        <is>
          <t>-</t>
        </is>
      </c>
      <c r="K149" s="103" t="n"/>
    </row>
    <row r="150">
      <c r="B150" s="28" t="inlineStr">
        <is>
          <t>https://rank-quest.jp/column/column/webcustomer-attraction/</t>
        </is>
      </c>
      <c r="C150" s="84">
        <f>IFERROR(__xludf.DUMMYFUNCTION("IMPORTXML(B150, ""//title"")"),"Web集客の7つの手法と成功させるためのポイントを解説【事例あり】 - 徹底的にSEO対策するならランクエスト")</f>
        <v/>
      </c>
      <c r="D150" s="84" t="inlineStr">
        <is>
          <t>Web集客</t>
        </is>
      </c>
      <c r="F150" s="105" t="inlineStr">
        <is>
          <t>提案</t>
        </is>
      </c>
      <c r="G150" s="103" t="inlineStr">
        <is>
          <t>-</t>
        </is>
      </c>
      <c r="H150" s="103" t="inlineStr">
        <is>
          <t>-</t>
        </is>
      </c>
      <c r="I150" s="72" t="inlineStr">
        <is>
          <t>〇</t>
        </is>
      </c>
      <c r="J150" s="103" t="inlineStr">
        <is>
          <t>-</t>
        </is>
      </c>
      <c r="K150" s="103" t="n"/>
    </row>
    <row r="151">
      <c r="B151" s="28" t="inlineStr">
        <is>
          <t>https://rank-quest.jp/column/column/organic-search/</t>
        </is>
      </c>
      <c r="C151" s="84">
        <f>IFERROR(__xludf.DUMMYFUNCTION("IMPORTXML(B151, ""//title"")"),"オーガニック検索とは？メリットと上位表示して流入を増やす方法を解説 - 徹底的にSEO対策するならランクエスト")</f>
        <v/>
      </c>
      <c r="D151" s="84" t="inlineStr">
        <is>
          <t>オーガニック検索</t>
        </is>
      </c>
      <c r="F151" s="105" t="inlineStr">
        <is>
          <t>トレイリングスラッシュ</t>
        </is>
      </c>
      <c r="G151" s="103" t="inlineStr">
        <is>
          <t>-</t>
        </is>
      </c>
      <c r="H151" s="103" t="inlineStr">
        <is>
          <t>-</t>
        </is>
      </c>
      <c r="I151" s="72" t="inlineStr">
        <is>
          <t>〇</t>
        </is>
      </c>
      <c r="J151" s="103" t="inlineStr">
        <is>
          <t>-</t>
        </is>
      </c>
      <c r="K151" s="103" t="n"/>
    </row>
    <row r="152">
      <c r="B152" s="28" t="inlineStr">
        <is>
          <t>https://rank-quest.jp/column/column/featured-snippets/</t>
        </is>
      </c>
      <c r="C152" s="84">
        <f>IFERROR(__xludf.DUMMYFUNCTION("IMPORTXML(B152, ""//title"")"),"強調スニペットとSEO対策｜今改めて徹底解説！ - 徹底的にSEO対策するならランクエスト")</f>
        <v/>
      </c>
      <c r="D152" s="84" t="inlineStr">
        <is>
          <t>強調スニペット</t>
        </is>
      </c>
      <c r="F152" s="105" t="inlineStr">
        <is>
          <t>nofollow</t>
        </is>
      </c>
      <c r="G152" s="103" t="inlineStr">
        <is>
          <t>-</t>
        </is>
      </c>
      <c r="H152" s="103" t="inlineStr">
        <is>
          <t>-</t>
        </is>
      </c>
      <c r="I152" s="72" t="inlineStr">
        <is>
          <t>〇</t>
        </is>
      </c>
      <c r="J152" s="103" t="inlineStr">
        <is>
          <t>-</t>
        </is>
      </c>
      <c r="K152" s="103" t="n"/>
    </row>
    <row r="153">
      <c r="B153" s="28" t="inlineStr">
        <is>
          <t>https://rank-quest.jp/column/column/google-discover/</t>
        </is>
      </c>
      <c r="C153" s="84">
        <f>IFERROR(__xludf.DUMMYFUNCTION("IMPORTXML(B153, ""//title"")"),"Google Discoverとは？掲載されるメリットや具体的な対策方法を解説 - 徹底的にSEO対策するならランクエスト")</f>
        <v/>
      </c>
      <c r="D153" s="84" t="inlineStr">
        <is>
          <t>Google Discover</t>
        </is>
      </c>
      <c r="F153" s="105" t="inlineStr">
        <is>
          <t>動的ページと静的ページ</t>
        </is>
      </c>
      <c r="G153" s="103" t="inlineStr">
        <is>
          <t>-</t>
        </is>
      </c>
      <c r="H153" s="103" t="inlineStr">
        <is>
          <t>-</t>
        </is>
      </c>
      <c r="I153" s="72" t="inlineStr">
        <is>
          <t>〇</t>
        </is>
      </c>
      <c r="J153" s="103" t="inlineStr">
        <is>
          <t>-</t>
        </is>
      </c>
      <c r="K153" s="103" t="n"/>
    </row>
    <row r="154">
      <c r="B154" s="28" t="inlineStr">
        <is>
          <t>https://rank-quest.jp/column/column/search-intent/</t>
        </is>
      </c>
      <c r="C154" s="84">
        <f>IFERROR(__xludf.DUMMYFUNCTION("IMPORTXML(B154, ""//title"")"),"検索意図とは？SEO対策で知っておきたい分類や重要性を解説 - 徹底的にSEO対策するならランクエスト")</f>
        <v/>
      </c>
      <c r="D154" s="84" t="inlineStr">
        <is>
          <t>検索意図</t>
        </is>
      </c>
      <c r="F154" s="105" t="inlineStr">
        <is>
          <t>CSSとSEO</t>
        </is>
      </c>
      <c r="G154" s="103" t="inlineStr">
        <is>
          <t>-</t>
        </is>
      </c>
      <c r="H154" s="103" t="inlineStr">
        <is>
          <t>-</t>
        </is>
      </c>
      <c r="I154" s="72" t="inlineStr">
        <is>
          <t>〇</t>
        </is>
      </c>
      <c r="J154" s="103" t="inlineStr">
        <is>
          <t>-</t>
        </is>
      </c>
      <c r="K154" s="103" t="n"/>
    </row>
    <row r="155">
      <c r="B155" s="28" t="inlineStr">
        <is>
          <t>https://rank-quest.jp/column/column/search-engines/</t>
        </is>
      </c>
      <c r="C155" s="84">
        <f>IFERROR(__xludf.DUMMYFUNCTION("IMPORTXML(B155, ""//title"")"),"【2026】検索エンジン一覧をランキング形式で比較｜選ぶポイントも解説 - 徹底的にSEO対策するならランクエスト")</f>
        <v/>
      </c>
      <c r="D155" s="84" t="inlineStr">
        <is>
          <t>検索エンジン一覧比較</t>
        </is>
      </c>
      <c r="F155" s="105" t="inlineStr">
        <is>
          <t>レンタルサーバー</t>
        </is>
      </c>
      <c r="G155" s="103" t="inlineStr">
        <is>
          <t>-</t>
        </is>
      </c>
      <c r="H155" s="103" t="inlineStr">
        <is>
          <t>-</t>
        </is>
      </c>
      <c r="I155" s="72" t="inlineStr">
        <is>
          <t>〇</t>
        </is>
      </c>
      <c r="J155" s="103" t="inlineStr">
        <is>
          <t>-</t>
        </is>
      </c>
      <c r="K155" s="103" t="n"/>
    </row>
    <row r="156">
      <c r="B156" s="28" t="inlineStr">
        <is>
          <t>https://rank-quest.jp/column/column/how-to-seo/#Web%E3%82%B5%E3%82%A4%E3%83%88%E3%82%92Google%E3%81%8C%E8%A9%95%E4%BE%A1%E3%81%99%E3%82%8B%E3%81%9F%E3%82%81%E3%81%AE2025%E5%B9%B4%E6%9C%80%E6%96%B0%E3%81%AESEO%E8%A9%95%E4%BE%A1%E5%9F%BA%E6%BA%96%E3%80%8CE-E-A-T%E3%80%8D</t>
        </is>
      </c>
      <c r="C156" s="84">
        <f>IFERROR(__xludf.DUMMYFUNCTION("IMPORTXML(B156, ""//title"")"),"【2026年最新】SEOとは？SEO対策の基本から具体的な施策手順や注意点を初心者にもわかりやすくプロが解説 - 徹底的にSEO対策するならランクエスト")</f>
        <v/>
      </c>
      <c r="D156" s="84" t="inlineStr">
        <is>
          <t>SEO対策の基本</t>
        </is>
      </c>
      <c r="F156" s="105" t="inlineStr">
        <is>
          <t>外部対策</t>
        </is>
      </c>
      <c r="G156" s="103" t="inlineStr">
        <is>
          <t>-</t>
        </is>
      </c>
      <c r="H156" s="103" t="inlineStr">
        <is>
          <t>-</t>
        </is>
      </c>
      <c r="I156" s="72" t="inlineStr">
        <is>
          <t>〇</t>
        </is>
      </c>
      <c r="J156" s="103" t="inlineStr">
        <is>
          <t>-</t>
        </is>
      </c>
      <c r="K156" s="103" t="n"/>
    </row>
    <row r="157">
      <c r="B157" s="28" t="inlineStr">
        <is>
          <t>https://rank-quest.jp/column/column/seo-coding/</t>
        </is>
      </c>
      <c r="C157" s="84">
        <f>IFERROR(__xludf.DUMMYFUNCTION("IMPORTXML(B157, ""//title"")"),"SEO対策に有効なコーディングとは？HTMLタグの書き方も解説 - 徹底的にSEO対策するならランクエスト")</f>
        <v/>
      </c>
      <c r="D157" s="84" t="inlineStr">
        <is>
          <t>コーディング（HTMLタグ）</t>
        </is>
      </c>
      <c r="F157" s="105" t="inlineStr">
        <is>
          <t>テクニカルSEO</t>
        </is>
      </c>
      <c r="G157" s="103" t="inlineStr">
        <is>
          <t>-</t>
        </is>
      </c>
      <c r="H157" s="103" t="inlineStr">
        <is>
          <t>-</t>
        </is>
      </c>
      <c r="I157" s="72" t="inlineStr">
        <is>
          <t>〇</t>
        </is>
      </c>
      <c r="J157" s="103" t="inlineStr">
        <is>
          <t>-</t>
        </is>
      </c>
      <c r="K157" s="103" t="n"/>
    </row>
    <row r="158">
      <c r="B158" s="28" t="inlineStr">
        <is>
          <t>https://rank-quest.jp/column/column/black-hat-seo/</t>
        </is>
      </c>
      <c r="C158" s="84">
        <f>IFERROR(__xludf.DUMMYFUNCTION("IMPORTXML(B158, ""//title"")"),"ブラックハットSEOとホワイトハットSEOの違い｜SEO会社が教える安全なSEO対策 - 徹底的にSEO対策するならランクエスト")</f>
        <v/>
      </c>
      <c r="D158" s="84" t="inlineStr">
        <is>
          <t>ブラックハットSEOとホワイトハットSEOの違い</t>
        </is>
      </c>
      <c r="F158" s="105" t="inlineStr">
        <is>
          <t>病院のSEO対策</t>
        </is>
      </c>
      <c r="G158" s="103" t="inlineStr">
        <is>
          <t>-</t>
        </is>
      </c>
      <c r="H158" s="103" t="inlineStr">
        <is>
          <t>-</t>
        </is>
      </c>
      <c r="I158" s="72" t="inlineStr">
        <is>
          <t>〇</t>
        </is>
      </c>
      <c r="J158" s="103" t="inlineStr">
        <is>
          <t>-</t>
        </is>
      </c>
      <c r="K158" s="103" t="n"/>
    </row>
    <row r="159">
      <c r="B159" s="28" t="inlineStr">
        <is>
          <t>https://rank-quest.jp/column/column/web-marketing/</t>
        </is>
      </c>
      <c r="C159" s="84">
        <f>IFERROR(__xludf.DUMMYFUNCTION("IMPORTXML(B159, ""//title"")"),"【Webマーケティングの究極ガイド】施策の例や最新情報も解説 - 徹底的にSEO対策するならランクエスト")</f>
        <v/>
      </c>
      <c r="D159" s="84" t="inlineStr">
        <is>
          <t>施策例</t>
        </is>
      </c>
      <c r="F159" s="105" t="inlineStr">
        <is>
          <t>品質評価</t>
        </is>
      </c>
      <c r="G159" s="103" t="inlineStr">
        <is>
          <t>-</t>
        </is>
      </c>
      <c r="H159" s="103" t="inlineStr">
        <is>
          <t>-</t>
        </is>
      </c>
      <c r="I159" s="72" t="inlineStr">
        <is>
          <t>〇</t>
        </is>
      </c>
      <c r="J159" s="103" t="inlineStr">
        <is>
          <t>-</t>
        </is>
      </c>
      <c r="K159" s="103" t="n"/>
    </row>
    <row r="160">
      <c r="B160" s="28" t="inlineStr">
        <is>
          <t>https://rank-quest.jp/column/column/panda-update/</t>
        </is>
      </c>
      <c r="C160" s="84">
        <f>IFERROR(__xludf.DUMMYFUNCTION("IMPORTXML(B160, ""//title"")"),"Googleのパンダアップデートとは？概要やペンギンアップデートとの違いを解説 - 徹底的にSEO対策するならランクエスト")</f>
        <v/>
      </c>
      <c r="D160" s="84" t="inlineStr">
        <is>
          <t>パンダアップデート</t>
        </is>
      </c>
      <c r="F160" s="105" t="inlineStr">
        <is>
          <t>SEOスターターガイド</t>
        </is>
      </c>
      <c r="G160" s="103" t="inlineStr">
        <is>
          <t>-</t>
        </is>
      </c>
      <c r="H160" s="103" t="inlineStr">
        <is>
          <t>-</t>
        </is>
      </c>
      <c r="I160" s="72" t="inlineStr">
        <is>
          <t>〇</t>
        </is>
      </c>
      <c r="J160" s="103" t="inlineStr">
        <is>
          <t>-</t>
        </is>
      </c>
      <c r="K160" s="103" t="n"/>
    </row>
    <row r="161">
      <c r="B161" s="28" t="inlineStr">
        <is>
          <t>https://rank-quest.jp/column/column/link-spam-update/</t>
        </is>
      </c>
      <c r="C161" s="84">
        <f>IFERROR(__xludf.DUMMYFUNCTION("IMPORTXML(B161, ""//title"")"),"Googleのリンクスパムアップデートとは？内容や対処法を解説 - 徹底的にSEO対策するならランクエスト")</f>
        <v/>
      </c>
      <c r="D161" s="84" t="inlineStr">
        <is>
          <t>リンクスパムアップデート</t>
        </is>
      </c>
      <c r="F161" s="105" t="inlineStr">
        <is>
          <t>Googleの理念</t>
        </is>
      </c>
      <c r="G161" s="103" t="inlineStr">
        <is>
          <t>-</t>
        </is>
      </c>
      <c r="H161" s="103" t="inlineStr">
        <is>
          <t>-</t>
        </is>
      </c>
      <c r="I161" s="72" t="inlineStr">
        <is>
          <t>〇</t>
        </is>
      </c>
      <c r="J161" s="103" t="inlineStr">
        <is>
          <t>-</t>
        </is>
      </c>
      <c r="K161" s="103" t="n"/>
    </row>
    <row r="162">
      <c r="B162" s="28" t="inlineStr">
        <is>
          <t>https://rank-quest.jp/column/column/bert-update/</t>
        </is>
      </c>
      <c r="C162" s="84">
        <f>IFERROR(__xludf.DUMMYFUNCTION("IMPORTXML(B162, ""//title"")"),"BERTアップデートとは？SEOへの影響や変更内容の詳細を解説 - 徹底的にSEO対策するならランクエスト")</f>
        <v/>
      </c>
      <c r="D162" s="84" t="inlineStr">
        <is>
          <t>BERTアップデート</t>
        </is>
      </c>
      <c r="F162" s="105" t="inlineStr">
        <is>
          <t>大規模サイトSEO対策</t>
        </is>
      </c>
      <c r="G162" s="103" t="inlineStr">
        <is>
          <t>-</t>
        </is>
      </c>
      <c r="H162" s="103" t="inlineStr">
        <is>
          <t>-</t>
        </is>
      </c>
      <c r="I162" s="72" t="inlineStr">
        <is>
          <t>〇</t>
        </is>
      </c>
      <c r="J162" s="103" t="inlineStr">
        <is>
          <t>-</t>
        </is>
      </c>
      <c r="K162" s="103" t="n"/>
    </row>
    <row r="163">
      <c r="B163" s="28" t="inlineStr">
        <is>
          <t>https://rank-quest.jp/column/column/helpful-content-update/</t>
        </is>
      </c>
      <c r="C163" s="84">
        <f>IFERROR(__xludf.DUMMYFUNCTION("IMPORTXML(B163, ""//title"")"),"ヘルプフルコンテンツアップデートとは？影響や具体的な対策を解説 - 徹底的にSEO対策するならランクエスト")</f>
        <v/>
      </c>
      <c r="D163" s="84" t="inlineStr">
        <is>
          <t>ヘルプフルコンテンツアップデート</t>
        </is>
      </c>
      <c r="F163" s="105" t="inlineStr">
        <is>
          <t>WebP</t>
        </is>
      </c>
      <c r="G163" s="103" t="inlineStr">
        <is>
          <t>-</t>
        </is>
      </c>
      <c r="H163" s="103" t="inlineStr">
        <is>
          <t>-</t>
        </is>
      </c>
      <c r="I163" s="72" t="inlineStr">
        <is>
          <t>〇</t>
        </is>
      </c>
      <c r="J163" s="103" t="inlineStr">
        <is>
          <t>-</t>
        </is>
      </c>
      <c r="K163" s="103" t="n"/>
    </row>
    <row r="164">
      <c r="B164" s="28" t="inlineStr">
        <is>
          <t>https://rank-quest.jp/column/column/venice-update/</t>
        </is>
      </c>
      <c r="C164" s="84">
        <f>IFERROR(__xludf.DUMMYFUNCTION("IMPORTXML(B164, ""//title"")"),"ベニスアップデートとは？SEOへの影響や対処法を解説 - 徹底的にSEO対策するならランクエスト")</f>
        <v/>
      </c>
      <c r="D164" s="84" t="inlineStr">
        <is>
          <t>ベニスアップデート</t>
        </is>
      </c>
      <c r="F164" s="105" t="inlineStr">
        <is>
          <t>WordPressプラグイン</t>
        </is>
      </c>
      <c r="G164" s="103" t="inlineStr">
        <is>
          <t>-</t>
        </is>
      </c>
      <c r="H164" s="103" t="inlineStr">
        <is>
          <t>-</t>
        </is>
      </c>
      <c r="I164" s="72" t="inlineStr">
        <is>
          <t>〇</t>
        </is>
      </c>
      <c r="J164" s="103" t="inlineStr">
        <is>
          <t>-</t>
        </is>
      </c>
      <c r="K164" s="103" t="n"/>
    </row>
    <row r="165">
      <c r="B165" s="28" t="inlineStr">
        <is>
          <t>https://rank-quest.jp/column/column/pigeon-update/</t>
        </is>
      </c>
      <c r="C165" s="84">
        <f>IFERROR(__xludf.DUMMYFUNCTION("IMPORTXML(B165, ""//title"")"),"ビジョンアップデートとは？具体的な内容やベニスアップデートとの違いを解説 - 徹底的にSEO対策するならランクエスト")</f>
        <v/>
      </c>
      <c r="D165" s="84" t="inlineStr">
        <is>
          <t>ビジョンアップデート</t>
        </is>
      </c>
      <c r="F165" s="105" t="inlineStr">
        <is>
          <t>WordPressの機能</t>
        </is>
      </c>
      <c r="G165" s="103" t="inlineStr">
        <is>
          <t>-</t>
        </is>
      </c>
      <c r="H165" s="103" t="inlineStr">
        <is>
          <t>-</t>
        </is>
      </c>
      <c r="I165" s="72" t="inlineStr">
        <is>
          <t>〇</t>
        </is>
      </c>
      <c r="J165" s="103" t="inlineStr">
        <is>
          <t>-</t>
        </is>
      </c>
      <c r="K165" s="103" t="n"/>
    </row>
    <row r="166">
      <c r="B166" s="28" t="inlineStr">
        <is>
          <t>https://rank-quest.jp/column/column/penguin-update/</t>
        </is>
      </c>
      <c r="C166" s="84">
        <f>IFERROR(__xludf.DUMMYFUNCTION("IMPORTXML(B166, ""//title"")"),"ペンギンアップデートとは？パンダアップデートとの違いやSEOへの影響を解説 - 徹底的にSEO対策するならランクエスト")</f>
        <v/>
      </c>
      <c r="D166" s="84" t="inlineStr">
        <is>
          <t>ペンギンアップデート</t>
        </is>
      </c>
      <c r="F166" s="105" t="inlineStr">
        <is>
          <t>canonical301リダイレクト</t>
        </is>
      </c>
      <c r="G166" s="103" t="inlineStr">
        <is>
          <t>-</t>
        </is>
      </c>
      <c r="H166" s="103" t="inlineStr">
        <is>
          <t>-</t>
        </is>
      </c>
      <c r="I166" s="72" t="inlineStr">
        <is>
          <t>〇</t>
        </is>
      </c>
      <c r="J166" s="103" t="inlineStr">
        <is>
          <t>-</t>
        </is>
      </c>
      <c r="K166" s="103" t="n"/>
    </row>
    <row r="167">
      <c r="B167" s="28" t="inlineStr">
        <is>
          <t>https://rank-quest.jp/column/column/core-updates/</t>
        </is>
      </c>
      <c r="C167" s="84">
        <f>IFERROR(__xludf.DUMMYFUNCTION("IMPORTXML(B167, ""//title"")"),"Googleコアアップデートとは？詳細や対策すべきポイントを解説 - 徹底的にSEO対策するならランクエスト")</f>
        <v/>
      </c>
      <c r="D167" s="84" t="inlineStr">
        <is>
          <t>Googleコアアップデート</t>
        </is>
      </c>
      <c r="F167" s="105" t="inlineStr">
        <is>
          <t>レンダリング</t>
        </is>
      </c>
      <c r="G167" s="103" t="inlineStr">
        <is>
          <t>-</t>
        </is>
      </c>
      <c r="H167" s="103" t="inlineStr">
        <is>
          <t>-</t>
        </is>
      </c>
      <c r="I167" s="72" t="inlineStr">
        <is>
          <t>〇</t>
        </is>
      </c>
      <c r="J167" s="103" t="inlineStr">
        <is>
          <t>-</t>
        </is>
      </c>
      <c r="K167" s="103" t="n"/>
    </row>
    <row r="168">
      <c r="B168" s="28" t="inlineStr">
        <is>
          <t>https://rank-quest.jp/column/column/seo-rankcheck/</t>
        </is>
      </c>
      <c r="C168" s="84">
        <f>IFERROR(__xludf.DUMMYFUNCTION("IMPORTXML(B168, ""//title"")"),"SEOの効果測定とは？見るべき指標や手順・ツールを解説 - 徹底的にSEO対策するならランクエスト")</f>
        <v/>
      </c>
      <c r="D168" s="84" t="inlineStr">
        <is>
          <t>効果測定</t>
        </is>
      </c>
      <c r="F168" s="105" t="inlineStr">
        <is>
          <t>キーワードプランナー</t>
        </is>
      </c>
      <c r="G168" s="103" t="inlineStr">
        <is>
          <t>-</t>
        </is>
      </c>
      <c r="H168" s="103" t="inlineStr">
        <is>
          <t>-</t>
        </is>
      </c>
      <c r="I168" s="72" t="inlineStr">
        <is>
          <t>〇</t>
        </is>
      </c>
      <c r="J168" s="103" t="inlineStr">
        <is>
          <t>-</t>
        </is>
      </c>
      <c r="K168" s="103" t="n"/>
    </row>
    <row r="169">
      <c r="B169" s="28" t="inlineStr">
        <is>
          <t>https://rank-quest.jp/column/column/domain-age/</t>
        </is>
      </c>
      <c r="C169" s="84">
        <f>IFERROR(__xludf.DUMMYFUNCTION("IMPORTXML(B169, ""//title"")"),"ドメイン年齢（ドメインエイジ）とは？調べる方法やSEOとの関係を解説 - 徹底的にSEO対策するならランクエスト")</f>
        <v/>
      </c>
      <c r="D169" s="84" t="inlineStr">
        <is>
          <t>ドメイン年齢（ドメインエイジ）</t>
        </is>
      </c>
      <c r="F169" s="105" t="inlineStr">
        <is>
          <t>ラッコキーワード</t>
        </is>
      </c>
      <c r="G169" s="103" t="inlineStr">
        <is>
          <t>-</t>
        </is>
      </c>
      <c r="H169" s="103" t="inlineStr">
        <is>
          <t>-</t>
        </is>
      </c>
      <c r="I169" s="72" t="inlineStr">
        <is>
          <t>〇</t>
        </is>
      </c>
      <c r="J169" s="103" t="inlineStr">
        <is>
          <t>-</t>
        </is>
      </c>
      <c r="K169" s="103" t="n"/>
    </row>
    <row r="170">
      <c r="B170" s="28" t="inlineStr">
        <is>
          <t>https://rank-quest.jp/column/column/seo-rewrite/</t>
        </is>
      </c>
      <c r="C170" s="84">
        <f>IFERROR(__xludf.DUMMYFUNCTION("IMPORTXML(B170, ""//title"")"),"【SEO リライト】についてSEOの専門家に詳しく聞いてみた - 徹底的にSEO対策するならランクエスト")</f>
        <v/>
      </c>
      <c r="D170" s="84" t="inlineStr">
        <is>
          <t>SEO リライト</t>
        </is>
      </c>
      <c r="F170" s="105" t="inlineStr">
        <is>
          <t>競合サイトの分析方法</t>
        </is>
      </c>
      <c r="G170" s="103" t="inlineStr">
        <is>
          <t>-</t>
        </is>
      </c>
      <c r="H170" s="103" t="inlineStr">
        <is>
          <t>-</t>
        </is>
      </c>
      <c r="I170" s="72" t="inlineStr">
        <is>
          <t>〇</t>
        </is>
      </c>
      <c r="J170" s="103" t="inlineStr">
        <is>
          <t>-</t>
        </is>
      </c>
      <c r="K170" s="103" t="n"/>
    </row>
    <row r="171">
      <c r="B171" s="28" t="inlineStr">
        <is>
          <t>https://rank-quest.jp/column/column/seo-period/</t>
        </is>
      </c>
      <c r="C171" s="84">
        <f>IFERROR(__xludf.DUMMYFUNCTION("IMPORTXML(B171, ""//title"")"),"SEO対策の効果が出る期間は？検索順位を早く上げるための対処法を解説 - 徹底的にSEO対策するならランクエスト")</f>
        <v/>
      </c>
      <c r="D171" s="84" t="inlineStr">
        <is>
          <t>SEOの効果が出る期間</t>
        </is>
      </c>
      <c r="F171" s="105" t="inlineStr">
        <is>
          <t>エイチレフス</t>
        </is>
      </c>
      <c r="G171" s="103" t="inlineStr">
        <is>
          <t>-</t>
        </is>
      </c>
      <c r="H171" s="103" t="inlineStr">
        <is>
          <t>-</t>
        </is>
      </c>
      <c r="I171" s="72" t="inlineStr">
        <is>
          <t>〇</t>
        </is>
      </c>
      <c r="J171" s="103" t="inlineStr">
        <is>
          <t>-</t>
        </is>
      </c>
      <c r="K171" s="103" t="n"/>
    </row>
    <row r="172">
      <c r="B172" s="28" t="inlineStr">
        <is>
          <t>https://rank-quest.jp/column/column/listing-ads/</t>
        </is>
      </c>
      <c r="C172" s="84">
        <f>IFERROR(__xludf.DUMMYFUNCTION("IMPORTXML(B172, ""//title"")"),"リスティング広告とは？仕組みや費用・配信方法について解説 - 徹底的にSEO対策するならランクエスト")</f>
        <v/>
      </c>
      <c r="D172" s="84" t="inlineStr">
        <is>
          <t>リスティング広告</t>
        </is>
      </c>
      <c r="F172" s="105" t="inlineStr">
        <is>
          <t>ロングテールキーワード</t>
        </is>
      </c>
      <c r="G172" s="103" t="inlineStr">
        <is>
          <t>-</t>
        </is>
      </c>
      <c r="H172" s="103" t="inlineStr">
        <is>
          <t>-</t>
        </is>
      </c>
      <c r="I172" s="72" t="inlineStr">
        <is>
          <t>〇</t>
        </is>
      </c>
      <c r="J172" s="103" t="inlineStr">
        <is>
          <t>-</t>
        </is>
      </c>
      <c r="K172" s="103" t="n"/>
    </row>
    <row r="173">
      <c r="B173" s="28" t="inlineStr">
        <is>
          <t>https://rank-quest.jp/column/column/in-house-seo/</t>
        </is>
      </c>
      <c r="C173" s="84">
        <f>IFERROR(__xludf.DUMMYFUNCTION("IMPORTXML(B173, ""//title"")"),"​​インハウスSEOとは？成功のポイントと取り組み方を解説 - 徹底的にSEO対策するならランクエスト")</f>
        <v/>
      </c>
      <c r="D173" s="84" t="inlineStr">
        <is>
          <t>インハウスSEO</t>
        </is>
      </c>
      <c r="F173" s="105" t="inlineStr">
        <is>
          <t>Core Web Vitals</t>
        </is>
      </c>
      <c r="G173" s="103" t="inlineStr">
        <is>
          <t>-</t>
        </is>
      </c>
      <c r="H173" s="103" t="inlineStr">
        <is>
          <t>-</t>
        </is>
      </c>
      <c r="I173" s="72" t="inlineStr">
        <is>
          <t>〇</t>
        </is>
      </c>
      <c r="J173" s="103" t="inlineStr">
        <is>
          <t>-</t>
        </is>
      </c>
      <c r="K173" s="103" t="n"/>
    </row>
    <row r="174">
      <c r="B174" s="28" t="inlineStr">
        <is>
          <t>https://rank-quest.jp/column/column/seo-meo/</t>
        </is>
      </c>
      <c r="C174" s="84">
        <f>IFERROR(__xludf.DUMMYFUNCTION("IMPORTXML(B174, ""//title"")"),"[SEO MEO]についてSEO専門業者に詳しく聞いてみた - 徹底的にSEO対策するならランクエスト")</f>
        <v/>
      </c>
      <c r="D174" s="84" t="inlineStr">
        <is>
          <t>SEO MEO</t>
        </is>
      </c>
      <c r="F174" s="105" t="inlineStr">
        <is>
          <t>相互リンク</t>
        </is>
      </c>
      <c r="G174" s="103" t="inlineStr">
        <is>
          <t>-</t>
        </is>
      </c>
      <c r="H174" s="103" t="inlineStr">
        <is>
          <t>-</t>
        </is>
      </c>
      <c r="I174" s="72" t="inlineStr">
        <is>
          <t>〇</t>
        </is>
      </c>
      <c r="J174" s="103" t="inlineStr">
        <is>
          <t>-</t>
        </is>
      </c>
      <c r="K174" s="103" t="n"/>
    </row>
    <row r="175">
      <c r="B175" s="28" t="inlineStr">
        <is>
          <t>https://rank-quest.jp/column/column/local-seo/</t>
        </is>
      </c>
      <c r="C175" s="84">
        <f>IFERROR(__xludf.DUMMYFUNCTION("IMPORTXML(B175, ""//title"")"),"[SEO 地域]についてSEO専門業者に詳しく聞いてみた - 徹底的にSEO対策するならランクエスト")</f>
        <v/>
      </c>
      <c r="D175" s="84" t="inlineStr">
        <is>
          <t>SEO 地域</t>
        </is>
      </c>
      <c r="F175" s="105" t="inlineStr">
        <is>
          <t>アンカーテキスト</t>
        </is>
      </c>
      <c r="G175" s="103" t="inlineStr">
        <is>
          <t>-</t>
        </is>
      </c>
      <c r="H175" s="103" t="inlineStr">
        <is>
          <t>-</t>
        </is>
      </c>
      <c r="I175" s="72" t="inlineStr">
        <is>
          <t>〇</t>
        </is>
      </c>
      <c r="J175" s="103" t="inlineStr">
        <is>
          <t>-</t>
        </is>
      </c>
      <c r="K175" s="103" t="n"/>
    </row>
    <row r="176">
      <c r="B176" s="28" t="inlineStr">
        <is>
          <t>https://rank-quest.jp/column/column/contents-quality/</t>
        </is>
      </c>
      <c r="C176" s="84">
        <f>IFERROR(__xludf.DUMMYFUNCTION("IMPORTXML(B176, ""//title"")"),"コンテンツ品質はSEOに影響する？低品質ページの影響や見分け方を解説 - 徹底的にSEO対策するならランクエスト")</f>
        <v/>
      </c>
      <c r="D176" s="84" t="inlineStr">
        <is>
          <t>低品質ページ</t>
        </is>
      </c>
      <c r="F176" s="105" t="inlineStr">
        <is>
          <t>構造化マークアップ</t>
        </is>
      </c>
      <c r="G176" s="103" t="inlineStr">
        <is>
          <t>-</t>
        </is>
      </c>
      <c r="H176" s="103" t="inlineStr">
        <is>
          <t>-</t>
        </is>
      </c>
      <c r="I176" s="72" t="inlineStr">
        <is>
          <t>〇</t>
        </is>
      </c>
      <c r="J176" s="103" t="inlineStr">
        <is>
          <t>-</t>
        </is>
      </c>
      <c r="K176" s="103" t="n"/>
    </row>
    <row r="177">
      <c r="B177" s="28" t="inlineStr">
        <is>
          <t>https://rank-quest.jp/column/column/seo-kpi/</t>
        </is>
      </c>
      <c r="C177" s="84">
        <f>IFERROR(__xludf.DUMMYFUNCTION("IMPORTXML(B177, ""//title"")"),"SEOのKPI設定とは？見るべき指標や注意点を解説 - 徹底的にSEO対策するならランクエスト")</f>
        <v/>
      </c>
      <c r="D177" s="84" t="inlineStr">
        <is>
          <t>KPI設定</t>
        </is>
      </c>
      <c r="F177" s="105" t="inlineStr">
        <is>
          <t>サイト登録</t>
        </is>
      </c>
      <c r="G177" s="103" t="inlineStr">
        <is>
          <t>-</t>
        </is>
      </c>
      <c r="H177" s="103" t="inlineStr">
        <is>
          <t>-</t>
        </is>
      </c>
      <c r="I177" s="72" t="inlineStr">
        <is>
          <t>〇</t>
        </is>
      </c>
      <c r="J177" s="103" t="inlineStr">
        <is>
          <t>-</t>
        </is>
      </c>
      <c r="K177" s="103" t="n"/>
    </row>
    <row r="178">
      <c r="B178" s="28" t="inlineStr">
        <is>
          <t>https://rank-quest.jp/column/service/seo-internal-measures/</t>
        </is>
      </c>
      <c r="C178" s="84">
        <f>IFERROR(__xludf.DUMMYFUNCTION("IMPORTXML(B178, ""//title"")"),"重要項目を網羅した内部対策【ランクエストSEO】 - 徹底的にSEO対策するならランクエスト")</f>
        <v/>
      </c>
      <c r="D178" s="84" t="inlineStr">
        <is>
          <t>内部対策</t>
        </is>
      </c>
      <c r="F178" s="105" t="inlineStr">
        <is>
          <t>Screaming Frog SEO Spider</t>
        </is>
      </c>
      <c r="G178" s="103" t="inlineStr">
        <is>
          <t>-</t>
        </is>
      </c>
      <c r="H178" s="103" t="inlineStr">
        <is>
          <t>-</t>
        </is>
      </c>
      <c r="I178" s="72" t="inlineStr">
        <is>
          <t>〇</t>
        </is>
      </c>
      <c r="J178" s="103" t="inlineStr">
        <is>
          <t>-</t>
        </is>
      </c>
      <c r="K178" s="103" t="n"/>
    </row>
    <row r="179">
      <c r="B179" s="28" t="inlineStr">
        <is>
          <t>https://rank-quest.jp/column/column/serps/</t>
        </is>
      </c>
      <c r="C179" s="84">
        <f>IFERROR(__xludf.DUMMYFUNCTION("IMPORTXML(B179, ""//title"")"),"SERPsとは？表示される種類や上位表示のポイントを解説 - 徹底的にSEO対策するならランクエスト")</f>
        <v/>
      </c>
      <c r="D179" s="84" t="inlineStr">
        <is>
          <t>SERPs</t>
        </is>
      </c>
      <c r="F179" s="105" t="inlineStr">
        <is>
          <t>ワードサラダ</t>
        </is>
      </c>
      <c r="G179" s="103" t="inlineStr">
        <is>
          <t>-</t>
        </is>
      </c>
      <c r="H179" s="103" t="inlineStr">
        <is>
          <t>-</t>
        </is>
      </c>
      <c r="I179" s="72" t="inlineStr">
        <is>
          <t>〇</t>
        </is>
      </c>
      <c r="J179" s="103" t="inlineStr">
        <is>
          <t>-</t>
        </is>
      </c>
      <c r="K179" s="103" t="n"/>
    </row>
    <row r="180">
      <c r="B180" s="28" t="inlineStr">
        <is>
          <t>https://rank-quest.jp/column/column/meta-tag/</t>
        </is>
      </c>
      <c r="C180" s="84">
        <f>IFERROR(__xludf.DUMMYFUNCTION("IMPORTXML(B180, ""//title"")"),"メタタグとは？SEOにおける役割と書き方を解説 - 徹底的にSEO対策するならランクエスト")</f>
        <v/>
      </c>
      <c r="D180" s="84" t="inlineStr">
        <is>
          <t>メタタグ</t>
        </is>
      </c>
      <c r="F180" s="105" t="inlineStr">
        <is>
          <t>SEOチェキ</t>
        </is>
      </c>
      <c r="G180" s="103" t="inlineStr">
        <is>
          <t>-</t>
        </is>
      </c>
      <c r="H180" s="103" t="inlineStr">
        <is>
          <t>-</t>
        </is>
      </c>
      <c r="I180" s="72" t="inlineStr">
        <is>
          <t>〇</t>
        </is>
      </c>
      <c r="J180" s="103" t="inlineStr">
        <is>
          <t>-</t>
        </is>
      </c>
      <c r="K180" s="103" t="n"/>
    </row>
    <row r="181">
      <c r="B181" s="28" t="inlineStr">
        <is>
          <t>https://rank-quest.jp/column/column/image-seo/</t>
        </is>
      </c>
      <c r="C181" s="84">
        <f>IFERROR(__xludf.DUMMYFUNCTION("IMPORTXML(B181, ""//title"")"),"画像のSEO対策9選！最適なデータ形式や注意点も解説 - 徹底的にSEO対策するならランクエスト")</f>
        <v/>
      </c>
      <c r="D181" s="84" t="inlineStr">
        <is>
          <t>画像SEO</t>
        </is>
      </c>
      <c r="F181" s="105" t="inlineStr">
        <is>
          <t>メタキーワード</t>
        </is>
      </c>
      <c r="G181" s="103" t="inlineStr">
        <is>
          <t>-</t>
        </is>
      </c>
      <c r="H181" s="103" t="inlineStr">
        <is>
          <t>-</t>
        </is>
      </c>
      <c r="I181" s="72" t="inlineStr">
        <is>
          <t>〇</t>
        </is>
      </c>
      <c r="J181" s="103" t="inlineStr">
        <is>
          <t>-</t>
        </is>
      </c>
      <c r="K181" s="103" t="n"/>
    </row>
    <row r="182">
      <c r="B182" s="28" t="inlineStr">
        <is>
          <t>https://rank-quest.jp/column/column/ask-google-to-recraw/</t>
        </is>
      </c>
      <c r="C182" s="84">
        <f>IFERROR(__xludf.DUMMYFUNCTION("IMPORTXML(B182, ""//title"")"),"Googleにクロールをリクエストするタイミングや手順を解説 - 徹底的にSEO対策するならランクエスト")</f>
        <v/>
      </c>
      <c r="D182" s="84" t="inlineStr">
        <is>
          <t>クロールリクエスト</t>
        </is>
      </c>
      <c r="F182" s="105" t="inlineStr">
        <is>
          <t>インデックス削除</t>
        </is>
      </c>
      <c r="G182" s="103" t="inlineStr">
        <is>
          <t>-</t>
        </is>
      </c>
      <c r="H182" s="103" t="inlineStr">
        <is>
          <t>-</t>
        </is>
      </c>
      <c r="I182" s="72" t="inlineStr">
        <is>
          <t>〇</t>
        </is>
      </c>
      <c r="J182" s="103" t="inlineStr">
        <is>
          <t>-</t>
        </is>
      </c>
      <c r="K182" s="103" t="n"/>
    </row>
    <row r="183">
      <c r="B183" s="28" t="inlineStr">
        <is>
          <t>https://rank-quest.jp/column/column/site-structure/</t>
        </is>
      </c>
      <c r="C183" s="84">
        <f>IFERROR(__xludf.DUMMYFUNCTION("IMPORTXML(B183, ""//title"")"),"SEOを意識したサイト構造とは？集客につなげるポイントを解説 - 徹底的にSEO対策するならランクエスト")</f>
        <v/>
      </c>
      <c r="D183" s="84" t="inlineStr">
        <is>
          <t>サイト構造</t>
        </is>
      </c>
      <c r="F183" s="105" t="inlineStr">
        <is>
          <t>ヒートマップ分析</t>
        </is>
      </c>
      <c r="G183" s="103" t="inlineStr">
        <is>
          <t>-</t>
        </is>
      </c>
      <c r="H183" s="103" t="inlineStr">
        <is>
          <t>-</t>
        </is>
      </c>
      <c r="I183" s="72" t="inlineStr">
        <is>
          <t>〇</t>
        </is>
      </c>
      <c r="J183" s="103" t="inlineStr">
        <is>
          <t>-</t>
        </is>
      </c>
      <c r="K183" s="103" t="n"/>
    </row>
    <row r="184">
      <c r="B184" s="28" t="inlineStr">
        <is>
          <t>https://rank-quest.jp/column/column/crawl-rate/</t>
        </is>
      </c>
      <c r="C184" s="84">
        <f>IFERROR(__xludf.DUMMYFUNCTION("IMPORTXML(B184, ""//title"")"),"Googleのクロール頻度とは？確認方法や仕組みを解説 - 徹底的にSEO対策するならランクエスト")</f>
        <v/>
      </c>
      <c r="D184" s="84" t="inlineStr">
        <is>
          <t>クロール頻度</t>
        </is>
      </c>
      <c r="F184" s="105" t="inlineStr">
        <is>
          <t>SNSとSEO</t>
        </is>
      </c>
      <c r="G184" s="103" t="inlineStr">
        <is>
          <t>-</t>
        </is>
      </c>
      <c r="H184" s="103" t="inlineStr">
        <is>
          <t>-</t>
        </is>
      </c>
      <c r="I184" s="72" t="inlineStr">
        <is>
          <t>〇</t>
        </is>
      </c>
      <c r="J184" s="103" t="inlineStr">
        <is>
          <t>-</t>
        </is>
      </c>
      <c r="K184" s="103" t="n"/>
    </row>
    <row r="185">
      <c r="B185" s="28" t="inlineStr">
        <is>
          <t>https://rank-quest.jp/column/column/seo-spam/</t>
        </is>
      </c>
      <c r="C185" s="84">
        <f>IFERROR(__xludf.DUMMYFUNCTION("IMPORTXML(B185, ""//title"")"),"SEOスパムとは？Web担当者が把握したいリスクや対策を解説 - 徹底的にSEO対策するならランクエスト")</f>
        <v/>
      </c>
      <c r="D185" s="84" t="inlineStr">
        <is>
          <t>SEOスパム</t>
        </is>
      </c>
      <c r="F185" s="105" t="inlineStr">
        <is>
          <t>ディスプレイ広告</t>
        </is>
      </c>
      <c r="G185" s="103" t="inlineStr">
        <is>
          <t>-</t>
        </is>
      </c>
      <c r="H185" s="103" t="inlineStr">
        <is>
          <t>-</t>
        </is>
      </c>
      <c r="I185" s="72" t="inlineStr">
        <is>
          <t>〇</t>
        </is>
      </c>
      <c r="J185" s="103" t="inlineStr">
        <is>
          <t>-</t>
        </is>
      </c>
      <c r="K185" s="103" t="n"/>
    </row>
    <row r="186">
      <c r="B186" s="28" t="inlineStr">
        <is>
          <t>https://rank-quest.jp/column/column/crawl-budget/</t>
        </is>
      </c>
      <c r="C186" s="84">
        <f>IFERROR(__xludf.DUMMYFUNCTION("IMPORTXML(B186, ""//title"")"),"クロールバジェットとは？定義や影響を受けるWebサイトの特徴を解説 - 徹底的にSEO対策するならランクエスト")</f>
        <v/>
      </c>
      <c r="D186" s="84" t="inlineStr">
        <is>
          <t>クロールバジェット</t>
        </is>
      </c>
      <c r="F186" s="105" t="inlineStr">
        <is>
          <t>被リンク獲得</t>
        </is>
      </c>
      <c r="G186" s="103" t="inlineStr">
        <is>
          <t>-</t>
        </is>
      </c>
      <c r="H186" s="103" t="inlineStr">
        <is>
          <t>-</t>
        </is>
      </c>
      <c r="I186" s="72" t="inlineStr">
        <is>
          <t>〇</t>
        </is>
      </c>
      <c r="J186" s="103" t="inlineStr">
        <is>
          <t>-</t>
        </is>
      </c>
      <c r="K186" s="103" t="n"/>
    </row>
    <row r="187">
      <c r="B187" s="28" t="inlineStr">
        <is>
          <t>https://rank-quest.jp/column/column/index-registration/</t>
        </is>
      </c>
      <c r="C187" s="84">
        <f>IFERROR(__xludf.DUMMYFUNCTION("IMPORTXML(B187, ""//title"")"),"Googleインデックス登録とは？登録方法やリクエスト方法を徹底解説 - 徹底的にSEO対策するならランクエスト")</f>
        <v/>
      </c>
      <c r="D187" s="84" t="inlineStr">
        <is>
          <t>インデックス</t>
        </is>
      </c>
      <c r="F187" s="105" t="inlineStr">
        <is>
          <t>ドメインパワー</t>
        </is>
      </c>
      <c r="G187" s="103" t="inlineStr">
        <is>
          <t>-</t>
        </is>
      </c>
      <c r="H187" s="103" t="inlineStr">
        <is>
          <t>-</t>
        </is>
      </c>
      <c r="I187" s="72" t="inlineStr">
        <is>
          <t>〇</t>
        </is>
      </c>
      <c r="J187" s="103" t="inlineStr">
        <is>
          <t>-</t>
        </is>
      </c>
      <c r="K187" s="103" t="n"/>
    </row>
    <row r="188">
      <c r="B188" s="28" t="inlineStr">
        <is>
          <t>https://rank-quest.jp/column/column/google-penalty/</t>
        </is>
      </c>
      <c r="C188" s="84">
        <f>IFERROR(__xludf.DUMMYFUNCTION("IMPORTXML(B188, ""//title"")"),"Googleのペナルティとは？原因や確認・対処法について解説 - 徹底的にSEO対策するならランクエスト")</f>
        <v/>
      </c>
      <c r="D188" s="103" t="inlineStr">
        <is>
          <t>Googleペナルティ</t>
        </is>
      </c>
      <c r="F188" s="105" t="inlineStr">
        <is>
          <t>低品質コンテンツ</t>
        </is>
      </c>
      <c r="G188" s="103" t="inlineStr">
        <is>
          <t>-</t>
        </is>
      </c>
      <c r="H188" s="103" t="inlineStr">
        <is>
          <t>-</t>
        </is>
      </c>
      <c r="I188" s="72" t="inlineStr">
        <is>
          <t>〇</t>
        </is>
      </c>
      <c r="J188" s="103" t="inlineStr">
        <is>
          <t>-</t>
        </is>
      </c>
      <c r="K188" s="103" t="n"/>
    </row>
    <row r="189">
      <c r="B189" s="28" t="inlineStr">
        <is>
          <t>https://rank-quest.jp/column/column/search-ranking-down/</t>
        </is>
      </c>
      <c r="C189" s="84">
        <f>IFERROR(__xludf.DUMMYFUNCTION("IMPORTXML(B189, ""//title"")"),"Googleの検索順位が下がったときに考えられる原因と対処法 - 徹底的にSEO対策するならランクエスト")</f>
        <v/>
      </c>
      <c r="D189" s="84" t="inlineStr">
        <is>
          <t>検索順位</t>
        </is>
      </c>
      <c r="F189" s="105" t="inlineStr">
        <is>
          <t>トピッククラスター</t>
        </is>
      </c>
      <c r="G189" s="103" t="inlineStr">
        <is>
          <t>-</t>
        </is>
      </c>
      <c r="H189" s="103" t="inlineStr">
        <is>
          <t>-</t>
        </is>
      </c>
      <c r="I189" s="72" t="inlineStr">
        <is>
          <t>〇</t>
        </is>
      </c>
      <c r="J189" s="103" t="inlineStr">
        <is>
          <t>-</t>
        </is>
      </c>
      <c r="K189" s="103" t="n"/>
    </row>
    <row r="190">
      <c r="B190" s="28" t="inlineStr">
        <is>
          <t>https://rank-quest.jp/column/column/seo-company/</t>
        </is>
      </c>
      <c r="C190" s="84">
        <f>IFERROR(__xludf.DUMMYFUNCTION("IMPORTXML(B190, ""//title"")"),"SEO対策会社おすすめ59選！失敗しないSEO会社の選び方や注意点をプロのSEOコンサルが徹底解説 - 徹底的にSEO対策するならランクエスト")</f>
        <v/>
      </c>
      <c r="D190" s="84" t="inlineStr">
        <is>
          <t>業者選び</t>
        </is>
      </c>
      <c r="F190" s="105" t="inlineStr">
        <is>
          <t>ピラーページ</t>
        </is>
      </c>
      <c r="G190" s="103" t="inlineStr">
        <is>
          <t>-</t>
        </is>
      </c>
      <c r="H190" s="103" t="inlineStr">
        <is>
          <t>-</t>
        </is>
      </c>
      <c r="I190" s="72" t="inlineStr">
        <is>
          <t>〇</t>
        </is>
      </c>
      <c r="J190" s="103" t="inlineStr">
        <is>
          <t>-</t>
        </is>
      </c>
      <c r="K190" s="103" t="n"/>
    </row>
    <row r="191">
      <c r="B191" s="28" t="inlineStr">
        <is>
          <t>https://rank-quest.jp/column/column/seomeasures-outsourcing-cost/</t>
        </is>
      </c>
      <c r="C191" s="84">
        <f>IFERROR(__xludf.DUMMYFUNCTION("IMPORTXML(B191, ""//title"")"),"SEO対策の費用相場はどのくらい？外注に依頼する場合の見積もり項目と選び方を解説｜相場の早見表と事例あり - 徹底的にSEO対策するならランクエスト")</f>
        <v/>
      </c>
      <c r="D191" s="84" t="inlineStr">
        <is>
          <t>費用相場</t>
        </is>
      </c>
      <c r="F191" s="105" t="inlineStr">
        <is>
          <t>404エラー</t>
        </is>
      </c>
      <c r="G191" s="103" t="inlineStr">
        <is>
          <t>-</t>
        </is>
      </c>
      <c r="H191" s="103" t="inlineStr">
        <is>
          <t>-</t>
        </is>
      </c>
      <c r="I191" s="72" t="inlineStr">
        <is>
          <t>〇</t>
        </is>
      </c>
      <c r="J191" s="103" t="inlineStr">
        <is>
          <t>-</t>
        </is>
      </c>
      <c r="K191" s="103" t="n"/>
    </row>
    <row r="192">
      <c r="B192" s="28" t="inlineStr">
        <is>
          <t>https://rank-quest.jp/column/column/seo-suggestion/</t>
        </is>
      </c>
      <c r="C192" s="84">
        <f>IFERROR(__xludf.DUMMYFUNCTION("IMPORTXML(B192, ""//title"")"),"SEO対策の提案の見極め方とは？押さえるポイントと優良業者の特徴を解説 - 徹底的にSEO対策するならランクエスト")</f>
        <v/>
      </c>
      <c r="D192" s="84" t="inlineStr">
        <is>
          <t>提案</t>
        </is>
      </c>
      <c r="F192" s="105" t="inlineStr">
        <is>
          <t>滞在時間</t>
        </is>
      </c>
      <c r="G192" s="103" t="inlineStr">
        <is>
          <t>-</t>
        </is>
      </c>
      <c r="H192" s="103" t="inlineStr">
        <is>
          <t>-</t>
        </is>
      </c>
      <c r="I192" s="72" t="inlineStr">
        <is>
          <t>〇</t>
        </is>
      </c>
      <c r="J192" s="103" t="inlineStr">
        <is>
          <t>-</t>
        </is>
      </c>
      <c r="K192" s="103" t="n"/>
    </row>
    <row r="193">
      <c r="B193" s="28" t="inlineStr">
        <is>
          <t>https://rank-quest.jp/column/column/trailing-slash/</t>
        </is>
      </c>
      <c r="C193" s="84">
        <f>IFERROR(__xludf.DUMMYFUNCTION("IMPORTXML(B193, ""//title"")"),"URLの末尾にあるスラッシュは必要なのか？あり・なしの違いを解説 - 徹底的にSEO対策するならランクエスト")</f>
        <v/>
      </c>
      <c r="D193" s="84" t="inlineStr">
        <is>
          <t>トレイリングスラッシュ</t>
        </is>
      </c>
      <c r="F193" s="105" t="inlineStr">
        <is>
          <t>SEO順位別クリック率</t>
        </is>
      </c>
      <c r="G193" s="103" t="inlineStr">
        <is>
          <t>-</t>
        </is>
      </c>
      <c r="H193" s="103" t="inlineStr">
        <is>
          <t>-</t>
        </is>
      </c>
      <c r="I193" s="72" t="inlineStr">
        <is>
          <t>〇</t>
        </is>
      </c>
      <c r="J193" s="103" t="inlineStr">
        <is>
          <t>-</t>
        </is>
      </c>
      <c r="K193" s="103" t="n"/>
    </row>
    <row r="194">
      <c r="B194" s="28" t="inlineStr">
        <is>
          <t>https://rank-quest.jp/column/column/nofollow/</t>
        </is>
      </c>
      <c r="C194" s="84">
        <f>IFERROR(__xludf.DUMMYFUNCTION("IMPORTXML(B194, ""//title"")"),"nofollowとは？使用すべきケースSEOとの関係性を解説 - 徹底的にSEO対策するならランクエスト")</f>
        <v/>
      </c>
      <c r="D194" s="84" t="inlineStr">
        <is>
          <t>nofollow</t>
        </is>
      </c>
      <c r="F194" s="105" t="inlineStr">
        <is>
          <t>SEOの内部対策</t>
        </is>
      </c>
      <c r="G194" s="103" t="inlineStr">
        <is>
          <t>-</t>
        </is>
      </c>
      <c r="H194" s="103" t="inlineStr">
        <is>
          <t>-</t>
        </is>
      </c>
      <c r="I194" s="72" t="inlineStr">
        <is>
          <t>〇</t>
        </is>
      </c>
      <c r="J194" s="103" t="inlineStr">
        <is>
          <t>-</t>
        </is>
      </c>
      <c r="K194" s="103" t="n"/>
    </row>
    <row r="195">
      <c r="B195" s="28" t="inlineStr">
        <is>
          <t>https://rank-quest.jp/column/column/dynamic-page-seo/</t>
        </is>
      </c>
      <c r="C195" s="84">
        <f>IFERROR(__xludf.DUMMYFUNCTION("IMPORTXML(B195, ""//title"")"),"動的ページはSEOに不利？概要や静的ページとの違いを解説 - 徹底的にSEO対策するならランクエスト")</f>
        <v/>
      </c>
      <c r="D195" s="84" t="inlineStr">
        <is>
          <t>動的ページと静的ページ</t>
        </is>
      </c>
      <c r="F195" s="105" t="inlineStr">
        <is>
          <t>BtoB事業</t>
        </is>
      </c>
      <c r="G195" s="103" t="inlineStr">
        <is>
          <t>-</t>
        </is>
      </c>
      <c r="H195" s="103" t="inlineStr">
        <is>
          <t>-</t>
        </is>
      </c>
      <c r="I195" s="72" t="inlineStr">
        <is>
          <t>〇</t>
        </is>
      </c>
      <c r="J195" s="103" t="inlineStr">
        <is>
          <t>-</t>
        </is>
      </c>
      <c r="K195" s="103" t="n"/>
    </row>
    <row r="196">
      <c r="B196" s="28" t="inlineStr">
        <is>
          <t>https://rank-quest.jp/column/column/whats-css/</t>
        </is>
      </c>
      <c r="C196" s="84">
        <f>IFERROR(__xludf.DUMMYFUNCTION("IMPORTXML(B196, ""//title"")"),"CSSとは？SEO対策との関係性や仕組みを解説 - 徹底的にSEO対策するならランクエスト")</f>
        <v/>
      </c>
      <c r="D196" s="84" t="inlineStr">
        <is>
          <t>CSSとSEO</t>
        </is>
      </c>
      <c r="F196" s="105" t="inlineStr">
        <is>
          <t>SEOコンサルティング</t>
        </is>
      </c>
      <c r="G196" s="103" t="inlineStr">
        <is>
          <t>-</t>
        </is>
      </c>
      <c r="H196" s="103" t="inlineStr">
        <is>
          <t>-</t>
        </is>
      </c>
      <c r="I196" s="72" t="inlineStr">
        <is>
          <t>〇</t>
        </is>
      </c>
      <c r="J196" s="103" t="inlineStr">
        <is>
          <t>-</t>
        </is>
      </c>
      <c r="K196" s="103" t="n"/>
    </row>
    <row r="197">
      <c r="B197" s="28" t="inlineStr">
        <is>
          <t>https://rank-quest.jp/column/column/page-speed/</t>
        </is>
      </c>
      <c r="C197" s="84">
        <f>IFERROR(__xludf.DUMMYFUNCTION("IMPORTXML(B197, ""//title"")"),"SEO対策で表示速度が重要な理由とは？計測・改善方法を解説 - 徹底的にSEO対策するならランクエスト")</f>
        <v/>
      </c>
      <c r="D197" s="84" t="inlineStr">
        <is>
          <t>表示速度</t>
        </is>
      </c>
      <c r="F197" s="105" t="inlineStr">
        <is>
          <t>外注判断・選び方</t>
        </is>
      </c>
      <c r="G197" s="103" t="inlineStr">
        <is>
          <t>-</t>
        </is>
      </c>
      <c r="H197" s="103" t="inlineStr">
        <is>
          <t>-</t>
        </is>
      </c>
      <c r="I197" s="72" t="inlineStr">
        <is>
          <t>〇</t>
        </is>
      </c>
      <c r="J197" s="103" t="inlineStr">
        <is>
          <t>-</t>
        </is>
      </c>
      <c r="K197" s="103" t="n"/>
    </row>
    <row r="198">
      <c r="B198" s="28" t="inlineStr">
        <is>
          <t>https://rank-quest.jp/column/column/seo-server/</t>
        </is>
      </c>
      <c r="C198" s="84">
        <f>IFERROR(__xludf.DUMMYFUNCTION("IMPORTXML(B198, ""//title"")"),"SEO対策に強いレンタルサーバー4選！特徴や選び方も解説 - 徹底的にSEO対策するならランクエスト")</f>
        <v/>
      </c>
      <c r="D198" s="84" t="inlineStr">
        <is>
          <t>レンタルサーバー</t>
        </is>
      </c>
      <c r="F198" s="105" t="inlineStr">
        <is>
          <t>業者</t>
        </is>
      </c>
      <c r="G198" s="103" t="inlineStr">
        <is>
          <t>-</t>
        </is>
      </c>
      <c r="H198" s="103" t="inlineStr">
        <is>
          <t>-</t>
        </is>
      </c>
      <c r="I198" s="72" t="inlineStr">
        <is>
          <t>〇</t>
        </is>
      </c>
      <c r="J198" s="103" t="inlineStr">
        <is>
          <t>-</t>
        </is>
      </c>
      <c r="K198" s="103" t="n"/>
    </row>
    <row r="199">
      <c r="B199" s="28" t="inlineStr">
        <is>
          <t>https://rank-quest.jp/column/column/seo-external/</t>
        </is>
      </c>
      <c r="C199" s="84">
        <f>IFERROR(__xludf.DUMMYFUNCTION("IMPORTXML(B199, ""//title"")"),"SEOの外部対策とは？内部対策との違いや失敗しないポイントを解説 - 徹底的にSEO対策するならランクエスト")</f>
        <v/>
      </c>
      <c r="D199" s="84" t="inlineStr">
        <is>
          <t>外部対策</t>
        </is>
      </c>
      <c r="F199" s="105" t="inlineStr">
        <is>
          <t>AI Overviews</t>
        </is>
      </c>
      <c r="G199" s="103" t="inlineStr">
        <is>
          <t>-</t>
        </is>
      </c>
      <c r="H199" s="103" t="inlineStr">
        <is>
          <t>-</t>
        </is>
      </c>
      <c r="I199" s="103" t="inlineStr">
        <is>
          <t>-</t>
        </is>
      </c>
      <c r="J199" s="72" t="inlineStr">
        <is>
          <t>〇</t>
        </is>
      </c>
      <c r="K199" s="103" t="n"/>
    </row>
    <row r="200">
      <c r="B200" s="28" t="inlineStr">
        <is>
          <t>https://rank-quest.jp/column/column/how-to-contents-seo/</t>
        </is>
      </c>
      <c r="C200" s="84">
        <f>IFERROR(__xludf.DUMMYFUNCTION("IMPORTXML(B200, ""//title"")"),"コンテンツSEOとは？コンテンツSEOのメリットとデメリット、【2026年最新】具体的な施策手順を「SEO対策1位」のランクエストが徹底解説 - 
徹底的にSEO対策するならランクエスト")</f>
        <v/>
      </c>
      <c r="D200" s="84" t="inlineStr">
        <is>
          <t>コンテンツSEO</t>
        </is>
      </c>
      <c r="F200" s="105" t="inlineStr">
        <is>
          <t>SEOの手順</t>
        </is>
      </c>
      <c r="G200" s="103" t="inlineStr">
        <is>
          <t>-</t>
        </is>
      </c>
      <c r="H200" s="103" t="inlineStr">
        <is>
          <t>-</t>
        </is>
      </c>
      <c r="I200" s="103" t="inlineStr">
        <is>
          <t>-</t>
        </is>
      </c>
      <c r="J200" s="72" t="inlineStr">
        <is>
          <t>〇</t>
        </is>
      </c>
      <c r="K200" s="103" t="n"/>
    </row>
    <row r="201">
      <c r="B201" s="28" t="inlineStr">
        <is>
          <t>https://rank-quest.jp/column/column/tecnical-seo/</t>
        </is>
      </c>
      <c r="C201" s="84">
        <f>IFERROR(__xludf.DUMMYFUNCTION("IMPORTXML(B201, ""//title"")"),"テクニカルSEOとは？対策方法とおすすめツールを徹底解説 - 徹底的にSEO対策するならランクエスト")</f>
        <v/>
      </c>
      <c r="D201" s="84" t="inlineStr">
        <is>
          <t>テクニカルSEO</t>
        </is>
      </c>
      <c r="F201" s="105" t="inlineStr">
        <is>
          <t>ナレッジパネル</t>
        </is>
      </c>
      <c r="G201" s="103" t="inlineStr">
        <is>
          <t>-</t>
        </is>
      </c>
      <c r="H201" s="103" t="inlineStr">
        <is>
          <t>-</t>
        </is>
      </c>
      <c r="I201" s="103" t="inlineStr">
        <is>
          <t>-</t>
        </is>
      </c>
      <c r="J201" s="72" t="inlineStr">
        <is>
          <t>〇</t>
        </is>
      </c>
      <c r="K201" s="103" t="n"/>
    </row>
    <row r="202">
      <c r="B202" s="28" t="inlineStr">
        <is>
          <t>https://rank-quest.jp/column/episode/arkclinic/</t>
        </is>
      </c>
      <c r="C202" s="84">
        <f>IFERROR(__xludf.DUMMYFUNCTION("IMPORTXML(B202, ""//title"")"),"LPの完成度だけではなく運用改善まで安心して任せております | 医療法人社団 雄美会 アーククリニック | 導入企業・事例 | 
徹底的にSEO対策するならランクエスト")</f>
        <v/>
      </c>
      <c r="F202" s="105" t="inlineStr">
        <is>
          <t>SEOの効果測定</t>
        </is>
      </c>
      <c r="G202" s="103" t="inlineStr">
        <is>
          <t>-</t>
        </is>
      </c>
      <c r="H202" s="103" t="inlineStr">
        <is>
          <t>-</t>
        </is>
      </c>
      <c r="I202" s="103" t="inlineStr">
        <is>
          <t>-</t>
        </is>
      </c>
      <c r="J202" s="72" t="inlineStr">
        <is>
          <t>〇</t>
        </is>
      </c>
      <c r="K202" s="103" t="n"/>
    </row>
    <row r="203">
      <c r="B203" s="28" t="inlineStr">
        <is>
          <t>https://rank-quest.jp/column/column/seo-ymyl/</t>
        </is>
      </c>
      <c r="C203" s="84">
        <f>IFERROR(__xludf.DUMMYFUNCTION("IMPORTXML(B203, ""//title"")"),"SEOにおけるYMYLとは？具体的なジャンルと対策のポイントを解説 - 徹底的にSEO対策するならランクエスト")</f>
        <v/>
      </c>
      <c r="D203" s="84" t="inlineStr">
        <is>
          <t>YMYL</t>
        </is>
      </c>
      <c r="F203" s="105" t="inlineStr">
        <is>
          <t>SEOの種類</t>
        </is>
      </c>
      <c r="G203" s="103" t="inlineStr">
        <is>
          <t>-</t>
        </is>
      </c>
      <c r="H203" s="103" t="inlineStr">
        <is>
          <t>-</t>
        </is>
      </c>
      <c r="I203" s="103" t="inlineStr">
        <is>
          <t>-</t>
        </is>
      </c>
      <c r="J203" s="72" t="inlineStr">
        <is>
          <t>〇</t>
        </is>
      </c>
      <c r="K203" s="103" t="n"/>
    </row>
    <row r="204">
      <c r="B204" s="28" t="inlineStr">
        <is>
          <t>https://rank-quest.jp/column/column/clinic-seo/</t>
        </is>
      </c>
      <c r="C204" s="84">
        <f>IFERROR(__xludf.DUMMYFUNCTION("IMPORTXML(B204, ""//title"")"),"クリニックや病院のSEO対策！取り組む際のポイントや注意点を紹介 - 徹底的にSEO対策するならランクエスト")</f>
        <v/>
      </c>
      <c r="D204" s="84" t="inlineStr">
        <is>
          <t>病院のSEO対策</t>
        </is>
      </c>
      <c r="K204" s="103" t="n"/>
    </row>
    <row r="205">
      <c r="B205" s="28" t="inlineStr">
        <is>
          <t>https://rank-quest.jp/column/episode/x-house/</t>
        </is>
      </c>
      <c r="C205" s="84">
        <f>IFERROR(__xludf.DUMMYFUNCTION("IMPORTXML(B205, ""//title"")"),"修正の必要がないほど高いクオリティの記事制作に満足 | 株式会社クロスハウス | 導入企業・事例 | 徹底的にSEO対策するならランクエスト")</f>
        <v/>
      </c>
      <c r="F205" s="123" t="n"/>
      <c r="G205" s="123" t="n"/>
      <c r="H205" s="123" t="n"/>
      <c r="I205" s="123" t="n"/>
      <c r="J205" s="123" t="n"/>
      <c r="K205" s="103" t="n"/>
    </row>
    <row r="206">
      <c r="B206" s="28" t="inlineStr">
        <is>
          <t>https://rank-quest.jp/column/column/google-guidelines/</t>
        </is>
      </c>
      <c r="C206" s="84">
        <f>IFERROR(__xludf.DUMMYFUNCTION("IMPORTXML(B206, ""//title"")"),"Google検索品質評価ガイドラインとは？概要とSEOに活かすポイントを解説 - 徹底的にSEO対策するならランクエスト")</f>
        <v/>
      </c>
      <c r="D206" s="84" t="inlineStr">
        <is>
          <t>品質評価</t>
        </is>
      </c>
      <c r="F206" s="123" t="n"/>
      <c r="G206" s="123" t="n"/>
      <c r="H206" s="123" t="n"/>
      <c r="I206" s="123" t="n"/>
      <c r="J206" s="123" t="n"/>
      <c r="K206" s="103" t="n"/>
    </row>
    <row r="207">
      <c r="B207" s="28" t="inlineStr">
        <is>
          <t>https://rank-quest.jp/column/column/seo-starter-guide/</t>
        </is>
      </c>
      <c r="C207" s="84">
        <f>IFERROR(__xludf.DUMMYFUNCTION("IMPORTXML(B207, ""//title"")"),"SEOスターターガイドとは？特徴や押さえるべきポイントをわかりやすく解説 - 徹底的にSEO対策するならランクエスト")</f>
        <v/>
      </c>
      <c r="D207" s="84" t="inlineStr">
        <is>
          <t>SEOスターターガイド</t>
        </is>
      </c>
      <c r="F207" s="123" t="n"/>
      <c r="G207" s="123" t="n"/>
      <c r="H207" s="123" t="n"/>
      <c r="I207" s="123" t="n"/>
      <c r="J207" s="123" t="n"/>
      <c r="K207" s="103" t="n"/>
    </row>
    <row r="208">
      <c r="B208" s="28" t="inlineStr">
        <is>
          <t>https://rank-quest.jp/column/column/google-philosophy/</t>
        </is>
      </c>
      <c r="C208" s="84">
        <f>IFERROR(__xludf.DUMMYFUNCTION("IMPORTXML(B208, ""//title"")"),"Googleの理念とは？SEO対策への活かし方を「10の事実」にもとづいて解説 - 徹底的にSEO対策するならランクエスト")</f>
        <v/>
      </c>
      <c r="D208" s="84" t="inlineStr">
        <is>
          <t>Googleの理念</t>
        </is>
      </c>
      <c r="F208" s="123" t="n"/>
      <c r="G208" s="123" t="n"/>
      <c r="H208" s="123" t="n"/>
      <c r="I208" s="123" t="n"/>
      <c r="J208" s="123" t="n"/>
      <c r="K208" s="123" t="n"/>
    </row>
    <row r="209">
      <c r="B209" s="28" t="inlineStr">
        <is>
          <t>https://rank-quest.jp/column/column/original-contents/</t>
        </is>
      </c>
      <c r="C209" s="84">
        <f>IFERROR(__xludf.DUMMYFUNCTION("IMPORTXML(B209, ""//title"")"),"オリジナルコンテンツとは？重要性や作り方の手順を解説 - 徹底的にSEO対策するならランクエスト")</f>
        <v/>
      </c>
      <c r="D209" s="84" t="inlineStr">
        <is>
          <t>オリジナルコンテンツ</t>
        </is>
      </c>
    </row>
    <row r="210">
      <c r="B210" s="28" t="inlineStr">
        <is>
          <t>https://rank-quest.jp/column/column/eeat/</t>
        </is>
      </c>
      <c r="C210" s="84">
        <f>IFERROR(__xludf.DUMMYFUNCTION("IMPORTXML(B210, ""//title"")"),"E-E-A-Tとは？GoogleやコンテンツSEOで重視される理由とSEOにおける対策方法を解説 - 徹底的にSEO対策するならランクエスト")</f>
        <v/>
      </c>
      <c r="D210" s="84" t="inlineStr">
        <is>
          <t>E-E-A-T</t>
        </is>
      </c>
    </row>
    <row r="211">
      <c r="B211" s="28" t="inlineStr">
        <is>
          <t>https://rank-quest.jp/column/column/google-algorithm/</t>
        </is>
      </c>
      <c r="C211" s="84">
        <f>IFERROR(__xludf.DUMMYFUNCTION("IMPORTXML(B211, ""//title"")"),"Googleのアルゴリズムとは？アップデートの歴史や最新情報を紹介 - 徹底的にSEO対策するならランクエスト")</f>
        <v/>
      </c>
      <c r="D211" s="84" t="inlineStr">
        <is>
          <t>アルゴリズム</t>
        </is>
      </c>
    </row>
    <row r="212">
      <c r="B212" s="28" t="inlineStr">
        <is>
          <t>https://rank-quest.jp/column/column/seo-sitemap/</t>
        </is>
      </c>
      <c r="C212" s="86">
        <f>IFERROR(__xludf.DUMMYFUNCTION("IMPORTXML(B212, ""//title"")"),"サイトマップはSEO対策に必須！作成・確認方法をわかりやすく解説 - 徹底的にSEO対策するならランクエスト")</f>
        <v/>
      </c>
      <c r="D212" s="84" t="inlineStr">
        <is>
          <t>サイトマップ</t>
        </is>
      </c>
    </row>
    <row r="213">
      <c r="B213" s="28" t="inlineStr">
        <is>
          <t>https://rank-quest.jp/column/column/xml-sitemap/</t>
        </is>
      </c>
      <c r="C213" s="87">
        <f>IFERROR(__xludf.DUMMYFUNCTION("IMPORTXML(B213, ""//title"")"),"XMLサイトマップとは？必要性やGoogleへの送信方法を紹介 - 徹底的にSEO対策するならランクエスト")</f>
        <v/>
      </c>
      <c r="D213" s="84" t="inlineStr">
        <is>
          <t>XMLサイトマップ</t>
        </is>
      </c>
    </row>
    <row r="214">
      <c r="B214" s="28" t="inlineStr">
        <is>
          <t>https://rank-quest.jp/column/column/largescalesite-seo/</t>
        </is>
      </c>
      <c r="C214" s="84">
        <f>IFERROR(__xludf.DUMMYFUNCTION("IMPORTXML(B214, ""//title"")"),"現役SEOコンサルタントが解説する大規模サイトSEO対策 - 徹底的にSEO対策するならランクエスト")</f>
        <v/>
      </c>
      <c r="D214" s="84" t="inlineStr">
        <is>
          <t>大規模サイトSEO対策</t>
        </is>
      </c>
    </row>
    <row r="215">
      <c r="B215" s="28" t="inlineStr">
        <is>
          <t>https://rank-quest.jp/column/column/webp/</t>
        </is>
      </c>
      <c r="C215" s="84">
        <f>IFERROR(__xludf.DUMMYFUNCTION("IMPORTXML(B215, ""//title"")"),"WebPとは？メリット・デメリットや画像の変換方法を解説 - 徹底的にSEO対策するならランクエスト")</f>
        <v/>
      </c>
      <c r="D215" s="84" t="inlineStr">
        <is>
          <t>WebP</t>
        </is>
      </c>
    </row>
    <row r="216">
      <c r="B216" s="28" t="inlineStr">
        <is>
          <t>https://rank-quest.jp/column/column/noindex/</t>
        </is>
      </c>
      <c r="C216" s="84">
        <f>IFERROR(__xludf.DUMMYFUNCTION("IMPORTXML(B216, ""//title"")"),"noindexタグとは？設定する時の注意点やSEOへの影響を解説 - 徹底的にSEO対策するならランクエスト")</f>
        <v/>
      </c>
      <c r="D216" s="84" t="inlineStr">
        <is>
          <t>noindexタグ</t>
        </is>
      </c>
    </row>
    <row r="217">
      <c r="B217" s="28" t="inlineStr">
        <is>
          <t>https://rank-quest.jp/column/column/robots-txt/</t>
        </is>
      </c>
      <c r="C217" s="84">
        <f>IFERROR(__xludf.DUMMYFUNCTION("IMPORTXML(B217, ""//title"")"),"robots.txtとは？機能や目的・活用方法を解説 - 徹底的にSEO対策するならランクエスト")</f>
        <v/>
      </c>
      <c r="D217" s="84" t="inlineStr">
        <is>
          <t>robots.txt</t>
        </is>
      </c>
    </row>
    <row r="218">
      <c r="B218" s="28" t="inlineStr">
        <is>
          <t>https://rank-quest.jp/column/column/url-normalization/</t>
        </is>
      </c>
      <c r="C218" s="84">
        <f>IFERROR(__xludf.DUMMYFUNCTION("IMPORTXML(B218, ""//title"")"),"URLの正規化とは？設定方法や注意点を解説 - 徹底的にSEO対策するならランクエスト")</f>
        <v/>
      </c>
      <c r="D218" s="84" t="inlineStr">
        <is>
          <t>URLの正規化</t>
        </is>
      </c>
    </row>
    <row r="219">
      <c r="B219" s="28" t="inlineStr">
        <is>
          <t>https://rank-quest.jp/column/column/seo-plugin/</t>
        </is>
      </c>
      <c r="C219" s="84">
        <f>IFERROR(__xludf.DUMMYFUNCTION("IMPORTXML(B219, ""//title"")"),"【2026年最新】WordPressのSEOプラグインおすすめ11選と導入時の注意点 - 徹底的にSEO対策するならランクエスト")</f>
        <v/>
      </c>
      <c r="D219" s="84" t="inlineStr">
        <is>
          <t>WordPressプラグイン</t>
        </is>
      </c>
    </row>
    <row r="220">
      <c r="B220" s="28" t="inlineStr">
        <is>
          <t>https://rank-quest.jp/column/column/wordpress/</t>
        </is>
      </c>
      <c r="C220" s="84">
        <f>IFERROR(__xludf.DUMMYFUNCTION("IMPORTXML(B220, ""//title"")"),"WordPressとは？機能やメリット・デメリットをわかりやすく解説 - 徹底的にSEO対策するならランクエスト")</f>
        <v/>
      </c>
      <c r="D220" s="84" t="inlineStr">
        <is>
          <t>WordPressの機能</t>
        </is>
      </c>
    </row>
    <row r="221">
      <c r="B221" s="28" t="inlineStr">
        <is>
          <t>https://rank-quest.jp/column/column/seo-canonical/</t>
        </is>
      </c>
      <c r="C221" s="84">
        <f>IFERROR(__xludf.DUMMYFUNCTION("IMPORTXML(B221, ""//title"")"),"canonical（カノニカルタグ）とは？設定が必要なケースや注意点を解説 - 徹底的にSEO対策するならランクエスト")</f>
        <v/>
      </c>
      <c r="D221" s="84" t="inlineStr">
        <is>
          <t>URL正規化</t>
        </is>
      </c>
    </row>
    <row r="222">
      <c r="B222" s="28" t="inlineStr">
        <is>
          <t>https://rank-quest.jp/column/column/301redirect/</t>
        </is>
      </c>
      <c r="C222" s="84">
        <f>IFERROR(__xludf.DUMMYFUNCTION("IMPORTXML(B222, ""//title"")"),"301リダイレクトとは？設定方法や注意点も解説 - 徹底的にSEO対策するならランクエスト")</f>
        <v/>
      </c>
      <c r="D222" s="84" t="inlineStr">
        <is>
          <t>301リダイレクト</t>
        </is>
      </c>
    </row>
    <row r="223">
      <c r="B223" s="28" t="inlineStr">
        <is>
          <t>https://rank-quest.jp/column/column/ssl-seo/</t>
        </is>
      </c>
      <c r="C223" s="84">
        <f>IFERROR(__xludf.DUMMYFUNCTION("IMPORTXML(B223, ""//title"")"),"SSL化がSEOに与える影響とは？Googleが支持する理由も解説 - 徹底的にSEO対策するならランクエスト")</f>
        <v/>
      </c>
      <c r="D223" s="84" t="inlineStr">
        <is>
          <t>常時SSL</t>
        </is>
      </c>
    </row>
    <row r="224">
      <c r="B224" s="28" t="inlineStr">
        <is>
          <t>https://rank-quest.jp/column/column/rendering-seo/</t>
        </is>
      </c>
      <c r="C224" s="84">
        <f>IFERROR(__xludf.DUMMYFUNCTION("IMPORTXML(B224, ""//title"")"),"レンダリングとは？SEOとの関係や影響を解説 - 徹底的にSEO対策するならランクエスト")</f>
        <v/>
      </c>
      <c r="D224" s="84" t="inlineStr">
        <is>
          <t>レンダリング</t>
        </is>
      </c>
    </row>
    <row r="225">
      <c r="B225" s="28" t="inlineStr">
        <is>
          <t>https://rank-quest.jp/column/column/keywordplanner/</t>
        </is>
      </c>
      <c r="C225" s="84">
        <f>IFERROR(__xludf.DUMMYFUNCTION("IMPORTXML(B225, ""//title"")"),"Googleキーワードプランナーの使い方！初心者向けに基本を解説 - 徹底的にSEO対策するならランクエスト")</f>
        <v/>
      </c>
      <c r="D225" s="84" t="inlineStr">
        <is>
          <t>キーワードプランナー</t>
        </is>
      </c>
    </row>
    <row r="226">
      <c r="B226" s="28" t="inlineStr">
        <is>
          <t>https://rank-quest.jp/column/column/rakko-keyword/</t>
        </is>
      </c>
      <c r="C226" s="84">
        <f>IFERROR(__xludf.DUMMYFUNCTION("IMPORTXML(B226, ""//title"")"),"ラッコキーワードはSEOに欠かせないツール！使い方や仕組みを解説 - 徹底的にSEO対策するならランクエスト")</f>
        <v/>
      </c>
      <c r="D226" s="84" t="inlineStr">
        <is>
          <t>ラッコキーワード</t>
        </is>
      </c>
    </row>
    <row r="227">
      <c r="B227" s="28" t="inlineStr">
        <is>
          <t>https://rank-quest.jp/column/column/suggest/</t>
        </is>
      </c>
      <c r="C227" s="84">
        <f>IFERROR(__xludf.DUMMYFUNCTION("IMPORTXML(B227, ""//title"")"),"サジェストとは？機能や活用方法・おすすめの抽出ツールを解説 - 徹底的にSEO対策するならランクエスト")</f>
        <v/>
      </c>
      <c r="D227" s="84" t="inlineStr">
        <is>
          <t>サジェスト</t>
        </is>
      </c>
    </row>
    <row r="228">
      <c r="B228" s="28" t="inlineStr">
        <is>
          <t>https://rank-quest.jp/column/column/related-keywords/</t>
        </is>
      </c>
      <c r="C228" s="84">
        <f>IFERROR(__xludf.DUMMYFUNCTION("IMPORTXML(B228, ""//title"")"),"関連キーワードとは？仕組みや調べ方、SEOで重要な理由を解説 - 徹底的にSEO対策するならランクエスト")</f>
        <v/>
      </c>
      <c r="D228" s="84" t="inlineStr">
        <is>
          <t>関連キーワード</t>
        </is>
      </c>
    </row>
    <row r="229">
      <c r="B229" s="28" t="inlineStr">
        <is>
          <t>https://rank-quest.jp/column/column/google-trend/</t>
        </is>
      </c>
      <c r="C229" s="84">
        <f>IFERROR(__xludf.DUMMYFUNCTION("IMPORTXML(B229, ""//title"")"),"Googleトレンドとは？機能や見方・活用方法を解説 - 徹底的にSEO対策するならランクエスト")</f>
        <v/>
      </c>
      <c r="D229" s="84" t="inlineStr">
        <is>
          <t>Googleトレンド</t>
        </is>
      </c>
    </row>
    <row r="230">
      <c r="B230" s="28" t="inlineStr">
        <is>
          <t>https://rank-quest.jp/column/column/seo-mfi/</t>
        </is>
      </c>
      <c r="C230" s="84">
        <f>IFERROR(__xludf.DUMMYFUNCTION("IMPORTXML(B230, ""//title"")"),"モバイルファーストインデックスとは ？ SEO対策における影響や確認方法を解説 - 徹底的にSEO対策するならランクエスト")</f>
        <v/>
      </c>
      <c r="D230" s="84" t="inlineStr">
        <is>
          <t>モバイルファーストインデックス</t>
        </is>
      </c>
    </row>
    <row r="231">
      <c r="B231" s="28" t="inlineStr">
        <is>
          <t>https://rank-quest.jp/column/column/competitive-website-analysis/</t>
        </is>
      </c>
      <c r="C231" s="84">
        <f>IFERROR(__xludf.DUMMYFUNCTION("IMPORTXML(B231, ""//title"")"),"競合サイトの分析方法とは？比較の手順やおすすめツールを紹介 - 徹底的にSEO対策するならランクエスト")</f>
        <v/>
      </c>
      <c r="D231" s="84" t="inlineStr">
        <is>
          <t>競合サイトの分析方法</t>
        </is>
      </c>
    </row>
    <row r="232">
      <c r="B232" s="28" t="inlineStr">
        <is>
          <t>https://rank-quest.jp/column/column/ahrefs/</t>
        </is>
      </c>
      <c r="C232" s="84">
        <f>IFERROR(__xludf.DUMMYFUNCTION("IMPORTXML(B232, ""//title"")"),"エイチレフス（Ahrefs）とは？できることや料金について解説 - 徹底的にSEO対策するならランクエスト")</f>
        <v/>
      </c>
      <c r="D232" s="84" t="inlineStr">
        <is>
          <t>エイチレフス</t>
        </is>
      </c>
    </row>
    <row r="233">
      <c r="B233" s="28" t="inlineStr">
        <is>
          <t>https://rank-quest.jp/column/column/long-tail-keywords/</t>
        </is>
      </c>
      <c r="C233" s="84">
        <f>IFERROR(__xludf.DUMMYFUNCTION("IMPORTXML(B233, ""//title"")"),"ロングテールキーワードの選び方とは？SEOへの影響とツールを紹介 - 徹底的にSEO対策するならランクエスト")</f>
        <v/>
      </c>
      <c r="D233" s="84" t="inlineStr">
        <is>
          <t>ロングテールキーワード</t>
        </is>
      </c>
    </row>
    <row r="234">
      <c r="B234" s="28" t="inlineStr">
        <is>
          <t>https://rank-quest.jp/column/column/search-volume/</t>
        </is>
      </c>
      <c r="C234" s="84">
        <f>IFERROR(__xludf.DUMMYFUNCTION("IMPORTXML(B234, ""//title"")"),"検索ボリュームとは？キーワードの選び方やおすすめツールを解説 - 徹底的にSEO対策するならランクエスト")</f>
        <v/>
      </c>
      <c r="D234" s="84" t="inlineStr">
        <is>
          <t>検索ボリューム</t>
        </is>
      </c>
    </row>
    <row r="235">
      <c r="B235" s="28" t="inlineStr">
        <is>
          <t>https://rank-quest.jp/column/column/core-web-vitals/</t>
        </is>
      </c>
      <c r="C235" s="84">
        <f>IFERROR(__xludf.DUMMYFUNCTION("IMPORTXML(B235, ""//title"")"),"Core Web VitalsがSEOに重要な理由｜4つの指標の意味と計測方法を解説 - 徹底的にSEO対策するならランクエスト")</f>
        <v/>
      </c>
      <c r="D235" s="84" t="inlineStr">
        <is>
          <t>Core Web Vitals</t>
        </is>
      </c>
    </row>
    <row r="236">
      <c r="B236" s="28" t="inlineStr">
        <is>
          <t>https://rank-quest.jp/column/column/seo-keyword/</t>
        </is>
      </c>
      <c r="C236" s="84">
        <f>IFERROR(__xludf.DUMMYFUNCTION("IMPORTXML(B236, ""//title"")"),"SEOの基本はキーワード選定から！選び方やツールまで徹底解説 - 徹底的にSEO対策するならランクエスト")</f>
        <v/>
      </c>
      <c r="D236" s="84" t="inlineStr">
        <is>
          <t>キーワード選定</t>
        </is>
      </c>
    </row>
    <row r="237">
      <c r="B237" s="28" t="inlineStr">
        <is>
          <t>https://rank-quest.jp/column/column/link-effect/</t>
        </is>
      </c>
      <c r="C237" s="84">
        <f>IFERROR(__xludf.DUMMYFUNCTION("IMPORTXML(B237, ""//title"")"),"相互リンクとは？SEO効果やメリット・デメリットを解説 - 徹底的にSEO対策するならランクエスト")</f>
        <v/>
      </c>
      <c r="D237" s="84" t="inlineStr">
        <is>
          <t>相互リンク</t>
        </is>
      </c>
    </row>
    <row r="238">
      <c r="B238" s="28" t="inlineStr">
        <is>
          <t>https://rank-quest.jp/column/column/seo-topic-path/</t>
        </is>
      </c>
      <c r="C238" s="84">
        <f>IFERROR(__xludf.DUMMYFUNCTION("IMPORTXML(B238, ""//title"")"),"パンくずリストとは？SEO対策での役割や設置のポイントをご紹介！ - 徹底的にSEO対策するならランクエスト")</f>
        <v/>
      </c>
      <c r="D238" s="84" t="inlineStr">
        <is>
          <t>パンくずリスト</t>
        </is>
      </c>
    </row>
    <row r="239">
      <c r="B239" s="28" t="inlineStr">
        <is>
          <t>https://rank-quest.jp/column/column/anchor-text/</t>
        </is>
      </c>
      <c r="C239" s="84">
        <f>IFERROR(__xludf.DUMMYFUNCTION("IMPORTXML(B239, ""//title"")"),"アンカーテキストとは？SEOにおける役割や正しい作り方、注意点を解説 - 徹底的にSEO対策するならランクエスト")</f>
        <v/>
      </c>
      <c r="D239" s="84" t="inlineStr">
        <is>
          <t>アンカーテキスト</t>
        </is>
      </c>
    </row>
    <row r="240">
      <c r="B240" s="28" t="inlineStr">
        <is>
          <t>https://rank-quest.jp/column/column/naibu-link/</t>
        </is>
      </c>
      <c r="C240" s="84">
        <f>IFERROR(__xludf.DUMMYFUNCTION("IMPORTXML(B240, ""//title"")"),"内部リンクのSEO効果とは？最適な設置方法も紹介 - 徹底的にSEO対策するならランクエスト")</f>
        <v/>
      </c>
      <c r="D240" s="84" t="inlineStr">
        <is>
          <t>内部リンク</t>
        </is>
      </c>
    </row>
    <row r="241">
      <c r="B241" s="28" t="inlineStr">
        <is>
          <t>https://rank-quest.jp/column/column/seo-h1/</t>
        </is>
      </c>
      <c r="C241" s="84">
        <f>IFERROR(__xludf.DUMMYFUNCTION("IMPORTXML(B241, ""//title"")"),"SEO対策におけるh1タグの効果やメリットを解説 - 徹底的にSEO対策するならランクエスト")</f>
        <v/>
      </c>
      <c r="D241" s="84" t="inlineStr">
        <is>
          <t>h1タグ</t>
        </is>
      </c>
    </row>
    <row r="242">
      <c r="B242" s="28" t="inlineStr">
        <is>
          <t>https://rank-quest.jp/column/column/seo-heading/</t>
        </is>
      </c>
      <c r="C242" s="84">
        <f>IFERROR(__xludf.DUMMYFUNCTION("IMPORTXML(B242, ""//title"")"),"SEOに強い！効果のある見出しの書き方のポイント12選 - 徹底的にSEO対策するならランクエスト")</f>
        <v/>
      </c>
      <c r="D242" s="84" t="inlineStr">
        <is>
          <t>hタグ</t>
        </is>
      </c>
    </row>
    <row r="243">
      <c r="B243" s="28" t="inlineStr">
        <is>
          <t>https://rank-quest.jp/column/column/seo-title/</t>
        </is>
      </c>
      <c r="C243" s="84">
        <f>IFERROR(__xludf.DUMMYFUNCTION("IMPORTXML(B243, ""//title"")"),"SEO効果を高めるタイトルの付け方とポイントを解説 - 徹底的にSEO対策するならランクエスト")</f>
        <v/>
      </c>
      <c r="D243" s="123" t="inlineStr">
        <is>
          <t xml:space="preserve">titleタグ </t>
        </is>
      </c>
    </row>
    <row r="244">
      <c r="B244" s="28" t="inlineStr">
        <is>
          <t>https://rank-quest.jp/column/column/structured-data-markup/</t>
        </is>
      </c>
      <c r="C244" s="84">
        <f>IFERROR(__xludf.DUMMYFUNCTION("IMPORTXML(B244, ""//title"")"),"構造化マークアップとは？SEOへの効果やメリット・デメリットを解説 - 徹底的にSEO対策するならランクエスト")</f>
        <v/>
      </c>
      <c r="D244" s="84" t="inlineStr">
        <is>
          <t>構造化マークアップ</t>
        </is>
      </c>
    </row>
    <row r="245">
      <c r="B245" s="28" t="inlineStr">
        <is>
          <t>https://rank-quest.jp/column/column/google-url-registration/</t>
        </is>
      </c>
      <c r="C245" s="84">
        <f>IFERROR(__xludf.DUMMYFUNCTION("IMPORTXML(B245, ""//title"")"),"Googleへサイト登録する方法は？できない場合の対処法も解説 - 徹底的にSEO対策するならランクエスト")</f>
        <v/>
      </c>
      <c r="D245" s="84" t="inlineStr">
        <is>
          <t>サイト登録</t>
        </is>
      </c>
    </row>
    <row r="246">
      <c r="B246" s="28" t="inlineStr">
        <is>
          <t>https://rank-quest.jp/column/column/ga4/</t>
        </is>
      </c>
      <c r="C246" s="84">
        <f>IFERROR(__xludf.DUMMYFUNCTION("IMPORTXML(B246, ""//title"")"),"GA4とは？UAとの違いや設定方法をわかりやすく解説 - 徹底的にSEO対策するならランクエスト")</f>
        <v/>
      </c>
      <c r="D246" s="84" t="inlineStr">
        <is>
          <t>Googleアナリティクス4</t>
        </is>
      </c>
    </row>
    <row r="247">
      <c r="B247" s="28" t="inlineStr">
        <is>
          <t>https://rank-quest.jp/column/column/how-to-use-ga4/</t>
        </is>
      </c>
      <c r="C247" s="84">
        <f>IFERROR(__xludf.DUMMYFUNCTION("IMPORTXML(B247, ""//title"")"),"GA4の使い方や導入方法は？初心者にもわかりやすく解説 - 徹底的にSEO対策するならランクエスト")</f>
        <v/>
      </c>
      <c r="D247" s="84" t="inlineStr">
        <is>
          <t>Googleアナリティクス4</t>
        </is>
      </c>
    </row>
    <row r="248">
      <c r="B248" s="28" t="inlineStr">
        <is>
          <t>https://rank-quest.jp/column/column/screaming-frog-seo-spider/</t>
        </is>
      </c>
      <c r="C248" s="84">
        <f>IFERROR(__xludf.DUMMYFUNCTION("IMPORTXML(B248, ""//title"")"),"Screaming Frog SEO Spiderの使い方と主な機能を解説 - 徹底的にSEO対策するならランクエスト")</f>
        <v/>
      </c>
      <c r="D248" s="84" t="inlineStr">
        <is>
          <t>Screaming Frog SEO Spider</t>
        </is>
      </c>
    </row>
    <row r="249">
      <c r="B249" s="28" t="inlineStr">
        <is>
          <t>https://rank-quest.jp/column/column/word-salad/</t>
        </is>
      </c>
      <c r="C249" s="84">
        <f>IFERROR(__xludf.DUMMYFUNCTION("IMPORTXML(B249, ""//title"")"),"ワードサラダとは？使ってはいけない理由や仕組み・例文を紹介 - 徹底的にSEO対策するならランクエスト")</f>
        <v/>
      </c>
      <c r="D249" s="84" t="inlineStr">
        <is>
          <t>ワードサラダ</t>
        </is>
      </c>
    </row>
    <row r="250">
      <c r="B250" s="28" t="inlineStr">
        <is>
          <t>https://rank-quest.jp/column/column/search-console/</t>
        </is>
      </c>
      <c r="C250" s="84">
        <f>IFERROR(__xludf.DUMMYFUNCTION("IMPORTXML(B250, ""//title"")"),"Googleサーチコンソールの機能や使い方を初心者向けに解説【2026年版】 - 徹底的にSEO対策するならランクエスト")</f>
        <v/>
      </c>
      <c r="D250" s="84" t="inlineStr">
        <is>
          <t>Googleサーチコンソール</t>
        </is>
      </c>
    </row>
    <row r="251">
      <c r="B251" s="28" t="inlineStr">
        <is>
          <t>https://rank-quest.jp/column/column/seocheki/</t>
        </is>
      </c>
      <c r="C251" s="84">
        <f>IFERROR(__xludf.DUMMYFUNCTION("IMPORTXML(B251, ""//title"")"),"SEOチェキの使い方とは？機能・特徴・活用方法を解説 - 徹底的にSEO対策するならランクエスト")</f>
        <v/>
      </c>
      <c r="D251" s="84" t="inlineStr">
        <is>
          <t>SEOチェキ</t>
        </is>
      </c>
    </row>
    <row r="252">
      <c r="B252" s="28" t="inlineStr">
        <is>
          <t>https://rank-quest.jp/column/column/seo-tools/</t>
        </is>
      </c>
      <c r="C252" s="84">
        <f>IFERROR(__xludf.DUMMYFUNCTION("IMPORTXML(B252, ""//title"")"),"おすすめのSEOツール17選｜種類や選び方まで詳しく解説 - 徹底的にSEO対策するならランクエスト")</f>
        <v/>
      </c>
      <c r="D252" s="84" t="inlineStr">
        <is>
          <t>SEOツール</t>
        </is>
      </c>
    </row>
    <row r="253">
      <c r="B253" s="28" t="inlineStr">
        <is>
          <t>https://rank-quest.jp/column/column/rank-check/</t>
        </is>
      </c>
      <c r="C253" s="84">
        <f>IFERROR(__xludf.DUMMYFUNCTION("IMPORTXML(B253, ""//title"")"),"検索順位や推移を調べる方法とは？おすすめのツールも紹介 - 徹底的にSEO対策するならランクエスト")</f>
        <v/>
      </c>
      <c r="D253" s="84" t="inlineStr">
        <is>
          <t>検索順位</t>
        </is>
      </c>
    </row>
    <row r="254">
      <c r="B254" s="28" t="inlineStr">
        <is>
          <t>https://rank-quest.jp/column/column/seo-meta-keywords/</t>
        </is>
      </c>
      <c r="C254" s="84">
        <f>IFERROR(__xludf.DUMMYFUNCTION("IMPORTXML(B254, ""//title"")"),"メタキーワードはSEO対策に不要！かつての効果や設定方法を解説 - 徹底的にSEO対策するならランクエスト")</f>
        <v/>
      </c>
      <c r="D254" s="84" t="inlineStr">
        <is>
          <t>メタキーワード</t>
        </is>
      </c>
    </row>
    <row r="255">
      <c r="B255" s="28" t="inlineStr">
        <is>
          <t>https://rank-quest.jp/column/column/index-removals/</t>
        </is>
      </c>
      <c r="C255" s="84">
        <f>IFERROR(__xludf.DUMMYFUNCTION("IMPORTXML(B255, ""//title"")"),"Googleのインデックス削除とは？必要な理由や申請の方法を解説 - 徹底的にSEO対策するならランクエスト")</f>
        <v/>
      </c>
      <c r="D255" s="84" t="inlineStr">
        <is>
          <t>インデックス削除</t>
        </is>
      </c>
    </row>
    <row r="256">
      <c r="B256" s="28" t="inlineStr">
        <is>
          <t>https://rank-quest.jp/column/column/heatmap/</t>
        </is>
      </c>
      <c r="C256" s="84">
        <f>IFERROR(__xludf.DUMMYFUNCTION("IMPORTXML(B256, ""//title"")"),"ヒートマップ分析とは？ツールの選び方や無料ツール4選も紹介 - 徹底的にSEO対策するならランクエスト")</f>
        <v/>
      </c>
      <c r="D256" s="84" t="inlineStr">
        <is>
          <t>ヒートマップ分析</t>
        </is>
      </c>
    </row>
    <row r="257">
      <c r="B257" s="28" t="inlineStr">
        <is>
          <t>https://rank-quest.jp/column/column/access-analysis/</t>
        </is>
      </c>
      <c r="C257" s="84">
        <f>IFERROR(__xludf.DUMMYFUNCTION("IMPORTXML(B257, ""//title"")"),"アクセス解析で見るべきポイントは？成功のためのポイントも解説 - 徹底的にSEO対策するならランクエスト")</f>
        <v/>
      </c>
      <c r="D257" s="84" t="inlineStr">
        <is>
          <t>アクセス解析</t>
        </is>
      </c>
    </row>
    <row r="258">
      <c r="B258" s="28" t="inlineStr">
        <is>
          <t>https://rank-quest.jp/column/column/sns-seo/</t>
        </is>
      </c>
      <c r="C258" s="84">
        <f>IFERROR(__xludf.DUMMYFUNCTION("IMPORTXML(B258, ""//title"")"),"SNSがSEOに与える影響とは？注意点や効果を得る方法を解説 - 徹底的にSEO対策するならランクエスト")</f>
        <v/>
      </c>
      <c r="D258" s="84" t="inlineStr">
        <is>
          <t>SNSとSEO</t>
        </is>
      </c>
    </row>
    <row r="259">
      <c r="B259" s="28" t="inlineStr">
        <is>
          <t>https://rank-quest.jp/column/column/display-ads/</t>
        </is>
      </c>
      <c r="C259" s="84">
        <f>IFERROR(__xludf.DUMMYFUNCTION("IMPORTXML(B259, ""//title"")"),"ディスプレイ広告とは？仕組みや成功させるポイントを解説 - 徹底的にSEO対策するならランクエスト")</f>
        <v/>
      </c>
      <c r="D259" s="84" t="inlineStr">
        <is>
          <t>ディスプレイ広告</t>
        </is>
      </c>
    </row>
    <row r="260">
      <c r="B260" s="28" t="inlineStr">
        <is>
          <t>https://rank-quest.jp/column/column/seo-backlink/</t>
        </is>
      </c>
      <c r="C260" s="84">
        <f>IFERROR(__xludf.DUMMYFUNCTION("IMPORTXML(B260, ""//title"")"),"SEOにおける被リンクとは？獲得する5つのポイントを解説 - 徹底的にSEO対策するならランクエスト")</f>
        <v/>
      </c>
      <c r="D260" s="84" t="inlineStr">
        <is>
          <t>被リンク獲得</t>
        </is>
      </c>
    </row>
    <row r="261">
      <c r="B261" s="28" t="inlineStr">
        <is>
          <t>https://rank-quest.jp/column/column/seo-citation/</t>
        </is>
      </c>
      <c r="C261" s="84">
        <f>IFERROR(__xludf.DUMMYFUNCTION("IMPORTXML(B261, ""//title"")"),"サイテーションとは？概要や獲得方法・SEO効果について解説！ - 徹底的にSEO対策するならランクエスト")</f>
        <v/>
      </c>
      <c r="D261" s="84" t="inlineStr">
        <is>
          <t>サイテーション</t>
        </is>
      </c>
    </row>
    <row r="262">
      <c r="B262" s="28" t="inlineStr">
        <is>
          <t>https://rank-quest.jp/column/column/domain-power/</t>
        </is>
      </c>
      <c r="C262" s="84">
        <f>IFERROR(__xludf.DUMMYFUNCTION("IMPORTXML(B262, ""//title"")"),"ドメインパワーとは？SEOへの影響や計測ツールを紹介 - 徹底的にSEO対策するならランクエスト")</f>
        <v/>
      </c>
      <c r="D262" s="84" t="inlineStr">
        <is>
          <t>ドメインパワー</t>
        </is>
      </c>
    </row>
    <row r="263">
      <c r="B263" s="28" t="inlineStr">
        <is>
          <t>https://rank-quest.jp/column/column/duplicate-content/</t>
        </is>
      </c>
      <c r="C263" s="84">
        <f>IFERROR(__xludf.DUMMYFUNCTION("IMPORTXML(B263, ""//title"")"),"重複コンテンツはSEO対策では避けるべき！影響や必要な対策を解説 - 徹底的にSEO対策するならランクエスト")</f>
        <v/>
      </c>
      <c r="D263" s="84" t="inlineStr">
        <is>
          <t>重複コンテンツ</t>
        </is>
      </c>
    </row>
    <row r="264">
      <c r="B264" s="28" t="inlineStr">
        <is>
          <t>https://rank-quest.jp/column/column/low-quality-contents/</t>
        </is>
      </c>
      <c r="C264" s="84">
        <f>IFERROR(__xludf.DUMMYFUNCTION("IMPORTXML(B264, ""//title"")"),"低品質コンテンツとは？SEOへの影響や対処法を解説 - 徹底的にSEO対策するならランクエスト")</f>
        <v/>
      </c>
      <c r="D264" s="84" t="inlineStr">
        <is>
          <t>低品質コンテンツ</t>
        </is>
      </c>
    </row>
    <row r="265">
      <c r="B265" s="28" t="inlineStr">
        <is>
          <t>https://rank-quest.jp/column/column/topic-cluster/</t>
        </is>
      </c>
      <c r="C265" s="84">
        <f>IFERROR(__xludf.DUMMYFUNCTION("IMPORTXML(B265, ""//title"")"),"トピッククラスターとは？メリットやSEO効果・作り方を解説 - 徹底的にSEO対策するならランクエスト")</f>
        <v/>
      </c>
      <c r="D265" s="84" t="inlineStr">
        <is>
          <t>トピッククラスター</t>
        </is>
      </c>
    </row>
    <row r="266">
      <c r="B266" s="28" t="inlineStr">
        <is>
          <t>https://rank-quest.jp/column/column/pillarpage/</t>
        </is>
      </c>
      <c r="C266" s="84">
        <f>IFERROR(__xludf.DUMMYFUNCTION("IMPORTXML(B266, ""//title"")"),"ピラーページとは？メリットや作成時の注意点を解説 - 徹底的にSEO対策するならランクエスト")</f>
        <v/>
      </c>
      <c r="D266" s="84" t="inlineStr">
        <is>
          <t>ピラーページ</t>
        </is>
      </c>
    </row>
    <row r="267">
      <c r="B267" s="28" t="inlineStr">
        <is>
          <t>https://rank-quest.jp/column/column/404error/</t>
        </is>
      </c>
      <c r="C267" s="84">
        <f>IFERROR(__xludf.DUMMYFUNCTION("IMPORTXML(B267, ""//title"")"),"404エラーとは？発生する原因や正しい対処法を解説 - 徹底的にSEO対策するならランクエスト")</f>
        <v/>
      </c>
      <c r="D267" s="84" t="inlineStr">
        <is>
          <t>404エラー</t>
        </is>
      </c>
    </row>
    <row r="268">
      <c r="B268" s="28" t="inlineStr">
        <is>
          <t>https://rank-quest.jp/column/column/staying-time/</t>
        </is>
      </c>
      <c r="C268" s="84">
        <f>IFERROR(__xludf.DUMMYFUNCTION("IMPORTXML(B268, ""//title"")"),"SEOにおける滞在時間の重要性とは？ユーザー行動の順位への影響を解説 - 徹底的にSEO対策するならランクエスト")</f>
        <v/>
      </c>
      <c r="D268" s="84" t="inlineStr">
        <is>
          <t>滞在時間</t>
        </is>
      </c>
    </row>
    <row r="269">
      <c r="B269" s="28" t="inlineStr">
        <is>
          <t>https://rank-quest.jp/column/uncategorized/2025_09_rankinghigher_ctr/</t>
        </is>
      </c>
      <c r="C269" s="84">
        <f>IFERROR(__xludf.DUMMYFUNCTION("IMPORTXML(B269, ""//title"")"),"2025年9月最新データ公開！「SEO順位別クリック率」から読み解く検索上位の集客効果（SEO会社ランクエスト調べ） - 
徹底的にSEO対策するならランクエスト")</f>
        <v/>
      </c>
      <c r="D269" s="84" t="inlineStr">
        <is>
          <t>SEO順位別クリック率</t>
        </is>
      </c>
    </row>
    <row r="270">
      <c r="B270" s="28" t="inlineStr">
        <is>
          <t>https://rank-quest.jp/column/industry-research/2025_08_rankinghigher_ctr/</t>
        </is>
      </c>
      <c r="C270" s="84">
        <f>IFERROR(__xludf.DUMMYFUNCTION("IMPORTXML(B270, ""//title"")"),"2025年8月最新データで「SEO順位別クリック率」を検証！検索順位がユーザー行動と集客に与える影響（SEO会社ランクエスト調べ） - 
徹底的にSEO対策するならランクエスト")</f>
        <v/>
      </c>
      <c r="D270" s="84" t="inlineStr">
        <is>
          <t>SEO順位別クリック率</t>
        </is>
      </c>
    </row>
    <row r="271">
      <c r="B271" s="28" t="inlineStr">
        <is>
          <t>https://rank-quest.jp/column/industry-research/2025_07_rankinghigher_ctr/</t>
        </is>
      </c>
      <c r="C271" s="84">
        <f>IFERROR(__xludf.DUMMYFUNCTION("IMPORTXML(B271, ""//title"")"),"2025年7月最新データで「SEO順位別クリック率」を分析！順位がクリック数に与える影響（SEO会社ランクエスト調べ） - 
徹底的にSEO対策するならランクエスト")</f>
        <v/>
      </c>
      <c r="D271" s="84" t="inlineStr">
        <is>
          <t>SEO順位別クリック率</t>
        </is>
      </c>
    </row>
    <row r="272">
      <c r="B272" s="28" t="inlineStr">
        <is>
          <t>https://rank-quest.jp/column/industry-research/2025_6_rankinghigher_ctr/</t>
        </is>
      </c>
      <c r="C272" s="84">
        <f>IFERROR(__xludf.DUMMYFUNCTION("IMPORTXML(B272, ""//title"")"),"ここまで違う！2025年6月最新データで見る「SEO順位別クリック率」の実態(SEO会社ランクエスト調べ) - 徹底的にSEO対策するならランクエスト")</f>
        <v/>
      </c>
      <c r="D272" s="84" t="inlineStr">
        <is>
          <t>SEO順位別クリック率</t>
        </is>
      </c>
    </row>
    <row r="273">
      <c r="B273" s="28" t="inlineStr">
        <is>
          <t>https://rank-quest.jp/column/industry-research/2025_5_rankinghigher_ctr/</t>
        </is>
      </c>
      <c r="C273" s="84">
        <f>IFERROR(__xludf.DUMMYFUNCTION("IMPORTXML(B273, ""//title"")"),"ここまで違う！2025年5月最新データで見る「SEO順位別クリック率」の実態(SEO会社ランクエスト調べ) - 徹底的にSEO対策するならランクエスト")</f>
        <v/>
      </c>
      <c r="D273" s="84" t="inlineStr">
        <is>
          <t>SEO順位別クリック率</t>
        </is>
      </c>
    </row>
    <row r="274">
      <c r="B274" s="28" t="inlineStr">
        <is>
          <t>https://rank-quest.jp/column/industry-research/2025_4_rankinghigher_ctr/</t>
        </is>
      </c>
      <c r="C274" s="84">
        <f>IFERROR(__xludf.DUMMYFUNCTION("IMPORTXML(B274, ""//title"")"),"SEOで勝つには1位しかない？CTR分析で明らかになった「順位別クリック率」の真実（2025年4月版：SEO会社ランクエスト調べ） - 
徹底的にSEO対策するならランクエスト")</f>
        <v/>
      </c>
      <c r="D274" s="84" t="inlineStr">
        <is>
          <t>SEO順位別クリック率</t>
        </is>
      </c>
    </row>
    <row r="275">
      <c r="B275" s="28" t="inlineStr">
        <is>
          <t>https://rank-quest.jp/column/column/seo-internal-countermeasure/</t>
        </is>
      </c>
      <c r="C275" s="84">
        <f>IFERROR(__xludf.DUMMYFUNCTION("IMPORTXML(B275, ""//title"")"),"SEOの内部対策とは？目的・効果や35種類のアプローチ方法を解説 - 徹底的にSEO対策するならランクエスト")</f>
        <v/>
      </c>
      <c r="D275" s="84" t="inlineStr">
        <is>
          <t>SEOの内部対策</t>
        </is>
      </c>
    </row>
    <row r="276">
      <c r="B276" s="28" t="inlineStr">
        <is>
          <t>https://rank-quest.jp/column/industry-research/2025_3_ctr/</t>
        </is>
      </c>
      <c r="C276" s="84">
        <f>IFERROR(__xludf.DUMMYFUNCTION("IMPORTXML(B276, ""//title"")"),"SEOで1位と2位の差は◯倍！検索順位ごとのCTRを徹底比較（2025年3月版：SEO会社ランクエスト調べ） - 徹底的にSEO対策するならランクエスト")</f>
        <v/>
      </c>
      <c r="D276" s="84" t="inlineStr">
        <is>
          <t>SEO順位別クリック率</t>
        </is>
      </c>
    </row>
    <row r="277">
      <c r="B277" s="28" t="inlineStr">
        <is>
          <t>https://rank-quest.jp/column/industry-research/2025_2_rankinghigher_ctr/</t>
        </is>
      </c>
      <c r="C277" s="84">
        <f>IFERROR(__xludf.DUMMYFUNCTION("IMPORTXML(B277, ""//title"")"),"【2025年2月版】検索順位1位はCTRが◯倍違う！？上位表示がもたらすクリック増加をSEO会社ランクエストが徹底調査！ - 
徹底的にSEO対策するならランクエスト")</f>
        <v/>
      </c>
      <c r="D277" s="84" t="inlineStr">
        <is>
          <t>SEO順位別クリック率</t>
        </is>
      </c>
    </row>
    <row r="278">
      <c r="B278" s="28" t="inlineStr">
        <is>
          <t>https://rank-quest.jp/column/industry-research/2025_1_ctr/</t>
        </is>
      </c>
      <c r="C278" s="84">
        <f>IFERROR(__xludf.DUMMYFUNCTION("IMPORTXML(B278, ""//title"")"),"【2025年1月版】検索順位がクリック率に与える影響を徹底解説！上位表示でどれだけクリックが増えるのか？ - 徹底的にSEO対策するならランクエスト")</f>
        <v/>
      </c>
      <c r="D278" s="84" t="inlineStr">
        <is>
          <t>SEO順位別クリック率</t>
        </is>
      </c>
    </row>
    <row r="279">
      <c r="B279" s="28" t="inlineStr">
        <is>
          <t>https://rank-quest.jp/column/industry-research/2024_12_ctr/</t>
        </is>
      </c>
      <c r="C279" s="84">
        <f>IFERROR(__xludf.DUMMYFUNCTION("IMPORTXML(B279, ""//title"")"),"【2024年12月版】検索順位がCTR（クリック率）を左右する！上位表示でクリック数はどれだけ増えるのか？ - 徹底的にSEO対策するならランクエスト")</f>
        <v/>
      </c>
      <c r="D279" s="84" t="inlineStr">
        <is>
          <t>SEO順位別クリック率</t>
        </is>
      </c>
    </row>
    <row r="280">
      <c r="B280" s="28" t="inlineStr">
        <is>
          <t>https://rank-quest.jp/column/industry-research/2024_11_ctr/</t>
        </is>
      </c>
      <c r="C280" s="84">
        <f>IFERROR(__xludf.DUMMYFUNCTION("IMPORTXML(B280, ""//title"")"),"【2024年11月度版】検索順位ごとに変化するクリック率（CTR）の真相 -上位表示でクリックはどれだけ増えるのか？- - 
徹底的にSEO対策するならランクエスト")</f>
        <v/>
      </c>
      <c r="D280" s="84" t="inlineStr">
        <is>
          <t>SEO順位別クリック率</t>
        </is>
      </c>
    </row>
    <row r="281">
      <c r="B281" s="28" t="inlineStr">
        <is>
          <t>https://rank-quest.jp/column/industry-research/investigation_seo_ctr/</t>
        </is>
      </c>
      <c r="C281" s="84">
        <f>IFERROR(__xludf.DUMMYFUNCTION("IMPORTXML(B281, ""//title"")"),"【2024年最新版】SEO検索順位別クリック率（CTR）を調査！上位表示がクリック数に与える影響とは？ - 徹底的にSEO対策するならランクエスト")</f>
        <v/>
      </c>
      <c r="D281" s="84" t="inlineStr">
        <is>
          <t>SEO順位別クリック率</t>
        </is>
      </c>
    </row>
    <row r="282">
      <c r="B282" s="28" t="inlineStr">
        <is>
          <t>https://rank-quest.jp/column/column/btob-seo/</t>
        </is>
      </c>
      <c r="C282" s="84">
        <f>IFERROR(__xludf.DUMMYFUNCTION("IMPORTXML(B282, ""//title"")"),"BtoB事業におけるSEO対策の基本｜施策やコンテンツの作成方法を解説 - 徹底的にSEO対策するならランクエスト")</f>
        <v/>
      </c>
      <c r="D282" s="84" t="inlineStr">
        <is>
          <t>BtoB事業</t>
        </is>
      </c>
    </row>
    <row r="283">
      <c r="B283" s="28" t="inlineStr">
        <is>
          <t>https://rank-quest.jp/column/column/whats-seo-consulting/</t>
        </is>
      </c>
      <c r="C283" s="84">
        <f>IFERROR(__xludf.DUMMYFUNCTION("IMPORTXML(B283, ""//title"")"),"SEOコンサルティングとは？外注するメリットや依頼できる業務を解説 - 徹底的にSEO対策するならランクエスト")</f>
        <v/>
      </c>
      <c r="D283" s="84" t="inlineStr">
        <is>
          <t>SEOコンサルティング</t>
        </is>
      </c>
    </row>
    <row r="284">
      <c r="B284" s="28" t="inlineStr">
        <is>
          <t>https://rank-quest.jp/column/episode/kinutasika/</t>
        </is>
      </c>
      <c r="C284" s="84">
        <f>IFERROR(__xludf.DUMMYFUNCTION("IMPORTXML(B284, ""//title"")"),"“インプラント”で5位以内を獲得。地域ワードも総なめに | きぬた歯科 / インプラント八王子 | 導入企業・事例 | 
徹底的にSEO対策するならランクエスト")</f>
        <v/>
      </c>
    </row>
    <row r="285">
      <c r="B285" s="28" t="inlineStr">
        <is>
          <t>https://rank-quest.jp/column/episode/hanguruchan/</t>
        </is>
      </c>
      <c r="C285" s="84">
        <f>IFERROR(__xludf.DUMMYFUNCTION("IMPORTXML(B285, ""//title"")"),"課題だったメインキーワードの順位下落をコンサルの分析で大幅改善 | ハングルちゃん | 導入企業・事例 | 徹底的にSEO対策するならランクエスト")</f>
        <v/>
      </c>
    </row>
    <row r="286">
      <c r="B286" s="28" t="inlineStr">
        <is>
          <t>https://rank-quest.jp/column/episode/plusone/</t>
        </is>
      </c>
      <c r="C286" s="84">
        <f>IFERROR(__xludf.DUMMYFUNCTION("IMPORTXML(B286, ""//title"")"),"サイトの集客を半年間で1.6倍に！コンテンツSEOで大幅アップ | 株式会社Plus one | 導入企業・事例 | 
徹底的にSEO対策するならランクエスト")</f>
        <v/>
      </c>
    </row>
    <row r="287">
      <c r="B287" s="28" t="inlineStr">
        <is>
          <t>https://rank-quest.jp/column/episode/rstandard/</t>
        </is>
      </c>
      <c r="C287" s="84">
        <f>IFERROR(__xludf.DUMMYFUNCTION("IMPORTXML(B287, ""//title"")"),"SEO対策で長いお付き合いをさせて頂いております | 株式会社アールスタンダード | 導入企業・事例 | 徹底的にSEO対策するならランクエスト")</f>
        <v/>
      </c>
    </row>
    <row r="288">
      <c r="B288" s="28" t="inlineStr">
        <is>
          <t>https://rank-quest.jp/column/episode/</t>
        </is>
      </c>
      <c r="C288" s="84">
        <f>IFERROR(__xludf.DUMMYFUNCTION("IMPORTXML(B288, ""//title"")"),"導入企業・事例に関する記事一覧")</f>
        <v/>
      </c>
    </row>
    <row r="289">
      <c r="B289" s="28" t="inlineStr">
        <is>
          <t>https://rank-quest.jp/</t>
        </is>
      </c>
      <c r="C289" s="84">
        <f>IFERROR(__xludf.DUMMYFUNCTION("IMPORTXML(B289, ""//title"")"),"徹底的にSEO対策するならランクエスト")</f>
        <v/>
      </c>
    </row>
    <row r="290">
      <c r="B290" s="28" t="inlineStr">
        <is>
          <t>https://rank-quest.jp/column/column/subcontracting-request/</t>
        </is>
      </c>
      <c r="C290" s="84">
        <f>IFERROR(__xludf.DUMMYFUNCTION("IMPORTXML(B290, ""//title"")"),"【SEO担当者必見】SEO対策は外注すべき？判断方法やメリット、費用相場、外注先の選び方を徹底解説！ - 徹底的にSEO対策するならランクエスト")</f>
        <v/>
      </c>
      <c r="D290" s="84" t="inlineStr">
        <is>
          <t>外注判断・選び方</t>
        </is>
      </c>
    </row>
    <row r="291">
      <c r="B291" s="28" t="inlineStr">
        <is>
          <t>https://rank-quest.jp/column/column/seo-consulting/</t>
        </is>
      </c>
      <c r="C291" s="84">
        <f>IFERROR(__xludf.DUMMYFUNCTION("IMPORTXML(B291, ""//title"")"),"SEOコンサルティング業者おすすめ17選！選ぶポイントまで徹底解説 - 徹底的にSEO対策するならランクエスト")</f>
        <v/>
      </c>
      <c r="D291" s="84" t="inlineStr">
        <is>
          <t>業者</t>
        </is>
      </c>
    </row>
    <row r="292">
      <c r="B292" s="28" t="inlineStr">
        <is>
          <t>https://rank-quest.jp/column/seo-news/2025-12/</t>
        </is>
      </c>
      <c r="C292" s="84">
        <f>IFERROR(__xludf.DUMMYFUNCTION("IMPORTXML(B292, ""//title"")"),"【2025年12月】SEO最新ニュース・トレンドまとめ - 徹底的にSEO対策するならランクエスト")</f>
        <v/>
      </c>
    </row>
    <row r="293">
      <c r="B293" s="84" t="n"/>
    </row>
    <row r="294">
      <c r="A294" s="84" t="inlineStr">
        <is>
          <t>4位</t>
        </is>
      </c>
      <c r="B294" s="28" t="inlineStr">
        <is>
          <t>https://www.japan-it.jp/hub/ja-jp/blog/article-41.html</t>
        </is>
      </c>
      <c r="C294" s="84">
        <f>IFERROR(__xludf.DUMMYFUNCTION("IMPORTXML(B294, ""//title"")"),"SEO（検索エンジン最適化）とは？意味や対策を実施するメリット・デメリットを解説｜営業・デジタル マーケティングWeek")</f>
        <v/>
      </c>
    </row>
    <row r="295">
      <c r="B295" s="84" t="n"/>
    </row>
    <row r="296">
      <c r="A296" s="84" t="inlineStr">
        <is>
          <t>内部発リンク</t>
        </is>
      </c>
      <c r="B296" s="28" t="inlineStr">
        <is>
          <t>https://www.japan-it.jp/hub/ja-jp/visit/web.html</t>
        </is>
      </c>
      <c r="C296" s="84">
        <f>IFERROR(__xludf.DUMMYFUNCTION("IMPORTXML(B296, ""//title"")"),"【4/8～10 東京開催】デジタルマーケティング EXPO（AIマーケティング / AIO・LLMO / MA・CRM 
などの展示会）の来場案内｜営業・デジタルマーケティング Week 内")</f>
        <v/>
      </c>
    </row>
    <row r="297">
      <c r="B297" s="28" t="inlineStr">
        <is>
          <t>https://www.japan-it.jp/hub/ja-jp/exhibit/web.html</t>
        </is>
      </c>
      <c r="C297" s="84">
        <f>IFERROR(__xludf.DUMMYFUNCTION("IMPORTXML(B297, ""//title"")"),"デジタルマーケティング EXPOの出展案内｜営業・デジタルマーケティング Week 内")</f>
        <v/>
      </c>
    </row>
    <row r="298">
      <c r="B298" s="28" t="inlineStr">
        <is>
          <t>https://www.japan-it.jp/hub/ja-jp/about/sales-marketingweek.html</t>
        </is>
      </c>
      <c r="C298" s="84">
        <f>IFERROR(__xludf.DUMMYFUNCTION("IMPORTXML(B298, ""//title"")"),"営業・デジタルマーケティング Week 展示会概要")</f>
        <v/>
      </c>
    </row>
    <row r="299">
      <c r="B299" s="84" t="n"/>
    </row>
    <row r="300">
      <c r="A300" s="84" t="inlineStr">
        <is>
          <t>5位</t>
        </is>
      </c>
      <c r="B300" s="28" t="inlineStr">
        <is>
          <t>https://www.seohacks.net/blog/1066/</t>
        </is>
      </c>
      <c r="C300" s="84">
        <f>IFERROR(__xludf.DUMMYFUNCTION("IMPORTXML(B300, ""//title"")"),"SEOとは――施策の目的や特徴、メリットを解説")</f>
        <v/>
      </c>
    </row>
    <row r="301">
      <c r="B301" s="84" t="n"/>
      <c r="D301" s="123" t="n"/>
    </row>
    <row r="302">
      <c r="A302" s="84" t="inlineStr">
        <is>
          <t>内部発リンク</t>
        </is>
      </c>
      <c r="B302" s="28" t="inlineStr">
        <is>
          <t>https://www.seohacks.net/blog/939/</t>
        </is>
      </c>
      <c r="C302" s="84">
        <f>IFERROR(__xludf.DUMMYFUNCTION("IMPORTXML(B302, ""//title"")"),"検索エンジンの仕組み――検索順位が決定する流れや指標を解説")</f>
        <v/>
      </c>
      <c r="D302" s="123" t="inlineStr">
        <is>
          <t>検索エンジン</t>
        </is>
      </c>
    </row>
    <row r="303">
      <c r="B303" s="28" t="inlineStr">
        <is>
          <t>https://www.seohacks.net/blog/906/</t>
        </is>
      </c>
      <c r="C303" s="84">
        <f>IFERROR(__xludf.DUMMYFUNCTION("IMPORTXML(B303, ""//title"")"),"内部リンクとは？メリットやSEOに効果的な設置の仕方を解説")</f>
        <v/>
      </c>
      <c r="D303" s="123" t="inlineStr">
        <is>
          <t>内部リンク</t>
        </is>
      </c>
    </row>
    <row r="304">
      <c r="B304" s="28" t="inlineStr">
        <is>
          <t>https://www.seohacks.net/blog/2277/</t>
        </is>
      </c>
      <c r="C304" s="84">
        <f>IFERROR(__xludf.DUMMYFUNCTION("IMPORTXML(B304, ""//title"")"),"強調スニペットとは？表示される仕組みや出し方、非表示にする方法")</f>
        <v/>
      </c>
      <c r="D304" s="123" t="inlineStr">
        <is>
          <t>強調スニペット</t>
        </is>
      </c>
    </row>
    <row r="305">
      <c r="B305" s="28" t="inlineStr">
        <is>
          <t>https://www.seohacks.net/blog/28203/</t>
        </is>
      </c>
      <c r="C305" s="84">
        <f>IFERROR(__xludf.DUMMYFUNCTION("IMPORTXML(B305, ""//title"")"),"AI Overviewsとは？最新動向や自サイトが参照される方法を解説")</f>
        <v/>
      </c>
      <c r="D305" s="123" t="inlineStr">
        <is>
          <t>AI Overviews</t>
        </is>
      </c>
    </row>
    <row r="306">
      <c r="B306" s="28" t="inlineStr">
        <is>
          <t>https://www.seohacks.net/blog/28360/</t>
        </is>
      </c>
      <c r="C306" s="84">
        <f>IFERROR(__xludf.DUMMYFUNCTION("IMPORTXML(B306, ""//title"")"),"SEOの手順――必要なプロセスと進め方を解説")</f>
        <v/>
      </c>
      <c r="D306" s="123" t="inlineStr">
        <is>
          <t>SEOの手順</t>
        </is>
      </c>
    </row>
    <row r="307">
      <c r="B307" s="28" t="inlineStr">
        <is>
          <t>https://www.seohacks.net/blog/926/</t>
        </is>
      </c>
      <c r="C307" s="84">
        <f>IFERROR(__xludf.DUMMYFUNCTION("IMPORTXML(B307, ""//title"")"),"ナレッジパネルとは？ナレッジパネルの仕組みと表示方法について")</f>
        <v/>
      </c>
      <c r="D307" s="123" t="inlineStr">
        <is>
          <t>ナレッジパネル</t>
        </is>
      </c>
    </row>
    <row r="308">
      <c r="B308" s="28" t="inlineStr">
        <is>
          <t>https://www.seohacks.net/blog/14491/</t>
        </is>
      </c>
      <c r="C308" s="84">
        <f>IFERROR(__xludf.DUMMYFUNCTION("IMPORTXML(B308, ""//title"")"),"【2025年12月最新】Googleコアアップデート情報と取り組むべきSEOを解説")</f>
        <v/>
      </c>
      <c r="D308" s="123" t="inlineStr">
        <is>
          <t>Googleコアアップデート</t>
        </is>
      </c>
    </row>
    <row r="309">
      <c r="B309" s="28" t="inlineStr">
        <is>
          <t>https://www.seohacks.net/blog/1066/#element1</t>
        </is>
      </c>
      <c r="C309" s="84">
        <f>IFERROR(__xludf.DUMMYFUNCTION("IMPORTXML(B309, ""//title"")"),"SEOとは――施策の目的や特徴、メリットを解説")</f>
        <v/>
      </c>
      <c r="D309" s="123" t="inlineStr">
        <is>
          <t>SEO</t>
        </is>
      </c>
    </row>
    <row r="310">
      <c r="B310" s="28" t="inlineStr">
        <is>
          <t>https://www.seohacks.net/blog/1191/</t>
        </is>
      </c>
      <c r="C310" s="84">
        <f>IFERROR(__xludf.DUMMYFUNCTION("IMPORTXML(B310, ""//title"")"),"構造化データとは？非エンジニアでもわかる設定手順を解説")</f>
        <v/>
      </c>
      <c r="D310" s="123" t="inlineStr">
        <is>
          <t>構造化データ</t>
        </is>
      </c>
    </row>
    <row r="311">
      <c r="B311" s="28" t="inlineStr">
        <is>
          <t>https://www.seohacks.net/blog/16864/</t>
        </is>
      </c>
      <c r="C311" s="84">
        <f>IFERROR(__xludf.DUMMYFUNCTION("IMPORTXML(B311, ""//title"")"),"SEOの効果測定の方法――活用するツールや見るべき指標、改善策の出し方")</f>
        <v/>
      </c>
      <c r="D311" s="123" t="inlineStr">
        <is>
          <t>SEOの効果測定</t>
        </is>
      </c>
    </row>
    <row r="312">
      <c r="B312" s="28" t="inlineStr">
        <is>
          <t>https://www.seohacks.net/blog/28359/</t>
        </is>
      </c>
      <c r="C312" s="84">
        <f>IFERROR(__xludf.DUMMYFUNCTION("IMPORTXML(B312, ""//title"")"),"SEOの種類――テクニカル・コンテンツ・外部対策を押さえよう")</f>
        <v/>
      </c>
      <c r="D312" s="123" t="inlineStr">
        <is>
          <t>SEOの種類</t>
        </is>
      </c>
    </row>
    <row r="313">
      <c r="B313" s="84" t="n"/>
    </row>
    <row r="314">
      <c r="B314" s="84" t="n"/>
    </row>
    <row r="315">
      <c r="B315" s="84" t="n"/>
    </row>
    <row r="316">
      <c r="B316" s="84" t="n"/>
    </row>
    <row r="317">
      <c r="B317" s="84" t="n"/>
    </row>
    <row r="318">
      <c r="B318" s="84" t="n"/>
    </row>
    <row r="319">
      <c r="B319" s="84" t="n"/>
    </row>
    <row r="320">
      <c r="B320" s="84" t="n"/>
    </row>
    <row r="321">
      <c r="B321" s="84" t="n"/>
    </row>
    <row r="322">
      <c r="B322" s="84" t="n"/>
    </row>
    <row r="323">
      <c r="B323" s="84" t="n"/>
    </row>
    <row r="324">
      <c r="B324" s="84" t="n"/>
    </row>
    <row r="325">
      <c r="B325" s="84" t="n"/>
    </row>
    <row r="326">
      <c r="B326" s="84" t="n"/>
    </row>
    <row r="327">
      <c r="B327" s="84" t="n"/>
    </row>
    <row r="328">
      <c r="B328" s="84" t="n"/>
    </row>
    <row r="329">
      <c r="B329" s="84" t="n"/>
    </row>
    <row r="330">
      <c r="B330" s="84" t="n"/>
    </row>
    <row r="331">
      <c r="B331" s="84" t="n"/>
    </row>
    <row r="332">
      <c r="B332" s="84" t="n"/>
    </row>
    <row r="333">
      <c r="B333" s="84" t="n"/>
    </row>
    <row r="334">
      <c r="B334" s="84" t="n"/>
    </row>
    <row r="335">
      <c r="B335" s="84" t="n"/>
    </row>
    <row r="336">
      <c r="B336" s="84" t="n"/>
    </row>
    <row r="337">
      <c r="B337" s="84" t="n"/>
    </row>
    <row r="338">
      <c r="B338" s="84" t="n"/>
    </row>
    <row r="339">
      <c r="B339" s="84" t="n"/>
    </row>
    <row r="340">
      <c r="B340" s="84" t="n"/>
    </row>
    <row r="341">
      <c r="B341" s="84" t="n"/>
    </row>
    <row r="342">
      <c r="B342" s="84" t="n"/>
    </row>
    <row r="343">
      <c r="B343" s="84" t="n"/>
    </row>
    <row r="344">
      <c r="B344" s="84" t="n"/>
    </row>
    <row r="345">
      <c r="B345" s="84" t="n"/>
    </row>
    <row r="346">
      <c r="B346" s="84" t="n"/>
    </row>
    <row r="347">
      <c r="B347" s="84" t="n"/>
    </row>
    <row r="348">
      <c r="B348" s="84" t="n"/>
    </row>
    <row r="349">
      <c r="B349" s="84" t="n"/>
    </row>
    <row r="350">
      <c r="B350" s="84" t="n"/>
    </row>
    <row r="351">
      <c r="B351" s="84" t="n"/>
    </row>
    <row r="352">
      <c r="B352" s="84" t="n"/>
    </row>
    <row r="353">
      <c r="B353" s="84" t="n"/>
    </row>
    <row r="354">
      <c r="B354" s="84" t="n"/>
    </row>
    <row r="355">
      <c r="B355" s="84" t="n"/>
    </row>
    <row r="356">
      <c r="B356" s="84" t="n"/>
    </row>
    <row r="357">
      <c r="B357" s="84" t="n"/>
    </row>
    <row r="358">
      <c r="B358" s="84" t="n"/>
    </row>
    <row r="359">
      <c r="B359" s="84" t="n"/>
    </row>
    <row r="360">
      <c r="B360" s="84" t="n"/>
    </row>
    <row r="361">
      <c r="B361" s="84" t="n"/>
    </row>
    <row r="362">
      <c r="B362" s="84" t="n"/>
    </row>
    <row r="363">
      <c r="B363" s="84" t="n"/>
    </row>
    <row r="364">
      <c r="B364" s="84" t="n"/>
    </row>
    <row r="365">
      <c r="B365" s="84" t="n"/>
    </row>
    <row r="366">
      <c r="B366" s="84" t="n"/>
    </row>
    <row r="367">
      <c r="B367" s="84" t="n"/>
    </row>
    <row r="368">
      <c r="B368" s="84" t="n"/>
    </row>
    <row r="369">
      <c r="B369" s="84" t="n"/>
    </row>
    <row r="370">
      <c r="B370" s="84" t="n"/>
    </row>
    <row r="371">
      <c r="B371" s="84" t="n"/>
    </row>
    <row r="372">
      <c r="B372" s="84" t="n"/>
    </row>
    <row r="373">
      <c r="B373" s="84" t="n"/>
    </row>
    <row r="374">
      <c r="B374" s="84" t="n"/>
    </row>
    <row r="375">
      <c r="B375" s="84" t="n"/>
    </row>
    <row r="376">
      <c r="B376" s="84" t="n"/>
    </row>
    <row r="377">
      <c r="B377" s="84" t="n"/>
    </row>
    <row r="378">
      <c r="B378" s="84" t="n"/>
    </row>
    <row r="379">
      <c r="B379" s="84" t="n"/>
    </row>
    <row r="380">
      <c r="B380" s="84" t="n"/>
    </row>
    <row r="381">
      <c r="B381" s="84" t="n"/>
    </row>
    <row r="382">
      <c r="B382" s="84" t="n"/>
    </row>
    <row r="383">
      <c r="B383" s="84" t="n"/>
    </row>
    <row r="384">
      <c r="B384" s="84" t="n"/>
    </row>
    <row r="385">
      <c r="B385" s="84" t="n"/>
    </row>
    <row r="386">
      <c r="B386" s="84" t="n"/>
    </row>
    <row r="387">
      <c r="B387" s="84" t="n"/>
    </row>
    <row r="388">
      <c r="B388" s="84" t="n"/>
    </row>
    <row r="389">
      <c r="B389" s="84" t="n"/>
    </row>
    <row r="390">
      <c r="B390" s="84" t="n"/>
    </row>
    <row r="391">
      <c r="B391" s="84" t="n"/>
    </row>
    <row r="392">
      <c r="B392" s="84" t="n"/>
    </row>
    <row r="393">
      <c r="B393" s="84" t="n"/>
    </row>
    <row r="394">
      <c r="B394" s="84" t="n"/>
    </row>
    <row r="395">
      <c r="B395" s="84" t="n"/>
    </row>
    <row r="396">
      <c r="B396" s="84" t="n"/>
    </row>
    <row r="397">
      <c r="B397" s="84" t="n"/>
    </row>
    <row r="398">
      <c r="B398" s="84" t="n"/>
    </row>
    <row r="399">
      <c r="B399" s="84" t="n"/>
    </row>
    <row r="400">
      <c r="B400" s="84" t="n"/>
    </row>
    <row r="401">
      <c r="B401" s="84" t="n"/>
    </row>
    <row r="402">
      <c r="B402" s="84" t="n"/>
    </row>
    <row r="403">
      <c r="B403" s="84" t="n"/>
    </row>
    <row r="404">
      <c r="B404" s="84" t="n"/>
    </row>
    <row r="405">
      <c r="B405" s="84" t="n"/>
    </row>
    <row r="406">
      <c r="B406" s="84" t="n"/>
    </row>
    <row r="407">
      <c r="B407" s="84" t="n"/>
    </row>
    <row r="408">
      <c r="B408" s="84" t="n"/>
    </row>
    <row r="409">
      <c r="B409" s="84" t="n"/>
    </row>
    <row r="410">
      <c r="B410" s="84" t="n"/>
    </row>
    <row r="411">
      <c r="B411" s="84" t="n"/>
    </row>
    <row r="412">
      <c r="B412" s="84" t="n"/>
    </row>
    <row r="413">
      <c r="B413" s="84" t="n"/>
    </row>
    <row r="414">
      <c r="B414" s="84" t="n"/>
    </row>
    <row r="415">
      <c r="B415" s="84" t="n"/>
    </row>
    <row r="416">
      <c r="B416" s="84" t="n"/>
    </row>
    <row r="417">
      <c r="B417" s="84" t="n"/>
    </row>
    <row r="418">
      <c r="B418" s="84" t="n"/>
    </row>
    <row r="419">
      <c r="B419" s="84" t="n"/>
    </row>
    <row r="420">
      <c r="B420" s="84" t="n"/>
    </row>
    <row r="421">
      <c r="B421" s="84" t="n"/>
    </row>
    <row r="422">
      <c r="B422" s="84" t="n"/>
    </row>
    <row r="423">
      <c r="B423" s="84" t="n"/>
    </row>
    <row r="424">
      <c r="B424" s="84" t="n"/>
    </row>
    <row r="425">
      <c r="B425" s="84" t="n"/>
    </row>
    <row r="426">
      <c r="B426" s="84" t="n"/>
    </row>
    <row r="427">
      <c r="B427" s="84" t="n"/>
    </row>
    <row r="428">
      <c r="B428" s="84" t="n"/>
    </row>
    <row r="429">
      <c r="B429" s="84" t="n"/>
    </row>
    <row r="430">
      <c r="B430" s="84" t="n"/>
    </row>
    <row r="431">
      <c r="B431" s="84" t="n"/>
    </row>
    <row r="432">
      <c r="B432" s="84" t="n"/>
    </row>
    <row r="433">
      <c r="B433" s="84" t="n"/>
    </row>
    <row r="434">
      <c r="B434" s="84" t="n"/>
    </row>
    <row r="435">
      <c r="B435" s="84" t="n"/>
    </row>
    <row r="436">
      <c r="B436" s="84" t="n"/>
    </row>
    <row r="437">
      <c r="B437" s="84" t="n"/>
    </row>
    <row r="438">
      <c r="B438" s="84" t="n"/>
    </row>
    <row r="439">
      <c r="B439" s="84" t="n"/>
    </row>
    <row r="440">
      <c r="B440" s="84" t="n"/>
    </row>
    <row r="441">
      <c r="B441" s="84" t="n"/>
    </row>
    <row r="442">
      <c r="B442" s="84" t="n"/>
    </row>
    <row r="443">
      <c r="B443" s="84" t="n"/>
    </row>
    <row r="444">
      <c r="B444" s="84" t="n"/>
    </row>
    <row r="445">
      <c r="B445" s="84" t="n"/>
    </row>
    <row r="446">
      <c r="B446" s="84" t="n"/>
    </row>
    <row r="447">
      <c r="B447" s="84" t="n"/>
    </row>
    <row r="448">
      <c r="B448" s="84" t="n"/>
    </row>
    <row r="449">
      <c r="B449" s="84" t="n"/>
    </row>
    <row r="450">
      <c r="B450" s="84" t="n"/>
    </row>
    <row r="451">
      <c r="B451" s="84" t="n"/>
    </row>
    <row r="452">
      <c r="B452" s="84" t="n"/>
    </row>
    <row r="453">
      <c r="B453" s="84" t="n"/>
    </row>
    <row r="454">
      <c r="B454" s="84" t="n"/>
    </row>
    <row r="455">
      <c r="B455" s="84" t="n"/>
    </row>
    <row r="456">
      <c r="B456" s="84" t="n"/>
    </row>
    <row r="457">
      <c r="B457" s="84" t="n"/>
    </row>
    <row r="458">
      <c r="B458" s="84" t="n"/>
    </row>
    <row r="459">
      <c r="B459" s="84" t="n"/>
    </row>
    <row r="460">
      <c r="B460" s="84" t="n"/>
    </row>
    <row r="461">
      <c r="B461" s="84" t="n"/>
    </row>
    <row r="462">
      <c r="B462" s="84" t="n"/>
    </row>
    <row r="463">
      <c r="B463" s="84" t="n"/>
    </row>
    <row r="464">
      <c r="B464" s="84" t="n"/>
    </row>
    <row r="465">
      <c r="B465" s="84" t="n"/>
    </row>
    <row r="466">
      <c r="B466" s="84" t="n"/>
    </row>
    <row r="467">
      <c r="B467" s="84" t="n"/>
    </row>
    <row r="468">
      <c r="B468" s="84" t="n"/>
    </row>
    <row r="469">
      <c r="B469" s="84" t="n"/>
    </row>
    <row r="470">
      <c r="B470" s="84" t="n"/>
    </row>
    <row r="471">
      <c r="B471" s="84" t="n"/>
    </row>
    <row r="472">
      <c r="B472" s="84" t="n"/>
    </row>
    <row r="473">
      <c r="B473" s="84" t="n"/>
    </row>
    <row r="474">
      <c r="B474" s="84" t="n"/>
    </row>
    <row r="475">
      <c r="B475" s="84" t="n"/>
    </row>
    <row r="476">
      <c r="B476" s="84" t="n"/>
    </row>
    <row r="477">
      <c r="B477" s="84" t="n"/>
    </row>
    <row r="478">
      <c r="B478" s="84" t="n"/>
    </row>
    <row r="479">
      <c r="B479" s="84" t="n"/>
    </row>
    <row r="480">
      <c r="B480" s="84" t="n"/>
    </row>
    <row r="481">
      <c r="B481" s="84" t="n"/>
    </row>
    <row r="482">
      <c r="B482" s="84" t="n"/>
    </row>
    <row r="483">
      <c r="B483" s="84" t="n"/>
    </row>
    <row r="484">
      <c r="B484" s="84" t="n"/>
    </row>
    <row r="485">
      <c r="B485" s="84" t="n"/>
    </row>
    <row r="486">
      <c r="B486" s="84" t="n"/>
    </row>
    <row r="487">
      <c r="B487" s="84" t="n"/>
    </row>
    <row r="488">
      <c r="B488" s="84" t="n"/>
    </row>
    <row r="489">
      <c r="B489" s="84" t="n"/>
    </row>
    <row r="490">
      <c r="B490" s="84" t="n"/>
    </row>
    <row r="491">
      <c r="B491" s="84" t="n"/>
    </row>
    <row r="492">
      <c r="B492" s="84" t="n"/>
    </row>
    <row r="493">
      <c r="B493" s="84" t="n"/>
    </row>
    <row r="494">
      <c r="B494" s="84" t="n"/>
    </row>
    <row r="495">
      <c r="B495" s="84" t="n"/>
    </row>
    <row r="496">
      <c r="B496" s="84" t="n"/>
    </row>
    <row r="497">
      <c r="B497" s="84" t="n"/>
    </row>
    <row r="498">
      <c r="B498" s="84" t="n"/>
    </row>
    <row r="499">
      <c r="B499" s="84" t="n"/>
    </row>
    <row r="500">
      <c r="B500" s="84" t="n"/>
    </row>
    <row r="501">
      <c r="B501" s="84" t="n"/>
    </row>
    <row r="502">
      <c r="B502" s="84" t="n"/>
    </row>
    <row r="503">
      <c r="B503" s="84" t="n"/>
    </row>
    <row r="504">
      <c r="B504" s="84" t="n"/>
    </row>
    <row r="505">
      <c r="B505" s="84" t="n"/>
    </row>
    <row r="506">
      <c r="B506" s="84" t="n"/>
    </row>
    <row r="507">
      <c r="B507" s="84" t="n"/>
    </row>
    <row r="508">
      <c r="B508" s="84" t="n"/>
    </row>
    <row r="509">
      <c r="B509" s="84" t="n"/>
    </row>
    <row r="510">
      <c r="B510" s="84" t="n"/>
    </row>
    <row r="511">
      <c r="B511" s="84" t="n"/>
    </row>
    <row r="512">
      <c r="B512" s="84" t="n"/>
    </row>
    <row r="513">
      <c r="B513" s="84" t="n"/>
    </row>
    <row r="514">
      <c r="B514" s="84" t="n"/>
    </row>
    <row r="515">
      <c r="B515" s="84" t="n"/>
    </row>
    <row r="516">
      <c r="B516" s="84" t="n"/>
    </row>
    <row r="517">
      <c r="B517" s="84" t="n"/>
    </row>
    <row r="518">
      <c r="B518" s="84" t="n"/>
    </row>
    <row r="519">
      <c r="B519" s="84" t="n"/>
    </row>
    <row r="520">
      <c r="B520" s="84" t="n"/>
    </row>
    <row r="521">
      <c r="B521" s="84" t="n"/>
    </row>
    <row r="522">
      <c r="B522" s="84" t="n"/>
    </row>
    <row r="523">
      <c r="B523" s="84" t="n"/>
    </row>
    <row r="524">
      <c r="B524" s="84" t="n"/>
    </row>
    <row r="525">
      <c r="B525" s="84" t="n"/>
    </row>
    <row r="526">
      <c r="B526" s="84" t="n"/>
    </row>
    <row r="527">
      <c r="B527" s="84" t="n"/>
    </row>
    <row r="528">
      <c r="B528" s="84" t="n"/>
    </row>
    <row r="529">
      <c r="B529" s="84" t="n"/>
    </row>
    <row r="530">
      <c r="B530" s="84" t="n"/>
    </row>
    <row r="531">
      <c r="B531" s="84" t="n"/>
    </row>
    <row r="532">
      <c r="B532" s="84" t="n"/>
    </row>
    <row r="533">
      <c r="B533" s="84" t="n"/>
    </row>
    <row r="534">
      <c r="B534" s="84" t="n"/>
    </row>
    <row r="535">
      <c r="B535" s="84" t="n"/>
    </row>
    <row r="536">
      <c r="B536" s="84" t="n"/>
    </row>
    <row r="537">
      <c r="B537" s="84" t="n"/>
    </row>
    <row r="538">
      <c r="B538" s="84" t="n"/>
    </row>
    <row r="539">
      <c r="B539" s="84" t="n"/>
    </row>
    <row r="540">
      <c r="B540" s="84" t="n"/>
    </row>
    <row r="541">
      <c r="B541" s="84" t="n"/>
    </row>
    <row r="542">
      <c r="B542" s="84" t="n"/>
    </row>
    <row r="543">
      <c r="B543" s="84" t="n"/>
    </row>
    <row r="544">
      <c r="B544" s="84" t="n"/>
    </row>
    <row r="545">
      <c r="B545" s="84" t="n"/>
    </row>
    <row r="546">
      <c r="B546" s="84" t="n"/>
    </row>
  </sheetData>
  <hyperlinks>
    <hyperlink xmlns:r="http://schemas.openxmlformats.org/officeDocument/2006/relationships" ref="B1" r:id="rId1"/>
    <hyperlink xmlns:r="http://schemas.openxmlformats.org/officeDocument/2006/relationships" ref="B3"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40"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 xmlns:r="http://schemas.openxmlformats.org/officeDocument/2006/relationships" ref="B53" r:id="rId48"/>
    <hyperlink xmlns:r="http://schemas.openxmlformats.org/officeDocument/2006/relationships" ref="B54" r:id="rId49"/>
    <hyperlink xmlns:r="http://schemas.openxmlformats.org/officeDocument/2006/relationships" ref="B55" r:id="rId50"/>
    <hyperlink xmlns:r="http://schemas.openxmlformats.org/officeDocument/2006/relationships" ref="B56" r:id="rId51"/>
    <hyperlink xmlns:r="http://schemas.openxmlformats.org/officeDocument/2006/relationships" ref="B57" r:id="rId52"/>
    <hyperlink xmlns:r="http://schemas.openxmlformats.org/officeDocument/2006/relationships" ref="B58" r:id="rId53"/>
    <hyperlink xmlns:r="http://schemas.openxmlformats.org/officeDocument/2006/relationships" ref="B59" r:id="rId54"/>
    <hyperlink xmlns:r="http://schemas.openxmlformats.org/officeDocument/2006/relationships" ref="B60" r:id="rId55"/>
    <hyperlink xmlns:r="http://schemas.openxmlformats.org/officeDocument/2006/relationships" ref="B61" r:id="rId56"/>
    <hyperlink xmlns:r="http://schemas.openxmlformats.org/officeDocument/2006/relationships" ref="B62" r:id="rId57"/>
    <hyperlink xmlns:r="http://schemas.openxmlformats.org/officeDocument/2006/relationships" ref="B63" r:id="rId58"/>
    <hyperlink xmlns:r="http://schemas.openxmlformats.org/officeDocument/2006/relationships" ref="B64" r:id="rId59"/>
    <hyperlink xmlns:r="http://schemas.openxmlformats.org/officeDocument/2006/relationships" ref="B65" r:id="rId60"/>
    <hyperlink xmlns:r="http://schemas.openxmlformats.org/officeDocument/2006/relationships" ref="B66" r:id="rId61"/>
    <hyperlink xmlns:r="http://schemas.openxmlformats.org/officeDocument/2006/relationships" ref="B67" r:id="rId62"/>
    <hyperlink xmlns:r="http://schemas.openxmlformats.org/officeDocument/2006/relationships" ref="B68" r:id="rId63"/>
    <hyperlink xmlns:r="http://schemas.openxmlformats.org/officeDocument/2006/relationships" ref="B69" r:id="rId64"/>
    <hyperlink xmlns:r="http://schemas.openxmlformats.org/officeDocument/2006/relationships" ref="B70" r:id="rId65"/>
    <hyperlink xmlns:r="http://schemas.openxmlformats.org/officeDocument/2006/relationships" ref="B71" r:id="rId66"/>
    <hyperlink xmlns:r="http://schemas.openxmlformats.org/officeDocument/2006/relationships" ref="B72" r:id="rId67"/>
    <hyperlink xmlns:r="http://schemas.openxmlformats.org/officeDocument/2006/relationships" ref="B73" r:id="rId68"/>
    <hyperlink xmlns:r="http://schemas.openxmlformats.org/officeDocument/2006/relationships" ref="B74" r:id="rId69"/>
    <hyperlink xmlns:r="http://schemas.openxmlformats.org/officeDocument/2006/relationships" ref="B75" r:id="rId70"/>
    <hyperlink xmlns:r="http://schemas.openxmlformats.org/officeDocument/2006/relationships" ref="B76" r:id="rId71"/>
    <hyperlink xmlns:r="http://schemas.openxmlformats.org/officeDocument/2006/relationships" ref="B77" r:id="rId72"/>
    <hyperlink xmlns:r="http://schemas.openxmlformats.org/officeDocument/2006/relationships" ref="B78" r:id="rId73"/>
    <hyperlink xmlns:r="http://schemas.openxmlformats.org/officeDocument/2006/relationships" ref="B79" r:id="rId74"/>
    <hyperlink xmlns:r="http://schemas.openxmlformats.org/officeDocument/2006/relationships" ref="B80" r:id="rId75"/>
    <hyperlink xmlns:r="http://schemas.openxmlformats.org/officeDocument/2006/relationships" ref="B81" r:id="rId76"/>
    <hyperlink xmlns:r="http://schemas.openxmlformats.org/officeDocument/2006/relationships" ref="B82" r:id="rId77"/>
    <hyperlink xmlns:r="http://schemas.openxmlformats.org/officeDocument/2006/relationships" ref="B83" r:id="rId78"/>
    <hyperlink xmlns:r="http://schemas.openxmlformats.org/officeDocument/2006/relationships" ref="B84" r:id="rId79"/>
    <hyperlink xmlns:r="http://schemas.openxmlformats.org/officeDocument/2006/relationships" ref="B85" r:id="rId80"/>
    <hyperlink xmlns:r="http://schemas.openxmlformats.org/officeDocument/2006/relationships" ref="B86" r:id="rId81"/>
    <hyperlink xmlns:r="http://schemas.openxmlformats.org/officeDocument/2006/relationships" ref="B87" r:id="rId82"/>
    <hyperlink xmlns:r="http://schemas.openxmlformats.org/officeDocument/2006/relationships" ref="B88" r:id="rId83"/>
    <hyperlink xmlns:r="http://schemas.openxmlformats.org/officeDocument/2006/relationships" ref="B89" r:id="rId84"/>
    <hyperlink xmlns:r="http://schemas.openxmlformats.org/officeDocument/2006/relationships" ref="B90" r:id="rId85"/>
    <hyperlink xmlns:r="http://schemas.openxmlformats.org/officeDocument/2006/relationships" ref="B91" r:id="rId86"/>
    <hyperlink xmlns:r="http://schemas.openxmlformats.org/officeDocument/2006/relationships" ref="B92" r:id="rId87"/>
    <hyperlink xmlns:r="http://schemas.openxmlformats.org/officeDocument/2006/relationships" ref="B93" r:id="rId88"/>
    <hyperlink xmlns:r="http://schemas.openxmlformats.org/officeDocument/2006/relationships" ref="B94" r:id="rId89"/>
    <hyperlink xmlns:r="http://schemas.openxmlformats.org/officeDocument/2006/relationships" ref="B95" r:id="rId90"/>
    <hyperlink xmlns:r="http://schemas.openxmlformats.org/officeDocument/2006/relationships" ref="B96" r:id="rId91"/>
    <hyperlink xmlns:r="http://schemas.openxmlformats.org/officeDocument/2006/relationships" ref="B97" r:id="rId92"/>
    <hyperlink xmlns:r="http://schemas.openxmlformats.org/officeDocument/2006/relationships" ref="B98" r:id="rId93"/>
    <hyperlink xmlns:r="http://schemas.openxmlformats.org/officeDocument/2006/relationships" ref="B99" r:id="rId94"/>
    <hyperlink xmlns:r="http://schemas.openxmlformats.org/officeDocument/2006/relationships" ref="B100" r:id="rId95"/>
    <hyperlink xmlns:r="http://schemas.openxmlformats.org/officeDocument/2006/relationships" ref="B101" r:id="rId96"/>
    <hyperlink xmlns:r="http://schemas.openxmlformats.org/officeDocument/2006/relationships" ref="B102" r:id="rId97"/>
    <hyperlink xmlns:r="http://schemas.openxmlformats.org/officeDocument/2006/relationships" ref="B103" r:id="rId98"/>
    <hyperlink xmlns:r="http://schemas.openxmlformats.org/officeDocument/2006/relationships" ref="B104" r:id="rId99"/>
    <hyperlink xmlns:r="http://schemas.openxmlformats.org/officeDocument/2006/relationships" ref="B105" r:id="rId100"/>
    <hyperlink xmlns:r="http://schemas.openxmlformats.org/officeDocument/2006/relationships" ref="B106" r:id="rId101"/>
    <hyperlink xmlns:r="http://schemas.openxmlformats.org/officeDocument/2006/relationships" ref="B107" r:id="rId102"/>
    <hyperlink xmlns:r="http://schemas.openxmlformats.org/officeDocument/2006/relationships" ref="B108" location="me" r:id="rId103"/>
    <hyperlink xmlns:r="http://schemas.openxmlformats.org/officeDocument/2006/relationships" ref="B109" r:id="rId104"/>
    <hyperlink xmlns:r="http://schemas.openxmlformats.org/officeDocument/2006/relationships" ref="B110" r:id="rId105"/>
    <hyperlink xmlns:r="http://schemas.openxmlformats.org/officeDocument/2006/relationships" ref="B111" r:id="rId106"/>
    <hyperlink xmlns:r="http://schemas.openxmlformats.org/officeDocument/2006/relationships" ref="B112" r:id="rId107"/>
    <hyperlink xmlns:r="http://schemas.openxmlformats.org/officeDocument/2006/relationships" ref="B113" r:id="rId108"/>
    <hyperlink xmlns:r="http://schemas.openxmlformats.org/officeDocument/2006/relationships" ref="B114" r:id="rId109"/>
    <hyperlink xmlns:r="http://schemas.openxmlformats.org/officeDocument/2006/relationships" ref="B115" r:id="rId110"/>
    <hyperlink xmlns:r="http://schemas.openxmlformats.org/officeDocument/2006/relationships" ref="B116" r:id="rId111"/>
    <hyperlink xmlns:r="http://schemas.openxmlformats.org/officeDocument/2006/relationships" ref="B117" r:id="rId112"/>
    <hyperlink xmlns:r="http://schemas.openxmlformats.org/officeDocument/2006/relationships" ref="B118" r:id="rId113"/>
    <hyperlink xmlns:r="http://schemas.openxmlformats.org/officeDocument/2006/relationships" ref="B119" r:id="rId114"/>
    <hyperlink xmlns:r="http://schemas.openxmlformats.org/officeDocument/2006/relationships" ref="B120" r:id="rId115"/>
    <hyperlink xmlns:r="http://schemas.openxmlformats.org/officeDocument/2006/relationships" ref="B121" r:id="rId116"/>
    <hyperlink xmlns:r="http://schemas.openxmlformats.org/officeDocument/2006/relationships" ref="B122" r:id="rId117"/>
    <hyperlink xmlns:r="http://schemas.openxmlformats.org/officeDocument/2006/relationships" ref="B123" r:id="rId118"/>
    <hyperlink xmlns:r="http://schemas.openxmlformats.org/officeDocument/2006/relationships" ref="B124" r:id="rId119"/>
    <hyperlink xmlns:r="http://schemas.openxmlformats.org/officeDocument/2006/relationships" ref="B125" r:id="rId120"/>
    <hyperlink xmlns:r="http://schemas.openxmlformats.org/officeDocument/2006/relationships" ref="B126" r:id="rId121"/>
    <hyperlink xmlns:r="http://schemas.openxmlformats.org/officeDocument/2006/relationships" ref="B127" r:id="rId122"/>
    <hyperlink xmlns:r="http://schemas.openxmlformats.org/officeDocument/2006/relationships" ref="B128" r:id="rId123"/>
    <hyperlink xmlns:r="http://schemas.openxmlformats.org/officeDocument/2006/relationships" ref="B129" r:id="rId124"/>
    <hyperlink xmlns:r="http://schemas.openxmlformats.org/officeDocument/2006/relationships" ref="B130" r:id="rId125"/>
    <hyperlink xmlns:r="http://schemas.openxmlformats.org/officeDocument/2006/relationships" ref="B131" r:id="rId126"/>
    <hyperlink xmlns:r="http://schemas.openxmlformats.org/officeDocument/2006/relationships" ref="B132" r:id="rId127"/>
    <hyperlink xmlns:r="http://schemas.openxmlformats.org/officeDocument/2006/relationships" ref="B133" r:id="rId128"/>
    <hyperlink xmlns:r="http://schemas.openxmlformats.org/officeDocument/2006/relationships" ref="B134" r:id="rId129"/>
    <hyperlink xmlns:r="http://schemas.openxmlformats.org/officeDocument/2006/relationships" ref="B135" r:id="rId130"/>
    <hyperlink xmlns:r="http://schemas.openxmlformats.org/officeDocument/2006/relationships" ref="B136" r:id="rId131"/>
    <hyperlink xmlns:r="http://schemas.openxmlformats.org/officeDocument/2006/relationships" ref="B137" r:id="rId132"/>
    <hyperlink xmlns:r="http://schemas.openxmlformats.org/officeDocument/2006/relationships" ref="B138" r:id="rId133"/>
    <hyperlink xmlns:r="http://schemas.openxmlformats.org/officeDocument/2006/relationships" ref="B139" r:id="rId134"/>
    <hyperlink xmlns:r="http://schemas.openxmlformats.org/officeDocument/2006/relationships" ref="B140" r:id="rId135"/>
    <hyperlink xmlns:r="http://schemas.openxmlformats.org/officeDocument/2006/relationships" ref="B141" r:id="rId136"/>
    <hyperlink xmlns:r="http://schemas.openxmlformats.org/officeDocument/2006/relationships" ref="B142" r:id="rId137"/>
    <hyperlink xmlns:r="http://schemas.openxmlformats.org/officeDocument/2006/relationships" ref="B144" r:id="rId138"/>
    <hyperlink xmlns:r="http://schemas.openxmlformats.org/officeDocument/2006/relationships" ref="B146" r:id="rId139"/>
    <hyperlink xmlns:r="http://schemas.openxmlformats.org/officeDocument/2006/relationships" ref="B147" r:id="rId140"/>
    <hyperlink xmlns:r="http://schemas.openxmlformats.org/officeDocument/2006/relationships" ref="B148" r:id="rId141"/>
    <hyperlink xmlns:r="http://schemas.openxmlformats.org/officeDocument/2006/relationships" ref="B149" r:id="rId142"/>
    <hyperlink xmlns:r="http://schemas.openxmlformats.org/officeDocument/2006/relationships" ref="B150" r:id="rId143"/>
    <hyperlink xmlns:r="http://schemas.openxmlformats.org/officeDocument/2006/relationships" ref="B151" r:id="rId144"/>
    <hyperlink xmlns:r="http://schemas.openxmlformats.org/officeDocument/2006/relationships" ref="B152" r:id="rId145"/>
    <hyperlink xmlns:r="http://schemas.openxmlformats.org/officeDocument/2006/relationships" ref="B153" r:id="rId146"/>
    <hyperlink xmlns:r="http://schemas.openxmlformats.org/officeDocument/2006/relationships" ref="B154" r:id="rId147"/>
    <hyperlink xmlns:r="http://schemas.openxmlformats.org/officeDocument/2006/relationships" ref="B155" r:id="rId148"/>
    <hyperlink xmlns:r="http://schemas.openxmlformats.org/officeDocument/2006/relationships" ref="B156" location="Web%E3%82%B5%E3%82%A4%E3%83%88%E3%82%92Google%E3%81%8C%E8%A9%95%E4%BE%A1%E3%81%99%E3%82%8B%E3%81%9F%E3%82%81%E3%81%AE2025%E5%B9%B4%E6%9C%80%E6%96%B0%E3%81%AESEO%E8%A9%95%E4%BE%A1%E5%9F%BA%E6%BA%96%E3%80%8CE-E-A-T%E3%80%8D" r:id="rId149"/>
    <hyperlink xmlns:r="http://schemas.openxmlformats.org/officeDocument/2006/relationships" ref="B157" r:id="rId150"/>
    <hyperlink xmlns:r="http://schemas.openxmlformats.org/officeDocument/2006/relationships" ref="B158" r:id="rId151"/>
    <hyperlink xmlns:r="http://schemas.openxmlformats.org/officeDocument/2006/relationships" ref="B159" r:id="rId152"/>
    <hyperlink xmlns:r="http://schemas.openxmlformats.org/officeDocument/2006/relationships" ref="B160" r:id="rId153"/>
    <hyperlink xmlns:r="http://schemas.openxmlformats.org/officeDocument/2006/relationships" ref="B161" r:id="rId154"/>
    <hyperlink xmlns:r="http://schemas.openxmlformats.org/officeDocument/2006/relationships" ref="B162" r:id="rId155"/>
    <hyperlink xmlns:r="http://schemas.openxmlformats.org/officeDocument/2006/relationships" ref="B163" r:id="rId156"/>
    <hyperlink xmlns:r="http://schemas.openxmlformats.org/officeDocument/2006/relationships" ref="B164" r:id="rId157"/>
    <hyperlink xmlns:r="http://schemas.openxmlformats.org/officeDocument/2006/relationships" ref="B165" r:id="rId158"/>
    <hyperlink xmlns:r="http://schemas.openxmlformats.org/officeDocument/2006/relationships" ref="B166" r:id="rId159"/>
    <hyperlink xmlns:r="http://schemas.openxmlformats.org/officeDocument/2006/relationships" ref="B167" r:id="rId160"/>
    <hyperlink xmlns:r="http://schemas.openxmlformats.org/officeDocument/2006/relationships" ref="B168" r:id="rId161"/>
    <hyperlink xmlns:r="http://schemas.openxmlformats.org/officeDocument/2006/relationships" ref="B169" r:id="rId162"/>
    <hyperlink xmlns:r="http://schemas.openxmlformats.org/officeDocument/2006/relationships" ref="B170" r:id="rId163"/>
    <hyperlink xmlns:r="http://schemas.openxmlformats.org/officeDocument/2006/relationships" ref="B171" r:id="rId164"/>
    <hyperlink xmlns:r="http://schemas.openxmlformats.org/officeDocument/2006/relationships" ref="B172" r:id="rId165"/>
    <hyperlink xmlns:r="http://schemas.openxmlformats.org/officeDocument/2006/relationships" ref="B173" r:id="rId166"/>
    <hyperlink xmlns:r="http://schemas.openxmlformats.org/officeDocument/2006/relationships" ref="B174" r:id="rId167"/>
    <hyperlink xmlns:r="http://schemas.openxmlformats.org/officeDocument/2006/relationships" ref="B175" r:id="rId168"/>
    <hyperlink xmlns:r="http://schemas.openxmlformats.org/officeDocument/2006/relationships" ref="B176" r:id="rId169"/>
    <hyperlink xmlns:r="http://schemas.openxmlformats.org/officeDocument/2006/relationships" ref="B177" r:id="rId170"/>
    <hyperlink xmlns:r="http://schemas.openxmlformats.org/officeDocument/2006/relationships" ref="B178" r:id="rId171"/>
    <hyperlink xmlns:r="http://schemas.openxmlformats.org/officeDocument/2006/relationships" ref="B179" r:id="rId172"/>
    <hyperlink xmlns:r="http://schemas.openxmlformats.org/officeDocument/2006/relationships" ref="B180" r:id="rId173"/>
    <hyperlink xmlns:r="http://schemas.openxmlformats.org/officeDocument/2006/relationships" ref="B181" r:id="rId174"/>
    <hyperlink xmlns:r="http://schemas.openxmlformats.org/officeDocument/2006/relationships" ref="B182" r:id="rId175"/>
    <hyperlink xmlns:r="http://schemas.openxmlformats.org/officeDocument/2006/relationships" ref="B183" r:id="rId176"/>
    <hyperlink xmlns:r="http://schemas.openxmlformats.org/officeDocument/2006/relationships" ref="B184" r:id="rId177"/>
    <hyperlink xmlns:r="http://schemas.openxmlformats.org/officeDocument/2006/relationships" ref="B185" r:id="rId178"/>
    <hyperlink xmlns:r="http://schemas.openxmlformats.org/officeDocument/2006/relationships" ref="B186" r:id="rId179"/>
    <hyperlink xmlns:r="http://schemas.openxmlformats.org/officeDocument/2006/relationships" ref="B187" r:id="rId180"/>
    <hyperlink xmlns:r="http://schemas.openxmlformats.org/officeDocument/2006/relationships" ref="B188" r:id="rId181"/>
    <hyperlink xmlns:r="http://schemas.openxmlformats.org/officeDocument/2006/relationships" ref="B189" r:id="rId182"/>
    <hyperlink xmlns:r="http://schemas.openxmlformats.org/officeDocument/2006/relationships" ref="B190" r:id="rId183"/>
    <hyperlink xmlns:r="http://schemas.openxmlformats.org/officeDocument/2006/relationships" ref="B191" r:id="rId184"/>
    <hyperlink xmlns:r="http://schemas.openxmlformats.org/officeDocument/2006/relationships" ref="B192" r:id="rId185"/>
    <hyperlink xmlns:r="http://schemas.openxmlformats.org/officeDocument/2006/relationships" ref="B193" r:id="rId186"/>
    <hyperlink xmlns:r="http://schemas.openxmlformats.org/officeDocument/2006/relationships" ref="B194" r:id="rId187"/>
    <hyperlink xmlns:r="http://schemas.openxmlformats.org/officeDocument/2006/relationships" ref="B195" r:id="rId188"/>
    <hyperlink xmlns:r="http://schemas.openxmlformats.org/officeDocument/2006/relationships" ref="B196" r:id="rId189"/>
    <hyperlink xmlns:r="http://schemas.openxmlformats.org/officeDocument/2006/relationships" ref="B197" r:id="rId190"/>
    <hyperlink xmlns:r="http://schemas.openxmlformats.org/officeDocument/2006/relationships" ref="B198" r:id="rId191"/>
    <hyperlink xmlns:r="http://schemas.openxmlformats.org/officeDocument/2006/relationships" ref="B199" r:id="rId192"/>
    <hyperlink xmlns:r="http://schemas.openxmlformats.org/officeDocument/2006/relationships" ref="B200" r:id="rId193"/>
    <hyperlink xmlns:r="http://schemas.openxmlformats.org/officeDocument/2006/relationships" ref="B201" r:id="rId194"/>
    <hyperlink xmlns:r="http://schemas.openxmlformats.org/officeDocument/2006/relationships" ref="B202" r:id="rId195"/>
    <hyperlink xmlns:r="http://schemas.openxmlformats.org/officeDocument/2006/relationships" ref="B203" r:id="rId196"/>
    <hyperlink xmlns:r="http://schemas.openxmlformats.org/officeDocument/2006/relationships" ref="B204" r:id="rId197"/>
    <hyperlink xmlns:r="http://schemas.openxmlformats.org/officeDocument/2006/relationships" ref="B205" r:id="rId198"/>
    <hyperlink xmlns:r="http://schemas.openxmlformats.org/officeDocument/2006/relationships" ref="B206" r:id="rId199"/>
    <hyperlink xmlns:r="http://schemas.openxmlformats.org/officeDocument/2006/relationships" ref="B207" r:id="rId200"/>
    <hyperlink xmlns:r="http://schemas.openxmlformats.org/officeDocument/2006/relationships" ref="B208" r:id="rId201"/>
    <hyperlink xmlns:r="http://schemas.openxmlformats.org/officeDocument/2006/relationships" ref="B209" r:id="rId202"/>
    <hyperlink xmlns:r="http://schemas.openxmlformats.org/officeDocument/2006/relationships" ref="B210" r:id="rId203"/>
    <hyperlink xmlns:r="http://schemas.openxmlformats.org/officeDocument/2006/relationships" ref="B211" r:id="rId204"/>
    <hyperlink xmlns:r="http://schemas.openxmlformats.org/officeDocument/2006/relationships" ref="B212" r:id="rId205"/>
    <hyperlink xmlns:r="http://schemas.openxmlformats.org/officeDocument/2006/relationships" ref="B213" r:id="rId206"/>
    <hyperlink xmlns:r="http://schemas.openxmlformats.org/officeDocument/2006/relationships" ref="B214" r:id="rId207"/>
    <hyperlink xmlns:r="http://schemas.openxmlformats.org/officeDocument/2006/relationships" ref="B215" r:id="rId208"/>
    <hyperlink xmlns:r="http://schemas.openxmlformats.org/officeDocument/2006/relationships" ref="B216" r:id="rId209"/>
    <hyperlink xmlns:r="http://schemas.openxmlformats.org/officeDocument/2006/relationships" ref="B217" r:id="rId210"/>
    <hyperlink xmlns:r="http://schemas.openxmlformats.org/officeDocument/2006/relationships" ref="B218" r:id="rId211"/>
    <hyperlink xmlns:r="http://schemas.openxmlformats.org/officeDocument/2006/relationships" ref="B219" r:id="rId212"/>
    <hyperlink xmlns:r="http://schemas.openxmlformats.org/officeDocument/2006/relationships" ref="B220" r:id="rId213"/>
    <hyperlink xmlns:r="http://schemas.openxmlformats.org/officeDocument/2006/relationships" ref="B221" r:id="rId214"/>
    <hyperlink xmlns:r="http://schemas.openxmlformats.org/officeDocument/2006/relationships" ref="B222" r:id="rId215"/>
    <hyperlink xmlns:r="http://schemas.openxmlformats.org/officeDocument/2006/relationships" ref="B223" r:id="rId216"/>
    <hyperlink xmlns:r="http://schemas.openxmlformats.org/officeDocument/2006/relationships" ref="B224" r:id="rId217"/>
    <hyperlink xmlns:r="http://schemas.openxmlformats.org/officeDocument/2006/relationships" ref="B225" r:id="rId218"/>
    <hyperlink xmlns:r="http://schemas.openxmlformats.org/officeDocument/2006/relationships" ref="B226" r:id="rId219"/>
    <hyperlink xmlns:r="http://schemas.openxmlformats.org/officeDocument/2006/relationships" ref="B227" r:id="rId220"/>
    <hyperlink xmlns:r="http://schemas.openxmlformats.org/officeDocument/2006/relationships" ref="B228" r:id="rId221"/>
    <hyperlink xmlns:r="http://schemas.openxmlformats.org/officeDocument/2006/relationships" ref="B229" r:id="rId222"/>
    <hyperlink xmlns:r="http://schemas.openxmlformats.org/officeDocument/2006/relationships" ref="B230" r:id="rId223"/>
    <hyperlink xmlns:r="http://schemas.openxmlformats.org/officeDocument/2006/relationships" ref="B231" r:id="rId224"/>
    <hyperlink xmlns:r="http://schemas.openxmlformats.org/officeDocument/2006/relationships" ref="B232" r:id="rId225"/>
    <hyperlink xmlns:r="http://schemas.openxmlformats.org/officeDocument/2006/relationships" ref="B233" r:id="rId226"/>
    <hyperlink xmlns:r="http://schemas.openxmlformats.org/officeDocument/2006/relationships" ref="B234" r:id="rId227"/>
    <hyperlink xmlns:r="http://schemas.openxmlformats.org/officeDocument/2006/relationships" ref="B235" r:id="rId228"/>
    <hyperlink xmlns:r="http://schemas.openxmlformats.org/officeDocument/2006/relationships" ref="B236" r:id="rId229"/>
    <hyperlink xmlns:r="http://schemas.openxmlformats.org/officeDocument/2006/relationships" ref="B237" r:id="rId230"/>
    <hyperlink xmlns:r="http://schemas.openxmlformats.org/officeDocument/2006/relationships" ref="B238" r:id="rId231"/>
    <hyperlink xmlns:r="http://schemas.openxmlformats.org/officeDocument/2006/relationships" ref="B239" r:id="rId232"/>
    <hyperlink xmlns:r="http://schemas.openxmlformats.org/officeDocument/2006/relationships" ref="B240" r:id="rId233"/>
    <hyperlink xmlns:r="http://schemas.openxmlformats.org/officeDocument/2006/relationships" ref="B241" r:id="rId234"/>
    <hyperlink xmlns:r="http://schemas.openxmlformats.org/officeDocument/2006/relationships" ref="B242" r:id="rId235"/>
    <hyperlink xmlns:r="http://schemas.openxmlformats.org/officeDocument/2006/relationships" ref="B243" r:id="rId236"/>
    <hyperlink xmlns:r="http://schemas.openxmlformats.org/officeDocument/2006/relationships" ref="B244" r:id="rId237"/>
    <hyperlink xmlns:r="http://schemas.openxmlformats.org/officeDocument/2006/relationships" ref="B245" r:id="rId238"/>
    <hyperlink xmlns:r="http://schemas.openxmlformats.org/officeDocument/2006/relationships" ref="B246" r:id="rId239"/>
    <hyperlink xmlns:r="http://schemas.openxmlformats.org/officeDocument/2006/relationships" ref="B247" r:id="rId240"/>
    <hyperlink xmlns:r="http://schemas.openxmlformats.org/officeDocument/2006/relationships" ref="B248" r:id="rId241"/>
    <hyperlink xmlns:r="http://schemas.openxmlformats.org/officeDocument/2006/relationships" ref="B249" r:id="rId242"/>
    <hyperlink xmlns:r="http://schemas.openxmlformats.org/officeDocument/2006/relationships" ref="B250" r:id="rId243"/>
    <hyperlink xmlns:r="http://schemas.openxmlformats.org/officeDocument/2006/relationships" ref="B251" r:id="rId244"/>
    <hyperlink xmlns:r="http://schemas.openxmlformats.org/officeDocument/2006/relationships" ref="B252" r:id="rId245"/>
    <hyperlink xmlns:r="http://schemas.openxmlformats.org/officeDocument/2006/relationships" ref="B253" r:id="rId246"/>
    <hyperlink xmlns:r="http://schemas.openxmlformats.org/officeDocument/2006/relationships" ref="B254" r:id="rId247"/>
    <hyperlink xmlns:r="http://schemas.openxmlformats.org/officeDocument/2006/relationships" ref="B255" r:id="rId248"/>
    <hyperlink xmlns:r="http://schemas.openxmlformats.org/officeDocument/2006/relationships" ref="B256" r:id="rId249"/>
    <hyperlink xmlns:r="http://schemas.openxmlformats.org/officeDocument/2006/relationships" ref="B257" r:id="rId250"/>
    <hyperlink xmlns:r="http://schemas.openxmlformats.org/officeDocument/2006/relationships" ref="B258" r:id="rId251"/>
    <hyperlink xmlns:r="http://schemas.openxmlformats.org/officeDocument/2006/relationships" ref="B259" r:id="rId252"/>
    <hyperlink xmlns:r="http://schemas.openxmlformats.org/officeDocument/2006/relationships" ref="B260" r:id="rId253"/>
    <hyperlink xmlns:r="http://schemas.openxmlformats.org/officeDocument/2006/relationships" ref="B261" r:id="rId254"/>
    <hyperlink xmlns:r="http://schemas.openxmlformats.org/officeDocument/2006/relationships" ref="B262" r:id="rId255"/>
    <hyperlink xmlns:r="http://schemas.openxmlformats.org/officeDocument/2006/relationships" ref="B263" r:id="rId256"/>
    <hyperlink xmlns:r="http://schemas.openxmlformats.org/officeDocument/2006/relationships" ref="B264" r:id="rId257"/>
    <hyperlink xmlns:r="http://schemas.openxmlformats.org/officeDocument/2006/relationships" ref="B265" r:id="rId258"/>
    <hyperlink xmlns:r="http://schemas.openxmlformats.org/officeDocument/2006/relationships" ref="B266" r:id="rId259"/>
    <hyperlink xmlns:r="http://schemas.openxmlformats.org/officeDocument/2006/relationships" ref="B267" r:id="rId260"/>
    <hyperlink xmlns:r="http://schemas.openxmlformats.org/officeDocument/2006/relationships" ref="B268" r:id="rId261"/>
    <hyperlink xmlns:r="http://schemas.openxmlformats.org/officeDocument/2006/relationships" ref="B269" r:id="rId262"/>
    <hyperlink xmlns:r="http://schemas.openxmlformats.org/officeDocument/2006/relationships" ref="B270" r:id="rId263"/>
    <hyperlink xmlns:r="http://schemas.openxmlformats.org/officeDocument/2006/relationships" ref="B271" r:id="rId264"/>
    <hyperlink xmlns:r="http://schemas.openxmlformats.org/officeDocument/2006/relationships" ref="B272" r:id="rId265"/>
    <hyperlink xmlns:r="http://schemas.openxmlformats.org/officeDocument/2006/relationships" ref="B273" r:id="rId266"/>
    <hyperlink xmlns:r="http://schemas.openxmlformats.org/officeDocument/2006/relationships" ref="B274" r:id="rId267"/>
    <hyperlink xmlns:r="http://schemas.openxmlformats.org/officeDocument/2006/relationships" ref="B275" r:id="rId268"/>
    <hyperlink xmlns:r="http://schemas.openxmlformats.org/officeDocument/2006/relationships" ref="B276" r:id="rId269"/>
    <hyperlink xmlns:r="http://schemas.openxmlformats.org/officeDocument/2006/relationships" ref="B277" r:id="rId270"/>
    <hyperlink xmlns:r="http://schemas.openxmlformats.org/officeDocument/2006/relationships" ref="B278" r:id="rId271"/>
    <hyperlink xmlns:r="http://schemas.openxmlformats.org/officeDocument/2006/relationships" ref="B279" r:id="rId272"/>
    <hyperlink xmlns:r="http://schemas.openxmlformats.org/officeDocument/2006/relationships" ref="B280" r:id="rId273"/>
    <hyperlink xmlns:r="http://schemas.openxmlformats.org/officeDocument/2006/relationships" ref="B281" r:id="rId274"/>
    <hyperlink xmlns:r="http://schemas.openxmlformats.org/officeDocument/2006/relationships" ref="B282" r:id="rId275"/>
    <hyperlink xmlns:r="http://schemas.openxmlformats.org/officeDocument/2006/relationships" ref="B283" r:id="rId276"/>
    <hyperlink xmlns:r="http://schemas.openxmlformats.org/officeDocument/2006/relationships" ref="B284" r:id="rId277"/>
    <hyperlink xmlns:r="http://schemas.openxmlformats.org/officeDocument/2006/relationships" ref="B285" r:id="rId278"/>
    <hyperlink xmlns:r="http://schemas.openxmlformats.org/officeDocument/2006/relationships" ref="B286" r:id="rId279"/>
    <hyperlink xmlns:r="http://schemas.openxmlformats.org/officeDocument/2006/relationships" ref="B287" r:id="rId280"/>
    <hyperlink xmlns:r="http://schemas.openxmlformats.org/officeDocument/2006/relationships" ref="B288" r:id="rId281"/>
    <hyperlink xmlns:r="http://schemas.openxmlformats.org/officeDocument/2006/relationships" ref="B289" r:id="rId282"/>
    <hyperlink xmlns:r="http://schemas.openxmlformats.org/officeDocument/2006/relationships" ref="B290" r:id="rId283"/>
    <hyperlink xmlns:r="http://schemas.openxmlformats.org/officeDocument/2006/relationships" ref="B291" r:id="rId284"/>
    <hyperlink xmlns:r="http://schemas.openxmlformats.org/officeDocument/2006/relationships" ref="B292" r:id="rId285"/>
    <hyperlink xmlns:r="http://schemas.openxmlformats.org/officeDocument/2006/relationships" ref="B294" r:id="rId286"/>
    <hyperlink xmlns:r="http://schemas.openxmlformats.org/officeDocument/2006/relationships" ref="B296" r:id="rId287"/>
    <hyperlink xmlns:r="http://schemas.openxmlformats.org/officeDocument/2006/relationships" ref="B297" r:id="rId288"/>
    <hyperlink xmlns:r="http://schemas.openxmlformats.org/officeDocument/2006/relationships" ref="B298" r:id="rId289"/>
    <hyperlink xmlns:r="http://schemas.openxmlformats.org/officeDocument/2006/relationships" ref="B300" r:id="rId290"/>
    <hyperlink xmlns:r="http://schemas.openxmlformats.org/officeDocument/2006/relationships" ref="B302" r:id="rId291"/>
    <hyperlink xmlns:r="http://schemas.openxmlformats.org/officeDocument/2006/relationships" ref="B303" r:id="rId292"/>
    <hyperlink xmlns:r="http://schemas.openxmlformats.org/officeDocument/2006/relationships" ref="B304" r:id="rId293"/>
    <hyperlink xmlns:r="http://schemas.openxmlformats.org/officeDocument/2006/relationships" ref="B305" r:id="rId294"/>
    <hyperlink xmlns:r="http://schemas.openxmlformats.org/officeDocument/2006/relationships" ref="B306" r:id="rId295"/>
    <hyperlink xmlns:r="http://schemas.openxmlformats.org/officeDocument/2006/relationships" ref="B307" r:id="rId296"/>
    <hyperlink xmlns:r="http://schemas.openxmlformats.org/officeDocument/2006/relationships" ref="B308" r:id="rId297"/>
    <hyperlink xmlns:r="http://schemas.openxmlformats.org/officeDocument/2006/relationships" ref="B309" location="element1" r:id="rId298"/>
    <hyperlink xmlns:r="http://schemas.openxmlformats.org/officeDocument/2006/relationships" ref="B310" r:id="rId299"/>
    <hyperlink xmlns:r="http://schemas.openxmlformats.org/officeDocument/2006/relationships" ref="B311" r:id="rId300"/>
    <hyperlink xmlns:r="http://schemas.openxmlformats.org/officeDocument/2006/relationships" ref="B312" r:id="rId30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N87"/>
  <sheetViews>
    <sheetView workbookViewId="0">
      <selection activeCell="A1" sqref="A1"/>
    </sheetView>
  </sheetViews>
  <sheetFormatPr baseColWidth="8" defaultColWidth="12.63" defaultRowHeight="15.75" customHeight="1"/>
  <cols>
    <col width="47.5" customWidth="1" style="185" min="2" max="2"/>
    <col width="100.88" customWidth="1" style="185" min="3" max="3"/>
    <col width="26.88" customWidth="1" style="185" min="4" max="4"/>
    <col width="20.38" customWidth="1" style="185" min="6" max="6"/>
    <col width="18" customWidth="1" style="185" min="7" max="7"/>
    <col width="16.25" customWidth="1" style="185" min="8" max="8"/>
    <col width="15.88" customWidth="1" style="185" min="9" max="9"/>
  </cols>
  <sheetData>
    <row r="1">
      <c r="A1" s="57" t="inlineStr">
        <is>
          <t>企画・構成案</t>
        </is>
      </c>
      <c r="B1" s="88" t="n"/>
      <c r="C1" s="59" t="n"/>
      <c r="D1" s="59" t="n"/>
      <c r="N1" s="88" t="n"/>
    </row>
    <row r="2">
      <c r="A2" s="84" t="n"/>
      <c r="B2" s="62" t="inlineStr">
        <is>
          <t>ＵＲＬ</t>
        </is>
      </c>
      <c r="C2" s="62" t="inlineStr">
        <is>
          <t>タイトル</t>
        </is>
      </c>
      <c r="D2" s="62" t="inlineStr">
        <is>
          <t>KW</t>
        </is>
      </c>
      <c r="F2" s="63" t="inlineStr">
        <is>
          <t>キーワード</t>
        </is>
      </c>
      <c r="G2" s="63" t="inlineStr">
        <is>
          <t>1位</t>
        </is>
      </c>
      <c r="H2" s="63" t="inlineStr">
        <is>
          <t>2位</t>
        </is>
      </c>
      <c r="I2" s="63" t="inlineStr">
        <is>
          <t>3位</t>
        </is>
      </c>
      <c r="J2" s="89" t="n"/>
      <c r="K2" s="57" t="inlineStr">
        <is>
          <t>メモ</t>
        </is>
      </c>
      <c r="N2" s="88" t="n"/>
    </row>
    <row r="3">
      <c r="A3" s="84" t="inlineStr">
        <is>
          <t>1位</t>
        </is>
      </c>
      <c r="B3" s="15" t="inlineStr">
        <is>
          <t>https://www.seohacks.net/blog/14491/</t>
        </is>
      </c>
      <c r="C3" s="84" t="inlineStr">
        <is>
          <t>【2025年12月最新】Googleコアアップデート情報と取り組むべきSEOを解説</t>
        </is>
      </c>
    </row>
    <row r="5">
      <c r="A5" s="84" t="inlineStr">
        <is>
          <t>発リンク</t>
        </is>
      </c>
      <c r="B5" s="15" t="inlineStr">
        <is>
          <t>https://www.seohacks.net/column/29821/</t>
        </is>
      </c>
      <c r="C5" s="84" t="inlineStr">
        <is>
          <t>【速報】2025/12/12 Google検索アルゴリズム コアアップデートが開始</t>
        </is>
      </c>
      <c r="D5" s="84" t="inlineStr">
        <is>
          <t>アルゴリズムコアアップデート</t>
        </is>
      </c>
    </row>
    <row r="6">
      <c r="B6" s="15" t="inlineStr">
        <is>
          <t>https://www.seohacks.net/blog/939/</t>
        </is>
      </c>
      <c r="C6" s="90" t="inlineStr">
        <is>
          <t>検索エンジンの仕組み――検索順位が決定する流れや指標を解説</t>
        </is>
      </c>
      <c r="D6" s="84" t="inlineStr">
        <is>
          <t>検索エンジン</t>
        </is>
      </c>
    </row>
    <row r="7">
      <c r="B7" s="15" t="inlineStr">
        <is>
          <t>https://status.search.google.com/summary</t>
        </is>
      </c>
      <c r="C7" s="84" t="inlineStr">
        <is>
          <t>Google Search Status Dashboard</t>
        </is>
      </c>
      <c r="D7" s="84" t="inlineStr">
        <is>
          <t>Google Search Status Dashboard</t>
        </is>
      </c>
    </row>
    <row r="8">
      <c r="B8" s="23" t="inlineStr">
        <is>
          <t>https://developers.google.com/search/docs/appearance/core-updates?hl=ja</t>
        </is>
      </c>
      <c r="C8" s="84" t="inlineStr">
        <is>
          <t>Google 検索のコア アップデートとウェブサイト</t>
        </is>
      </c>
      <c r="D8" s="84" t="inlineStr">
        <is>
          <t>コアアップデート</t>
        </is>
      </c>
    </row>
    <row r="9">
      <c r="B9" s="15" t="inlineStr">
        <is>
          <t>https://backlinko.com/google-ranking-factors</t>
        </is>
      </c>
      <c r="C9" s="84" t="inlineStr">
        <is>
          <t>Google’s 200 Ranking Factors: The Complete List</t>
        </is>
      </c>
      <c r="D9" s="84" t="inlineStr">
        <is>
          <t>Google’s 200 Ranking Factors</t>
        </is>
      </c>
    </row>
    <row r="10">
      <c r="B10" s="15" t="inlineStr">
        <is>
          <t>https://ja.semrush.com/</t>
        </is>
      </c>
      <c r="C10" s="84" t="inlineStr">
        <is>
          <t>Semrush One　AIにおけるブランドの可視性を獲得</t>
        </is>
      </c>
      <c r="D10" s="84" t="inlineStr">
        <is>
          <t>Semrush One</t>
        </is>
      </c>
    </row>
    <row r="11">
      <c r="B11" s="15" t="inlineStr">
        <is>
          <t>https://ja.semrush.com/sensor/?db=JP</t>
        </is>
      </c>
      <c r="C11" s="84" t="inlineStr">
        <is>
          <t>Semrush Sensor</t>
        </is>
      </c>
      <c r="D11" s="84" t="inlineStr">
        <is>
          <t>Semrush Sensor</t>
        </is>
      </c>
    </row>
    <row r="12">
      <c r="B12" s="15" t="inlineStr">
        <is>
          <t>https://x.com/glenngabe/status/1943650384997646725</t>
        </is>
      </c>
      <c r="C12" s="84" t="inlineStr">
        <is>
          <t>Glenn Gabe</t>
        </is>
      </c>
      <c r="D12" s="84" t="inlineStr">
        <is>
          <t>Glenn Gabe</t>
        </is>
      </c>
    </row>
    <row r="13">
      <c r="B13" s="15" t="inlineStr">
        <is>
          <t>https://x.com/lilyraynyc/status/1945588415489347604</t>
        </is>
      </c>
      <c r="C13" s="84" t="inlineStr">
        <is>
          <t>Lily Ray</t>
        </is>
      </c>
      <c r="D13" s="84" t="inlineStr">
        <is>
          <t>Lily Ray</t>
        </is>
      </c>
    </row>
    <row r="14">
      <c r="B14" s="15" t="inlineStr">
        <is>
          <t>https://www.seohacks.net/seminar/seo/28747/</t>
        </is>
      </c>
      <c r="C14" s="84" t="inlineStr">
        <is>
          <t>8/21・8/25開催！「コンサルタントが徹底解説！2025年6月のコアアップデート振り返りウェビナー」</t>
        </is>
      </c>
      <c r="D14" s="84" t="inlineStr">
        <is>
          <t>コアアルゴリズムアップデート</t>
        </is>
      </c>
    </row>
    <row r="15">
      <c r="B15" s="23" t="inlineStr">
        <is>
          <t>https://www.linkedin.com/posts/googlesearchcentral_today-we-released-the-march-2025-core-update-activity-7305987570948075520-6Yty?utm_source=share&amp;utm_medium=member_desktop&amp;rcm=ACoAAFUVHMABCAQtIUk3vihlHS7KfA2bPMH67vQ</t>
        </is>
      </c>
      <c r="C15" s="84" t="inlineStr">
        <is>
          <t>Google Search core update for March 2025 released</t>
        </is>
      </c>
      <c r="D15" s="84" t="inlineStr">
        <is>
          <t>Google Search core update for March 2025 released</t>
        </is>
      </c>
    </row>
    <row r="16">
      <c r="B16" s="15" t="inlineStr">
        <is>
          <t>https://www.seohacks.net/blog/28203/</t>
        </is>
      </c>
      <c r="C16" s="84" t="inlineStr">
        <is>
          <t>AI Overviewsとは？最新動向や自サイトが参照される方法を解説</t>
        </is>
      </c>
      <c r="D16" s="84" t="inlineStr">
        <is>
          <t>AI Overviews</t>
        </is>
      </c>
    </row>
    <row r="17">
      <c r="B17" s="23" t="inlineStr">
        <is>
          <t>https://searchengineland.com/data-providers-google-december-2024-core-update-was-more-volatile-than-last-449744</t>
        </is>
      </c>
      <c r="C17" s="84" t="inlineStr">
        <is>
          <t>Data providers: Google December 2024 core update was more volatile than last</t>
        </is>
      </c>
      <c r="D17" s="84" t="inlineStr">
        <is>
          <t>Data providers: Google December 2024 core update was more volatile than last</t>
        </is>
      </c>
    </row>
    <row r="18">
      <c r="B18" s="15" t="inlineStr">
        <is>
          <t>https://www.similarweb.com/serp/</t>
        </is>
      </c>
      <c r="C18" s="84" t="inlineStr">
        <is>
          <t>Track SERP Volatility in Google with SERP Seismometer</t>
        </is>
      </c>
      <c r="D18" s="84" t="inlineStr">
        <is>
          <t>Track SERP Volatility in Google with SERP Seismometer</t>
        </is>
      </c>
    </row>
    <row r="19">
      <c r="B19" s="23" t="inlineStr">
        <is>
          <t>https://static.googleusercontent.com/media/guidelines.raterhub.com/ja//searchqualityevaluatorguidelines.pdf</t>
        </is>
      </c>
      <c r="C19" s="84" t="inlineStr">
        <is>
          <t xml:space="preserve"> General Guidelines </t>
        </is>
      </c>
      <c r="D19" s="84" t="inlineStr">
        <is>
          <t xml:space="preserve"> General Guidelines </t>
        </is>
      </c>
    </row>
    <row r="20">
      <c r="B20" s="23" t="inlineStr">
        <is>
          <t>https://www.aleydasolis.com/en/search-engine-optimization/hubspot-blog-rankings-drop-analysis/</t>
        </is>
      </c>
      <c r="C20" s="84" t="inlineStr">
        <is>
          <t>Hubspot’s Blog Organic Search Traffic Drop: What happened? Is it really that bad? What does it mean for SEO?</t>
        </is>
      </c>
      <c r="D20" s="84" t="inlineStr">
        <is>
          <t>オーガニック検索トラフィック</t>
        </is>
      </c>
    </row>
    <row r="21">
      <c r="B21" s="15" t="inlineStr">
        <is>
          <t>https://www.youtube.com/watch?v=aUWxPB-3NYo&amp;t=32s</t>
        </is>
      </c>
      <c r="C21" s="84" t="inlineStr">
        <is>
          <t>【元Google社員が語る】SEO成功のための分析フレームワークと必須スキルを徹底解説！</t>
        </is>
      </c>
      <c r="D21" s="84" t="inlineStr">
        <is>
          <t>SEO対策</t>
        </is>
      </c>
    </row>
    <row r="22">
      <c r="B22" s="23" t="inlineStr">
        <is>
          <t>https://developers.google.com/search/blog/2024/08/august-2024-core-update?hl=ja</t>
        </is>
      </c>
      <c r="C22" s="84" t="inlineStr">
        <is>
          <t>2024 年 8 月のコア アップデートについて知っておくべきこと</t>
        </is>
      </c>
      <c r="D22" s="84" t="inlineStr">
        <is>
          <t>コアアップデート</t>
        </is>
      </c>
    </row>
    <row r="23">
      <c r="B23" s="15" t="inlineStr">
        <is>
          <t>https://www.youtube.com/watch?v=4cCJWxnnUA4</t>
        </is>
      </c>
      <c r="C23" s="84" t="inlineStr">
        <is>
          <t>【最新情報】2024年コアアルゴリズムアップデートによる変化と傾向を解説します！</t>
        </is>
      </c>
      <c r="D23" s="84" t="inlineStr">
        <is>
          <t>コアアップデート</t>
        </is>
      </c>
    </row>
    <row r="24">
      <c r="B24" s="23" t="inlineStr">
        <is>
          <t>https://developers.google.com/search/blog/2024/03/core-update-spam-policies?hl=ja</t>
        </is>
      </c>
      <c r="C24" s="84" t="inlineStr">
        <is>
          <t>2024 年 3 月のコア アップデートとスパムに関する新しいポリシーについてウェブ クリエイターが知っておくべきこと</t>
        </is>
      </c>
      <c r="D24" s="84" t="inlineStr">
        <is>
          <t>コアアップデート</t>
        </is>
      </c>
    </row>
    <row r="25">
      <c r="B25" s="15" t="inlineStr">
        <is>
          <t>https://www.seohacks.net/blog/943/</t>
        </is>
      </c>
      <c r="C25" s="84" t="inlineStr">
        <is>
          <t>【使い方解説】Google Search Consoleとは？主な機能と活用方法を解説</t>
        </is>
      </c>
      <c r="D25" s="84" t="inlineStr">
        <is>
          <t>Google Search Console</t>
        </is>
      </c>
    </row>
    <row r="26">
      <c r="B26" s="15" t="inlineStr">
        <is>
          <t>https://www.seohacks.net/blog/2149/</t>
        </is>
      </c>
      <c r="C26" s="84" t="inlineStr">
        <is>
          <t>被リンクとは？SEOへの影響や良質なリンクを獲得する方法を解説</t>
        </is>
      </c>
      <c r="D26" s="84" t="inlineStr">
        <is>
          <t>被リンク</t>
        </is>
      </c>
    </row>
    <row r="27">
      <c r="B27" s="23" t="inlineStr">
        <is>
          <t>https://www.searchenginejournal.com/google-march-2024-update-4-changes-to-link-signal/510322/</t>
        </is>
      </c>
      <c r="C27" s="84" t="inlineStr">
        <is>
          <t>Google March 2024 Core Update: 4 Changes To Link Signal</t>
        </is>
      </c>
      <c r="D27" s="84" t="inlineStr">
        <is>
          <t>コアアップデート</t>
        </is>
      </c>
    </row>
    <row r="28">
      <c r="B28" s="23" t="inlineStr">
        <is>
          <t>https://developers.google.com/search/docs/monitor-debug/debugging-search-traffic-drops?hl=ja</t>
        </is>
      </c>
      <c r="C28" s="84" t="inlineStr">
        <is>
          <t xml:space="preserve">Google 検索トラフィックの減少をデバッグする
</t>
        </is>
      </c>
      <c r="D28" s="84" t="inlineStr">
        <is>
          <t>検索トラフィック</t>
        </is>
      </c>
    </row>
    <row r="29">
      <c r="B29" s="15" t="inlineStr">
        <is>
          <t>https://www.seohacks.net/blog/6108/</t>
        </is>
      </c>
      <c r="C29" s="84" t="inlineStr">
        <is>
          <t>SEOにおける検索意図とは？確認方法やコンテンツの作り方を解説</t>
        </is>
      </c>
      <c r="D29" s="84" t="inlineStr">
        <is>
          <t>検索意図</t>
        </is>
      </c>
    </row>
    <row r="30">
      <c r="B30" s="23" t="inlineStr">
        <is>
          <t>https://www.searchenginejournal.com/google-march-2024-update-4-changes-to-link-signal/510322//</t>
        </is>
      </c>
      <c r="C30" s="84" t="inlineStr">
        <is>
          <t>Google Shows How To Check Passage Indexing</t>
        </is>
      </c>
      <c r="D30" s="84" t="inlineStr">
        <is>
          <t>パッセージインデックス</t>
        </is>
      </c>
    </row>
    <row r="31">
      <c r="B31" s="23" t="inlineStr">
        <is>
          <t>https://www.searchenginejournal.com/reddit-post-ranks-within-minutes/513825/</t>
        </is>
      </c>
      <c r="C31" s="84" t="inlineStr">
        <is>
          <t>Reddit Post Ranks On Google In 5 Minutes – What’s Going On?</t>
        </is>
      </c>
      <c r="D31" s="84" t="inlineStr">
        <is>
          <t>Reddit</t>
        </is>
      </c>
    </row>
    <row r="32">
      <c r="B32" s="15" t="inlineStr">
        <is>
          <t>https://about.google/company-info/philosophy/</t>
        </is>
      </c>
      <c r="C32" s="84" t="inlineStr">
        <is>
          <t>Googleが掲げる10の事実</t>
        </is>
      </c>
      <c r="D32" s="84" t="inlineStr">
        <is>
          <t>Googleが掲げる10の事実</t>
        </is>
      </c>
    </row>
    <row r="33">
      <c r="B33" s="23" t="inlineStr">
        <is>
          <t>https://www.soumu.go.jp/johotsusintokei/statistics/data/240607_1.pdf</t>
        </is>
      </c>
      <c r="C33" s="84" t="inlineStr">
        <is>
          <t xml:space="preserve">令和５年通信利用動向調査の結果 </t>
        </is>
      </c>
      <c r="D33" s="84" t="inlineStr">
        <is>
          <t>通信利用動向調査</t>
        </is>
      </c>
    </row>
    <row r="34">
      <c r="B34" s="15" t="inlineStr">
        <is>
          <t>https://www.seohacks.net/blog/1046/</t>
        </is>
      </c>
      <c r="C34" s="84" t="inlineStr">
        <is>
          <t>ページ表示速度はSEOに影響する？計測方法と5つの改善方法を解説</t>
        </is>
      </c>
      <c r="D34" s="84" t="inlineStr">
        <is>
          <t>ページ表示速度</t>
        </is>
      </c>
    </row>
    <row r="35">
      <c r="B35" s="23" t="inlineStr">
        <is>
          <t>https://www.aleydasolis.com/en/search-engine-optimization/hubspot-blog-rankings-drop-analysis/</t>
        </is>
      </c>
      <c r="C35" s="84" t="inlineStr">
        <is>
          <t>Hubspot’s Blog Organic Search Traffic Drop: What happened? Is it really that bad? What does it mean for SEO?</t>
        </is>
      </c>
      <c r="D35" s="84" t="inlineStr">
        <is>
          <t>HubSpot</t>
        </is>
      </c>
    </row>
    <row r="36">
      <c r="B36" s="15" t="inlineStr">
        <is>
          <t>https://trends.google.co.jp/trends/</t>
        </is>
      </c>
      <c r="C36" s="84" t="inlineStr">
        <is>
          <t>Google　trends</t>
        </is>
      </c>
      <c r="D36" s="84" t="inlineStr">
        <is>
          <t>Google　trends</t>
        </is>
      </c>
    </row>
    <row r="37">
      <c r="B37" s="15" t="inlineStr">
        <is>
          <t>https://www.youtube.com/@NyleTV_Marketing/videos</t>
        </is>
      </c>
      <c r="C37" s="84" t="inlineStr">
        <is>
          <t>ナイルＴＶ/ＳＥＯ相談室</t>
        </is>
      </c>
      <c r="D37" s="84" t="inlineStr">
        <is>
          <t>ナイルＴＶ/ＳＥＯ相談室</t>
        </is>
      </c>
    </row>
    <row r="38">
      <c r="B38" s="15" t="inlineStr">
        <is>
          <t>https://x.com/seohacks_net</t>
        </is>
      </c>
      <c r="C38" s="84" t="inlineStr">
        <is>
          <t>ナイルのSEO相談室</t>
        </is>
      </c>
      <c r="D38" s="84" t="inlineStr">
        <is>
          <t>ナイルのSEO相談室</t>
        </is>
      </c>
    </row>
    <row r="40">
      <c r="A40" s="84" t="inlineStr">
        <is>
          <t>2位</t>
        </is>
      </c>
      <c r="B40" s="15" t="inlineStr">
        <is>
          <t>https://gmotech.jp/semlabo/seo/blog/googlecoreupdate_history/</t>
        </is>
      </c>
      <c r="C40" s="84" t="inlineStr">
        <is>
          <t>【2025年12月最新】Googleコアアップデートや主要アップデートの歴史まとめ</t>
        </is>
      </c>
    </row>
    <row r="42">
      <c r="A42" s="84" t="inlineStr">
        <is>
          <t>発リンク</t>
        </is>
      </c>
      <c r="B42" s="23" t="inlineStr">
        <is>
          <t>https://gmotech.jp/semlabo/seo/blog/december-2025-core-update/</t>
        </is>
      </c>
      <c r="C42" s="84" t="inlineStr">
        <is>
          <t>【 December 2025 core update】2025年12月Googleがコアアップデートの展開を発表（1/1追記）</t>
        </is>
      </c>
      <c r="D42" s="84" t="inlineStr">
        <is>
          <t>コアアップデート</t>
        </is>
      </c>
    </row>
    <row r="43">
      <c r="B43" s="15" t="inlineStr">
        <is>
          <t>https://gmotech.jp/semlabo/seo/blog/core-update/</t>
        </is>
      </c>
      <c r="C43" s="84" t="inlineStr">
        <is>
          <t>Googleコアアップデートとは？最新のアップデート情報も解説！【追記あり December 2025 core update】</t>
        </is>
      </c>
      <c r="D43" s="84" t="inlineStr">
        <is>
          <t>コアアップデート</t>
        </is>
      </c>
    </row>
    <row r="44">
      <c r="B44" s="15" t="inlineStr">
        <is>
          <t>https://gmotech.jp/semlabo/seo/blog/backlink_effect/</t>
        </is>
      </c>
      <c r="C44" s="84" t="inlineStr">
        <is>
          <t>被リンクの獲得方法！SEO効果の高いバックリンクの増やし方を紹介</t>
        </is>
      </c>
      <c r="D44" s="84" t="inlineStr">
        <is>
          <t>被リンク</t>
        </is>
      </c>
    </row>
    <row r="45">
      <c r="B45" s="23" t="inlineStr">
        <is>
          <t>https://developers.google.com/search/blog/2012/01/doorway-page?hl=ja</t>
        </is>
      </c>
      <c r="C45" s="84" t="inlineStr">
        <is>
          <t>誘導ページ（Doorway Page）はガイドライン違反です</t>
        </is>
      </c>
      <c r="D45" s="84" t="inlineStr">
        <is>
          <t>誘導ページ</t>
        </is>
      </c>
    </row>
    <row r="46">
      <c r="B46" s="15" t="inlineStr">
        <is>
          <t>https://gmotech.jp/semlabo/seo/blog/responsive_design/</t>
        </is>
      </c>
      <c r="C46" s="84" t="inlineStr">
        <is>
          <t>レスポンシブデザイン完全ガイド：2025年最新SEO・UXを最大化する設計と思想</t>
        </is>
      </c>
      <c r="D46" s="84" t="inlineStr">
        <is>
          <t>レスポンシブデザイン</t>
        </is>
      </c>
    </row>
    <row r="47">
      <c r="B47" s="15" t="inlineStr">
        <is>
          <t>https://gmotech.jp/semlabo/seo/blog/eeat/</t>
        </is>
      </c>
      <c r="C47" s="84" t="inlineStr">
        <is>
          <t>E-E-A-T（旧E-A-T）をわかりやすく解説｜構成要素や対策方法も</t>
        </is>
      </c>
      <c r="D47" s="84" t="inlineStr">
        <is>
          <t>E-E-A-T</t>
        </is>
      </c>
    </row>
    <row r="48">
      <c r="B48" s="15" t="inlineStr">
        <is>
          <t>https://business.google.com/jp/think/</t>
        </is>
      </c>
      <c r="C48" s="84" t="inlineStr">
        <is>
          <t>「気づき」を​「成果」に。ビジネスの​成長に​つながる AI 時代の​マーケティング</t>
        </is>
      </c>
      <c r="D48" s="84" t="inlineStr">
        <is>
          <t>Think with google</t>
        </is>
      </c>
    </row>
    <row r="49">
      <c r="B49" s="15" t="inlineStr">
        <is>
          <t>https://gmotech.jp/semlabo/seo/blog/core-web-vitals/</t>
        </is>
      </c>
      <c r="C49" s="84" t="inlineStr">
        <is>
          <t>コアウェブバイタル（Core Web Vitals）とは？LCP・FID・CLSの意味＆ランキング改善方法</t>
        </is>
      </c>
      <c r="D49" s="84" t="inlineStr">
        <is>
          <t>コアウェブバイタル</t>
        </is>
      </c>
    </row>
    <row r="50">
      <c r="B50" s="23" t="inlineStr">
        <is>
          <t>https://developers.google.com/search/blog/2020/05/evaluating-page-experience?hl=ja</t>
        </is>
      </c>
      <c r="C50" s="84" t="inlineStr">
        <is>
          <t>より快適なウェブの実現に向けたページ エクスペリエンスの評価</t>
        </is>
      </c>
      <c r="D50" s="84" t="inlineStr">
        <is>
          <t>ページエクスペリエンス</t>
        </is>
      </c>
    </row>
    <row r="51">
      <c r="B51" s="23" t="inlineStr">
        <is>
          <t>https://x.com/searchliaison/status/1410629484911349761?ref_src=twsrc%5Etfw%7Ctwcamp%5Etweetembed%7Ctwterm%5E1410629484911349761%7Ctwgr%5E%7Ctwcon%5Es1_&amp;ref_url=https%3A%2F%2Fdigitalidentity.co.jp%2Fblog%2Fseo%2Falgorithm%2Fcorealgorithm-updates.html</t>
        </is>
      </c>
      <c r="C51" s="84" t="inlineStr">
        <is>
          <t>Google SearchLiaison</t>
        </is>
      </c>
      <c r="D51" s="84" t="inlineStr">
        <is>
          <t>Google SearchLiaison</t>
        </is>
      </c>
    </row>
    <row r="52">
      <c r="B52" s="15" t="inlineStr">
        <is>
          <t>https://gmotech.jp/semlabo/march-2023-core-update-2/</t>
        </is>
      </c>
      <c r="C52" s="84" t="inlineStr">
        <is>
          <t>march-2023-core-update</t>
        </is>
      </c>
      <c r="D52" s="84" t="inlineStr">
        <is>
          <t>コアアップデート</t>
        </is>
      </c>
    </row>
    <row r="53">
      <c r="B53" s="15" t="inlineStr">
        <is>
          <t>https://gmotech.jp/semlabo/seo/blog/march-2025-core-update/</t>
        </is>
      </c>
      <c r="C53" s="84" t="inlineStr">
        <is>
          <t>【March 2025 Core Update】2025年3月Googleがコアアップデートの展開を発表（3/28追記）</t>
        </is>
      </c>
      <c r="D53" s="84" t="inlineStr">
        <is>
          <t>コアアップデート</t>
        </is>
      </c>
    </row>
    <row r="54">
      <c r="B54" s="15" t="inlineStr">
        <is>
          <t>https://gmotech.jp/semlabo/seo/blog/june-2025-core-update/</t>
        </is>
      </c>
      <c r="C54" s="84" t="inlineStr">
        <is>
          <t xml:space="preserve">【June 2025 Core Update】2025年6月Googleがコアアップデートの展開を発表（7/22追記）
</t>
        </is>
      </c>
      <c r="D54" s="84" t="inlineStr">
        <is>
          <t>コアアップデート</t>
        </is>
      </c>
    </row>
    <row r="55">
      <c r="B55" s="23" t="inlineStr">
        <is>
          <t>https://gmotech.jp/semlabo/seo/blog/december-2025-core-update/</t>
        </is>
      </c>
      <c r="C55" s="84" t="inlineStr">
        <is>
          <t>【 December 2025 core update】2025年12月Googleがコアアップデートの展開を発表（1/1追記）</t>
        </is>
      </c>
      <c r="D55" s="84" t="inlineStr">
        <is>
          <t>コアアップデート</t>
        </is>
      </c>
    </row>
    <row r="56">
      <c r="B56" s="23" t="inlineStr">
        <is>
          <t>https://developers.google.com/search/blog/2019/08/core-updates?hl=ja</t>
        </is>
      </c>
      <c r="C56" s="84" t="inlineStr">
        <is>
          <t>2019 年 8 月の Google コア アップデートについてサイト所有者が知っておくべきこと</t>
        </is>
      </c>
      <c r="D56" s="84" t="inlineStr">
        <is>
          <t>コアアップデート</t>
        </is>
      </c>
    </row>
    <row r="58">
      <c r="A58" s="84" t="inlineStr">
        <is>
          <t>3位</t>
        </is>
      </c>
      <c r="B58" s="15" t="inlineStr">
        <is>
          <t>https://devo.jp/seolaboratory/93405/</t>
        </is>
      </c>
      <c r="C58" s="84" t="inlineStr">
        <is>
          <t>【2025年12月最新】Googleコアアップデートとは？概要や対策など徹底解説！</t>
        </is>
      </c>
    </row>
    <row r="60">
      <c r="A60" s="84" t="inlineStr">
        <is>
          <t>発リンク</t>
        </is>
      </c>
      <c r="B60" s="23" t="inlineStr">
        <is>
          <t>https://devo.jp/seolaboratory/campaign/190627.php?argument=cqeXuh6H&amp;dmai=a5d158fb142b7d#rank</t>
        </is>
      </c>
      <c r="C60" s="84" t="inlineStr">
        <is>
          <t>SEOラボ</t>
        </is>
      </c>
      <c r="D60" s="84" t="inlineStr">
        <is>
          <t>SEOラボ</t>
        </is>
      </c>
    </row>
    <row r="61">
      <c r="B61" s="15" t="inlineStr">
        <is>
          <t>https://devo.jp/seolaboratory/91744/</t>
        </is>
      </c>
      <c r="C61" s="84" t="inlineStr">
        <is>
          <t>【2026年最新】SEOとは？SEO対策の基本や具体的施策8つなど初心者にわかりやすく紹介！</t>
        </is>
      </c>
      <c r="D61" s="84" t="inlineStr">
        <is>
          <t>SEO</t>
        </is>
      </c>
    </row>
    <row r="62">
      <c r="B62" s="23" t="inlineStr">
        <is>
          <t>https://developers.google.com/search/docs/appearance/core-updates?hl=ja</t>
        </is>
      </c>
      <c r="C62" s="84" t="inlineStr">
        <is>
          <t>Google 検索のコア アップデートとウェブサイト</t>
        </is>
      </c>
      <c r="D62" s="84" t="inlineStr">
        <is>
          <t>コアアップデート</t>
        </is>
      </c>
    </row>
    <row r="63">
      <c r="B63" s="15" t="inlineStr">
        <is>
          <t>https://devo.jp/seolaboratory/101642/</t>
        </is>
      </c>
      <c r="C63" s="84" t="inlineStr">
        <is>
          <t>【2026年最新】Googleヘルプフルコンテンツアップデートとは？概要や対策など徹底解説！</t>
        </is>
      </c>
      <c r="D63" s="84" t="inlineStr">
        <is>
          <t>ヘルプフルコンテンツアップデート</t>
        </is>
      </c>
    </row>
    <row r="64">
      <c r="B64" s="15" t="inlineStr">
        <is>
          <t>https://devo.jp/seolaboratory/101749/</t>
        </is>
      </c>
      <c r="C64" s="84" t="inlineStr">
        <is>
          <t>【2025年8月最新】Googleスパムアップデートとは？概要や対策など徹底解説！</t>
        </is>
      </c>
      <c r="D64" s="84" t="inlineStr">
        <is>
          <t>スパムアップデート</t>
        </is>
      </c>
    </row>
    <row r="65">
      <c r="B65" s="15" t="inlineStr">
        <is>
          <t>https://devo.jp/seolaboratory/101895/</t>
        </is>
      </c>
      <c r="C65" s="84" t="inlineStr">
        <is>
          <t>【2024年最新】Googleレビューアップデート(旧プロダクトレビューアップデート)とは？概要や対策など徹底解説！</t>
        </is>
      </c>
      <c r="D65" s="84" t="inlineStr">
        <is>
          <t>レビューアップデート</t>
        </is>
      </c>
    </row>
    <row r="66">
      <c r="B66" s="15" t="inlineStr">
        <is>
          <t>https://devo.jp/seolaboratory/45280/</t>
        </is>
      </c>
      <c r="C66" s="84" t="inlineStr">
        <is>
          <t>パンダアップデートとペンギンアップデートの違いとは？Googleペナルティの対象となる行為など徹底紹介！</t>
        </is>
      </c>
      <c r="D66" s="84" t="inlineStr">
        <is>
          <t>パンダアップデート　ペンギンアップデート</t>
        </is>
      </c>
    </row>
    <row r="67">
      <c r="B67" s="23" t="inlineStr">
        <is>
          <t>https://status.search.google.com/products/rGHU1u87FJnkP6W2GwMi/history</t>
        </is>
      </c>
      <c r="C67" s="84" t="inlineStr">
        <is>
          <t>Google Search Status Dashboard</t>
        </is>
      </c>
      <c r="D67" s="84" t="inlineStr">
        <is>
          <t>Google Search Status Dashboard</t>
        </is>
      </c>
    </row>
    <row r="68">
      <c r="B68" s="23" t="inlineStr">
        <is>
          <t>https://x.com/googlesearchc/status/1999169216826736671?s=20</t>
        </is>
      </c>
      <c r="C68" s="84" t="inlineStr">
        <is>
          <t>Google Search Central</t>
        </is>
      </c>
      <c r="D68" s="84" t="inlineStr">
        <is>
          <t>Google Search Central</t>
        </is>
      </c>
    </row>
    <row r="69">
      <c r="B69" s="15" t="inlineStr">
        <is>
          <t>https://devo.jp/seolaboratory/92535/</t>
        </is>
      </c>
      <c r="C69" s="84" t="inlineStr">
        <is>
          <t>YMYLとは？対象ジャンルやSEO対策ポイントなど徹底解説！</t>
        </is>
      </c>
      <c r="D69" s="84" t="inlineStr">
        <is>
          <t>YMYL</t>
        </is>
      </c>
    </row>
    <row r="70">
      <c r="B70" s="23" t="inlineStr">
        <is>
          <t>https://x.com/seolabo85/status/2002912605632069908?ref_src=twsrc%5Etfw%7Ctwcamp%5Etweetembed%7Ctwterm%5E2002912605632069908%7Ctwgr%5Ea490ea7d7f7e5d170402523d65b7b33421fd072a%7Ctwcon%5Es1_&amp;ref_url=https%3A%2F%2Fdevo.jp%2Fseolaboratory%2F93405%2F</t>
        </is>
      </c>
      <c r="C70" s="84" t="inlineStr">
        <is>
          <t>ディーボのSEOラボ@SEO対策</t>
        </is>
      </c>
      <c r="D70" s="84" t="inlineStr">
        <is>
          <t>ディーボのSEOラボ@SEO対策</t>
        </is>
      </c>
    </row>
    <row r="71">
      <c r="B71" s="23" t="inlineStr">
        <is>
          <t>https://x.com/seolabo85/status/1939841347416162761?ref_src=twsrc%5Etfw%7Ctwcamp%5Etweetembed%7Ctwterm%5E1939841347416162761%7Ctwgr%5Ea490ea7d7f7e5d170402523d65b7b33421fd072a%7Ctwcon%5Es1_&amp;ref_url=https%3A%2F%2Fdevo.jp%2Fseolaboratory%2F93405%2F</t>
        </is>
      </c>
      <c r="C71" s="84" t="inlineStr">
        <is>
          <t>ディーボのSEOラボ@SEO対策</t>
        </is>
      </c>
      <c r="D71" s="84" t="inlineStr">
        <is>
          <t>ディーボのSEOラボ@SEO対策</t>
        </is>
      </c>
    </row>
    <row r="72">
      <c r="B72" s="23" t="inlineStr">
        <is>
          <t>https://status.search.google.com/incidents/riq1AuqETW46NfBCe5NT</t>
        </is>
      </c>
      <c r="C72" s="84" t="inlineStr">
        <is>
          <t>Google Search Status Dashboard</t>
        </is>
      </c>
      <c r="D72" s="84" t="inlineStr">
        <is>
          <t>Google Search Status Dashboard</t>
        </is>
      </c>
    </row>
    <row r="73">
      <c r="B73" s="23" t="inlineStr">
        <is>
          <t>https://x.com/seolabo85/status/1946000699604848719?ref_src=twsrc%5Etfw%7Ctwcamp%5Etweetembed%7Ctwterm%5E1946000699604848719%7Ctwgr%5Ea490ea7d7f7e5d170402523d65b7b33421fd072a%7Ctwcon%5Es1_&amp;ref_url=https%3A%2F%2Fdevo.jp%2Fseolaboratory%2F93405%2F</t>
        </is>
      </c>
      <c r="C73" s="84" t="inlineStr">
        <is>
          <t>ディーボのSEOラボ@SEO対策</t>
        </is>
      </c>
      <c r="D73" s="84" t="inlineStr">
        <is>
          <t>ディーボのSEOラボ@SEO対策</t>
        </is>
      </c>
    </row>
    <row r="74">
      <c r="B74" s="15" t="inlineStr">
        <is>
          <t>https://www.semrush.com/sensor/?db=JP</t>
        </is>
      </c>
      <c r="C74" s="84" t="inlineStr">
        <is>
          <t>Semrush Sensor</t>
        </is>
      </c>
      <c r="D74" s="84" t="inlineStr">
        <is>
          <t>Semrush Sensor</t>
        </is>
      </c>
    </row>
    <row r="75">
      <c r="B75" s="15" t="inlineStr">
        <is>
          <t>https://namaz.jp/</t>
        </is>
      </c>
      <c r="C75" s="84" t="inlineStr">
        <is>
          <t>Google順位変動チェックツール namaz.jp</t>
        </is>
      </c>
      <c r="D75" s="84" t="inlineStr">
        <is>
          <t>google順位変動チェックツール</t>
        </is>
      </c>
    </row>
    <row r="76">
      <c r="B76" s="15" t="inlineStr">
        <is>
          <t>https://devo.jp/seolaboratory/92535/</t>
        </is>
      </c>
      <c r="C76" s="84" t="inlineStr">
        <is>
          <t>YMYLとは？対象ジャンルやSEO対策ポイントなど徹底解説！</t>
        </is>
      </c>
      <c r="D76" s="84" t="inlineStr">
        <is>
          <t>YMYL</t>
        </is>
      </c>
    </row>
    <row r="77">
      <c r="B77" s="23" t="inlineStr">
        <is>
          <t>https://x.com/seolabo85/status/1905046302280589630?ref_src=twsrc%5Etfw%7Ctwcamp%5Etweetembed%7Ctwterm%5E1905046302280589630%7Ctwgr%5E9d44195eec7f3acd6ed0bcfb4240a96797fe0490%7Ctwcon%5Es1_&amp;ref_url=https%3A%2F%2Fdevo.jp%2Fseolaboratory%2F93405%2F</t>
        </is>
      </c>
      <c r="C77" s="84" t="inlineStr">
        <is>
          <t>ディーボのSEOラボ@SEO対策</t>
        </is>
      </c>
      <c r="D77" s="84" t="inlineStr">
        <is>
          <t>ディーボのSEOラボ@SEO対策</t>
        </is>
      </c>
    </row>
    <row r="78">
      <c r="B78" s="23" t="inlineStr">
        <is>
          <t>https://x.com/seolabo85/status/1904029488096411853?ref_src=twsrc%5Etfw%7Ctwcamp%5Etweetembed%7Ctwterm%5E1904029488096411853%7Ctwgr%5E9d44195eec7f3acd6ed0bcfb4240a96797fe0490%7Ctwcon%5Es1_&amp;ref_url=https%3A%2F%2Fdevo.jp%2Fseolaboratory%2F93405%2F</t>
        </is>
      </c>
      <c r="C78" s="84" t="inlineStr">
        <is>
          <t>ディーボのSEOラボ@SEO対策</t>
        </is>
      </c>
      <c r="D78" s="84" t="inlineStr">
        <is>
          <t>ディーボのSEOラボ@SEO対策</t>
        </is>
      </c>
    </row>
    <row r="79">
      <c r="B79" s="23" t="inlineStr">
        <is>
          <t>https://x.com/seolabo85/status/1901819657029562647?ref_src=twsrc%5Etfw%7Ctwcamp%5Etweetembed%7Ctwterm%5E1901819657029562647%7Ctwgr%5E9d44195eec7f3acd6ed0bcfb4240a96797fe0490%7Ctwcon%5Es1_&amp;ref_url=https%3A%2F%2Fdevo.jp%2Fseolaboratory%2F93405%2F</t>
        </is>
      </c>
      <c r="C79" s="84" t="inlineStr">
        <is>
          <t>ディーボのSEOラボ@SEO対策</t>
        </is>
      </c>
      <c r="D79" s="84" t="inlineStr">
        <is>
          <t>ディーボのSEOラボ@SEO対策</t>
        </is>
      </c>
    </row>
    <row r="80">
      <c r="B80" s="23" t="inlineStr">
        <is>
          <t>https://x.com/seolabo85/status/1901432690349642033?ref_src=twsrc%5Etfw%7Ctwcamp%5Etweetembed%7Ctwterm%5E1901432690349642033%7Ctwgr%5E9d44195eec7f3acd6ed0bcfb4240a96797fe0490%7Ctwcon%5Es1_&amp;ref_url=https%3A%2F%2Fdevo.jp%2Fseolaboratory%2F93405%2F</t>
        </is>
      </c>
      <c r="C80" s="84" t="inlineStr">
        <is>
          <t>ディーボのSEOラボ@SEO対策</t>
        </is>
      </c>
      <c r="D80" s="84" t="inlineStr">
        <is>
          <t>ディーボのSEOラボ@SEO対策</t>
        </is>
      </c>
    </row>
    <row r="81">
      <c r="B81" s="23" t="inlineStr">
        <is>
          <t>https://devo.jp/seolaboratory/campaign/200807_coreupdate.html?argument=cqeXuh6H&amp;dmai=a6760c8a17edd3</t>
        </is>
      </c>
      <c r="C81" s="84" t="inlineStr">
        <is>
          <t>SEO無料調査申し込みフォーム</t>
        </is>
      </c>
      <c r="D81" s="84" t="inlineStr">
        <is>
          <t>SEO無料調査申し込みフォーム</t>
        </is>
      </c>
    </row>
    <row r="82">
      <c r="B82" s="23" t="inlineStr">
        <is>
          <t>https://devo.jp/seolaboratory/seo_knowhow/?dl&amp;report_id=131&amp;argument=cqeXuh6H&amp;dmai=a6760d7f556816</t>
        </is>
      </c>
      <c r="C82" s="84" t="inlineStr">
        <is>
          <t>コアアップデートに有効な対策リスト【2025年12月版】</t>
        </is>
      </c>
      <c r="D82" s="84" t="inlineStr">
        <is>
          <t>コアアップデートに有効な対策リスト【2025年12月版】</t>
        </is>
      </c>
    </row>
    <row r="83">
      <c r="B83" s="23" t="inlineStr">
        <is>
          <t>https://devo.jp/seolaboratory/campaign/190627.php?argument=cqeXuh6H&amp;dmai=a5d158fb142b7d#rank</t>
        </is>
      </c>
    </row>
    <row r="84">
      <c r="B84" s="23" t="inlineStr">
        <is>
          <t>https://developers.google.com/search/blog/2019/08/core-updates?hl=ja</t>
        </is>
      </c>
      <c r="C84" s="84" t="inlineStr">
        <is>
          <t>2019 年 8 月の Google コア アップデートについてサイト所有者が知っておくべきこと</t>
        </is>
      </c>
      <c r="D84" s="84" t="inlineStr">
        <is>
          <t>コアアップデート</t>
        </is>
      </c>
    </row>
    <row r="85">
      <c r="B85" s="15" t="inlineStr">
        <is>
          <t>https://devo.jp/seolaboratory/92529/</t>
        </is>
      </c>
      <c r="C85" s="84" t="inlineStr">
        <is>
          <t>E-E-A-T(旧E-A-T)とは？SEOで重要なGoogleの評価基準など徹底解説！</t>
        </is>
      </c>
      <c r="D85" s="84" t="inlineStr">
        <is>
          <t>E-E-A-T</t>
        </is>
      </c>
    </row>
    <row r="86">
      <c r="B86" s="15" t="inlineStr">
        <is>
          <t>https://devo.jp/seolaboratory/101989/</t>
        </is>
      </c>
      <c r="C86" s="84" t="inlineStr">
        <is>
          <t>SEOとUX/UIの関係とは？重要な理由や改善方法など徹底紹介！</t>
        </is>
      </c>
      <c r="D86" s="84" t="inlineStr">
        <is>
          <t>SEOとUX/UI</t>
        </is>
      </c>
    </row>
    <row r="87">
      <c r="B87" s="15" t="inlineStr">
        <is>
          <t>https://devo.jp/seolaboratory/90980/</t>
        </is>
      </c>
      <c r="C87" s="84" t="inlineStr">
        <is>
          <t>検索意図とは？SEOでの重要性や調べ方・活用法など徹底解説！</t>
        </is>
      </c>
      <c r="D87" s="84" t="inlineStr">
        <is>
          <t>検索意図</t>
        </is>
      </c>
    </row>
  </sheetData>
  <hyperlinks>
    <hyperlink xmlns:r="http://schemas.openxmlformats.org/officeDocument/2006/relationships" ref="B3"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40"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 xmlns:r="http://schemas.openxmlformats.org/officeDocument/2006/relationships" ref="B53" r:id="rId48"/>
    <hyperlink xmlns:r="http://schemas.openxmlformats.org/officeDocument/2006/relationships" ref="B54" r:id="rId49"/>
    <hyperlink xmlns:r="http://schemas.openxmlformats.org/officeDocument/2006/relationships" ref="B55" r:id="rId50"/>
    <hyperlink xmlns:r="http://schemas.openxmlformats.org/officeDocument/2006/relationships" ref="B56" r:id="rId51"/>
    <hyperlink xmlns:r="http://schemas.openxmlformats.org/officeDocument/2006/relationships" ref="B58" r:id="rId52"/>
    <hyperlink xmlns:r="http://schemas.openxmlformats.org/officeDocument/2006/relationships" ref="B60" location="rank" r:id="rId53"/>
    <hyperlink xmlns:r="http://schemas.openxmlformats.org/officeDocument/2006/relationships" ref="B61" r:id="rId54"/>
    <hyperlink xmlns:r="http://schemas.openxmlformats.org/officeDocument/2006/relationships" ref="B62" r:id="rId55"/>
    <hyperlink xmlns:r="http://schemas.openxmlformats.org/officeDocument/2006/relationships" ref="B63" r:id="rId56"/>
    <hyperlink xmlns:r="http://schemas.openxmlformats.org/officeDocument/2006/relationships" ref="B64" r:id="rId57"/>
    <hyperlink xmlns:r="http://schemas.openxmlformats.org/officeDocument/2006/relationships" ref="B65" r:id="rId58"/>
    <hyperlink xmlns:r="http://schemas.openxmlformats.org/officeDocument/2006/relationships" ref="B66" r:id="rId59"/>
    <hyperlink xmlns:r="http://schemas.openxmlformats.org/officeDocument/2006/relationships" ref="B67" r:id="rId60"/>
    <hyperlink xmlns:r="http://schemas.openxmlformats.org/officeDocument/2006/relationships" ref="B68" r:id="rId61"/>
    <hyperlink xmlns:r="http://schemas.openxmlformats.org/officeDocument/2006/relationships" ref="B69" r:id="rId62"/>
    <hyperlink xmlns:r="http://schemas.openxmlformats.org/officeDocument/2006/relationships" ref="B70" r:id="rId63"/>
    <hyperlink xmlns:r="http://schemas.openxmlformats.org/officeDocument/2006/relationships" ref="B71" r:id="rId64"/>
    <hyperlink xmlns:r="http://schemas.openxmlformats.org/officeDocument/2006/relationships" ref="B72" r:id="rId65"/>
    <hyperlink xmlns:r="http://schemas.openxmlformats.org/officeDocument/2006/relationships" ref="B73" r:id="rId66"/>
    <hyperlink xmlns:r="http://schemas.openxmlformats.org/officeDocument/2006/relationships" ref="B74" r:id="rId67"/>
    <hyperlink xmlns:r="http://schemas.openxmlformats.org/officeDocument/2006/relationships" ref="B75" r:id="rId68"/>
    <hyperlink xmlns:r="http://schemas.openxmlformats.org/officeDocument/2006/relationships" ref="B76" r:id="rId69"/>
    <hyperlink xmlns:r="http://schemas.openxmlformats.org/officeDocument/2006/relationships" ref="B77" r:id="rId70"/>
    <hyperlink xmlns:r="http://schemas.openxmlformats.org/officeDocument/2006/relationships" ref="B78" r:id="rId71"/>
    <hyperlink xmlns:r="http://schemas.openxmlformats.org/officeDocument/2006/relationships" ref="B79" r:id="rId72"/>
    <hyperlink xmlns:r="http://schemas.openxmlformats.org/officeDocument/2006/relationships" ref="B80" r:id="rId73"/>
    <hyperlink xmlns:r="http://schemas.openxmlformats.org/officeDocument/2006/relationships" ref="B81" r:id="rId74"/>
    <hyperlink xmlns:r="http://schemas.openxmlformats.org/officeDocument/2006/relationships" ref="B82" r:id="rId75"/>
    <hyperlink xmlns:r="http://schemas.openxmlformats.org/officeDocument/2006/relationships" ref="B83" location="rank" r:id="rId76"/>
    <hyperlink xmlns:r="http://schemas.openxmlformats.org/officeDocument/2006/relationships" ref="B84" r:id="rId77"/>
    <hyperlink xmlns:r="http://schemas.openxmlformats.org/officeDocument/2006/relationships" ref="B85" r:id="rId78"/>
    <hyperlink xmlns:r="http://schemas.openxmlformats.org/officeDocument/2006/relationships" ref="B86" r:id="rId79"/>
    <hyperlink xmlns:r="http://schemas.openxmlformats.org/officeDocument/2006/relationships" ref="B87" r:id="rId80"/>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O968"/>
  <sheetViews>
    <sheetView workbookViewId="0">
      <selection activeCell="A1" sqref="A1"/>
    </sheetView>
  </sheetViews>
  <sheetFormatPr baseColWidth="8" defaultColWidth="12.63" defaultRowHeight="15.75" customHeight="1"/>
  <cols>
    <col width="46.88" customWidth="1" style="185" min="2" max="2"/>
    <col width="102.5" customWidth="1" style="185" min="3" max="3"/>
    <col width="20.38" customWidth="1" style="185" min="4" max="4"/>
    <col width="20.88" customWidth="1" style="185" min="5" max="5"/>
    <col width="27.25" customWidth="1" style="185" min="6" max="6"/>
    <col width="16.63" customWidth="1" style="185" min="7" max="7"/>
    <col width="39.25" customWidth="1" style="185" min="12" max="12"/>
  </cols>
  <sheetData>
    <row r="1">
      <c r="A1" s="57" t="inlineStr">
        <is>
          <t>企画・構成案</t>
        </is>
      </c>
      <c r="B1" s="91" t="inlineStr">
        <is>
          <t>「オウンドメディア」構成案 未完成</t>
        </is>
      </c>
      <c r="C1" s="59" t="n"/>
      <c r="D1" s="59" t="n"/>
      <c r="O1" s="88" t="n"/>
    </row>
    <row r="2">
      <c r="A2" s="84" t="n"/>
      <c r="B2" s="62" t="inlineStr">
        <is>
          <t>ＵＲＬ</t>
        </is>
      </c>
      <c r="C2" s="62" t="inlineStr">
        <is>
          <t>タイトル</t>
        </is>
      </c>
      <c r="D2" s="62" t="inlineStr">
        <is>
          <t>KW</t>
        </is>
      </c>
      <c r="F2" s="63" t="inlineStr">
        <is>
          <t>キーワード</t>
        </is>
      </c>
      <c r="G2" s="63" t="inlineStr">
        <is>
          <t>1位</t>
        </is>
      </c>
      <c r="H2" s="63" t="inlineStr">
        <is>
          <t>2位</t>
        </is>
      </c>
      <c r="I2" s="63" t="inlineStr">
        <is>
          <t>3位</t>
        </is>
      </c>
      <c r="J2" s="63" t="inlineStr">
        <is>
          <t>4位</t>
        </is>
      </c>
      <c r="K2" s="63" t="inlineStr">
        <is>
          <t>5位</t>
        </is>
      </c>
      <c r="L2" s="57" t="inlineStr">
        <is>
          <t>メモ</t>
        </is>
      </c>
      <c r="O2" s="88" t="n"/>
    </row>
    <row r="3">
      <c r="A3" s="84" t="inlineStr">
        <is>
          <t>1位</t>
        </is>
      </c>
      <c r="B3" s="15" t="inlineStr">
        <is>
          <t>https://mieru-ca.com/blog/ownedmedia/</t>
        </is>
      </c>
      <c r="C3" s="84" t="inlineStr">
        <is>
          <t>5分で理解！オウンドメディアとは？ 意味やメリット、企業事例をわかりやすく解説</t>
        </is>
      </c>
      <c r="F3" s="92" t="inlineStr">
        <is>
          <t>検索エンジン</t>
        </is>
      </c>
      <c r="G3" s="93">
        <f>IF(COUNTIF($C$3:$D$31,"*"&amp;F3&amp;"*")&gt;0,"〇","")</f>
        <v/>
      </c>
      <c r="H3" s="107">
        <f>IF(COUNTIF($C$35:$D$40,"*"&amp;F3&amp;"*")&gt;0,"〇","")</f>
        <v/>
      </c>
      <c r="I3" s="107">
        <f>IF(COUNTIF($C$44:$D$52,"*"&amp;F3&amp;"*")&gt;0,"〇","")</f>
        <v/>
      </c>
      <c r="J3" s="107">
        <f>IF(COUNTIF($C$56:$D$110,"*"&amp;F3&amp;"*")&gt;0,"〇","")</f>
        <v/>
      </c>
      <c r="K3" s="107">
        <f>IF(COUNTIF($C$114:$D$122,"*"&amp;F3&amp;"*")&gt;0,"〇","")</f>
        <v/>
      </c>
      <c r="L3" s="103" t="inlineStr">
        <is>
          <t>内部対策 / 内部SEO / 内部設計</t>
        </is>
      </c>
      <c r="O3" s="88" t="n"/>
    </row>
    <row r="4">
      <c r="B4" s="84" t="n"/>
      <c r="F4" s="95" t="inlineStr">
        <is>
          <t>SEO</t>
        </is>
      </c>
      <c r="G4" s="93">
        <f>IF(COUNTIF($C$3:$D$31,"*"&amp;F4&amp;"*")&gt;0,"〇","")</f>
        <v/>
      </c>
      <c r="H4" s="107">
        <f>IF(COUNTIF($C$35:$D$40,"*"&amp;F4&amp;"*")&gt;0,"〇","")</f>
        <v/>
      </c>
      <c r="I4" s="107">
        <f>IF(COUNTIF($C$44:$D$52,"*"&amp;F4&amp;"*")&gt;0,"〇","")</f>
        <v/>
      </c>
      <c r="J4" s="107">
        <f>IF(COUNTIF($C$56:$D$110,"*"&amp;F4&amp;"*")&gt;0,"〇","")</f>
        <v/>
      </c>
      <c r="K4" s="107">
        <f>IF(COUNTIF($C$114:$D$122,"*"&amp;F4&amp;"*")&gt;0,"〇","")</f>
        <v/>
      </c>
      <c r="L4" s="84" t="inlineStr">
        <is>
          <t>外部対策 / 外部施策 / 被リンク獲得</t>
        </is>
      </c>
      <c r="O4" s="88" t="n"/>
    </row>
    <row r="5">
      <c r="A5" s="84" t="inlineStr">
        <is>
          <t>内部発リンク</t>
        </is>
      </c>
      <c r="B5" s="16" t="inlineStr">
        <is>
          <t>https://mieru-ca.com/blog/how_search_engines_work/</t>
        </is>
      </c>
      <c r="C5" s="84" t="inlineStr">
        <is>
          <t>検索エンジンとは? 種類一覧とGoogleの仕組み・上位表示を目指すためのSEO対策</t>
        </is>
      </c>
      <c r="D5" s="84" t="inlineStr">
        <is>
          <t>検索エンジン</t>
        </is>
      </c>
      <c r="F5" s="95" t="inlineStr">
        <is>
          <t>SNSマーケティング</t>
        </is>
      </c>
      <c r="G5" s="93">
        <f>IF(COUNTIF($C$3:$D$31,"*"&amp;F5&amp;"*")&gt;0,"〇","")</f>
        <v/>
      </c>
      <c r="H5" s="107">
        <f>IF(COUNTIF($C$35:$D$40,"*"&amp;F5&amp;"*")&gt;0,"〇","")</f>
        <v/>
      </c>
      <c r="I5" s="107">
        <f>IF(COUNTIF($C$44:$D$52,"*"&amp;F5&amp;"*")&gt;0,"〇","")</f>
        <v/>
      </c>
      <c r="J5" s="107">
        <f>IF(COUNTIF($C$56:$D$110,"*"&amp;F5&amp;"*")&gt;0,"〇","")</f>
        <v/>
      </c>
      <c r="K5" s="107">
        <f>IF(COUNTIF($C$114:$D$122,"*"&amp;F5&amp;"*")&gt;0,"〇","")</f>
        <v/>
      </c>
      <c r="L5" s="84" t="inlineStr">
        <is>
          <t>表示速度 / ページスピード / コアウェブバイタル</t>
        </is>
      </c>
      <c r="O5" s="88" t="n"/>
    </row>
    <row r="6">
      <c r="B6" s="16" t="inlineStr">
        <is>
          <t>https://mieru-ca.com/blog/seo-measures/</t>
        </is>
      </c>
      <c r="C6" s="84" t="inlineStr">
        <is>
          <t>【2026年最新】SEOとは？優先度の高い10のSEO対策をわかりやすく解説</t>
        </is>
      </c>
      <c r="D6" s="84" t="inlineStr">
        <is>
          <t>SEO</t>
        </is>
      </c>
      <c r="F6" s="95" t="inlineStr">
        <is>
          <t>AI検索</t>
        </is>
      </c>
      <c r="G6" s="93">
        <f>IF(COUNTIF($C$3:$D$31,"*"&amp;F6&amp;"*")&gt;0,"〇","")</f>
        <v/>
      </c>
      <c r="H6" s="107">
        <f>IF(COUNTIF($C$35:$D$40,"*"&amp;F6&amp;"*")&gt;0,"〇","")</f>
        <v/>
      </c>
      <c r="I6" s="107">
        <f>IF(COUNTIF($C$44:$D$52,"*"&amp;F6&amp;"*")&gt;0,"〇","")</f>
        <v/>
      </c>
      <c r="J6" s="107">
        <f>IF(COUNTIF($C$56:$D$110,"*"&amp;F6&amp;"*")&gt;0,"〇","")</f>
        <v/>
      </c>
      <c r="K6" s="107">
        <f>IF(COUNTIF($C$114:$D$122,"*"&amp;F6&amp;"*")&gt;0,"〇","")</f>
        <v/>
      </c>
      <c r="L6" s="84" t="inlineStr">
        <is>
          <t>コンテンツSEO / 記事制作 / オウンドメディア運用</t>
        </is>
      </c>
      <c r="O6" s="88" t="n"/>
    </row>
    <row r="7">
      <c r="B7" s="16" t="inlineStr">
        <is>
          <t>https://mieru-ca.com/blog/sns-marketing/</t>
        </is>
      </c>
      <c r="C7" s="84" t="inlineStr">
        <is>
          <t>【2025年最新】SNSマーケティングとは？やり方や戦略の立て方、事例から最新トレンドまで徹底解説</t>
        </is>
      </c>
      <c r="D7" s="84" t="inlineStr">
        <is>
          <t>SNSマーケティング</t>
        </is>
      </c>
      <c r="F7" s="95" t="inlineStr">
        <is>
          <t>AI文章作成ツール</t>
        </is>
      </c>
      <c r="G7" s="93">
        <f>IF(COUNTIF($C$3:$D$31,"*"&amp;F7&amp;"*")&gt;0,"〇","")</f>
        <v/>
      </c>
      <c r="H7" s="107">
        <f>IF(COUNTIF($C$35:$D$40,"*"&amp;F7&amp;"*")&gt;0,"〇","")</f>
        <v/>
      </c>
      <c r="I7" s="107">
        <f>IF(COUNTIF($C$44:$D$52,"*"&amp;F7&amp;"*")&gt;0,"〇","")</f>
        <v/>
      </c>
      <c r="J7" s="107">
        <f>IF(COUNTIF($C$56:$D$110,"*"&amp;F7&amp;"*")&gt;0,"〇","")</f>
        <v/>
      </c>
      <c r="K7" s="107">
        <f>IF(COUNTIF($C$114:$D$122,"*"&amp;F7&amp;"*")&gt;0,"〇","")</f>
        <v/>
      </c>
      <c r="L7" s="84" t="inlineStr">
        <is>
          <t>サジェスト / サジェストキーワード</t>
        </is>
      </c>
      <c r="O7" s="88" t="n"/>
    </row>
    <row r="8">
      <c r="B8" s="16" t="inlineStr">
        <is>
          <t>https://mieru-ca.com/ai-seo/ai_search_support/</t>
        </is>
      </c>
      <c r="C8" s="84" t="inlineStr">
        <is>
          <t>AI検索対応を急ぐ必要がない4つの理由と、いま考えるべき2つのポイント</t>
        </is>
      </c>
      <c r="D8" s="84" t="inlineStr">
        <is>
          <t>AI検索</t>
        </is>
      </c>
      <c r="F8" s="95" t="inlineStr">
        <is>
          <t>コンバージョン</t>
        </is>
      </c>
      <c r="G8" s="93">
        <f>IF(COUNTIF($C$3:$D$31,"*"&amp;F8&amp;"*")&gt;0,"〇","")</f>
        <v/>
      </c>
      <c r="H8" s="107">
        <f>IF(COUNTIF($C$35:$D$40,"*"&amp;F8&amp;"*")&gt;0,"〇","")</f>
        <v/>
      </c>
      <c r="I8" s="107">
        <f>IF(COUNTIF($C$44:$D$52,"*"&amp;F8&amp;"*")&gt;0,"〇","")</f>
        <v/>
      </c>
      <c r="J8" s="107">
        <f>IF(COUNTIF($C$56:$D$110,"*"&amp;F8&amp;"*")&gt;0,"〇","")</f>
        <v/>
      </c>
      <c r="K8" s="107">
        <f>IF(COUNTIF($C$114:$D$122,"*"&amp;F8&amp;"*")&gt;0,"〇","")</f>
        <v/>
      </c>
      <c r="L8" s="84" t="inlineStr">
        <is>
          <t>301リダイレクト / URL転送</t>
        </is>
      </c>
      <c r="O8" s="88" t="n"/>
    </row>
    <row r="9">
      <c r="B9" s="16" t="inlineStr">
        <is>
          <t>https://mieru-ca.com/ai-seo/ai_writing_tool/</t>
        </is>
      </c>
      <c r="C9" s="84" t="inlineStr">
        <is>
          <t>無料で試せるAI文章作成ツールおすすめ7選｜特徴・使い方を徹底検証</t>
        </is>
      </c>
      <c r="D9" s="96" t="inlineStr">
        <is>
          <t>AI文章作成ツール</t>
        </is>
      </c>
      <c r="F9" s="95" t="inlineStr">
        <is>
          <t>LTV</t>
        </is>
      </c>
      <c r="G9" s="93">
        <f>IF(COUNTIF($C$3:$D$31,"*"&amp;F9&amp;"*")&gt;0,"〇","")</f>
        <v/>
      </c>
      <c r="H9" s="107">
        <f>IF(COUNTIF($C$35:$D$40,"*"&amp;F9&amp;"*")&gt;0,"〇","")</f>
        <v/>
      </c>
      <c r="I9" s="107">
        <f>IF(COUNTIF($C$44:$D$52,"*"&amp;F9&amp;"*")&gt;0,"〇","")</f>
        <v/>
      </c>
      <c r="J9" s="107">
        <f>IF(COUNTIF($C$56:$D$110,"*"&amp;F9&amp;"*")&gt;0,"〇","")</f>
        <v/>
      </c>
      <c r="K9" s="107">
        <f>IF(COUNTIF($C$114:$D$122,"*"&amp;F9&amp;"*")&gt;0,"〇","")</f>
        <v/>
      </c>
      <c r="L9" s="84" t="n"/>
      <c r="O9" s="88" t="n"/>
    </row>
    <row r="10">
      <c r="B10" s="16" t="inlineStr">
        <is>
          <t>https://mieru-ca.com/blog/conversion_2/</t>
        </is>
      </c>
      <c r="C10" s="84" t="inlineStr">
        <is>
          <t>コンバージョン（CV）とは？サイト種類別の定義と改善の考え方を紹介</t>
        </is>
      </c>
      <c r="D10" s="84" t="inlineStr">
        <is>
          <t>コンバージョン</t>
        </is>
      </c>
      <c r="F10" s="95" t="inlineStr">
        <is>
          <t>カスタマージャーニー</t>
        </is>
      </c>
      <c r="G10" s="93">
        <f>IF(COUNTIF($C$3:$D$31,"*"&amp;F10&amp;"*")&gt;0,"〇","")</f>
        <v/>
      </c>
      <c r="H10" s="107">
        <f>IF(COUNTIF($C$35:$D$40,"*"&amp;F10&amp;"*")&gt;0,"〇","")</f>
        <v/>
      </c>
      <c r="I10" s="107">
        <f>IF(COUNTIF($C$44:$D$52,"*"&amp;F10&amp;"*")&gt;0,"〇","")</f>
        <v/>
      </c>
      <c r="J10" s="107">
        <f>IF(COUNTIF($C$56:$D$110,"*"&amp;F10&amp;"*")&gt;0,"〇","")</f>
        <v/>
      </c>
      <c r="K10" s="107">
        <f>IF(COUNTIF($C$114:$D$122,"*"&amp;F10&amp;"*")&gt;0,"〇","")</f>
        <v/>
      </c>
      <c r="L10" s="84" t="inlineStr">
        <is>
          <t>インデックス / インデックス登録</t>
        </is>
      </c>
      <c r="O10" s="88" t="n"/>
    </row>
    <row r="11">
      <c r="B11" s="16" t="inlineStr">
        <is>
          <t>https://mieru-ca.com/blog/what-is-ltv/</t>
        </is>
      </c>
      <c r="C11" s="97" t="inlineStr">
        <is>
          <t>LTV（顧客生涯価値）とは？計算方法から目標CPAの算出まで解説</t>
        </is>
      </c>
      <c r="D11" s="84" t="inlineStr">
        <is>
          <t>LTV</t>
        </is>
      </c>
      <c r="E11" s="103" t="n"/>
      <c r="F11" s="95" t="inlineStr">
        <is>
          <t>発達障害</t>
        </is>
      </c>
      <c r="G11" s="93">
        <f>IF(COUNTIF($C$3:$D$31,"*"&amp;F11&amp;"*")&gt;0,"〇","")</f>
        <v/>
      </c>
      <c r="H11" s="107">
        <f>IF(COUNTIF($C$35:$D$40,"*"&amp;F11&amp;"*")&gt;0,"〇","")</f>
        <v/>
      </c>
      <c r="I11" s="107">
        <f>IF(COUNTIF($C$44:$D$52,"*"&amp;F11&amp;"*")&gt;0,"〇","")</f>
        <v/>
      </c>
      <c r="J11" s="107">
        <f>IF(COUNTIF($C$56:$D$110,"*"&amp;F11&amp;"*")&gt;0,"〇","")</f>
        <v/>
      </c>
      <c r="K11" s="107">
        <f>IF(COUNTIF($C$114:$D$122,"*"&amp;F11&amp;"*")&gt;0,"〇","")</f>
        <v/>
      </c>
      <c r="L11" s="84" t="inlineStr">
        <is>
          <t>インデックス削除 / noindex</t>
        </is>
      </c>
      <c r="O11" s="88" t="n"/>
    </row>
    <row r="12">
      <c r="B12" s="16" t="inlineStr">
        <is>
          <t>https://mieru-ca.com/blog/customer_journey/</t>
        </is>
      </c>
      <c r="C12" s="97" t="inlineStr">
        <is>
          <t>カスタマージャーニーって何？概念と基本を5分で理解する</t>
        </is>
      </c>
      <c r="D12" s="84" t="inlineStr">
        <is>
          <t>カスタマージャーニー</t>
        </is>
      </c>
      <c r="F12" s="99" t="inlineStr">
        <is>
          <t>ランディングページ</t>
        </is>
      </c>
      <c r="G12" s="93">
        <f>IF(COUNTIF($C$3:$D$31,"*"&amp;F12&amp;"*")&gt;0,"〇","")</f>
        <v/>
      </c>
      <c r="H12" s="107">
        <f>IF(COUNTIF($C$35:$D$40,"*"&amp;F12&amp;"*")&gt;0,"〇","")</f>
        <v/>
      </c>
      <c r="I12" s="107">
        <f>IF(COUNTIF($C$44:$D$52,"*"&amp;F12&amp;"*")&gt;0,"〇","")</f>
        <v/>
      </c>
      <c r="J12" s="107">
        <f>IF(COUNTIF($C$56:$D$110,"*"&amp;F12&amp;"*")&gt;0,"〇","")</f>
        <v/>
      </c>
      <c r="K12" s="107">
        <f>IF(COUNTIF($C$114:$D$122,"*"&amp;F12&amp;"*")&gt;0,"〇","")</f>
        <v/>
      </c>
      <c r="L12" s="84" t="inlineStr">
        <is>
          <t>サイトマップ / XMLサイトマップ</t>
        </is>
      </c>
      <c r="O12" s="88" t="n"/>
    </row>
    <row r="13">
      <c r="B13" s="16" t="inlineStr">
        <is>
          <t>https://h-navi.jp/</t>
        </is>
      </c>
      <c r="C13" s="84" t="inlineStr">
        <is>
          <t>LITALICO発達ナビ</t>
        </is>
      </c>
      <c r="D13" s="84" t="inlineStr">
        <is>
          <t>発達障害</t>
        </is>
      </c>
      <c r="F13" s="99" t="inlineStr">
        <is>
          <t>コンテンツマーケティング</t>
        </is>
      </c>
      <c r="G13" s="93">
        <f>IF(COUNTIF($C$3:$D$31,"*"&amp;F13&amp;"*")&gt;0,"〇","")</f>
        <v/>
      </c>
      <c r="H13" s="107">
        <f>IF(COUNTIF($C$35:$D$40,"*"&amp;F13&amp;"*")&gt;0,"〇","")</f>
        <v/>
      </c>
      <c r="I13" s="107">
        <f>IF(COUNTIF($C$44:$D$52,"*"&amp;F13&amp;"*")&gt;0,"〇","")</f>
        <v/>
      </c>
      <c r="J13" s="107">
        <f>IF(COUNTIF($C$56:$D$110,"*"&amp;F13&amp;"*")&gt;0,"〇","")</f>
        <v/>
      </c>
      <c r="K13" s="107">
        <f>IF(COUNTIF($C$114:$D$122,"*"&amp;F13&amp;"*")&gt;0,"〇","")</f>
        <v/>
      </c>
      <c r="L13" s="84" t="inlineStr">
        <is>
          <t>Googleサーチコンソール / サチコ</t>
        </is>
      </c>
      <c r="O13" s="88" t="n"/>
    </row>
    <row r="14">
      <c r="B14" s="16" t="inlineStr">
        <is>
          <t>https://mieru-ca.com/blog/what-is-lp/</t>
        </is>
      </c>
      <c r="C14" s="84" t="inlineStr">
        <is>
          <t>ランディングページ（LP）とは？特徴、メリットと作り方を解説</t>
        </is>
      </c>
      <c r="D14" s="84" t="inlineStr">
        <is>
          <t>ランディングページ</t>
        </is>
      </c>
      <c r="F14" s="99" t="inlineStr">
        <is>
          <t>オウンドメディア　KPI</t>
        </is>
      </c>
      <c r="G14" s="93">
        <f>IF(COUNTIF($C$3:$D$31,"*"&amp;F14&amp;"*")&gt;0,"〇","")</f>
        <v/>
      </c>
      <c r="H14" s="107">
        <f>IF(COUNTIF($C$35:$D$40,"*"&amp;F14&amp;"*")&gt;0,"〇","")</f>
        <v/>
      </c>
      <c r="I14" s="107">
        <f>IF(COUNTIF($C$44:$D$52,"*"&amp;F14&amp;"*")&gt;0,"〇","")</f>
        <v/>
      </c>
      <c r="J14" s="107">
        <f>IF(COUNTIF($C$56:$D$110,"*"&amp;F14&amp;"*")&gt;0,"〇","")</f>
        <v/>
      </c>
      <c r="K14" s="107">
        <f>IF(COUNTIF($C$114:$D$122,"*"&amp;F14&amp;"*")&gt;0,"〇","")</f>
        <v/>
      </c>
      <c r="O14" s="88" t="n"/>
    </row>
    <row r="15">
      <c r="B15" s="16" t="inlineStr">
        <is>
          <t>https://mieru-ca.com/blog/content-marketing-success/</t>
        </is>
      </c>
      <c r="C15" s="84" t="inlineStr">
        <is>
          <t>コンテンツマーケティングとは？事例とともに戦略や手順、やり方をわかりやすく解説</t>
        </is>
      </c>
      <c r="D15" s="84" t="inlineStr">
        <is>
          <t>コンテンツマーケティング</t>
        </is>
      </c>
      <c r="F15" s="99" t="inlineStr">
        <is>
          <t>コンテンツマーケティングで重要なペルソナとは？意味や設定方法、事例について</t>
        </is>
      </c>
      <c r="G15" s="93">
        <f>IF(COUNTIF($C$3:$D$31,"*"&amp;F15&amp;"*")&gt;0,"〇","")</f>
        <v/>
      </c>
      <c r="H15" s="107">
        <f>IF(COUNTIF($C$35:$D$40,"*"&amp;F15&amp;"*")&gt;0,"〇","")</f>
        <v/>
      </c>
      <c r="I15" s="107">
        <f>IF(COUNTIF($C$44:$D$52,"*"&amp;F15&amp;"*")&gt;0,"〇","")</f>
        <v/>
      </c>
      <c r="J15" s="107">
        <f>IF(COUNTIF($C$56:$D$110,"*"&amp;F15&amp;"*")&gt;0,"〇","")</f>
        <v/>
      </c>
      <c r="K15" s="107">
        <f>IF(COUNTIF($C$114:$D$122,"*"&amp;F15&amp;"*")&gt;0,"〇","")</f>
        <v/>
      </c>
      <c r="O15" s="88" t="n"/>
    </row>
    <row r="16">
      <c r="B16" s="16" t="inlineStr">
        <is>
          <t>https://mieru-ca.com/blog/ownedmedia-kpi/</t>
        </is>
      </c>
      <c r="C16" s="84" t="inlineStr">
        <is>
          <t>オウンドメディアの適切なKPIとは？事例からみる運用フェーズごとの設定を解説</t>
        </is>
      </c>
      <c r="D16" s="84" t="inlineStr">
        <is>
          <t>オウンドメディア　KPI</t>
        </is>
      </c>
      <c r="F16" s="99" t="inlineStr">
        <is>
          <t>カスタマージャーニー</t>
        </is>
      </c>
      <c r="G16" s="93">
        <f>IF(COUNTIF($C$3:$D$31,"*"&amp;F16&amp;"*")&gt;0,"〇","")</f>
        <v/>
      </c>
      <c r="H16" s="107">
        <f>IF(COUNTIF($C$35:$D$40,"*"&amp;F16&amp;"*")&gt;0,"〇","")</f>
        <v/>
      </c>
      <c r="I16" s="107">
        <f>IF(COUNTIF($C$44:$D$52,"*"&amp;F16&amp;"*")&gt;0,"〇","")</f>
        <v/>
      </c>
      <c r="J16" s="107">
        <f>IF(COUNTIF($C$56:$D$110,"*"&amp;F16&amp;"*")&gt;0,"〇","")</f>
        <v/>
      </c>
      <c r="K16" s="107">
        <f>IF(COUNTIF($C$114:$D$122,"*"&amp;F16&amp;"*")&gt;0,"〇","")</f>
        <v/>
      </c>
      <c r="O16" s="88" t="n"/>
    </row>
    <row r="17">
      <c r="B17" s="16" t="inlineStr">
        <is>
          <t>https://mieru-ca.com/blog/persona-matome/</t>
        </is>
      </c>
      <c r="C17" s="84" t="inlineStr">
        <is>
          <t>ペルソナとは？マーケティングでの意味や設定方法、事例をわかりやすく解説</t>
        </is>
      </c>
      <c r="D17" s="84" t="inlineStr">
        <is>
          <t>コンテンツマーケティングで重要なペルソナとは？意味や設定方法、事例について</t>
        </is>
      </c>
      <c r="F17" s="99" t="inlineStr">
        <is>
          <t>カスタマージャーニーマップ</t>
        </is>
      </c>
      <c r="G17" s="93">
        <f>IF(COUNTIF($C$3:$D$31,"*"&amp;F17&amp;"*")&gt;0,"〇","")</f>
        <v/>
      </c>
      <c r="H17" s="107">
        <f>IF(COUNTIF($C$35:$D$40,"*"&amp;F17&amp;"*")&gt;0,"〇","")</f>
        <v/>
      </c>
      <c r="I17" s="107">
        <f>IF(COUNTIF($C$44:$D$52,"*"&amp;F17&amp;"*")&gt;0,"〇","")</f>
        <v/>
      </c>
      <c r="J17" s="107">
        <f>IF(COUNTIF($C$56:$D$110,"*"&amp;F17&amp;"*")&gt;0,"〇","")</f>
        <v/>
      </c>
      <c r="K17" s="107">
        <f>IF(COUNTIF($C$114:$D$122,"*"&amp;F17&amp;"*")&gt;0,"〇","")</f>
        <v/>
      </c>
      <c r="O17" s="88" t="n"/>
    </row>
    <row r="18">
      <c r="B18" s="16" t="inlineStr">
        <is>
          <t>https://mieru-ca.com/blog/customer_journey/</t>
        </is>
      </c>
      <c r="C18" s="84" t="inlineStr">
        <is>
          <t>カスタマージャーニーって何？概念と基本を5分で理解する</t>
        </is>
      </c>
      <c r="D18" s="84" t="inlineStr">
        <is>
          <t>カスタマージャーニー</t>
        </is>
      </c>
      <c r="F18" s="99" t="inlineStr">
        <is>
          <t>コンテンツ制作</t>
        </is>
      </c>
      <c r="G18" s="93">
        <f>IF(COUNTIF($C$3:$D$31,"*"&amp;F18&amp;"*")&gt;0,"〇","")</f>
        <v/>
      </c>
      <c r="H18" s="107">
        <f>IF(COUNTIF($C$35:$D$40,"*"&amp;F18&amp;"*")&gt;0,"〇","")</f>
        <v/>
      </c>
      <c r="I18" s="107">
        <f>IF(COUNTIF($C$44:$D$52,"*"&amp;F18&amp;"*")&gt;0,"〇","")</f>
        <v/>
      </c>
      <c r="J18" s="107">
        <f>IF(COUNTIF($C$56:$D$110,"*"&amp;F18&amp;"*")&gt;0,"〇","")</f>
        <v/>
      </c>
      <c r="K18" s="107">
        <f>IF(COUNTIF($C$114:$D$122,"*"&amp;F18&amp;"*")&gt;0,"〇","")</f>
        <v/>
      </c>
      <c r="O18" s="88" t="n"/>
    </row>
    <row r="19">
      <c r="B19" s="16" t="inlineStr">
        <is>
          <t>https://mieru-ca.com/blog/customer-journey-map/</t>
        </is>
      </c>
      <c r="C19" s="84" t="inlineStr">
        <is>
          <t>初めての「カスタマージャーニーマップ」基本と作り方・例～無料テンプレート付き～</t>
        </is>
      </c>
      <c r="D19" s="84" t="inlineStr">
        <is>
          <t>カスタマージャーニーマップ</t>
        </is>
      </c>
      <c r="F19" s="99" t="inlineStr">
        <is>
          <t>検索意図</t>
        </is>
      </c>
      <c r="G19" s="93">
        <f>IF(COUNTIF($C$3:$D$31,"*"&amp;F19&amp;"*")&gt;0,"〇","")</f>
        <v/>
      </c>
      <c r="H19" s="107">
        <f>IF(COUNTIF($C$35:$D$40,"*"&amp;F19&amp;"*")&gt;0,"〇","")</f>
        <v/>
      </c>
      <c r="I19" s="107">
        <f>IF(COUNTIF($C$44:$D$52,"*"&amp;F19&amp;"*")&gt;0,"〇","")</f>
        <v/>
      </c>
      <c r="J19" s="107">
        <f>IF(COUNTIF($C$56:$D$110,"*"&amp;F19&amp;"*")&gt;0,"〇","")</f>
        <v/>
      </c>
      <c r="K19" s="107">
        <f>IF(COUNTIF($C$114:$D$122,"*"&amp;F19&amp;"*")&gt;0,"〇","")</f>
        <v/>
      </c>
      <c r="L19" s="103" t="n"/>
      <c r="O19" s="88" t="n"/>
    </row>
    <row r="20">
      <c r="B20" s="16" t="inlineStr">
        <is>
          <t>https://mieru-ca.com/blog/what-is-creating-content/</t>
        </is>
      </c>
      <c r="C20" s="84" t="inlineStr">
        <is>
          <t>【初心者向け】コンテンツ制作とは？目的や流れ、必要なスキルなどを解説</t>
        </is>
      </c>
      <c r="D20" s="84" t="inlineStr">
        <is>
          <t>コンテンツ制作</t>
        </is>
      </c>
      <c r="F20" s="99" t="inlineStr">
        <is>
          <t>キーワードマップ</t>
        </is>
      </c>
      <c r="G20" s="93">
        <f>IF(COUNTIF($C$3:$D$31,"*"&amp;F20&amp;"*")&gt;0,"〇","")</f>
        <v/>
      </c>
      <c r="H20" s="107">
        <f>IF(COUNTIF($C$35:$D$40,"*"&amp;F20&amp;"*")&gt;0,"〇","")</f>
        <v/>
      </c>
      <c r="I20" s="107">
        <f>IF(COUNTIF($C$44:$D$52,"*"&amp;F20&amp;"*")&gt;0,"〇","")</f>
        <v/>
      </c>
      <c r="J20" s="107">
        <f>IF(COUNTIF($C$56:$D$110,"*"&amp;F20&amp;"*")&gt;0,"〇","")</f>
        <v/>
      </c>
      <c r="K20" s="107">
        <f>IF(COUNTIF($C$114:$D$122,"*"&amp;F20&amp;"*")&gt;0,"〇","")</f>
        <v/>
      </c>
      <c r="L20" s="103" t="n"/>
      <c r="O20" s="88" t="n"/>
    </row>
    <row r="21">
      <c r="B21" s="16" t="inlineStr">
        <is>
          <t>https://mieru-ca.com/blog/user-needs/</t>
        </is>
      </c>
      <c r="C21" s="84" t="inlineStr">
        <is>
          <t>検索意図（インテント）とは？SEOに大切な考え方と調べ方</t>
        </is>
      </c>
      <c r="D21" s="84" t="inlineStr">
        <is>
          <t>検索意図</t>
        </is>
      </c>
      <c r="F21" s="99" t="inlineStr">
        <is>
          <t>コンテンツ制作</t>
        </is>
      </c>
      <c r="G21" s="93">
        <f>IF(COUNTIF($C$3:$D$31,"*"&amp;F21&amp;"*")&gt;0,"〇","")</f>
        <v/>
      </c>
      <c r="H21" s="107">
        <f>IF(COUNTIF($C$35:$D$40,"*"&amp;F21&amp;"*")&gt;0,"〇","")</f>
        <v/>
      </c>
      <c r="I21" s="107">
        <f>IF(COUNTIF($C$44:$D$52,"*"&amp;F21&amp;"*")&gt;0,"〇","")</f>
        <v/>
      </c>
      <c r="J21" s="107">
        <f>IF(COUNTIF($C$56:$D$110,"*"&amp;F21&amp;"*")&gt;0,"〇","")</f>
        <v/>
      </c>
      <c r="K21" s="107">
        <f>IF(COUNTIF($C$114:$D$122,"*"&amp;F21&amp;"*")&gt;0,"〇","")</f>
        <v/>
      </c>
      <c r="L21" s="103" t="n"/>
      <c r="O21" s="88" t="n"/>
    </row>
    <row r="22">
      <c r="B22" s="16" t="inlineStr">
        <is>
          <t>https://mieru-ca.com/blog/keywordmap/</t>
        </is>
      </c>
      <c r="C22" s="84" t="inlineStr">
        <is>
          <t>【無料】キーワードマップ(keywordmap)の作り方と使い方、ツールに頼らず検索意図を整理する方法とは</t>
        </is>
      </c>
      <c r="D22" s="84" t="inlineStr">
        <is>
          <t>キーワードマップ</t>
        </is>
      </c>
      <c r="F22" s="99" t="inlineStr">
        <is>
          <t>Google Analytics</t>
        </is>
      </c>
      <c r="G22" s="93">
        <f>IF(COUNTIF($C$3:$D$31,"*"&amp;F22&amp;"*")&gt;0,"〇","")</f>
        <v/>
      </c>
      <c r="H22" s="107">
        <f>IF(COUNTIF($C$35:$D$40,"*"&amp;F22&amp;"*")&gt;0,"〇","")</f>
        <v/>
      </c>
      <c r="I22" s="107">
        <f>IF(COUNTIF($C$44:$D$52,"*"&amp;F22&amp;"*")&gt;0,"〇","")</f>
        <v/>
      </c>
      <c r="J22" s="107">
        <f>IF(COUNTIF($C$56:$D$110,"*"&amp;F22&amp;"*")&gt;0,"〇","")</f>
        <v/>
      </c>
      <c r="K22" s="107">
        <f>IF(COUNTIF($C$114:$D$122,"*"&amp;F22&amp;"*")&gt;0,"〇","")</f>
        <v/>
      </c>
      <c r="L22" s="103" t="n"/>
      <c r="O22" s="88" t="n"/>
    </row>
    <row r="23">
      <c r="B23" s="16" t="inlineStr">
        <is>
          <t>https://mieru-ca.com/blog/what-is-creating-content/</t>
        </is>
      </c>
      <c r="C23" s="84" t="inlineStr">
        <is>
          <t>【初心者向け】コンテンツ制作とは？目的や流れ、必要なスキルなどを解説</t>
        </is>
      </c>
      <c r="D23" s="84" t="inlineStr">
        <is>
          <t>コンテンツ制作</t>
        </is>
      </c>
      <c r="F23" s="99" t="inlineStr">
        <is>
          <t>Search Console</t>
        </is>
      </c>
      <c r="G23" s="93">
        <f>IF(COUNTIF($C$3:$D$31,"*"&amp;F23&amp;"*")&gt;0,"〇","")</f>
        <v/>
      </c>
      <c r="H23" s="107">
        <f>IF(COUNTIF($C$35:$D$40,"*"&amp;F23&amp;"*")&gt;0,"〇","")</f>
        <v/>
      </c>
      <c r="I23" s="107">
        <f>IF(COUNTIF($C$44:$D$52,"*"&amp;F23&amp;"*")&gt;0,"〇","")</f>
        <v/>
      </c>
      <c r="J23" s="107">
        <f>IF(COUNTIF($C$56:$D$110,"*"&amp;F23&amp;"*")&gt;0,"〇","")</f>
        <v/>
      </c>
      <c r="K23" s="107">
        <f>IF(COUNTIF($C$114:$D$122,"*"&amp;F23&amp;"*")&gt;0,"〇","")</f>
        <v/>
      </c>
      <c r="L23" s="103" t="n"/>
      <c r="O23" s="88" t="n"/>
    </row>
    <row r="24">
      <c r="B24" s="16" t="inlineStr">
        <is>
          <t>https://mieru-ca.com/blog/googleanalytics-whattodo/</t>
        </is>
      </c>
      <c r="C24" s="84" t="inlineStr">
        <is>
          <t>【2025年最新】Google Analytics4（グーグルアナリティクス4）とは？何ができる？わかることから主機能を紹介</t>
        </is>
      </c>
      <c r="D24" s="84" t="inlineStr">
        <is>
          <t>Google Analytics</t>
        </is>
      </c>
      <c r="F24" s="76" t="inlineStr">
        <is>
          <t>SEOツール</t>
        </is>
      </c>
      <c r="G24" s="93">
        <f>IF(COUNTIF($C$3:$D$31,"*"&amp;F24&amp;"*")&gt;0,"〇","")</f>
        <v/>
      </c>
      <c r="H24" s="107">
        <f>IF(COUNTIF($C$35:$D$40,"*"&amp;F24&amp;"*")&gt;0,"〇","")</f>
        <v/>
      </c>
      <c r="I24" s="107">
        <f>IF(COUNTIF($C$44:$D$52,"*"&amp;F24&amp;"*")&gt;0,"〇","")</f>
        <v/>
      </c>
      <c r="J24" s="107">
        <f>IF(COUNTIF($C$56:$D$110,"*"&amp;F24&amp;"*")&gt;0,"〇","")</f>
        <v/>
      </c>
      <c r="K24" s="107">
        <f>IF(COUNTIF($C$114:$D$122,"*"&amp;F24&amp;"*")&gt;0,"〇","")</f>
        <v/>
      </c>
      <c r="L24" s="103" t="n"/>
      <c r="O24" s="88" t="n"/>
    </row>
    <row r="25">
      <c r="B25" s="16" t="inlineStr">
        <is>
          <t>https://mieru-ca.com/blog/searchconsole/</t>
        </is>
      </c>
      <c r="C25" s="84" t="inlineStr">
        <is>
          <t>Googleサーチコンソールとは？基本と設定・使い方をわかりやすく解説</t>
        </is>
      </c>
      <c r="D25" s="84" t="inlineStr">
        <is>
          <t>Search Console</t>
        </is>
      </c>
      <c r="F25" s="99" t="inlineStr">
        <is>
          <t>オウンドメディア　目的</t>
        </is>
      </c>
      <c r="G25" s="93">
        <f>IF(COUNTIF($C$3:$D$31,"*"&amp;F25&amp;"*")&gt;0,"〇","")</f>
        <v/>
      </c>
      <c r="H25" s="107">
        <f>IF(COUNTIF($C$35:$D$40,"*"&amp;F25&amp;"*")&gt;0,"〇","")</f>
        <v/>
      </c>
      <c r="I25" s="107">
        <f>IF(COUNTIF($C$44:$D$52,"*"&amp;F25&amp;"*")&gt;0,"〇","")</f>
        <v/>
      </c>
      <c r="J25" s="107">
        <f>IF(COUNTIF($C$56:$D$110,"*"&amp;F25&amp;"*")&gt;0,"〇","")</f>
        <v/>
      </c>
      <c r="K25" s="107">
        <f>IF(COUNTIF($C$114:$D$122,"*"&amp;F25&amp;"*")&gt;0,"〇","")</f>
        <v/>
      </c>
      <c r="L25" s="103" t="n"/>
      <c r="O25" s="88" t="n"/>
    </row>
    <row r="26">
      <c r="B26" s="16" t="inlineStr">
        <is>
          <t>https://mieru-ca.com/blog/seotool-comparison/</t>
        </is>
      </c>
      <c r="C26" s="84" t="inlineStr">
        <is>
          <t>【比較】無料･有料SEOツール41選！機能や料金を比較しながらご紹介</t>
        </is>
      </c>
      <c r="D26" s="84" t="inlineStr">
        <is>
          <t>SEOツール</t>
        </is>
      </c>
      <c r="E26" s="88" t="n"/>
      <c r="F26" s="99" t="inlineStr">
        <is>
          <t xml:space="preserve">コンテンツSEO </t>
        </is>
      </c>
      <c r="G26" s="93">
        <f>IF(COUNTIF($C$3:$D$31,"*"&amp;F26&amp;"*")&gt;0,"〇","")</f>
        <v/>
      </c>
      <c r="H26" s="107">
        <f>IF(COUNTIF($C$35:$D$40,"*"&amp;F26&amp;"*")&gt;0,"〇","")</f>
        <v/>
      </c>
      <c r="I26" s="107">
        <f>IF(COUNTIF($C$44:$D$52,"*"&amp;F26&amp;"*")&gt;0,"〇","")</f>
        <v/>
      </c>
      <c r="J26" s="107">
        <f>IF(COUNTIF($C$56:$D$110,"*"&amp;F26&amp;"*")&gt;0,"〇","")</f>
        <v/>
      </c>
      <c r="K26" s="107">
        <f>IF(COUNTIF($C$114:$D$122,"*"&amp;F26&amp;"*")&gt;0,"〇","")</f>
        <v/>
      </c>
      <c r="L26" s="103" t="n"/>
      <c r="O26" s="88" t="n"/>
    </row>
    <row r="27">
      <c r="B27" s="16" t="inlineStr">
        <is>
          <t>https://mieru-ca.com/blog/ownedmedia_interview/</t>
        </is>
      </c>
      <c r="C27" s="84" t="inlineStr">
        <is>
          <t>オウンドメディアの目的やKPIは？運用担当者にインタビュー【3社直撃】</t>
        </is>
      </c>
      <c r="D27" s="84" t="inlineStr">
        <is>
          <t>オウンドメディア　目的</t>
        </is>
      </c>
      <c r="F27" s="99" t="inlineStr">
        <is>
          <t>SEOツール</t>
        </is>
      </c>
      <c r="G27" s="93">
        <f>IF(COUNTIF($C$3:$D$31,"*"&amp;F27&amp;"*")&gt;0,"〇","")</f>
        <v/>
      </c>
      <c r="H27" s="107">
        <f>IF(COUNTIF($C$35:$D$40,"*"&amp;F27&amp;"*")&gt;0,"〇","")</f>
        <v/>
      </c>
      <c r="I27" s="107">
        <f>IF(COUNTIF($C$44:$D$52,"*"&amp;F27&amp;"*")&gt;0,"〇","")</f>
        <v/>
      </c>
      <c r="J27" s="107">
        <f>IF(COUNTIF($C$56:$D$110,"*"&amp;F27&amp;"*")&gt;0,"〇","")</f>
        <v/>
      </c>
      <c r="K27" s="107">
        <f>IF(COUNTIF($C$114:$D$122,"*"&amp;F27&amp;"*")&gt;0,"〇","")</f>
        <v/>
      </c>
      <c r="L27" s="103" t="n"/>
      <c r="O27" s="88" t="n"/>
    </row>
    <row r="28">
      <c r="B28" s="16" t="inlineStr">
        <is>
          <t>https://mieru-ca.com/blog/contents-seo-pro/</t>
        </is>
      </c>
      <c r="C28" s="84" t="inlineStr">
        <is>
          <t>コンテンツSEOとは？基本対策・費用対効果や事例を解説</t>
        </is>
      </c>
      <c r="D28" s="84" t="inlineStr">
        <is>
          <t xml:space="preserve">コンテンツSEO </t>
        </is>
      </c>
      <c r="F28" s="99" t="inlineStr">
        <is>
          <t>AI文章校正ツール</t>
        </is>
      </c>
      <c r="G28" s="93">
        <f>IF(COUNTIF($C$3:$D$31,"*"&amp;F28&amp;"*")&gt;0,"〇","")</f>
        <v/>
      </c>
      <c r="H28" s="107">
        <f>IF(COUNTIF($C$35:$D$40,"*"&amp;F28&amp;"*")&gt;0,"〇","")</f>
        <v/>
      </c>
      <c r="I28" s="107">
        <f>IF(COUNTIF($C$44:$D$52,"*"&amp;F28&amp;"*")&gt;0,"〇","")</f>
        <v/>
      </c>
      <c r="J28" s="107">
        <f>IF(COUNTIF($C$56:$D$110,"*"&amp;F28&amp;"*")&gt;0,"〇","")</f>
        <v/>
      </c>
      <c r="K28" s="107">
        <f>IF(COUNTIF($C$114:$D$122,"*"&amp;F28&amp;"*")&gt;0,"〇","")</f>
        <v/>
      </c>
      <c r="L28" s="103" t="n"/>
      <c r="O28" s="88" t="n"/>
    </row>
    <row r="29">
      <c r="B29" s="16" t="inlineStr">
        <is>
          <t>https://mieru-ca.com/blog/seotool-comparison/</t>
        </is>
      </c>
      <c r="C29" s="84" t="inlineStr">
        <is>
          <t>【比較】無料･有料SEOツール41選！機能や料金を比較しながらご紹介</t>
        </is>
      </c>
      <c r="D29" s="84" t="inlineStr">
        <is>
          <t>SEOツール</t>
        </is>
      </c>
      <c r="F29" s="99" t="inlineStr">
        <is>
          <t>Web集客　コツ</t>
        </is>
      </c>
      <c r="G29" s="93">
        <f>IF(COUNTIF($C$3:$D$31,"*"&amp;F29&amp;"*")&gt;0,"〇","")</f>
        <v/>
      </c>
      <c r="H29" s="107">
        <f>IF(COUNTIF($C$35:$D$40,"*"&amp;F29&amp;"*")&gt;0,"〇","")</f>
        <v/>
      </c>
      <c r="I29" s="107">
        <f>IF(COUNTIF($C$44:$D$52,"*"&amp;F29&amp;"*")&gt;0,"〇","")</f>
        <v/>
      </c>
      <c r="J29" s="107">
        <f>IF(COUNTIF($C$56:$D$110,"*"&amp;F29&amp;"*")&gt;0,"〇","")</f>
        <v/>
      </c>
      <c r="K29" s="107">
        <f>IF(COUNTIF($C$114:$D$122,"*"&amp;F29&amp;"*")&gt;0,"〇","")</f>
        <v/>
      </c>
      <c r="L29" s="103" t="n"/>
      <c r="O29" s="88" t="n"/>
    </row>
    <row r="30">
      <c r="B30" s="16" t="inlineStr">
        <is>
          <t>https://mieru-ca.com/ai-seo/ai_kousei/</t>
        </is>
      </c>
      <c r="C30" s="84" t="inlineStr">
        <is>
          <t>無料のAI文章校正ツールおすすめ4つ比較してみた｜使い方・導入効果を発表</t>
        </is>
      </c>
      <c r="D30" s="84" t="inlineStr">
        <is>
          <t>AI文章校正ツール</t>
        </is>
      </c>
      <c r="F30" s="99" t="inlineStr">
        <is>
          <t>オウンドメディア　作り方</t>
        </is>
      </c>
      <c r="G30" s="93">
        <f>IF(COUNTIF($C$3:$D$31,"*"&amp;F30&amp;"*")&gt;0,"〇","")</f>
        <v/>
      </c>
      <c r="H30" s="107">
        <f>IF(COUNTIF($C$35:$D$40,"*"&amp;F30&amp;"*")&gt;0,"〇","")</f>
        <v/>
      </c>
      <c r="I30" s="107">
        <f>IF(COUNTIF($C$44:$D$52,"*"&amp;F30&amp;"*")&gt;0,"〇","")</f>
        <v/>
      </c>
      <c r="J30" s="107">
        <f>IF(COUNTIF($C$56:$D$110,"*"&amp;F30&amp;"*")&gt;0,"〇","")</f>
        <v/>
      </c>
      <c r="K30" s="107">
        <f>IF(COUNTIF($C$114:$D$122,"*"&amp;F30&amp;"*")&gt;0,"〇","")</f>
        <v/>
      </c>
      <c r="L30" s="103" t="n"/>
      <c r="O30" s="88" t="n"/>
    </row>
    <row r="31">
      <c r="B31" s="16" t="inlineStr">
        <is>
          <t>https://mieru-ca.com/blog/web_collect/</t>
        </is>
      </c>
      <c r="C31" s="84" t="inlineStr">
        <is>
          <t>Web集客のコツとは？13種類の方法と戦略、費用、ツールや事例まとめ</t>
        </is>
      </c>
      <c r="D31" s="84" t="inlineStr">
        <is>
          <t>Web集客　コツ</t>
        </is>
      </c>
      <c r="F31" s="99" t="inlineStr">
        <is>
          <t>BtoBマーケティング　無料相談</t>
        </is>
      </c>
      <c r="G31" s="93">
        <f>IF(COUNTIF($C$3:$D$31,"*"&amp;F31&amp;"*")&gt;0,"〇","")</f>
        <v/>
      </c>
      <c r="H31" s="107">
        <f>IF(COUNTIF($C$35:$D$40,"*"&amp;F31&amp;"*")&gt;0,"〇","")</f>
        <v/>
      </c>
      <c r="I31" s="107">
        <f>IF(COUNTIF($C$44:$D$52,"*"&amp;F31&amp;"*")&gt;0,"〇","")</f>
        <v/>
      </c>
      <c r="J31" s="107">
        <f>IF(COUNTIF($C$56:$D$110,"*"&amp;F31&amp;"*")&gt;0,"〇","")</f>
        <v/>
      </c>
      <c r="K31" s="107">
        <f>IF(COUNTIF($C$114:$D$122,"*"&amp;F31&amp;"*")&gt;0,"〇","")</f>
        <v/>
      </c>
      <c r="L31" s="103" t="n"/>
      <c r="O31" s="88" t="n"/>
    </row>
    <row r="32">
      <c r="F32" s="99" t="inlineStr">
        <is>
          <t>BtoBマーケティング　無料相談</t>
        </is>
      </c>
      <c r="G32" s="93">
        <f>IF(COUNTIF($C$3:$D$31,"*"&amp;F32&amp;"*")&gt;0,"〇","")</f>
        <v/>
      </c>
      <c r="H32" s="107">
        <f>IF(COUNTIF($C$35:$D$40,"*"&amp;F32&amp;"*")&gt;0,"〇","")</f>
        <v/>
      </c>
      <c r="I32" s="107">
        <f>IF(COUNTIF($C$44:$D$52,"*"&amp;F32&amp;"*")&gt;0,"〇","")</f>
        <v/>
      </c>
      <c r="J32" s="107">
        <f>IF(COUNTIF($C$56:$D$110,"*"&amp;F32&amp;"*")&gt;0,"〇","")</f>
        <v/>
      </c>
      <c r="K32" s="107">
        <f>IF(COUNTIF($C$114:$D$122,"*"&amp;F32&amp;"*")&gt;0,"〇","")</f>
        <v/>
      </c>
      <c r="L32" s="103" t="n"/>
      <c r="O32" s="88" t="n"/>
    </row>
    <row r="33">
      <c r="A33" s="84" t="inlineStr">
        <is>
          <t>2位</t>
        </is>
      </c>
      <c r="B33" s="16" t="inlineStr">
        <is>
          <t>https://www.nttcoms.com/service/b2b_marketing/glossary/ownedmedia/</t>
        </is>
      </c>
      <c r="C33" s="84" t="inlineStr">
        <is>
          <t>オウンドメディアとは　運営のポイントとこれからの活用テクニック</t>
        </is>
      </c>
      <c r="F33" s="99" t="inlineStr">
        <is>
          <t>BtoB　コンテンツマーケティング</t>
        </is>
      </c>
      <c r="G33" s="93">
        <f>IF(COUNTIF($C$3:$D$31,"*"&amp;F33&amp;"*")&gt;0,"〇","")</f>
        <v/>
      </c>
      <c r="H33" s="107">
        <f>IF(COUNTIF($C$35:$D$40,"*"&amp;F33&amp;"*")&gt;0,"〇","")</f>
        <v/>
      </c>
      <c r="I33" s="107">
        <f>IF(COUNTIF($C$44:$D$52,"*"&amp;F33&amp;"*")&gt;0,"〇","")</f>
        <v/>
      </c>
      <c r="J33" s="107">
        <f>IF(COUNTIF($C$56:$D$110,"*"&amp;F33&amp;"*")&gt;0,"〇","")</f>
        <v/>
      </c>
      <c r="K33" s="107">
        <f>IF(COUNTIF($C$114:$D$122,"*"&amp;F33&amp;"*")&gt;0,"〇","")</f>
        <v/>
      </c>
      <c r="L33" s="103" t="n"/>
      <c r="O33" s="88" t="n"/>
    </row>
    <row r="34">
      <c r="F34" s="99" t="inlineStr">
        <is>
          <t>オウンドメディア　作り方</t>
        </is>
      </c>
      <c r="G34" s="93">
        <f>IF(COUNTIF($C$3:$D$31,"*"&amp;F34&amp;"*")&gt;0,"〇","")</f>
        <v/>
      </c>
      <c r="H34" s="107">
        <f>IF(COUNTIF($C$35:$D$40,"*"&amp;F34&amp;"*")&gt;0,"〇","")</f>
        <v/>
      </c>
      <c r="I34" s="107">
        <f>IF(COUNTIF($C$44:$D$52,"*"&amp;F34&amp;"*")&gt;0,"〇","")</f>
        <v/>
      </c>
      <c r="J34" s="107">
        <f>IF(COUNTIF($C$56:$D$110,"*"&amp;F34&amp;"*")&gt;0,"〇","")</f>
        <v/>
      </c>
      <c r="K34" s="107">
        <f>IF(COUNTIF($C$114:$D$122,"*"&amp;F34&amp;"*")&gt;0,"〇","")</f>
        <v/>
      </c>
      <c r="L34" s="103" t="n"/>
      <c r="O34" s="88" t="n"/>
    </row>
    <row r="35">
      <c r="A35" s="84" t="inlineStr">
        <is>
          <t>内部発リンク</t>
        </is>
      </c>
      <c r="B35" s="16" t="inlineStr">
        <is>
          <t>https://www.nttcoms.com/service/b2b_marketing/download/download10/</t>
        </is>
      </c>
      <c r="C35" s="84" t="inlineStr">
        <is>
          <t>～立ち上げまでの検討項目と成果を挙げるコツ～オウンドメディアの作り方</t>
        </is>
      </c>
      <c r="D35" s="84" t="inlineStr">
        <is>
          <t>オウンドメディア　作り方</t>
        </is>
      </c>
      <c r="F35" s="99" t="inlineStr">
        <is>
          <t>オウンドメディア　費用</t>
        </is>
      </c>
      <c r="G35" s="93">
        <f>IF(COUNTIF($C$3:$D$31,"*"&amp;F35&amp;"*")&gt;0,"〇","")</f>
        <v/>
      </c>
      <c r="H35" s="107">
        <f>IF(COUNTIF($C$35:$D$40,"*"&amp;F35&amp;"*")&gt;0,"〇","")</f>
        <v/>
      </c>
      <c r="I35" s="107">
        <f>IF(COUNTIF($C$44:$D$52,"*"&amp;F35&amp;"*")&gt;0,"〇","")</f>
        <v/>
      </c>
      <c r="J35" s="107">
        <f>IF(COUNTIF($C$56:$D$110,"*"&amp;F35&amp;"*")&gt;0,"〇","")</f>
        <v/>
      </c>
      <c r="K35" s="107">
        <f>IF(COUNTIF($C$114:$D$122,"*"&amp;F35&amp;"*")&gt;0,"〇","")</f>
        <v/>
      </c>
      <c r="L35" s="103" t="n"/>
      <c r="O35" s="88" t="n"/>
    </row>
    <row r="36">
      <c r="B36" s="16" t="inlineStr">
        <is>
          <t>https://www.nttcoms.com/service/b2b_marketing/freeconsultation_inquiry/</t>
        </is>
      </c>
      <c r="C36" s="84" t="inlineStr">
        <is>
          <t>無料相談</t>
        </is>
      </c>
      <c r="D36" s="84" t="inlineStr">
        <is>
          <t>BtoBマーケティング　無料相談</t>
        </is>
      </c>
      <c r="F36" s="99" t="inlineStr">
        <is>
          <t>オウンドメディア　構築</t>
        </is>
      </c>
      <c r="G36" s="93">
        <f>IF(COUNTIF($C$3:$D$31,"*"&amp;F36&amp;"*")&gt;0,"〇","")</f>
        <v/>
      </c>
      <c r="H36" s="107">
        <f>IF(COUNTIF($C$35:$D$40,"*"&amp;F36&amp;"*")&gt;0,"〇","")</f>
        <v/>
      </c>
      <c r="I36" s="107">
        <f>IF(COUNTIF($C$44:$D$52,"*"&amp;F36&amp;"*")&gt;0,"〇","")</f>
        <v/>
      </c>
      <c r="J36" s="107">
        <f>IF(COUNTIF($C$56:$D$110,"*"&amp;F36&amp;"*")&gt;0,"〇","")</f>
        <v/>
      </c>
      <c r="K36" s="107">
        <f>IF(COUNTIF($C$114:$D$122,"*"&amp;F36&amp;"*")&gt;0,"〇","")</f>
        <v/>
      </c>
      <c r="L36" s="103" t="n"/>
      <c r="O36" s="88" t="n"/>
    </row>
    <row r="37">
      <c r="B37" s="16" t="inlineStr">
        <is>
          <t>https://www.nttcoms.com/service/b2b_marketing/freeconsultation_inquiry/</t>
        </is>
      </c>
      <c r="C37" s="84" t="inlineStr">
        <is>
          <t>無料相談</t>
        </is>
      </c>
      <c r="D37" s="84" t="inlineStr">
        <is>
          <t>BtoBマーケティング　無料相談</t>
        </is>
      </c>
      <c r="F37" s="99" t="inlineStr">
        <is>
          <t>すべて</t>
        </is>
      </c>
      <c r="G37" s="93">
        <f>IF(COUNTIF($C$3:$D$31,"*"&amp;F37&amp;"*")&gt;0,"〇","")</f>
        <v/>
      </c>
      <c r="H37" s="107">
        <f>IF(COUNTIF($C$35:$D$40,"*"&amp;F37&amp;"*")&gt;0,"〇","")</f>
        <v/>
      </c>
      <c r="I37" s="107">
        <f>IF(COUNTIF($C$44:$D$52,"*"&amp;F37&amp;"*")&gt;0,"〇","")</f>
        <v/>
      </c>
      <c r="J37" s="107">
        <f>IF(COUNTIF($C$56:$D$110,"*"&amp;F37&amp;"*")&gt;0,"〇","")</f>
        <v/>
      </c>
      <c r="K37" s="107">
        <f>IF(COUNTIF($C$114:$D$122,"*"&amp;F37&amp;"*")&gt;0,"〇","")</f>
        <v/>
      </c>
      <c r="L37" s="103" t="n"/>
      <c r="O37" s="88" t="n"/>
    </row>
    <row r="38">
      <c r="B38" s="16" t="inlineStr">
        <is>
          <t>https://www.nttcoms.com/service/b2b_marketing/service_dmsupport/content/</t>
        </is>
      </c>
      <c r="C38" s="84" t="inlineStr">
        <is>
          <t>NTTドコモビジネスXのBtoBコンテンツマーケティング支援</t>
        </is>
      </c>
      <c r="D38" s="84" t="inlineStr">
        <is>
          <t>BtoB　コンテンツマーケティング</t>
        </is>
      </c>
      <c r="F38" s="99" t="inlineStr">
        <is>
          <t>デジスタイル京都</t>
        </is>
      </c>
      <c r="G38" s="93">
        <f>IF(COUNTIF($C$3:$D$31,"*"&amp;F38&amp;"*")&gt;0,"〇","")</f>
        <v/>
      </c>
      <c r="H38" s="107">
        <f>IF(COUNTIF($C$35:$D$40,"*"&amp;F38&amp;"*")&gt;0,"〇","")</f>
        <v/>
      </c>
      <c r="I38" s="107">
        <f>IF(COUNTIF($C$44:$D$52,"*"&amp;F38&amp;"*")&gt;0,"〇","")</f>
        <v/>
      </c>
      <c r="J38" s="107">
        <f>IF(COUNTIF($C$56:$D$110,"*"&amp;F38&amp;"*")&gt;0,"〇","")</f>
        <v/>
      </c>
      <c r="K38" s="107">
        <f>IF(COUNTIF($C$114:$D$122,"*"&amp;F38&amp;"*")&gt;0,"〇","")</f>
        <v/>
      </c>
      <c r="L38" s="103" t="n"/>
      <c r="O38" s="88" t="n"/>
    </row>
    <row r="39">
      <c r="A39" s="84" t="n"/>
      <c r="B39" s="16" t="inlineStr">
        <is>
          <t>https://www.nttcoms.com/service/b2b_marketing/column/20221018/</t>
        </is>
      </c>
      <c r="C39" s="84" t="inlineStr">
        <is>
          <t>オウンドメディアの作り方、立ち上げまでの検討項目と成果を挙げるコツ</t>
        </is>
      </c>
      <c r="D39" s="84" t="inlineStr">
        <is>
          <t>オウンドメディア　作り方</t>
        </is>
      </c>
      <c r="F39" s="99" t="inlineStr">
        <is>
          <t>E-toko京都　インスタグラム</t>
        </is>
      </c>
      <c r="G39" s="93">
        <f>IF(COUNTIF($C$3:$D$31,"*"&amp;F39&amp;"*")&gt;0,"〇","")</f>
        <v/>
      </c>
      <c r="H39" s="107">
        <f>IF(COUNTIF($C$35:$D$40,"*"&amp;F39&amp;"*")&gt;0,"〇","")</f>
        <v/>
      </c>
      <c r="I39" s="107">
        <f>IF(COUNTIF($C$44:$D$52,"*"&amp;F39&amp;"*")&gt;0,"〇","")</f>
        <v/>
      </c>
      <c r="J39" s="107">
        <f>IF(COUNTIF($C$56:$D$110,"*"&amp;F39&amp;"*")&gt;0,"〇","")</f>
        <v/>
      </c>
      <c r="K39" s="107">
        <f>IF(COUNTIF($C$114:$D$122,"*"&amp;F39&amp;"*")&gt;0,"〇","")</f>
        <v/>
      </c>
      <c r="L39" s="103" t="n"/>
      <c r="O39" s="88" t="n"/>
    </row>
    <row r="40">
      <c r="B40" s="16" t="inlineStr">
        <is>
          <t>https://www.nttcoms.com/service/b2b_marketing/column/20221017/</t>
        </is>
      </c>
      <c r="C40" s="84" t="inlineStr">
        <is>
          <t>オウンドメディア構築にかかる費用について解説、費用を抑えるポイントも</t>
        </is>
      </c>
      <c r="D40" s="84" t="inlineStr">
        <is>
          <t>オウンドメディア　費用</t>
        </is>
      </c>
      <c r="F40" s="99" t="inlineStr">
        <is>
          <t>オウンドメディア</t>
        </is>
      </c>
      <c r="G40" s="93">
        <f>IF(COUNTIF($C$3:$D$31,"*"&amp;F40&amp;"*")&gt;0,"〇","")</f>
        <v/>
      </c>
      <c r="H40" s="107">
        <f>IF(COUNTIF($C$35:$D$40,"*"&amp;F40&amp;"*")&gt;0,"〇","")</f>
        <v/>
      </c>
      <c r="I40" s="107">
        <f>IF(COUNTIF($C$44:$D$52,"*"&amp;F40&amp;"*")&gt;0,"〇","")</f>
        <v/>
      </c>
      <c r="J40" s="107">
        <f>IF(COUNTIF($C$56:$D$110,"*"&amp;F40&amp;"*")&gt;0,"〇","")</f>
        <v/>
      </c>
      <c r="K40" s="107">
        <f>IF(COUNTIF($C$114:$D$122,"*"&amp;F40&amp;"*")&gt;0,"〇","")</f>
        <v/>
      </c>
      <c r="L40" s="103" t="n"/>
      <c r="O40" s="88" t="n"/>
    </row>
    <row r="41">
      <c r="B41" s="84" t="n"/>
      <c r="F41" s="99" t="inlineStr">
        <is>
          <t>デジタルプロモーション</t>
        </is>
      </c>
      <c r="G41" s="93">
        <f>IF(COUNTIF($C$3:$D$31,"*"&amp;F41&amp;"*")&gt;0,"〇","")</f>
        <v/>
      </c>
      <c r="H41" s="107">
        <f>IF(COUNTIF($C$35:$D$40,"*"&amp;F41&amp;"*")&gt;0,"〇","")</f>
        <v/>
      </c>
      <c r="I41" s="107">
        <f>IF(COUNTIF($C$44:$D$52,"*"&amp;F41&amp;"*")&gt;0,"〇","")</f>
        <v/>
      </c>
      <c r="J41" s="107">
        <f>IF(COUNTIF($C$56:$D$110,"*"&amp;F41&amp;"*")&gt;0,"〇","")</f>
        <v/>
      </c>
      <c r="K41" s="107">
        <f>IF(COUNTIF($C$114:$D$122,"*"&amp;F41&amp;"*")&gt;0,"〇","")</f>
        <v/>
      </c>
      <c r="L41" s="103" t="n"/>
      <c r="O41" s="88" t="n"/>
    </row>
    <row r="42">
      <c r="A42" s="84" t="inlineStr">
        <is>
          <t>3位</t>
        </is>
      </c>
      <c r="B42" s="16" t="inlineStr">
        <is>
          <t>https://www.takara-sc.co.jp/column/2204/</t>
        </is>
      </c>
      <c r="C42" s="84" t="inlineStr">
        <is>
          <t>今さら聞けない「オウンドメディア」「アーンドメディア」「ペイドメディア」の違いとは？</t>
        </is>
      </c>
      <c r="F42" s="99" t="inlineStr">
        <is>
          <t>デジタル広告　課金</t>
        </is>
      </c>
      <c r="G42" s="93">
        <f>IF(COUNTIF($C$3:$D$31,"*"&amp;F42&amp;"*")&gt;0,"〇","")</f>
        <v/>
      </c>
      <c r="H42" s="107">
        <f>IF(COUNTIF($C$35:$D$40,"*"&amp;F42&amp;"*")&gt;0,"〇","")</f>
        <v/>
      </c>
      <c r="I42" s="107">
        <f>IF(COUNTIF($C$44:$D$52,"*"&amp;F42&amp;"*")&gt;0,"〇","")</f>
        <v/>
      </c>
      <c r="J42" s="107">
        <f>IF(COUNTIF($C$56:$D$110,"*"&amp;F42&amp;"*")&gt;0,"〇","")</f>
        <v/>
      </c>
      <c r="K42" s="107">
        <f>IF(COUNTIF($C$114:$D$122,"*"&amp;F42&amp;"*")&gt;0,"〇","")</f>
        <v/>
      </c>
      <c r="L42" s="103" t="n"/>
      <c r="O42" s="88" t="n"/>
    </row>
    <row r="43">
      <c r="F43" s="99" t="inlineStr">
        <is>
          <t>予約型広告　運用型広告　違い</t>
        </is>
      </c>
      <c r="G43" s="93">
        <f>IF(COUNTIF($C$3:$D$31,"*"&amp;F43&amp;"*")&gt;0,"〇","")</f>
        <v/>
      </c>
      <c r="H43" s="107">
        <f>IF(COUNTIF($C$35:$D$40,"*"&amp;F43&amp;"*")&gt;0,"〇","")</f>
        <v/>
      </c>
      <c r="I43" s="107">
        <f>IF(COUNTIF($C$44:$D$52,"*"&amp;F43&amp;"*")&gt;0,"〇","")</f>
        <v/>
      </c>
      <c r="J43" s="107">
        <f>IF(COUNTIF($C$56:$D$110,"*"&amp;F43&amp;"*")&gt;0,"〇","")</f>
        <v/>
      </c>
      <c r="K43" s="107">
        <f>IF(COUNTIF($C$114:$D$122,"*"&amp;F43&amp;"*")&gt;0,"〇","")</f>
        <v/>
      </c>
      <c r="L43" s="103" t="n"/>
      <c r="O43" s="88" t="n"/>
    </row>
    <row r="44">
      <c r="A44" s="84" t="inlineStr">
        <is>
          <t>内部発リンク</t>
        </is>
      </c>
      <c r="B44" s="16" t="inlineStr">
        <is>
          <t>https://www.takara-sc.co.jp/column/column_category/ownedmedia/</t>
        </is>
      </c>
      <c r="C44" s="84" t="inlineStr">
        <is>
          <t>COLUMN - お役立ち情報</t>
        </is>
      </c>
      <c r="D44" s="84" t="inlineStr">
        <is>
          <t>オウンドメディア　構築</t>
        </is>
      </c>
      <c r="F44" s="99" t="inlineStr">
        <is>
          <t>デジタル広告　種類</t>
        </is>
      </c>
      <c r="G44" s="93">
        <f>IF(COUNTIF($C$3:$D$31,"*"&amp;F44&amp;"*")&gt;0,"〇","")</f>
        <v/>
      </c>
      <c r="H44" s="107">
        <f>IF(COUNTIF($C$35:$D$40,"*"&amp;F44&amp;"*")&gt;0,"〇","")</f>
        <v/>
      </c>
      <c r="I44" s="107">
        <f>IF(COUNTIF($C$44:$D$52,"*"&amp;F44&amp;"*")&gt;0,"〇","")</f>
        <v/>
      </c>
      <c r="J44" s="107">
        <f>IF(COUNTIF($C$56:$D$110,"*"&amp;F44&amp;"*")&gt;0,"〇","")</f>
        <v/>
      </c>
      <c r="K44" s="107">
        <f>IF(COUNTIF($C$114:$D$122,"*"&amp;F44&amp;"*")&gt;0,"〇","")</f>
        <v/>
      </c>
      <c r="L44" s="103" t="n"/>
      <c r="O44" s="88" t="n"/>
    </row>
    <row r="45">
      <c r="B45" s="16" t="inlineStr">
        <is>
          <t>https://www.takara-sc.co.jp/column/column_category/all/</t>
        </is>
      </c>
      <c r="C45" s="84" t="inlineStr">
        <is>
          <t>COLUMN - お役立ち情報</t>
        </is>
      </c>
      <c r="D45" s="84" t="inlineStr">
        <is>
          <t>すべて</t>
        </is>
      </c>
      <c r="F45" s="99" t="inlineStr">
        <is>
          <t>Marketing Blog</t>
        </is>
      </c>
      <c r="G45" s="93">
        <f>IF(COUNTIF($C$3:$D$31,"*"&amp;F45&amp;"*")&gt;0,"〇","")</f>
        <v/>
      </c>
      <c r="H45" s="107">
        <f>IF(COUNTIF($C$35:$D$40,"*"&amp;F45&amp;"*")&gt;0,"〇","")</f>
        <v/>
      </c>
      <c r="I45" s="107">
        <f>IF(COUNTIF($C$44:$D$52,"*"&amp;F45&amp;"*")&gt;0,"〇","")</f>
        <v/>
      </c>
      <c r="J45" s="107">
        <f>IF(COUNTIF($C$56:$D$110,"*"&amp;F45&amp;"*")&gt;0,"〇","")</f>
        <v/>
      </c>
      <c r="K45" s="107">
        <f>IF(COUNTIF($C$114:$D$122,"*"&amp;F45&amp;"*")&gt;0,"〇","")</f>
        <v/>
      </c>
      <c r="L45" s="103" t="n"/>
      <c r="O45" s="88" t="n"/>
    </row>
    <row r="46">
      <c r="B46" s="16" t="inlineStr">
        <is>
          <t>https://www.digistyle-kyoto.com/</t>
        </is>
      </c>
      <c r="C46" s="84" t="inlineStr">
        <is>
          <t>デジスタイル京都</t>
        </is>
      </c>
      <c r="D46" s="84" t="inlineStr">
        <is>
          <t>デジスタイル京都</t>
        </is>
      </c>
      <c r="F46" s="99" t="inlineStr">
        <is>
          <t>マーケティングブログ　オウンドメディア</t>
        </is>
      </c>
      <c r="G46" s="93">
        <f>IF(COUNTIF($C$3:$D$31,"*"&amp;F46&amp;"*")&gt;0,"〇","")</f>
        <v/>
      </c>
      <c r="H46" s="107">
        <f>IF(COUNTIF($C$35:$D$40,"*"&amp;F46&amp;"*")&gt;0,"〇","")</f>
        <v/>
      </c>
      <c r="I46" s="107">
        <f>IF(COUNTIF($C$44:$D$52,"*"&amp;F46&amp;"*")&gt;0,"〇","")</f>
        <v/>
      </c>
      <c r="J46" s="107">
        <f>IF(COUNTIF($C$56:$D$110,"*"&amp;F46&amp;"*")&gt;0,"〇","")</f>
        <v/>
      </c>
      <c r="K46" s="107">
        <f>IF(COUNTIF($C$114:$D$122,"*"&amp;F46&amp;"*")&gt;0,"〇","")</f>
        <v/>
      </c>
      <c r="L46" s="103" t="n"/>
      <c r="O46" s="88" t="n"/>
    </row>
    <row r="47">
      <c r="B47" s="16" t="inlineStr">
        <is>
          <t>https://www.instagram.com/e_toko_kyoto/?hl=ja</t>
        </is>
      </c>
      <c r="C47" s="84" t="inlineStr">
        <is>
          <t>e_toko_kyoto</t>
        </is>
      </c>
      <c r="D47" s="84" t="inlineStr">
        <is>
          <t>E-toko京都　インスタグラム</t>
        </is>
      </c>
      <c r="F47" s="99" t="inlineStr">
        <is>
          <t>マーケティングブログ　事例紹介</t>
        </is>
      </c>
      <c r="G47" s="93">
        <f>IF(COUNTIF($C$3:$D$31,"*"&amp;F47&amp;"*")&gt;0,"〇","")</f>
        <v/>
      </c>
      <c r="H47" s="107">
        <f>IF(COUNTIF($C$35:$D$40,"*"&amp;F47&amp;"*")&gt;0,"〇","")</f>
        <v/>
      </c>
      <c r="I47" s="107">
        <f>IF(COUNTIF($C$44:$D$52,"*"&amp;F47&amp;"*")&gt;0,"〇","")</f>
        <v/>
      </c>
      <c r="J47" s="107">
        <f>IF(COUNTIF($C$56:$D$110,"*"&amp;F47&amp;"*")&gt;0,"〇","")</f>
        <v/>
      </c>
      <c r="K47" s="107">
        <f>IF(COUNTIF($C$114:$D$122,"*"&amp;F47&amp;"*")&gt;0,"〇","")</f>
        <v/>
      </c>
      <c r="L47" s="103" t="n"/>
      <c r="O47" s="88" t="n"/>
    </row>
    <row r="48">
      <c r="B48" s="16" t="inlineStr">
        <is>
          <t>https://www.takara-sc.co.jp/service/ownedmedia/</t>
        </is>
      </c>
      <c r="C48" s="84" t="inlineStr">
        <is>
          <t>オウンドメディア構築・運⽤</t>
        </is>
      </c>
      <c r="D48" s="84" t="inlineStr">
        <is>
          <t>オウンドメディア</t>
        </is>
      </c>
      <c r="F48" s="99" t="inlineStr">
        <is>
          <t>マーケティングブログ　基礎知識</t>
        </is>
      </c>
      <c r="G48" s="93">
        <f>IF(COUNTIF($C$3:$D$31,"*"&amp;F48&amp;"*")&gt;0,"〇","")</f>
        <v/>
      </c>
      <c r="H48" s="107">
        <f>IF(COUNTIF($C$35:$D$40,"*"&amp;F48&amp;"*")&gt;0,"〇","")</f>
        <v/>
      </c>
      <c r="I48" s="107">
        <f>IF(COUNTIF($C$44:$D$52,"*"&amp;F48&amp;"*")&gt;0,"〇","")</f>
        <v/>
      </c>
      <c r="J48" s="107">
        <f>IF(COUNTIF($C$56:$D$110,"*"&amp;F48&amp;"*")&gt;0,"〇","")</f>
        <v/>
      </c>
      <c r="K48" s="107">
        <f>IF(COUNTIF($C$114:$D$122,"*"&amp;F48&amp;"*")&gt;0,"〇","")</f>
        <v/>
      </c>
      <c r="L48" s="103" t="n"/>
      <c r="O48" s="88" t="n"/>
    </row>
    <row r="49">
      <c r="B49" s="16" t="inlineStr">
        <is>
          <t>https://www.takara-sc.co.jp/service/digital/</t>
        </is>
      </c>
      <c r="C49" s="84" t="inlineStr">
        <is>
          <t>デジタルプロモーション</t>
        </is>
      </c>
      <c r="D49" s="84" t="inlineStr">
        <is>
          <t>デジタルプロモーション</t>
        </is>
      </c>
      <c r="F49" s="99" t="inlineStr">
        <is>
          <t>SATORI</t>
        </is>
      </c>
      <c r="G49" s="93">
        <f>IF(COUNTIF($C$3:$D$31,"*"&amp;F49&amp;"*")&gt;0,"〇","")</f>
        <v/>
      </c>
      <c r="H49" s="107">
        <f>IF(COUNTIF($C$35:$D$40,"*"&amp;F49&amp;"*")&gt;0,"〇","")</f>
        <v/>
      </c>
      <c r="I49" s="107">
        <f>IF(COUNTIF($C$44:$D$52,"*"&amp;F49&amp;"*")&gt;0,"〇","")</f>
        <v/>
      </c>
      <c r="J49" s="107">
        <f>IF(COUNTIF($C$56:$D$110,"*"&amp;F49&amp;"*")&gt;0,"〇","")</f>
        <v/>
      </c>
      <c r="K49" s="107">
        <f>IF(COUNTIF($C$114:$D$122,"*"&amp;F49&amp;"*")&gt;0,"〇","")</f>
        <v/>
      </c>
      <c r="L49" s="103" t="n"/>
      <c r="O49" s="88" t="n"/>
    </row>
    <row r="50">
      <c r="B50" s="16" t="inlineStr">
        <is>
          <t>https://www.takara-sc.co.jp/column/4642/</t>
        </is>
      </c>
      <c r="C50" s="84" t="inlineStr">
        <is>
          <t>デジタル広告のはじめかたー課金方式についてー</t>
        </is>
      </c>
      <c r="D50" s="84" t="inlineStr">
        <is>
          <t>デジタル広告　課金</t>
        </is>
      </c>
      <c r="F50" s="99" t="inlineStr">
        <is>
          <t>お役立ち資料</t>
        </is>
      </c>
      <c r="G50" s="93">
        <f>IF(COUNTIF($C$3:$D$31,"*"&amp;F50&amp;"*")&gt;0,"〇","")</f>
        <v/>
      </c>
      <c r="H50" s="107">
        <f>IF(COUNTIF($C$35:$D$40,"*"&amp;F50&amp;"*")&gt;0,"〇","")</f>
        <v/>
      </c>
      <c r="I50" s="107">
        <f>IF(COUNTIF($C$44:$D$52,"*"&amp;F50&amp;"*")&gt;0,"〇","")</f>
        <v/>
      </c>
      <c r="J50" s="107">
        <f>IF(COUNTIF($C$56:$D$110,"*"&amp;F50&amp;"*")&gt;0,"〇","")</f>
        <v/>
      </c>
      <c r="K50" s="107">
        <f>IF(COUNTIF($C$114:$D$122,"*"&amp;F50&amp;"*")&gt;0,"〇","")</f>
        <v/>
      </c>
      <c r="L50" s="103" t="n"/>
      <c r="O50" s="88" t="n"/>
    </row>
    <row r="51">
      <c r="B51" s="16" t="inlineStr">
        <is>
          <t>https://www.takara-sc.co.jp/column/4629/</t>
        </is>
      </c>
      <c r="C51" s="84" t="inlineStr">
        <is>
          <t>デジタル広告のはじめかた－予約型広告と運用型広告の違い－</t>
        </is>
      </c>
      <c r="D51" s="84" t="inlineStr">
        <is>
          <t>予約型広告　運用型広告　違い</t>
        </is>
      </c>
      <c r="F51" s="99" t="inlineStr">
        <is>
          <t>お問い合わせ</t>
        </is>
      </c>
      <c r="G51" s="93">
        <f>IF(COUNTIF($C$3:$D$31,"*"&amp;F51&amp;"*")&gt;0,"〇","")</f>
        <v/>
      </c>
      <c r="H51" s="107">
        <f>IF(COUNTIF($C$35:$D$40,"*"&amp;F51&amp;"*")&gt;0,"〇","")</f>
        <v/>
      </c>
      <c r="I51" s="107">
        <f>IF(COUNTIF($C$44:$D$52,"*"&amp;F51&amp;"*")&gt;0,"〇","")</f>
        <v/>
      </c>
      <c r="J51" s="107">
        <f>IF(COUNTIF($C$56:$D$110,"*"&amp;F51&amp;"*")&gt;0,"〇","")</f>
        <v/>
      </c>
      <c r="K51" s="107">
        <f>IF(COUNTIF($C$114:$D$122,"*"&amp;F51&amp;"*")&gt;0,"〇","")</f>
        <v/>
      </c>
      <c r="L51" s="103" t="n"/>
      <c r="O51" s="88" t="n"/>
    </row>
    <row r="52">
      <c r="B52" s="16" t="inlineStr">
        <is>
          <t>https://www.takara-sc.co.jp/column/4624/</t>
        </is>
      </c>
      <c r="C52" s="84" t="inlineStr">
        <is>
          <t>デジタル広告のはじめかた－広告にはどんな種類があるの？－</t>
        </is>
      </c>
      <c r="D52" s="84" t="inlineStr">
        <is>
          <t>デジタル広告　種類</t>
        </is>
      </c>
      <c r="F52" s="99" t="inlineStr">
        <is>
          <t>メールマガジン登録</t>
        </is>
      </c>
      <c r="G52" s="93">
        <f>IF(COUNTIF($C$3:$D$31,"*"&amp;F52&amp;"*")&gt;0,"〇","")</f>
        <v/>
      </c>
      <c r="H52" s="107">
        <f>IF(COUNTIF($C$35:$D$40,"*"&amp;F52&amp;"*")&gt;0,"〇","")</f>
        <v/>
      </c>
      <c r="I52" s="107">
        <f>IF(COUNTIF($C$44:$D$52,"*"&amp;F52&amp;"*")&gt;0,"〇","")</f>
        <v/>
      </c>
      <c r="J52" s="107">
        <f>IF(COUNTIF($C$56:$D$110,"*"&amp;F52&amp;"*")&gt;0,"〇","")</f>
        <v/>
      </c>
      <c r="K52" s="107">
        <f>IF(COUNTIF($C$114:$D$122,"*"&amp;F52&amp;"*")&gt;0,"〇","")</f>
        <v/>
      </c>
      <c r="L52" s="103" t="n"/>
      <c r="O52" s="88" t="n"/>
    </row>
    <row r="53">
      <c r="F53" s="99" t="inlineStr">
        <is>
          <t>MAツール　メール配信ツール　違い</t>
        </is>
      </c>
      <c r="G53" s="93">
        <f>IF(COUNTIF($C$3:$D$31,"*"&amp;F53&amp;"*")&gt;0,"〇","")</f>
        <v/>
      </c>
      <c r="H53" s="107">
        <f>IF(COUNTIF($C$35:$D$40,"*"&amp;F53&amp;"*")&gt;0,"〇","")</f>
        <v/>
      </c>
      <c r="I53" s="107">
        <f>IF(COUNTIF($C$44:$D$52,"*"&amp;F53&amp;"*")&gt;0,"〇","")</f>
        <v/>
      </c>
      <c r="J53" s="107">
        <f>IF(COUNTIF($C$56:$D$110,"*"&amp;F53&amp;"*")&gt;0,"〇","")</f>
        <v/>
      </c>
      <c r="K53" s="107">
        <f>IF(COUNTIF($C$114:$D$122,"*"&amp;F53&amp;"*")&gt;0,"〇","")</f>
        <v/>
      </c>
      <c r="L53" s="103" t="n"/>
      <c r="O53" s="88" t="n"/>
    </row>
    <row r="54">
      <c r="A54" s="84" t="inlineStr">
        <is>
          <t>4位</t>
        </is>
      </c>
      <c r="B54" s="28" t="inlineStr">
        <is>
          <t>https://satori.marketing/marketing-blog/ownedmedia-meaning/</t>
        </is>
      </c>
      <c r="C54" s="84" t="inlineStr">
        <is>
          <t>オウンドメディアの意味とは？ホームページとの違いを事例で解説</t>
        </is>
      </c>
      <c r="F54" s="99" t="inlineStr">
        <is>
          <t>マーケティングブログ　マーケティングオートメーション</t>
        </is>
      </c>
      <c r="G54" s="93">
        <f>IF(COUNTIF($C$3:$D$31,"*"&amp;F54&amp;"*")&gt;0,"〇","")</f>
        <v/>
      </c>
      <c r="H54" s="107">
        <f>IF(COUNTIF($C$35:$D$40,"*"&amp;F54&amp;"*")&gt;0,"〇","")</f>
        <v/>
      </c>
      <c r="I54" s="107">
        <f>IF(COUNTIF($C$44:$D$52,"*"&amp;F54&amp;"*")&gt;0,"〇","")</f>
        <v/>
      </c>
      <c r="J54" s="107">
        <f>IF(COUNTIF($C$56:$D$110,"*"&amp;F54&amp;"*")&gt;0,"〇","")</f>
        <v/>
      </c>
      <c r="K54" s="107">
        <f>IF(COUNTIF($C$114:$D$122,"*"&amp;F54&amp;"*")&gt;0,"〇","")</f>
        <v/>
      </c>
      <c r="L54" s="103" t="n"/>
      <c r="O54" s="88" t="n"/>
    </row>
    <row r="55">
      <c r="B55" s="84" t="n"/>
      <c r="C55" s="78" t="n"/>
      <c r="E55" s="103" t="n"/>
      <c r="F55" s="99" t="inlineStr">
        <is>
          <t>SFAとは</t>
        </is>
      </c>
      <c r="G55" s="93">
        <f>IF(COUNTIF($C$3:$D$31,"*"&amp;F55&amp;"*")&gt;0,"〇","")</f>
        <v/>
      </c>
      <c r="H55" s="107">
        <f>IF(COUNTIF($C$35:$D$40,"*"&amp;F55&amp;"*")&gt;0,"〇","")</f>
        <v/>
      </c>
      <c r="I55" s="107">
        <f>IF(COUNTIF($C$44:$D$52,"*"&amp;F55&amp;"*")&gt;0,"〇","")</f>
        <v/>
      </c>
      <c r="J55" s="107">
        <f>IF(COUNTIF($C$56:$D$110,"*"&amp;F55&amp;"*")&gt;0,"〇","")</f>
        <v/>
      </c>
      <c r="K55" s="107">
        <f>IF(COUNTIF($C$114:$D$122,"*"&amp;F55&amp;"*")&gt;0,"〇","")</f>
        <v/>
      </c>
      <c r="L55" s="103" t="n"/>
      <c r="O55" s="88" t="n"/>
    </row>
    <row r="56">
      <c r="A56" s="84" t="inlineStr">
        <is>
          <t>内部発リンク</t>
        </is>
      </c>
      <c r="B56" s="28" t="inlineStr">
        <is>
          <t>https://satori.marketing/marketing-blog/</t>
        </is>
      </c>
      <c r="C56" s="84" t="inlineStr">
        <is>
          <t>マーケティングブログ</t>
        </is>
      </c>
      <c r="D56" s="84" t="inlineStr">
        <is>
          <t>Marketing Blog</t>
        </is>
      </c>
      <c r="F56" s="105" t="inlineStr">
        <is>
          <t>新規顧客開拓とは</t>
        </is>
      </c>
      <c r="G56" s="93">
        <f>IF(COUNTIF($C$3:$D$31,"*"&amp;F56&amp;"*")&gt;0,"〇","")</f>
        <v/>
      </c>
      <c r="H56" s="107">
        <f>IF(COUNTIF($C$35:$D$40,"*"&amp;F56&amp;"*")&gt;0,"〇","")</f>
        <v/>
      </c>
      <c r="I56" s="107">
        <f>IF(COUNTIF($C$44:$D$52,"*"&amp;F56&amp;"*")&gt;0,"〇","")</f>
        <v/>
      </c>
      <c r="J56" s="107">
        <f>IF(COUNTIF($C$56:$D$110,"*"&amp;F56&amp;"*")&gt;0,"〇","")</f>
        <v/>
      </c>
      <c r="K56" s="107">
        <f>IF(COUNTIF($C$114:$D$122,"*"&amp;F56&amp;"*")&gt;0,"〇","")</f>
        <v/>
      </c>
      <c r="L56" s="103" t="n"/>
      <c r="O56" s="88" t="n"/>
    </row>
    <row r="57">
      <c r="B57" s="16" t="inlineStr">
        <is>
          <t>https://satori.marketing/marketing-blog/tag/%e3%82%aa%e3%82%a6%e3%83%b3%e3%83%89%e3%83%a1%e3%83%87%e3%82%a3%e3%82%a2/</t>
        </is>
      </c>
      <c r="C57" s="84" t="inlineStr">
        <is>
          <t>マーケティングブログ　タグ：オウンドメディア</t>
        </is>
      </c>
      <c r="D57" s="84" t="inlineStr">
        <is>
          <t>マーケティングブログ　オウンドメディア</t>
        </is>
      </c>
      <c r="F57" s="105" t="inlineStr">
        <is>
          <t>Webプッシュ通知とは</t>
        </is>
      </c>
      <c r="G57" s="93">
        <f>IF(COUNTIF($C$3:$D$31,"*"&amp;F57&amp;"*")&gt;0,"〇","")</f>
        <v/>
      </c>
      <c r="H57" s="107">
        <f>IF(COUNTIF($C$35:$D$40,"*"&amp;F57&amp;"*")&gt;0,"〇","")</f>
        <v/>
      </c>
      <c r="I57" s="107">
        <f>IF(COUNTIF($C$44:$D$52,"*"&amp;F57&amp;"*")&gt;0,"〇","")</f>
        <v/>
      </c>
      <c r="J57" s="107">
        <f>IF(COUNTIF($C$56:$D$110,"*"&amp;F57&amp;"*")&gt;0,"〇","")</f>
        <v/>
      </c>
      <c r="K57" s="107">
        <f>IF(COUNTIF($C$114:$D$122,"*"&amp;F57&amp;"*")&gt;0,"〇","")</f>
        <v/>
      </c>
      <c r="L57" s="103" t="n"/>
      <c r="O57" s="88" t="n"/>
    </row>
    <row r="58">
      <c r="B58" s="28" t="inlineStr">
        <is>
          <t>https://satori.marketing/marketing-blog/tag/%e4%ba%8b%e4%be%8b%e7%b4%b9%e4%bb%8b/</t>
        </is>
      </c>
      <c r="C58" s="84" t="inlineStr">
        <is>
          <t>マーケティングブログ　タグ：事例紹介</t>
        </is>
      </c>
      <c r="D58" s="84" t="inlineStr">
        <is>
          <t>マーケティングブログ　事例紹介</t>
        </is>
      </c>
      <c r="F58" s="105" t="inlineStr">
        <is>
          <t>マーケティングブログ　マーケティング</t>
        </is>
      </c>
      <c r="G58" s="93">
        <f>IF(COUNTIF($C$3:$D$31,"*"&amp;F58&amp;"*")&gt;0,"〇","")</f>
        <v/>
      </c>
      <c r="H58" s="107">
        <f>IF(COUNTIF($C$35:$D$40,"*"&amp;F58&amp;"*")&gt;0,"〇","")</f>
        <v/>
      </c>
      <c r="I58" s="107">
        <f>IF(COUNTIF($C$44:$D$52,"*"&amp;F58&amp;"*")&gt;0,"〇","")</f>
        <v/>
      </c>
      <c r="J58" s="107">
        <f>IF(COUNTIF($C$56:$D$110,"*"&amp;F58&amp;"*")&gt;0,"〇","")</f>
        <v/>
      </c>
      <c r="K58" s="107">
        <f>IF(COUNTIF($C$114:$D$122,"*"&amp;F58&amp;"*")&gt;0,"〇","")</f>
        <v/>
      </c>
      <c r="L58" s="103" t="n"/>
      <c r="O58" s="88" t="n"/>
    </row>
    <row r="59">
      <c r="B59" s="28" t="inlineStr">
        <is>
          <t>https://satori.marketing/marketing-blog/tag/%e5%9f%ba%e7%a4%8e%e7%9f%a5%e8%ad%98/</t>
        </is>
      </c>
      <c r="C59" s="84" t="inlineStr">
        <is>
          <t>マーケティングブログ　タグ：基礎知識</t>
        </is>
      </c>
      <c r="D59" s="84" t="inlineStr">
        <is>
          <t>マーケティングブログ　基礎知識</t>
        </is>
      </c>
      <c r="F59" s="105" t="inlineStr">
        <is>
          <t>アップセル・クロスセルとは</t>
        </is>
      </c>
      <c r="G59" s="93">
        <f>IF(COUNTIF($C$3:$D$31,"*"&amp;F59&amp;"*")&gt;0,"〇","")</f>
        <v/>
      </c>
      <c r="H59" s="107">
        <f>IF(COUNTIF($C$35:$D$40,"*"&amp;F59&amp;"*")&gt;0,"〇","")</f>
        <v/>
      </c>
      <c r="I59" s="107">
        <f>IF(COUNTIF($C$44:$D$52,"*"&amp;F59&amp;"*")&gt;0,"〇","")</f>
        <v/>
      </c>
      <c r="J59" s="107">
        <f>IF(COUNTIF($C$56:$D$110,"*"&amp;F59&amp;"*")&gt;0,"〇","")</f>
        <v/>
      </c>
      <c r="K59" s="107">
        <f>IF(COUNTIF($C$114:$D$122,"*"&amp;F59&amp;"*")&gt;0,"〇","")</f>
        <v/>
      </c>
      <c r="L59" s="103" t="n"/>
      <c r="O59" s="88" t="n"/>
    </row>
    <row r="60">
      <c r="B60" s="16" t="inlineStr">
        <is>
          <t>https://satori.marketing/</t>
        </is>
      </c>
      <c r="C60" s="84" t="inlineStr">
        <is>
          <t>見込み顧客を増やすマーケティングオートメーション「SATORI」</t>
        </is>
      </c>
      <c r="D60" s="84" t="inlineStr">
        <is>
          <t>SATORI</t>
        </is>
      </c>
      <c r="F60" s="105" t="inlineStr">
        <is>
          <t>マーケティングブログ　Web広告・SNS</t>
        </is>
      </c>
      <c r="G60" s="93">
        <f>IF(COUNTIF($C$3:$D$31,"*"&amp;F60&amp;"*")&gt;0,"〇","")</f>
        <v/>
      </c>
      <c r="H60" s="107">
        <f>IF(COUNTIF($C$35:$D$40,"*"&amp;F60&amp;"*")&gt;0,"〇","")</f>
        <v/>
      </c>
      <c r="I60" s="107">
        <f>IF(COUNTIF($C$44:$D$52,"*"&amp;F60&amp;"*")&gt;0,"〇","")</f>
        <v/>
      </c>
      <c r="J60" s="107">
        <f>IF(COUNTIF($C$56:$D$110,"*"&amp;F60&amp;"*")&gt;0,"〇","")</f>
        <v/>
      </c>
      <c r="K60" s="107">
        <f>IF(COUNTIF($C$114:$D$122,"*"&amp;F60&amp;"*")&gt;0,"〇","")</f>
        <v/>
      </c>
      <c r="L60" s="103" t="n"/>
      <c r="O60" s="88" t="n"/>
    </row>
    <row r="61">
      <c r="B61" s="16" t="inlineStr">
        <is>
          <t>https://satori.marketing/materials/</t>
        </is>
      </c>
      <c r="C61" s="84" t="inlineStr">
        <is>
          <t>お役立ち資料</t>
        </is>
      </c>
      <c r="D61" s="84" t="inlineStr">
        <is>
          <t>お役立ち資料</t>
        </is>
      </c>
      <c r="F61" s="105" t="inlineStr">
        <is>
          <t>マーケティングブログ　イベントレポート</t>
        </is>
      </c>
      <c r="G61" s="93">
        <f>IF(COUNTIF($C$3:$D$31,"*"&amp;F61&amp;"*")&gt;0,"〇","")</f>
        <v/>
      </c>
      <c r="H61" s="107">
        <f>IF(COUNTIF($C$35:$D$40,"*"&amp;F61&amp;"*")&gt;0,"〇","")</f>
        <v/>
      </c>
      <c r="I61" s="107">
        <f>IF(COUNTIF($C$44:$D$52,"*"&amp;F61&amp;"*")&gt;0,"〇","")</f>
        <v/>
      </c>
      <c r="J61" s="107">
        <f>IF(COUNTIF($C$56:$D$110,"*"&amp;F61&amp;"*")&gt;0,"〇","")</f>
        <v/>
      </c>
      <c r="K61" s="107">
        <f>IF(COUNTIF($C$114:$D$122,"*"&amp;F61&amp;"*")&gt;0,"〇","")</f>
        <v/>
      </c>
      <c r="L61" s="103" t="n"/>
      <c r="O61" s="88" t="n"/>
    </row>
    <row r="62">
      <c r="B62" s="16" t="inlineStr">
        <is>
          <t>https://satori.marketing/inquiry/</t>
        </is>
      </c>
      <c r="C62" s="84" t="inlineStr">
        <is>
          <t>お問い合わせ</t>
        </is>
      </c>
      <c r="D62" s="84" t="inlineStr">
        <is>
          <t>お問い合わせ</t>
        </is>
      </c>
      <c r="F62" s="105" t="inlineStr">
        <is>
          <t>マーケティングブログ　コンテンツマーケティング</t>
        </is>
      </c>
      <c r="G62" s="93">
        <f>IF(COUNTIF($C$3:$D$31,"*"&amp;F62&amp;"*")&gt;0,"〇","")</f>
        <v/>
      </c>
      <c r="H62" s="107">
        <f>IF(COUNTIF($C$35:$D$40,"*"&amp;F62&amp;"*")&gt;0,"〇","")</f>
        <v/>
      </c>
      <c r="I62" s="107">
        <f>IF(COUNTIF($C$44:$D$52,"*"&amp;F62&amp;"*")&gt;0,"〇","")</f>
        <v/>
      </c>
      <c r="J62" s="107">
        <f>IF(COUNTIF($C$56:$D$110,"*"&amp;F62&amp;"*")&gt;0,"〇","")</f>
        <v/>
      </c>
      <c r="K62" s="107">
        <f>IF(COUNTIF($C$114:$D$122,"*"&amp;F62&amp;"*")&gt;0,"〇","")</f>
        <v/>
      </c>
      <c r="L62" s="103" t="n"/>
      <c r="O62" s="88" t="n"/>
    </row>
    <row r="63">
      <c r="B63" s="16" t="inlineStr">
        <is>
          <t>https://satori.marketing/mailmagazine/?s_action=embed_sidebar_blog_mail_magazine_subscribe</t>
        </is>
      </c>
      <c r="C63" s="84" t="inlineStr">
        <is>
          <t>メールマガジン登録</t>
        </is>
      </c>
      <c r="D63" s="84" t="inlineStr">
        <is>
          <t>メールマガジン登録</t>
        </is>
      </c>
      <c r="F63" s="105" t="inlineStr">
        <is>
          <t>マーケティングブログ　デジタルマーケティング</t>
        </is>
      </c>
      <c r="G63" s="93">
        <f>IF(COUNTIF($C$3:$D$31,"*"&amp;F63&amp;"*")&gt;0,"〇","")</f>
        <v/>
      </c>
      <c r="H63" s="107">
        <f>IF(COUNTIF($C$35:$D$40,"*"&amp;F63&amp;"*")&gt;0,"〇","")</f>
        <v/>
      </c>
      <c r="I63" s="107">
        <f>IF(COUNTIF($C$44:$D$52,"*"&amp;F63&amp;"*")&gt;0,"〇","")</f>
        <v/>
      </c>
      <c r="J63" s="107">
        <f>IF(COUNTIF($C$56:$D$110,"*"&amp;F63&amp;"*")&gt;0,"〇","")</f>
        <v/>
      </c>
      <c r="K63" s="107">
        <f>IF(COUNTIF($C$114:$D$122,"*"&amp;F63&amp;"*")&gt;0,"〇","")</f>
        <v/>
      </c>
      <c r="L63" s="103" t="n"/>
      <c r="O63" s="88" t="n"/>
    </row>
    <row r="64">
      <c r="B64" s="100" t="inlineStr">
        <is>
          <t>https://satori.marketing/marketing-blog/what-is-the-difference-between-ma-and-mail/</t>
        </is>
      </c>
      <c r="C64" s="55" t="inlineStr">
        <is>
          <t>MAツールとメール配信ツールの違い・機能比較表と選び方</t>
        </is>
      </c>
      <c r="D64" s="55" t="inlineStr">
        <is>
          <t>MAツール　メール配信ツール　違い</t>
        </is>
      </c>
      <c r="F64" s="105" t="inlineStr">
        <is>
          <t>マーケティングブログ　メールマーケティング</t>
        </is>
      </c>
      <c r="G64" s="93">
        <f>IF(COUNTIF($C$3:$D$31,"*"&amp;F64&amp;"*")&gt;0,"〇","")</f>
        <v/>
      </c>
      <c r="H64" s="107">
        <f>IF(COUNTIF($C$35:$D$40,"*"&amp;F64&amp;"*")&gt;0,"〇","")</f>
        <v/>
      </c>
      <c r="I64" s="107">
        <f>IF(COUNTIF($C$44:$D$52,"*"&amp;F64&amp;"*")&gt;0,"〇","")</f>
        <v/>
      </c>
      <c r="J64" s="107">
        <f>IF(COUNTIF($C$56:$D$110,"*"&amp;F64&amp;"*")&gt;0,"〇","")</f>
        <v/>
      </c>
      <c r="K64" s="107">
        <f>IF(COUNTIF($C$114:$D$122,"*"&amp;F64&amp;"*")&gt;0,"〇","")</f>
        <v/>
      </c>
      <c r="L64" s="103" t="n"/>
      <c r="O64" s="88" t="n"/>
    </row>
    <row r="65">
      <c r="B65" s="28" t="inlineStr">
        <is>
          <t>https://satori.marketing/marketing-blog/category/marketing-automation/</t>
        </is>
      </c>
      <c r="C65" s="84" t="inlineStr">
        <is>
          <t>マーケティングブログ　タグ：マーケティングオートメーション</t>
        </is>
      </c>
      <c r="D65" s="84" t="inlineStr">
        <is>
          <t>マーケティングブログ　マーケティングオートメーション</t>
        </is>
      </c>
      <c r="F65" s="105" t="inlineStr">
        <is>
          <t>マーケティングブログ　DX</t>
        </is>
      </c>
      <c r="G65" s="93">
        <f>IF(COUNTIF($C$3:$D$31,"*"&amp;F65&amp;"*")&gt;0,"〇","")</f>
        <v/>
      </c>
      <c r="H65" s="107">
        <f>IF(COUNTIF($C$35:$D$40,"*"&amp;F65&amp;"*")&gt;0,"〇","")</f>
        <v/>
      </c>
      <c r="I65" s="107">
        <f>IF(COUNTIF($C$44:$D$52,"*"&amp;F65&amp;"*")&gt;0,"〇","")</f>
        <v/>
      </c>
      <c r="J65" s="107">
        <f>IF(COUNTIF($C$56:$D$110,"*"&amp;F65&amp;"*")&gt;0,"〇","")</f>
        <v/>
      </c>
      <c r="K65" s="107">
        <f>IF(COUNTIF($C$114:$D$122,"*"&amp;F65&amp;"*")&gt;0,"〇","")</f>
        <v/>
      </c>
      <c r="L65" s="103" t="n"/>
      <c r="O65" s="88" t="n"/>
    </row>
    <row r="66">
      <c r="B66" s="23" t="inlineStr">
        <is>
          <t>https://satori.marketing/marketing-blog/sfa/</t>
        </is>
      </c>
      <c r="C66" s="84" t="inlineStr">
        <is>
          <t>SFAとは？基本機能やCRMとの違い、活用ポイント</t>
        </is>
      </c>
      <c r="D66" s="84" t="inlineStr">
        <is>
          <t>SFAとは</t>
        </is>
      </c>
      <c r="F66" s="105" t="inlineStr">
        <is>
          <t>マーケティングブログ　Googleアナリティクス・GTM</t>
        </is>
      </c>
      <c r="G66" s="93">
        <f>IF(COUNTIF($C$3:$D$31,"*"&amp;F66&amp;"*")&gt;0,"〇","")</f>
        <v/>
      </c>
      <c r="H66" s="107">
        <f>IF(COUNTIF($C$35:$D$40,"*"&amp;F66&amp;"*")&gt;0,"〇","")</f>
        <v/>
      </c>
      <c r="I66" s="107">
        <f>IF(COUNTIF($C$44:$D$52,"*"&amp;F66&amp;"*")&gt;0,"〇","")</f>
        <v/>
      </c>
      <c r="J66" s="107">
        <f>IF(COUNTIF($C$56:$D$110,"*"&amp;F66&amp;"*")&gt;0,"〇","")</f>
        <v/>
      </c>
      <c r="K66" s="107">
        <f>IF(COUNTIF($C$114:$D$122,"*"&amp;F66&amp;"*")&gt;0,"〇","")</f>
        <v/>
      </c>
      <c r="L66" s="103" t="n"/>
      <c r="O66" s="88" t="n"/>
    </row>
    <row r="67">
      <c r="B67" s="28" t="inlineStr">
        <is>
          <t>https://satori.marketing/marketing-blog/customer-acquisition/</t>
        </is>
      </c>
      <c r="C67" s="84" t="inlineStr">
        <is>
          <t>新規顧客開拓とは？効果的な9手法と成功のコツ</t>
        </is>
      </c>
      <c r="D67" s="84" t="inlineStr">
        <is>
          <t>新規顧客開拓とは</t>
        </is>
      </c>
      <c r="F67" s="105" t="inlineStr">
        <is>
          <t xml:space="preserve">マーケティングブログ　KGI・KPI </t>
        </is>
      </c>
      <c r="G67" s="93">
        <f>IF(COUNTIF($C$3:$D$31,"*"&amp;F67&amp;"*")&gt;0,"〇","")</f>
        <v/>
      </c>
      <c r="H67" s="107">
        <f>IF(COUNTIF($C$35:$D$40,"*"&amp;F67&amp;"*")&gt;0,"〇","")</f>
        <v/>
      </c>
      <c r="I67" s="107">
        <f>IF(COUNTIF($C$44:$D$52,"*"&amp;F67&amp;"*")&gt;0,"〇","")</f>
        <v/>
      </c>
      <c r="J67" s="107">
        <f>IF(COUNTIF($C$56:$D$110,"*"&amp;F67&amp;"*")&gt;0,"〇","")</f>
        <v/>
      </c>
      <c r="K67" s="107">
        <f>IF(COUNTIF($C$114:$D$122,"*"&amp;F67&amp;"*")&gt;0,"〇","")</f>
        <v/>
      </c>
      <c r="L67" s="103" t="n"/>
      <c r="O67" s="88" t="n"/>
    </row>
    <row r="68">
      <c r="B68" s="28" t="inlineStr">
        <is>
          <t>https://satori.marketing/marketing-blog/web-push-notification/</t>
        </is>
      </c>
      <c r="C68" s="84" t="inlineStr">
        <is>
          <t>Webプッシュ通知とは？仕組みや活用メリット・注意点</t>
        </is>
      </c>
      <c r="D68" s="84" t="inlineStr">
        <is>
          <t>Webプッシュ通知とは</t>
        </is>
      </c>
      <c r="E68" s="123" t="n"/>
      <c r="F68" s="105" t="inlineStr">
        <is>
          <t>マーケティングブログ　SEO</t>
        </is>
      </c>
      <c r="G68" s="93">
        <f>IF(COUNTIF($C$3:$D$31,"*"&amp;F68&amp;"*")&gt;0,"〇","")</f>
        <v/>
      </c>
      <c r="H68" s="107">
        <f>IF(COUNTIF($C$35:$D$40,"*"&amp;F68&amp;"*")&gt;0,"〇","")</f>
        <v/>
      </c>
      <c r="I68" s="107">
        <f>IF(COUNTIF($C$44:$D$52,"*"&amp;F68&amp;"*")&gt;0,"〇","")</f>
        <v/>
      </c>
      <c r="J68" s="107">
        <f>IF(COUNTIF($C$56:$D$110,"*"&amp;F68&amp;"*")&gt;0,"〇","")</f>
        <v/>
      </c>
      <c r="K68" s="107">
        <f>IF(COUNTIF($C$114:$D$122,"*"&amp;F68&amp;"*")&gt;0,"〇","")</f>
        <v/>
      </c>
      <c r="L68" s="103" t="n"/>
      <c r="O68" s="88" t="n"/>
    </row>
    <row r="69">
      <c r="B69" s="28" t="inlineStr">
        <is>
          <t>https://satori.marketing/marketing-blog/category/marketing/</t>
        </is>
      </c>
      <c r="C69" s="84" t="inlineStr">
        <is>
          <t>マーケティングブログ　タグ：マーケティング</t>
        </is>
      </c>
      <c r="D69" s="84" t="inlineStr">
        <is>
          <t>マーケティングブログ　マーケティング</t>
        </is>
      </c>
      <c r="E69" s="123" t="n"/>
      <c r="F69" s="105" t="inlineStr">
        <is>
          <t>マーケティングブログ　アドテクノロジー</t>
        </is>
      </c>
      <c r="G69" s="93">
        <f>IF(COUNTIF($C$3:$D$31,"*"&amp;F69&amp;"*")&gt;0,"〇","")</f>
        <v/>
      </c>
      <c r="H69" s="107">
        <f>IF(COUNTIF($C$35:$D$40,"*"&amp;F69&amp;"*")&gt;0,"〇","")</f>
        <v/>
      </c>
      <c r="I69" s="107">
        <f>IF(COUNTIF($C$44:$D$52,"*"&amp;F69&amp;"*")&gt;0,"〇","")</f>
        <v/>
      </c>
      <c r="J69" s="107">
        <f>IF(COUNTIF($C$56:$D$110,"*"&amp;F69&amp;"*")&gt;0,"〇","")</f>
        <v/>
      </c>
      <c r="K69" s="107">
        <f>IF(COUNTIF($C$114:$D$122,"*"&amp;F69&amp;"*")&gt;0,"〇","")</f>
        <v/>
      </c>
      <c r="L69" s="103" t="n"/>
      <c r="O69" s="88" t="n"/>
    </row>
    <row r="70">
      <c r="B70" s="28" t="inlineStr">
        <is>
          <t>https://satori.marketing/marketing-blog/upselling_crossselling/</t>
        </is>
      </c>
      <c r="C70" s="84" t="inlineStr">
        <is>
          <t>アップセル・クロスセルとは？意味や違いと施策例、成功事例</t>
        </is>
      </c>
      <c r="D70" s="84" t="inlineStr">
        <is>
          <t>アップセル・クロスセルとは</t>
        </is>
      </c>
      <c r="E70" s="123" t="n"/>
      <c r="F70" s="105" t="inlineStr">
        <is>
          <t>マーケティングブログ　インサイドセールス</t>
        </is>
      </c>
      <c r="G70" s="93">
        <f>IF(COUNTIF($C$3:$D$31,"*"&amp;F70&amp;"*")&gt;0,"〇","")</f>
        <v/>
      </c>
      <c r="H70" s="107">
        <f>IF(COUNTIF($C$35:$D$40,"*"&amp;F70&amp;"*")&gt;0,"〇","")</f>
        <v/>
      </c>
      <c r="I70" s="107">
        <f>IF(COUNTIF($C$44:$D$52,"*"&amp;F70&amp;"*")&gt;0,"〇","")</f>
        <v/>
      </c>
      <c r="J70" s="107">
        <f>IF(COUNTIF($C$56:$D$110,"*"&amp;F70&amp;"*")&gt;0,"〇","")</f>
        <v/>
      </c>
      <c r="K70" s="107">
        <f>IF(COUNTIF($C$114:$D$122,"*"&amp;F70&amp;"*")&gt;0,"〇","")</f>
        <v/>
      </c>
      <c r="L70" s="103" t="n"/>
      <c r="O70" s="88" t="n"/>
    </row>
    <row r="71">
      <c r="B71" s="16" t="inlineStr">
        <is>
          <t>https://satori.marketing/marketing-blog/category/web-advertising/</t>
        </is>
      </c>
      <c r="C71" s="84" t="inlineStr">
        <is>
          <t>マーケティングブログ　タグ：Web広告・SNS</t>
        </is>
      </c>
      <c r="D71" s="84" t="inlineStr">
        <is>
          <t>マーケティングブログ　Web広告・SNS</t>
        </is>
      </c>
      <c r="E71" s="123" t="n"/>
      <c r="F71" s="105" t="inlineStr">
        <is>
          <t>マーケティングブログ　ウェビナー・セミナー</t>
        </is>
      </c>
      <c r="G71" s="93">
        <f>IF(COUNTIF($C$3:$D$31,"*"&amp;F71&amp;"*")&gt;0,"〇","")</f>
        <v/>
      </c>
      <c r="H71" s="107">
        <f>IF(COUNTIF($C$35:$D$40,"*"&amp;F71&amp;"*")&gt;0,"〇","")</f>
        <v/>
      </c>
      <c r="I71" s="107">
        <f>IF(COUNTIF($C$44:$D$52,"*"&amp;F71&amp;"*")&gt;0,"〇","")</f>
        <v/>
      </c>
      <c r="J71" s="107">
        <f>IF(COUNTIF($C$56:$D$110,"*"&amp;F71&amp;"*")&gt;0,"〇","")</f>
        <v/>
      </c>
      <c r="K71" s="107">
        <f>IF(COUNTIF($C$114:$D$122,"*"&amp;F71&amp;"*")&gt;0,"〇","")</f>
        <v/>
      </c>
      <c r="L71" s="103" t="n"/>
      <c r="O71" s="88" t="n"/>
    </row>
    <row r="72">
      <c r="B72" s="16" t="inlineStr">
        <is>
          <t>https://satori.marketing/marketing-blog/category/event-report/</t>
        </is>
      </c>
      <c r="C72" s="84" t="inlineStr">
        <is>
          <t>マーケティングブログ　タグ：イベントレポート</t>
        </is>
      </c>
      <c r="D72" s="84" t="inlineStr">
        <is>
          <t>マーケティングブログ　イベントレポート</t>
        </is>
      </c>
      <c r="E72" s="123" t="n"/>
      <c r="F72" s="105" t="inlineStr">
        <is>
          <t xml:space="preserve">マーケティングブログ　おすすめ書籍 </t>
        </is>
      </c>
      <c r="G72" s="93">
        <f>IF(COUNTIF($C$3:$D$31,"*"&amp;F72&amp;"*")&gt;0,"〇","")</f>
        <v/>
      </c>
      <c r="H72" s="107">
        <f>IF(COUNTIF($C$35:$D$40,"*"&amp;F72&amp;"*")&gt;0,"〇","")</f>
        <v/>
      </c>
      <c r="I72" s="107">
        <f>IF(COUNTIF($C$44:$D$52,"*"&amp;F72&amp;"*")&gt;0,"〇","")</f>
        <v/>
      </c>
      <c r="J72" s="107">
        <f>IF(COUNTIF($C$56:$D$110,"*"&amp;F72&amp;"*")&gt;0,"〇","")</f>
        <v/>
      </c>
      <c r="K72" s="107">
        <f>IF(COUNTIF($C$114:$D$122,"*"&amp;F72&amp;"*")&gt;0,"〇","")</f>
        <v/>
      </c>
      <c r="L72" s="103" t="n"/>
      <c r="O72" s="88" t="n"/>
    </row>
    <row r="73">
      <c r="B73" s="16" t="inlineStr">
        <is>
          <t>https://satori.marketing/marketing-blog/category/contents-marketing/</t>
        </is>
      </c>
      <c r="C73" s="84" t="inlineStr">
        <is>
          <t>マーケティングブログ　タグ：コンテンツマーケティング</t>
        </is>
      </c>
      <c r="D73" s="84" t="inlineStr">
        <is>
          <t>マーケティングブログ　コンテンツマーケティング</t>
        </is>
      </c>
      <c r="E73" s="123" t="n"/>
      <c r="F73" s="105" t="inlineStr">
        <is>
          <t>マーケティングブログ　カスタマーサクセス</t>
        </is>
      </c>
      <c r="G73" s="93">
        <f>IF(COUNTIF($C$3:$D$31,"*"&amp;F73&amp;"*")&gt;0,"〇","")</f>
        <v/>
      </c>
      <c r="H73" s="107">
        <f>IF(COUNTIF($C$35:$D$40,"*"&amp;F73&amp;"*")&gt;0,"〇","")</f>
        <v/>
      </c>
      <c r="I73" s="107">
        <f>IF(COUNTIF($C$44:$D$52,"*"&amp;F73&amp;"*")&gt;0,"〇","")</f>
        <v/>
      </c>
      <c r="J73" s="107">
        <f>IF(COUNTIF($C$56:$D$110,"*"&amp;F73&amp;"*")&gt;0,"〇","")</f>
        <v/>
      </c>
      <c r="K73" s="107">
        <f>IF(COUNTIF($C$114:$D$122,"*"&amp;F73&amp;"*")&gt;0,"〇","")</f>
        <v/>
      </c>
      <c r="L73" s="103" t="n"/>
      <c r="O73" s="88" t="n"/>
    </row>
    <row r="74">
      <c r="B74" s="28" t="inlineStr">
        <is>
          <t>https://satori.marketing/marketing-blog/category/digital-marketing/</t>
        </is>
      </c>
      <c r="C74" s="84" t="inlineStr">
        <is>
          <t>マーケティングブログ　タグ：デジタルマーケティング</t>
        </is>
      </c>
      <c r="D74" s="84" t="inlineStr">
        <is>
          <t>マーケティングブログ　デジタルマーケティング</t>
        </is>
      </c>
      <c r="E74" s="123" t="n"/>
      <c r="F74" s="105" t="inlineStr">
        <is>
          <t>マーケティングブログ　スキル・資格</t>
        </is>
      </c>
      <c r="G74" s="93">
        <f>IF(COUNTIF($C$3:$D$31,"*"&amp;F74&amp;"*")&gt;0,"〇","")</f>
        <v/>
      </c>
      <c r="H74" s="107">
        <f>IF(COUNTIF($C$35:$D$40,"*"&amp;F74&amp;"*")&gt;0,"〇","")</f>
        <v/>
      </c>
      <c r="I74" s="107">
        <f>IF(COUNTIF($C$44:$D$52,"*"&amp;F74&amp;"*")&gt;0,"〇","")</f>
        <v/>
      </c>
      <c r="J74" s="107">
        <f>IF(COUNTIF($C$56:$D$110,"*"&amp;F74&amp;"*")&gt;0,"〇","")</f>
        <v/>
      </c>
      <c r="K74" s="107">
        <f>IF(COUNTIF($C$114:$D$122,"*"&amp;F74&amp;"*")&gt;0,"〇","")</f>
        <v/>
      </c>
      <c r="L74" s="103" t="n"/>
      <c r="O74" s="88" t="n"/>
    </row>
    <row r="75">
      <c r="B75" s="28" t="inlineStr">
        <is>
          <t>https://satori.marketing/marketing-blog/category/mail-marketing/</t>
        </is>
      </c>
      <c r="C75" s="84" t="inlineStr">
        <is>
          <t>マーケティングブログ　タグ：メールマーケティング</t>
        </is>
      </c>
      <c r="D75" s="84" t="inlineStr">
        <is>
          <t>マーケティングブログ　メールマーケティング</t>
        </is>
      </c>
      <c r="E75" s="123" t="n"/>
      <c r="F75" s="105" t="inlineStr">
        <is>
          <t>マーケティングブログ　ツールの選び方</t>
        </is>
      </c>
      <c r="G75" s="93">
        <f>IF(COUNTIF($C$3:$D$31,"*"&amp;F75&amp;"*")&gt;0,"〇","")</f>
        <v/>
      </c>
      <c r="H75" s="107">
        <f>IF(COUNTIF($C$35:$D$40,"*"&amp;F75&amp;"*")&gt;0,"〇","")</f>
        <v/>
      </c>
      <c r="I75" s="107">
        <f>IF(COUNTIF($C$44:$D$52,"*"&amp;F75&amp;"*")&gt;0,"〇","")</f>
        <v/>
      </c>
      <c r="J75" s="107">
        <f>IF(COUNTIF($C$56:$D$110,"*"&amp;F75&amp;"*")&gt;0,"〇","")</f>
        <v/>
      </c>
      <c r="K75" s="107">
        <f>IF(COUNTIF($C$114:$D$122,"*"&amp;F75&amp;"*")&gt;0,"〇","")</f>
        <v/>
      </c>
      <c r="L75" s="103" t="n"/>
      <c r="O75" s="88" t="n"/>
    </row>
    <row r="76">
      <c r="B76" s="28" t="inlineStr">
        <is>
          <t>https://satori.marketing/marketing-blog/tag/dx/</t>
        </is>
      </c>
      <c r="C76" s="84" t="inlineStr">
        <is>
          <t>マーケティングブログ　タグ：DX</t>
        </is>
      </c>
      <c r="D76" s="84" t="inlineStr">
        <is>
          <t>マーケティングブログ　DX</t>
        </is>
      </c>
      <c r="E76" s="123" t="n"/>
      <c r="F76" s="105" t="inlineStr">
        <is>
          <t>マーケティングブログ　ツール設定</t>
        </is>
      </c>
      <c r="G76" s="93">
        <f>IF(COUNTIF($C$3:$D$31,"*"&amp;F76&amp;"*")&gt;0,"〇","")</f>
        <v/>
      </c>
      <c r="H76" s="107">
        <f>IF(COUNTIF($C$35:$D$40,"*"&amp;F76&amp;"*")&gt;0,"〇","")</f>
        <v/>
      </c>
      <c r="I76" s="107">
        <f>IF(COUNTIF($C$44:$D$52,"*"&amp;F76&amp;"*")&gt;0,"〇","")</f>
        <v/>
      </c>
      <c r="J76" s="107">
        <f>IF(COUNTIF($C$56:$D$110,"*"&amp;F76&amp;"*")&gt;0,"〇","")</f>
        <v/>
      </c>
      <c r="K76" s="107">
        <f>IF(COUNTIF($C$114:$D$122,"*"&amp;F76&amp;"*")&gt;0,"〇","")</f>
        <v/>
      </c>
      <c r="L76" s="103" t="n"/>
      <c r="O76" s="88" t="n"/>
    </row>
    <row r="77">
      <c r="B77" s="28" t="inlineStr">
        <is>
          <t>https://satori.marketing/marketing-blog/tag/google%e3%82%a2%e3%83%8a%e3%83%aa%e3%83%86%e3%82%a3%e3%82%af%e3%82%b9%e3%83%bbgtm/</t>
        </is>
      </c>
      <c r="C77" s="84" t="inlineStr">
        <is>
          <t>マーケティングブログ　タグ：Googleアナリティクス・GTM</t>
        </is>
      </c>
      <c r="D77" s="84" t="inlineStr">
        <is>
          <t>マーケティングブログ　Googleアナリティクス・GTM</t>
        </is>
      </c>
      <c r="E77" s="123" t="n"/>
      <c r="F77" s="105" t="inlineStr">
        <is>
          <t>マーケティングブログ　デジタルトレンド</t>
        </is>
      </c>
      <c r="G77" s="93">
        <f>IF(COUNTIF($C$3:$D$31,"*"&amp;F77&amp;"*")&gt;0,"〇","")</f>
        <v/>
      </c>
      <c r="H77" s="107">
        <f>IF(COUNTIF($C$35:$D$40,"*"&amp;F77&amp;"*")&gt;0,"〇","")</f>
        <v/>
      </c>
      <c r="I77" s="107">
        <f>IF(COUNTIF($C$44:$D$52,"*"&amp;F77&amp;"*")&gt;0,"〇","")</f>
        <v/>
      </c>
      <c r="J77" s="107">
        <f>IF(COUNTIF($C$56:$D$110,"*"&amp;F77&amp;"*")&gt;0,"〇","")</f>
        <v/>
      </c>
      <c r="K77" s="107">
        <f>IF(COUNTIF($C$114:$D$122,"*"&amp;F77&amp;"*")&gt;0,"〇","")</f>
        <v/>
      </c>
      <c r="L77" s="103" t="n"/>
      <c r="O77" s="88" t="n"/>
    </row>
    <row r="78">
      <c r="B78" s="28" t="inlineStr">
        <is>
          <t>https://satori.marketing/marketing-blog/tag/kgi%e3%83%bbkpi/</t>
        </is>
      </c>
      <c r="C78" s="84" t="inlineStr">
        <is>
          <t xml:space="preserve">マーケティングブログ　タグ：KGI・KPI </t>
        </is>
      </c>
      <c r="D78" s="84" t="inlineStr">
        <is>
          <t xml:space="preserve">マーケティングブログ　KGI・KPI </t>
        </is>
      </c>
      <c r="E78" s="123" t="n"/>
      <c r="F78" s="105" t="inlineStr">
        <is>
          <t xml:space="preserve">マーケティングブログ　テンプレート・例文 </t>
        </is>
      </c>
      <c r="G78" s="93">
        <f>IF(COUNTIF($C$3:$D$31,"*"&amp;F78&amp;"*")&gt;0,"〇","")</f>
        <v/>
      </c>
      <c r="H78" s="107">
        <f>IF(COUNTIF($C$35:$D$40,"*"&amp;F78&amp;"*")&gt;0,"〇","")</f>
        <v/>
      </c>
      <c r="I78" s="107">
        <f>IF(COUNTIF($C$44:$D$52,"*"&amp;F78&amp;"*")&gt;0,"〇","")</f>
        <v/>
      </c>
      <c r="J78" s="107">
        <f>IF(COUNTIF($C$56:$D$110,"*"&amp;F78&amp;"*")&gt;0,"〇","")</f>
        <v/>
      </c>
      <c r="K78" s="107">
        <f>IF(COUNTIF($C$114:$D$122,"*"&amp;F78&amp;"*")&gt;0,"〇","")</f>
        <v/>
      </c>
      <c r="L78" s="103" t="n"/>
      <c r="O78" s="88" t="n"/>
    </row>
    <row r="79">
      <c r="B79" s="28" t="inlineStr">
        <is>
          <t>https://satori.marketing/marketing-blog/tag/seo/</t>
        </is>
      </c>
      <c r="C79" s="84" t="inlineStr">
        <is>
          <t>マーケティングブログ　タグ：SEO</t>
        </is>
      </c>
      <c r="D79" s="84" t="inlineStr">
        <is>
          <t>マーケティングブログ　SEO</t>
        </is>
      </c>
      <c r="E79" s="123" t="n"/>
      <c r="F79" s="105" t="inlineStr">
        <is>
          <t>マーケティングブログ　マーケティング戦略</t>
        </is>
      </c>
      <c r="G79" s="93">
        <f>IF(COUNTIF($C$3:$D$31,"*"&amp;F79&amp;"*")&gt;0,"〇","")</f>
        <v/>
      </c>
      <c r="H79" s="107">
        <f>IF(COUNTIF($C$35:$D$40,"*"&amp;F79&amp;"*")&gt;0,"〇","")</f>
        <v/>
      </c>
      <c r="I79" s="107">
        <f>IF(COUNTIF($C$44:$D$52,"*"&amp;F79&amp;"*")&gt;0,"〇","")</f>
        <v/>
      </c>
      <c r="J79" s="107">
        <f>IF(COUNTIF($C$56:$D$110,"*"&amp;F79&amp;"*")&gt;0,"〇","")</f>
        <v/>
      </c>
      <c r="K79" s="107">
        <f>IF(COUNTIF($C$114:$D$122,"*"&amp;F79&amp;"*")&gt;0,"〇","")</f>
        <v/>
      </c>
      <c r="L79" s="103" t="n"/>
      <c r="O79" s="88" t="n"/>
    </row>
    <row r="80">
      <c r="B80" s="28" t="inlineStr">
        <is>
          <t>https://satori.marketing/marketing-blog/tag/%e3%82%a2%e3%83%89%e3%83%86%e3%82%af%e3%83%8e%e3%83%ad%e3%82%b8%e3%83%bc/</t>
        </is>
      </c>
      <c r="C80" s="84" t="inlineStr">
        <is>
          <t>マーケティングブログ　タグ：アドテクノロジー</t>
        </is>
      </c>
      <c r="D80" s="84" t="inlineStr">
        <is>
          <t>マーケティングブログ　アドテクノロジー</t>
        </is>
      </c>
      <c r="E80" s="123" t="n"/>
      <c r="F80" s="105" t="inlineStr">
        <is>
          <t>マーケティングブログ　リード</t>
        </is>
      </c>
      <c r="G80" s="93">
        <f>IF(COUNTIF($C$3:$D$31,"*"&amp;F80&amp;"*")&gt;0,"〇","")</f>
        <v/>
      </c>
      <c r="H80" s="107">
        <f>IF(COUNTIF($C$35:$D$40,"*"&amp;F80&amp;"*")&gt;0,"〇","")</f>
        <v/>
      </c>
      <c r="I80" s="107">
        <f>IF(COUNTIF($C$44:$D$52,"*"&amp;F80&amp;"*")&gt;0,"〇","")</f>
        <v/>
      </c>
      <c r="J80" s="107">
        <f>IF(COUNTIF($C$56:$D$110,"*"&amp;F80&amp;"*")&gt;0,"〇","")</f>
        <v/>
      </c>
      <c r="K80" s="107">
        <f>IF(COUNTIF($C$114:$D$122,"*"&amp;F80&amp;"*")&gt;0,"〇","")</f>
        <v/>
      </c>
      <c r="L80" s="103" t="n"/>
      <c r="O80" s="88" t="n"/>
    </row>
    <row r="81">
      <c r="B81" s="28" t="inlineStr">
        <is>
          <t>https://satori.marketing/marketing-blog/tag/%e3%82%a4%e3%83%b3%e3%82%b5%e3%82%a4%e3%83%89%e3%82%bb%e3%83%bc%e3%83%ab%e3%82%b9/</t>
        </is>
      </c>
      <c r="C81" s="84" t="inlineStr">
        <is>
          <t>マーケティングブログ　タグ：インサイドセールス</t>
        </is>
      </c>
      <c r="D81" s="84" t="inlineStr">
        <is>
          <t>マーケティングブログ　インサイドセールス</t>
        </is>
      </c>
      <c r="E81" s="123" t="n"/>
      <c r="F81" s="105" t="inlineStr">
        <is>
          <t>マーケティングブログ　営業効率化</t>
        </is>
      </c>
      <c r="G81" s="93">
        <f>IF(COUNTIF($C$3:$D$31,"*"&amp;F81&amp;"*")&gt;0,"〇","")</f>
        <v/>
      </c>
      <c r="H81" s="107">
        <f>IF(COUNTIF($C$35:$D$40,"*"&amp;F81&amp;"*")&gt;0,"〇","")</f>
        <v/>
      </c>
      <c r="I81" s="107">
        <f>IF(COUNTIF($C$44:$D$52,"*"&amp;F81&amp;"*")&gt;0,"〇","")</f>
        <v/>
      </c>
      <c r="J81" s="107">
        <f>IF(COUNTIF($C$56:$D$110,"*"&amp;F81&amp;"*")&gt;0,"〇","")</f>
        <v/>
      </c>
      <c r="K81" s="107">
        <f>IF(COUNTIF($C$114:$D$122,"*"&amp;F81&amp;"*")&gt;0,"〇","")</f>
        <v/>
      </c>
      <c r="L81" s="103" t="n"/>
      <c r="O81" s="88" t="n"/>
    </row>
    <row r="82">
      <c r="B82" s="28" t="inlineStr">
        <is>
          <t>https://satori.marketing/marketing-blog/tag/%e3%82%a6%e3%82%a7%e3%83%93%e3%83%8a%e3%83%bc%e3%83%bb%e3%82%bb%e3%83%9f%e3%83%8a%e3%83%bc/</t>
        </is>
      </c>
      <c r="C82" s="84" t="inlineStr">
        <is>
          <t>マーケティングブログ　タグ：ウェビナー・セミナー</t>
        </is>
      </c>
      <c r="D82" s="84" t="inlineStr">
        <is>
          <t>マーケティングブログ　ウェビナー・セミナー</t>
        </is>
      </c>
      <c r="E82" s="123" t="n"/>
      <c r="F82" s="105" t="inlineStr">
        <is>
          <t>マーケティングブログ　市場調査・レポート</t>
        </is>
      </c>
      <c r="G82" s="93">
        <f>IF(COUNTIF($C$3:$D$31,"*"&amp;F82&amp;"*")&gt;0,"〇","")</f>
        <v/>
      </c>
      <c r="H82" s="107">
        <f>IF(COUNTIF($C$35:$D$40,"*"&amp;F82&amp;"*")&gt;0,"〇","")</f>
        <v/>
      </c>
      <c r="I82" s="107">
        <f>IF(COUNTIF($C$44:$D$52,"*"&amp;F82&amp;"*")&gt;0,"〇","")</f>
        <v/>
      </c>
      <c r="J82" s="107">
        <f>IF(COUNTIF($C$56:$D$110,"*"&amp;F82&amp;"*")&gt;0,"〇","")</f>
        <v/>
      </c>
      <c r="K82" s="107">
        <f>IF(COUNTIF($C$114:$D$122,"*"&amp;F82&amp;"*")&gt;0,"〇","")</f>
        <v/>
      </c>
      <c r="L82" s="103" t="n"/>
      <c r="O82" s="88" t="n"/>
    </row>
    <row r="83">
      <c r="B83" s="28" t="inlineStr">
        <is>
          <t>https://satori.marketing/marketing-blog/tag/%e3%81%8a%e3%81%99%e3%81%99%e3%82%81%e6%9b%b8%e7%b1%8d/</t>
        </is>
      </c>
      <c r="C83" s="84" t="inlineStr">
        <is>
          <t xml:space="preserve">マーケティングブログ　タグ：おすすめ書籍 </t>
        </is>
      </c>
      <c r="D83" s="103" t="inlineStr">
        <is>
          <t xml:space="preserve">マーケティングブログ　おすすめ書籍 </t>
        </is>
      </c>
      <c r="E83" s="123" t="n"/>
      <c r="F83" s="105" t="inlineStr">
        <is>
          <t>マーケティングブログ　手法・フレームワーク</t>
        </is>
      </c>
      <c r="G83" s="93">
        <f>IF(COUNTIF($C$3:$D$31,"*"&amp;F83&amp;"*")&gt;0,"〇","")</f>
        <v/>
      </c>
      <c r="H83" s="107">
        <f>IF(COUNTIF($C$35:$D$40,"*"&amp;F83&amp;"*")&gt;0,"〇","")</f>
        <v/>
      </c>
      <c r="I83" s="107">
        <f>IF(COUNTIF($C$44:$D$52,"*"&amp;F83&amp;"*")&gt;0,"〇","")</f>
        <v/>
      </c>
      <c r="J83" s="107">
        <f>IF(COUNTIF($C$56:$D$110,"*"&amp;F83&amp;"*")&gt;0,"〇","")</f>
        <v/>
      </c>
      <c r="K83" s="107">
        <f>IF(COUNTIF($C$114:$D$122,"*"&amp;F83&amp;"*")&gt;0,"〇","")</f>
        <v/>
      </c>
      <c r="L83" s="103" t="n"/>
      <c r="O83" s="88" t="n"/>
    </row>
    <row r="84">
      <c r="B84" s="28" t="inlineStr">
        <is>
          <t>https://satori.marketing/marketing-blog/tag/%e3%82%ab%e3%82%b9%e3%82%bf%e3%83%9e%e3%83%bc%e3%82%b5%e3%82%af%e3%82%bb%e3%82%b9/</t>
        </is>
      </c>
      <c r="C84" s="84" t="inlineStr">
        <is>
          <t>マーケティングブログ　タグ：カスタマーサクセス</t>
        </is>
      </c>
      <c r="D84" s="103" t="inlineStr">
        <is>
          <t>マーケティングブログ　カスタマーサクセス</t>
        </is>
      </c>
      <c r="E84" s="123" t="n"/>
      <c r="F84" s="105" t="inlineStr">
        <is>
          <t>マーケティングブログ　組織作り</t>
        </is>
      </c>
      <c r="G84" s="93">
        <f>IF(COUNTIF($C$3:$D$31,"*"&amp;F84&amp;"*")&gt;0,"〇","")</f>
        <v/>
      </c>
      <c r="H84" s="107">
        <f>IF(COUNTIF($C$35:$D$40,"*"&amp;F84&amp;"*")&gt;0,"〇","")</f>
        <v/>
      </c>
      <c r="I84" s="107">
        <f>IF(COUNTIF($C$44:$D$52,"*"&amp;F84&amp;"*")&gt;0,"〇","")</f>
        <v/>
      </c>
      <c r="J84" s="107">
        <f>IF(COUNTIF($C$56:$D$110,"*"&amp;F84&amp;"*")&gt;0,"〇","")</f>
        <v/>
      </c>
      <c r="K84" s="107">
        <f>IF(COUNTIF($C$114:$D$122,"*"&amp;F84&amp;"*")&gt;0,"〇","")</f>
        <v/>
      </c>
      <c r="L84" s="103" t="n"/>
      <c r="O84" s="88" t="n"/>
    </row>
    <row r="85">
      <c r="B85" s="28" t="inlineStr">
        <is>
          <t>https://satori.marketing/marketing-blog/tag/%e3%82%b9%e3%82%ad%e3%83%ab%e3%83%bb%e8%b3%87%e6%a0%bc/</t>
        </is>
      </c>
      <c r="C85" s="84" t="inlineStr">
        <is>
          <t>マーケティングブログ　タグ：スキル・資格</t>
        </is>
      </c>
      <c r="D85" s="103" t="inlineStr">
        <is>
          <t>マーケティングブログ　スキル・資格</t>
        </is>
      </c>
      <c r="E85" s="123" t="n"/>
      <c r="F85" s="105" t="inlineStr">
        <is>
          <t>フォーム作成ツール</t>
        </is>
      </c>
      <c r="G85" s="93">
        <f>IF(COUNTIF($C$3:$D$31,"*"&amp;F85&amp;"*")&gt;0,"〇","")</f>
        <v/>
      </c>
      <c r="H85" s="107">
        <f>IF(COUNTIF($C$35:$D$40,"*"&amp;F85&amp;"*")&gt;0,"〇","")</f>
        <v/>
      </c>
      <c r="I85" s="107">
        <f>IF(COUNTIF($C$44:$D$52,"*"&amp;F85&amp;"*")&gt;0,"〇","")</f>
        <v/>
      </c>
      <c r="J85" s="107">
        <f>IF(COUNTIF($C$56:$D$110,"*"&amp;F85&amp;"*")&gt;0,"〇","")</f>
        <v/>
      </c>
      <c r="K85" s="107">
        <f>IF(COUNTIF($C$114:$D$122,"*"&amp;F85&amp;"*")&gt;0,"〇","")</f>
        <v/>
      </c>
      <c r="L85" s="103" t="n"/>
      <c r="O85" s="88" t="n"/>
    </row>
    <row r="86">
      <c r="B86" s="28" t="inlineStr">
        <is>
          <t>https://satori.marketing/marketing-blog/tag/%e3%83%84%e3%83%bc%e3%83%ab%e3%81%ae%e9%81%b8%e3%81%b3%e6%96%b9/</t>
        </is>
      </c>
      <c r="C86" s="84" t="inlineStr">
        <is>
          <t>マーケティングブログ　タグ：ツールの選び方</t>
        </is>
      </c>
      <c r="D86" s="103" t="inlineStr">
        <is>
          <t>マーケティングブログ　ツールの選び方</t>
        </is>
      </c>
      <c r="E86" s="123" t="n"/>
      <c r="F86" s="105" t="inlineStr">
        <is>
          <t>One to Oneマーケティングとは</t>
        </is>
      </c>
      <c r="G86" s="93">
        <f>IF(COUNTIF($C$3:$D$31,"*"&amp;F86&amp;"*")&gt;0,"〇","")</f>
        <v/>
      </c>
      <c r="H86" s="107">
        <f>IF(COUNTIF($C$35:$D$40,"*"&amp;F86&amp;"*")&gt;0,"〇","")</f>
        <v/>
      </c>
      <c r="I86" s="107">
        <f>IF(COUNTIF($C$44:$D$52,"*"&amp;F86&amp;"*")&gt;0,"〇","")</f>
        <v/>
      </c>
      <c r="J86" s="107">
        <f>IF(COUNTIF($C$56:$D$110,"*"&amp;F86&amp;"*")&gt;0,"〇","")</f>
        <v/>
      </c>
      <c r="K86" s="107">
        <f>IF(COUNTIF($C$114:$D$122,"*"&amp;F86&amp;"*")&gt;0,"〇","")</f>
        <v/>
      </c>
      <c r="L86" s="103" t="n"/>
      <c r="O86" s="88" t="n"/>
    </row>
    <row r="87">
      <c r="B87" s="101" t="inlineStr">
        <is>
          <t>https://satori.marketing/marketing-blog/tag/%e3%83%84%e3%83%bc%e3%83%ab%e8%a8%ad%e5%ae%9a/</t>
        </is>
      </c>
      <c r="C87" s="84" t="inlineStr">
        <is>
          <t>マーケティングブログ　タグ：ツール設定</t>
        </is>
      </c>
      <c r="D87" s="103" t="inlineStr">
        <is>
          <t>マーケティングブログ　ツール設定</t>
        </is>
      </c>
      <c r="E87" s="123" t="n"/>
      <c r="F87" s="105" t="inlineStr">
        <is>
          <t>MAとは</t>
        </is>
      </c>
      <c r="G87" s="93">
        <f>IF(COUNTIF($C$3:$D$31,"*"&amp;F87&amp;"*")&gt;0,"〇","")</f>
        <v/>
      </c>
      <c r="H87" s="107">
        <f>IF(COUNTIF($C$35:$D$40,"*"&amp;F87&amp;"*")&gt;0,"〇","")</f>
        <v/>
      </c>
      <c r="I87" s="107">
        <f>IF(COUNTIF($C$44:$D$52,"*"&amp;F87&amp;"*")&gt;0,"〇","")</f>
        <v/>
      </c>
      <c r="J87" s="107">
        <f>IF(COUNTIF($C$56:$D$110,"*"&amp;F87&amp;"*")&gt;0,"〇","")</f>
        <v/>
      </c>
      <c r="K87" s="107">
        <f>IF(COUNTIF($C$114:$D$122,"*"&amp;F87&amp;"*")&gt;0,"〇","")</f>
        <v/>
      </c>
      <c r="L87" s="103" t="n"/>
      <c r="O87" s="88" t="n"/>
    </row>
    <row r="88">
      <c r="B88" s="28" t="inlineStr">
        <is>
          <t>https://satori.marketing/marketing-blog/tag/%e3%83%87%e3%82%b8%e3%82%bf%e3%83%ab%e3%83%88%e3%83%ac%e3%83%b3%e3%83%89/</t>
        </is>
      </c>
      <c r="C88" s="84" t="inlineStr">
        <is>
          <t>マーケティングブログ　タグ：デジタルトレンド</t>
        </is>
      </c>
      <c r="D88" s="103" t="inlineStr">
        <is>
          <t>マーケティングブログ　デジタルトレンド</t>
        </is>
      </c>
      <c r="E88" s="123" t="n"/>
      <c r="F88" s="105" t="inlineStr">
        <is>
          <t>花王の顔</t>
        </is>
      </c>
      <c r="G88" s="93">
        <f>IF(COUNTIF($C$3:$D$31,"*"&amp;F88&amp;"*")&gt;0,"〇","")</f>
        <v/>
      </c>
      <c r="H88" s="107">
        <f>IF(COUNTIF($C$35:$D$40,"*"&amp;F88&amp;"*")&gt;0,"〇","")</f>
        <v/>
      </c>
      <c r="I88" s="107">
        <f>IF(COUNTIF($C$44:$D$52,"*"&amp;F88&amp;"*")&gt;0,"〇","")</f>
        <v/>
      </c>
      <c r="J88" s="107">
        <f>IF(COUNTIF($C$56:$D$110,"*"&amp;F88&amp;"*")&gt;0,"〇","")</f>
        <v/>
      </c>
      <c r="K88" s="107">
        <f>IF(COUNTIF($C$114:$D$122,"*"&amp;F88&amp;"*")&gt;0,"〇","")</f>
        <v/>
      </c>
      <c r="L88" s="103" t="n"/>
      <c r="O88" s="88" t="n"/>
    </row>
    <row r="89">
      <c r="B89" s="28" t="inlineStr">
        <is>
          <t>https://satori.marketing/marketing-blog/tag/%e3%83%86%e3%83%b3%e3%83%97%e3%83%ac%e3%83%bc%e3%83%88%e3%83%bb%e4%be%8b%e6%96%87/</t>
        </is>
      </c>
      <c r="C89" s="84" t="inlineStr">
        <is>
          <t xml:space="preserve">マーケティングブログ　タグ：テンプレート・例文 </t>
        </is>
      </c>
      <c r="D89" s="103" t="inlineStr">
        <is>
          <t xml:space="preserve">マーケティングブログ　テンプレート・例文 </t>
        </is>
      </c>
      <c r="E89" s="123" t="n"/>
      <c r="F89" s="105" t="inlineStr">
        <is>
          <t>角栓　落ちない</t>
        </is>
      </c>
      <c r="G89" s="93">
        <f>IF(COUNTIF($C$3:$D$31,"*"&amp;F89&amp;"*")&gt;0,"〇","")</f>
        <v/>
      </c>
      <c r="H89" s="107">
        <f>IF(COUNTIF($C$35:$D$40,"*"&amp;F89&amp;"*")&gt;0,"〇","")</f>
        <v/>
      </c>
      <c r="I89" s="107">
        <f>IF(COUNTIF($C$44:$D$52,"*"&amp;F89&amp;"*")&gt;0,"〇","")</f>
        <v/>
      </c>
      <c r="J89" s="107">
        <f>IF(COUNTIF($C$56:$D$110,"*"&amp;F89&amp;"*")&gt;0,"〇","")</f>
        <v/>
      </c>
      <c r="K89" s="107">
        <f>IF(COUNTIF($C$114:$D$122,"*"&amp;F89&amp;"*")&gt;0,"〇","")</f>
        <v/>
      </c>
      <c r="L89" s="103" t="n"/>
    </row>
    <row r="90">
      <c r="B90" s="28" t="inlineStr">
        <is>
          <t>https://satori.marketing/marketing-blog/tag/%e3%83%9e%e3%83%bc%e3%82%b1%e3%83%86%e3%82%a3%e3%83%b3%e3%82%b0%e6%88%a6%e7%95%a5/</t>
        </is>
      </c>
      <c r="C90" s="84" t="inlineStr">
        <is>
          <t>マーケティングブログ　タグ：マーケティング戦略</t>
        </is>
      </c>
      <c r="D90" s="103" t="inlineStr">
        <is>
          <t>マーケティングブログ　マーケティング戦略</t>
        </is>
      </c>
      <c r="E90" s="123" t="n"/>
      <c r="F90" s="105" t="inlineStr">
        <is>
          <t>角栓　落ちない</t>
        </is>
      </c>
      <c r="G90" s="93">
        <f>IF(COUNTIF($C$3:$D$31,"*"&amp;F90&amp;"*")&gt;0,"〇","")</f>
        <v/>
      </c>
      <c r="H90" s="107">
        <f>IF(COUNTIF($C$35:$D$40,"*"&amp;F90&amp;"*")&gt;0,"〇","")</f>
        <v/>
      </c>
      <c r="I90" s="107">
        <f>IF(COUNTIF($C$44:$D$52,"*"&amp;F90&amp;"*")&gt;0,"〇","")</f>
        <v/>
      </c>
      <c r="J90" s="107">
        <f>IF(COUNTIF($C$56:$D$110,"*"&amp;F90&amp;"*")&gt;0,"〇","")</f>
        <v/>
      </c>
      <c r="K90" s="107">
        <f>IF(COUNTIF($C$114:$D$122,"*"&amp;F90&amp;"*")&gt;0,"〇","")</f>
        <v/>
      </c>
      <c r="L90" s="103" t="n"/>
    </row>
    <row r="91">
      <c r="B91" s="28" t="inlineStr">
        <is>
          <t>https://satori.marketing/marketing-blog/tag/%e3%83%aa%e3%83%bc%e3%83%89/</t>
        </is>
      </c>
      <c r="C91" s="84" t="inlineStr">
        <is>
          <t>マーケティングブログ　タグ：リード</t>
        </is>
      </c>
      <c r="D91" s="103" t="inlineStr">
        <is>
          <t>マーケティングブログ　リード</t>
        </is>
      </c>
      <c r="E91" s="123" t="n"/>
      <c r="F91" s="105" t="inlineStr">
        <is>
          <t>経営ハッカー</t>
        </is>
      </c>
      <c r="G91" s="93">
        <f>IF(COUNTIF($C$3:$D$31,"*"&amp;F91&amp;"*")&gt;0,"〇","")</f>
        <v/>
      </c>
      <c r="H91" s="107">
        <f>IF(COUNTIF($C$35:$D$40,"*"&amp;F91&amp;"*")&gt;0,"〇","")</f>
        <v/>
      </c>
      <c r="I91" s="107">
        <f>IF(COUNTIF($C$44:$D$52,"*"&amp;F91&amp;"*")&gt;0,"〇","")</f>
        <v/>
      </c>
      <c r="J91" s="107">
        <f>IF(COUNTIF($C$56:$D$110,"*"&amp;F91&amp;"*")&gt;0,"〇","")</f>
        <v/>
      </c>
      <c r="K91" s="107">
        <f>IF(COUNTIF($C$114:$D$122,"*"&amp;F91&amp;"*")&gt;0,"〇","")</f>
        <v/>
      </c>
      <c r="L91" s="103" t="n"/>
    </row>
    <row r="92">
      <c r="B92" s="28" t="inlineStr">
        <is>
          <t>https://satori.marketing/marketing-blog/tag/%e5%96%b6%e6%a5%ad%e5%8a%b9%e7%8e%87%e5%8c%96/</t>
        </is>
      </c>
      <c r="C92" s="84" t="inlineStr">
        <is>
          <t>マーケティングブログ　タグ：営業効率化</t>
        </is>
      </c>
      <c r="D92" s="103" t="inlineStr">
        <is>
          <t>マーケティングブログ　営業効率化</t>
        </is>
      </c>
      <c r="E92" s="123" t="n"/>
      <c r="F92" s="105" t="inlineStr">
        <is>
          <t>Lidea</t>
        </is>
      </c>
      <c r="G92" s="93">
        <f>IF(COUNTIF($C$3:$D$31,"*"&amp;F92&amp;"*")&gt;0,"〇","")</f>
        <v/>
      </c>
      <c r="H92" s="107">
        <f>IF(COUNTIF($C$35:$D$40,"*"&amp;F92&amp;"*")&gt;0,"〇","")</f>
        <v/>
      </c>
      <c r="I92" s="107">
        <f>IF(COUNTIF($C$44:$D$52,"*"&amp;F92&amp;"*")&gt;0,"〇","")</f>
        <v/>
      </c>
      <c r="J92" s="107">
        <f>IF(COUNTIF($C$56:$D$110,"*"&amp;F92&amp;"*")&gt;0,"〇","")</f>
        <v/>
      </c>
      <c r="K92" s="107">
        <f>IF(COUNTIF($C$114:$D$122,"*"&amp;F92&amp;"*")&gt;0,"〇","")</f>
        <v/>
      </c>
      <c r="L92" s="103" t="n"/>
    </row>
    <row r="93">
      <c r="B93" s="28" t="inlineStr">
        <is>
          <t>https://satori.marketing/marketing-blog/tag/%e5%b8%82%e5%a0%b4%e8%aa%bf%e6%9f%bb%e3%83%bb%e3%83%ac%e3%83%9d%e3%83%bc%e3%83%88/</t>
        </is>
      </c>
      <c r="C93" s="84" t="inlineStr">
        <is>
          <t>マーケティングブログ　タグ：市場調査・レポート</t>
        </is>
      </c>
      <c r="D93" s="103" t="inlineStr">
        <is>
          <t>マーケティングブログ　市場調査・レポート</t>
        </is>
      </c>
      <c r="E93" s="123" t="n"/>
      <c r="F93" s="105" t="inlineStr">
        <is>
          <t>https://thinkcontent.jp/lion_lidea</t>
        </is>
      </c>
      <c r="G93" s="93">
        <f>IF(COUNTIF($C$3:$D$31,"*"&amp;F93&amp;"*")&gt;0,"〇","")</f>
        <v/>
      </c>
      <c r="H93" s="107">
        <f>IF(COUNTIF($C$35:$D$40,"*"&amp;F93&amp;"*")&gt;0,"〇","")</f>
        <v/>
      </c>
      <c r="I93" s="107">
        <f>IF(COUNTIF($C$44:$D$52,"*"&amp;F93&amp;"*")&gt;0,"〇","")</f>
        <v/>
      </c>
      <c r="J93" s="107">
        <f>IF(COUNTIF($C$56:$D$110,"*"&amp;F93&amp;"*")&gt;0,"〇","")</f>
        <v/>
      </c>
      <c r="K93" s="107">
        <f>IF(COUNTIF($C$114:$D$122,"*"&amp;F93&amp;"*")&gt;0,"〇","")</f>
        <v/>
      </c>
      <c r="L93" s="103" t="n"/>
    </row>
    <row r="94">
      <c r="B94" s="28" t="inlineStr">
        <is>
          <t>https://satori.marketing/marketing-blog/tag/%e6%89%8b%e6%b3%95%e3%83%bb%e3%83%95%e3%83%ac%e3%83%bc%e3%83%a0%e3%83%af%e3%83%bc%e3%82%af/</t>
        </is>
      </c>
      <c r="C94" s="84" t="inlineStr">
        <is>
          <t>マーケティングブログ　タグ：手法・フレームワーク</t>
        </is>
      </c>
      <c r="D94" s="103" t="inlineStr">
        <is>
          <t>マーケティングブログ　手法・フレームワーク</t>
        </is>
      </c>
      <c r="E94" s="123" t="n"/>
      <c r="F94" s="105" t="inlineStr">
        <is>
          <t>コンセプトマップワークショップ　手順</t>
        </is>
      </c>
      <c r="G94" s="93">
        <f>IF(COUNTIF($C$3:$D$31,"*"&amp;F94&amp;"*")&gt;0,"〇","")</f>
        <v/>
      </c>
      <c r="H94" s="107">
        <f>IF(COUNTIF($C$35:$D$40,"*"&amp;F94&amp;"*")&gt;0,"〇","")</f>
        <v/>
      </c>
      <c r="I94" s="107">
        <f>IF(COUNTIF($C$44:$D$52,"*"&amp;F94&amp;"*")&gt;0,"〇","")</f>
        <v/>
      </c>
      <c r="J94" s="107">
        <f>IF(COUNTIF($C$56:$D$110,"*"&amp;F94&amp;"*")&gt;0,"〇","")</f>
        <v/>
      </c>
      <c r="K94" s="107">
        <f>IF(COUNTIF($C$114:$D$122,"*"&amp;F94&amp;"*")&gt;0,"〇","")</f>
        <v/>
      </c>
      <c r="L94" s="103" t="n"/>
    </row>
    <row r="95">
      <c r="B95" s="28" t="inlineStr">
        <is>
          <t>https://satori.marketing/marketing-blog/tag/%e7%b5%84%e7%b9%94%e4%bd%9c%e3%82%8a/</t>
        </is>
      </c>
      <c r="C95" s="84" t="inlineStr">
        <is>
          <t>マーケティングブログ　タグ：組織作り</t>
        </is>
      </c>
      <c r="D95" s="103" t="inlineStr">
        <is>
          <t>マーケティングブログ　組織作り</t>
        </is>
      </c>
      <c r="E95" s="123" t="n"/>
      <c r="F95" s="105" t="inlineStr">
        <is>
          <t>コンテンツSEO　進め方</t>
        </is>
      </c>
      <c r="G95" s="93">
        <f>IF(COUNTIF($C$3:$D$31,"*"&amp;F95&amp;"*")&gt;0,"〇","")</f>
        <v/>
      </c>
      <c r="H95" s="107">
        <f>IF(COUNTIF($C$35:$D$40,"*"&amp;F95&amp;"*")&gt;0,"〇","")</f>
        <v/>
      </c>
      <c r="I95" s="107">
        <f>IF(COUNTIF($C$44:$D$52,"*"&amp;F95&amp;"*")&gt;0,"〇","")</f>
        <v/>
      </c>
      <c r="J95" s="107">
        <f>IF(COUNTIF($C$56:$D$110,"*"&amp;F95&amp;"*")&gt;0,"〇","")</f>
        <v/>
      </c>
      <c r="K95" s="107">
        <f>IF(COUNTIF($C$114:$D$122,"*"&amp;F95&amp;"*")&gt;0,"〇","")</f>
        <v/>
      </c>
      <c r="L95" s="103" t="n"/>
    </row>
    <row r="96">
      <c r="B96" s="28" t="inlineStr">
        <is>
          <t>https://www.form-mailer.jp/?utm_source=satori&amp;utm_medium=blog&amp;utm_campaign=blog-banner&amp;utm_content=pictures-people</t>
        </is>
      </c>
      <c r="C96" s="84" t="inlineStr">
        <is>
          <t>今すぐ作れる。低価格で高機能なフォーム作成ツール</t>
        </is>
      </c>
      <c r="D96" s="103" t="inlineStr">
        <is>
          <t>フォーム作成ツール</t>
        </is>
      </c>
      <c r="E96" s="123" t="n"/>
      <c r="F96" s="105" t="inlineStr">
        <is>
          <t>Outbrain</t>
        </is>
      </c>
      <c r="G96" s="93">
        <f>IF(COUNTIF($C$3:$D$31,"*"&amp;F96&amp;"*")&gt;0,"〇","")</f>
        <v/>
      </c>
      <c r="H96" s="107">
        <f>IF(COUNTIF($C$35:$D$40,"*"&amp;F96&amp;"*")&gt;0,"〇","")</f>
        <v/>
      </c>
      <c r="I96" s="107">
        <f>IF(COUNTIF($C$44:$D$52,"*"&amp;F96&amp;"*")&gt;0,"〇","")</f>
        <v/>
      </c>
      <c r="J96" s="107">
        <f>IF(COUNTIF($C$56:$D$110,"*"&amp;F96&amp;"*")&gt;0,"〇","")</f>
        <v/>
      </c>
      <c r="K96" s="107">
        <f>IF(COUNTIF($C$114:$D$122,"*"&amp;F96&amp;"*")&gt;0,"〇","")</f>
        <v/>
      </c>
      <c r="L96" s="103" t="n"/>
    </row>
    <row r="97">
      <c r="B97" s="28" t="inlineStr">
        <is>
          <t>https://satori.marketing/marketing-blog/onetoone_marketing/</t>
        </is>
      </c>
      <c r="C97" s="84" t="inlineStr">
        <is>
          <t>【入門】One to Oneマーケティングとは？事例で学ぶ実践法</t>
        </is>
      </c>
      <c r="D97" s="103" t="inlineStr">
        <is>
          <t>One to Oneマーケティングとは</t>
        </is>
      </c>
      <c r="E97" s="123" t="n"/>
      <c r="F97" s="105" t="inlineStr">
        <is>
          <t>LOGLY</t>
        </is>
      </c>
      <c r="G97" s="93">
        <f>IF(COUNTIF($C$3:$D$31,"*"&amp;F97&amp;"*")&gt;0,"〇","")</f>
        <v/>
      </c>
      <c r="H97" s="107">
        <f>IF(COUNTIF($C$35:$D$40,"*"&amp;F97&amp;"*")&gt;0,"〇","")</f>
        <v/>
      </c>
      <c r="I97" s="107">
        <f>IF(COUNTIF($C$44:$D$52,"*"&amp;F97&amp;"*")&gt;0,"〇","")</f>
        <v/>
      </c>
      <c r="J97" s="107">
        <f>IF(COUNTIF($C$56:$D$110,"*"&amp;F97&amp;"*")&gt;0,"〇","")</f>
        <v/>
      </c>
      <c r="K97" s="107">
        <f>IF(COUNTIF($C$114:$D$122,"*"&amp;F97&amp;"*")&gt;0,"〇","")</f>
        <v/>
      </c>
      <c r="L97" s="103" t="n"/>
    </row>
    <row r="98">
      <c r="B98" s="28" t="inlineStr">
        <is>
          <t>https://satori.marketing/marketing-blog/marketing-automation/</t>
        </is>
      </c>
      <c r="C98" s="84" t="inlineStr">
        <is>
          <t>マーケティングオートメーション（MA）で何ができるの？基本と機能・導入</t>
        </is>
      </c>
      <c r="D98" s="103" t="inlineStr">
        <is>
          <t>MAとは</t>
        </is>
      </c>
      <c r="E98" s="123" t="n"/>
      <c r="F98" s="105" t="inlineStr">
        <is>
          <t>popIn</t>
        </is>
      </c>
      <c r="G98" s="93">
        <f>IF(COUNTIF($C$3:$D$31,"*"&amp;F98&amp;"*")&gt;0,"〇","")</f>
        <v/>
      </c>
      <c r="H98" s="107">
        <f>IF(COUNTIF($C$35:$D$40,"*"&amp;F98&amp;"*")&gt;0,"〇","")</f>
        <v/>
      </c>
      <c r="I98" s="107">
        <f>IF(COUNTIF($C$44:$D$52,"*"&amp;F98&amp;"*")&gt;0,"〇","")</f>
        <v/>
      </c>
      <c r="J98" s="107">
        <f>IF(COUNTIF($C$56:$D$110,"*"&amp;F98&amp;"*")&gt;0,"〇","")</f>
        <v/>
      </c>
      <c r="K98" s="107">
        <f>IF(COUNTIF($C$114:$D$122,"*"&amp;F98&amp;"*")&gt;0,"〇","")</f>
        <v/>
      </c>
      <c r="L98" s="103" t="n"/>
    </row>
    <row r="99">
      <c r="B99" s="101" t="inlineStr">
        <is>
          <t>https://www.kao.com/jp/kaonokao/</t>
        </is>
      </c>
      <c r="C99" s="103" t="inlineStr">
        <is>
          <t>花王の顔</t>
        </is>
      </c>
      <c r="D99" s="103" t="inlineStr">
        <is>
          <t>花王の顔</t>
        </is>
      </c>
      <c r="E99" s="123" t="n"/>
      <c r="F99" s="105" t="inlineStr">
        <is>
          <t>お役立ち資料</t>
        </is>
      </c>
      <c r="G99" s="93">
        <f>IF(COUNTIF($C$3:$D$31,"*"&amp;F99&amp;"*")&gt;0,"〇","")</f>
        <v/>
      </c>
      <c r="H99" s="107">
        <f>IF(COUNTIF($C$35:$D$40,"*"&amp;F99&amp;"*")&gt;0,"〇","")</f>
        <v/>
      </c>
      <c r="I99" s="107">
        <f>IF(COUNTIF($C$44:$D$52,"*"&amp;F99&amp;"*")&gt;0,"〇","")</f>
        <v/>
      </c>
      <c r="J99" s="107">
        <f>IF(COUNTIF($C$56:$D$110,"*"&amp;F99&amp;"*")&gt;0,"〇","")</f>
        <v/>
      </c>
      <c r="K99" s="107">
        <f>IF(COUNTIF($C$114:$D$122,"*"&amp;F99&amp;"*")&gt;0,"〇","")</f>
        <v/>
      </c>
      <c r="L99" s="103" t="n"/>
    </row>
    <row r="100">
      <c r="B100" s="28" t="inlineStr">
        <is>
          <t>https://www.kao.com/jp/kaonokao/dna/8_3/</t>
        </is>
      </c>
      <c r="C100" s="84" t="inlineStr">
        <is>
          <t>なぜ角栓は落ちないのか？スキンケア研究員が暴く驚きの実態</t>
        </is>
      </c>
      <c r="D100" s="103" t="inlineStr">
        <is>
          <t>角栓　落ちない</t>
        </is>
      </c>
      <c r="E100" s="123" t="n"/>
      <c r="F100" s="105" t="inlineStr">
        <is>
          <t>トリプルメディアとは</t>
        </is>
      </c>
      <c r="G100" s="93">
        <f>IF(COUNTIF($C$3:$D$31,"*"&amp;F100&amp;"*")&gt;0,"〇","")</f>
        <v/>
      </c>
      <c r="H100" s="107">
        <f>IF(COUNTIF($C$35:$D$40,"*"&amp;F100&amp;"*")&gt;0,"〇","")</f>
        <v/>
      </c>
      <c r="I100" s="107">
        <f>IF(COUNTIF($C$44:$D$52,"*"&amp;F100&amp;"*")&gt;0,"〇","")</f>
        <v/>
      </c>
      <c r="J100" s="107">
        <f>IF(COUNTIF($C$56:$D$110,"*"&amp;F100&amp;"*")&gt;0,"〇","")</f>
        <v/>
      </c>
      <c r="K100" s="107">
        <f>IF(COUNTIF($C$114:$D$122,"*"&amp;F100&amp;"*")&gt;0,"〇","")</f>
        <v/>
      </c>
      <c r="L100" s="103" t="n"/>
    </row>
    <row r="101">
      <c r="B101" s="28" t="inlineStr">
        <is>
          <t>https://keiei.freee.co.jp/</t>
        </is>
      </c>
      <c r="C101" s="84" t="inlineStr">
        <is>
          <t>なぜ角栓は落ちないのか？スキンケア研究員が暴く驚きの実態</t>
        </is>
      </c>
      <c r="D101" s="103" t="inlineStr">
        <is>
          <t>角栓　落ちない</t>
        </is>
      </c>
      <c r="E101" s="123" t="n"/>
      <c r="F101" s="105" t="inlineStr">
        <is>
          <t>Yahoo!広告</t>
        </is>
      </c>
      <c r="G101" s="93">
        <f>IF(COUNTIF($C$3:$D$31,"*"&amp;F101&amp;"*")&gt;0,"〇","")</f>
        <v/>
      </c>
      <c r="H101" s="107">
        <f>IF(COUNTIF($C$35:$D$40,"*"&amp;F101&amp;"*")&gt;0,"〇","")</f>
        <v/>
      </c>
      <c r="I101" s="107">
        <f>IF(COUNTIF($C$44:$D$52,"*"&amp;F101&amp;"*")&gt;0,"〇","")</f>
        <v/>
      </c>
      <c r="J101" s="107">
        <f>IF(COUNTIF($C$56:$D$110,"*"&amp;F101&amp;"*")&gt;0,"〇","")</f>
        <v/>
      </c>
      <c r="K101" s="107">
        <f>IF(COUNTIF($C$114:$D$122,"*"&amp;F101&amp;"*")&gt;0,"〇","")</f>
        <v/>
      </c>
      <c r="L101" s="103" t="n"/>
    </row>
    <row r="102">
      <c r="B102" s="28" t="inlineStr">
        <is>
          <t>https://www.itmedia.co.jp/bizid/articles/1311/20/news072.html</t>
        </is>
      </c>
      <c r="C102" s="84" t="inlineStr">
        <is>
          <t>freeeの自社ブログ「経営ハッカー」は業務効率化に役立つヒント集</t>
        </is>
      </c>
      <c r="D102" s="84" t="inlineStr">
        <is>
          <t>経営ハッカー</t>
        </is>
      </c>
      <c r="E102" s="123" t="n"/>
      <c r="F102" s="105" t="inlineStr">
        <is>
          <t>サイトリターゲティングとは</t>
        </is>
      </c>
      <c r="G102" s="93">
        <f>IF(COUNTIF($C$3:$D$31,"*"&amp;F102&amp;"*")&gt;0,"〇","")</f>
        <v/>
      </c>
      <c r="H102" s="107">
        <f>IF(COUNTIF($C$35:$D$40,"*"&amp;F102&amp;"*")&gt;0,"〇","")</f>
        <v/>
      </c>
      <c r="I102" s="107">
        <f>IF(COUNTIF($C$44:$D$52,"*"&amp;F102&amp;"*")&gt;0,"〇","")</f>
        <v/>
      </c>
      <c r="J102" s="107">
        <f>IF(COUNTIF($C$56:$D$110,"*"&amp;F102&amp;"*")&gt;0,"〇","")</f>
        <v/>
      </c>
      <c r="K102" s="107">
        <f>IF(COUNTIF($C$114:$D$122,"*"&amp;F102&amp;"*")&gt;0,"〇","")</f>
        <v/>
      </c>
      <c r="L102" s="103" t="n"/>
    </row>
    <row r="103">
      <c r="B103" s="23" t="inlineStr">
        <is>
          <t>https://lidea.today/</t>
        </is>
      </c>
      <c r="C103" s="84" t="inlineStr">
        <is>
          <t>Lidea</t>
        </is>
      </c>
      <c r="D103" s="84" t="inlineStr">
        <is>
          <t>Lidea</t>
        </is>
      </c>
      <c r="E103" s="123" t="n"/>
      <c r="F103" s="105" t="inlineStr">
        <is>
          <t>リスティング広告　SEO　違い</t>
        </is>
      </c>
      <c r="G103" s="93">
        <f>IF(COUNTIF($C$3:$D$31,"*"&amp;F103&amp;"*")&gt;0,"〇","")</f>
        <v/>
      </c>
      <c r="H103" s="107">
        <f>IF(COUNTIF($C$35:$D$40,"*"&amp;F103&amp;"*")&gt;0,"〇","")</f>
        <v/>
      </c>
      <c r="I103" s="107">
        <f>IF(COUNTIF($C$44:$D$52,"*"&amp;F103&amp;"*")&gt;0,"〇","")</f>
        <v/>
      </c>
      <c r="J103" s="107">
        <f>IF(COUNTIF($C$56:$D$110,"*"&amp;F103&amp;"*")&gt;0,"〇","")</f>
        <v/>
      </c>
      <c r="K103" s="107">
        <f>IF(COUNTIF($C$114:$D$122,"*"&amp;F103&amp;"*")&gt;0,"〇","")</f>
        <v/>
      </c>
      <c r="L103" s="103" t="n"/>
    </row>
    <row r="104">
      <c r="B104" s="28" t="inlineStr">
        <is>
          <t>https://thinkcontent.jp/lion_lidea</t>
        </is>
      </c>
      <c r="D104" s="102" t="inlineStr">
        <is>
          <t>https://thinkcontent.jp/lion_lidea</t>
        </is>
      </c>
      <c r="E104" s="123" t="n"/>
      <c r="F104" s="105" t="inlineStr">
        <is>
          <t>アクセス解析とは</t>
        </is>
      </c>
      <c r="G104" s="93">
        <f>IF(COUNTIF($C$3:$D$31,"*"&amp;F104&amp;"*")&gt;0,"〇","")</f>
        <v/>
      </c>
      <c r="H104" s="107">
        <f>IF(COUNTIF($C$35:$D$40,"*"&amp;F104&amp;"*")&gt;0,"〇","")</f>
        <v/>
      </c>
      <c r="I104" s="107">
        <f>IF(COUNTIF($C$44:$D$52,"*"&amp;F104&amp;"*")&gt;0,"〇","")</f>
        <v/>
      </c>
      <c r="J104" s="107">
        <f>IF(COUNTIF($C$56:$D$110,"*"&amp;F104&amp;"*")&gt;0,"〇","")</f>
        <v/>
      </c>
      <c r="K104" s="107">
        <f>IF(COUNTIF($C$114:$D$122,"*"&amp;F104&amp;"*")&gt;0,"〇","")</f>
        <v/>
      </c>
      <c r="L104" s="103" t="n"/>
    </row>
    <row r="105">
      <c r="B105" s="28" t="inlineStr">
        <is>
          <t>https://webtan.impress.co.jp/e/2017/12/20/27668</t>
        </is>
      </c>
      <c r="C105" s="84" t="inlineStr">
        <is>
          <t>2時間でメンバーの相互理解を深める「コンセプトマップワークショップ」の手順とは？</t>
        </is>
      </c>
      <c r="D105" s="103" t="inlineStr">
        <is>
          <t>コンセプトマップワークショップ　手順</t>
        </is>
      </c>
      <c r="E105" s="123" t="n"/>
      <c r="F105" s="105" t="inlineStr">
        <is>
          <t>マーケティング　コラム</t>
        </is>
      </c>
      <c r="G105" s="93">
        <f>IF(COUNTIF($C$3:$D$31,"*"&amp;F105&amp;"*")&gt;0,"〇","")</f>
        <v/>
      </c>
      <c r="H105" s="107">
        <f>IF(COUNTIF($C$35:$D$40,"*"&amp;F105&amp;"*")&gt;0,"〇","")</f>
        <v/>
      </c>
      <c r="I105" s="107">
        <f>IF(COUNTIF($C$44:$D$52,"*"&amp;F105&amp;"*")&gt;0,"〇","")</f>
        <v/>
      </c>
      <c r="J105" s="107">
        <f>IF(COUNTIF($C$56:$D$110,"*"&amp;F105&amp;"*")&gt;0,"〇","")</f>
        <v/>
      </c>
      <c r="K105" s="107">
        <f>IF(COUNTIF($C$114:$D$122,"*"&amp;F105&amp;"*")&gt;0,"〇","")</f>
        <v/>
      </c>
      <c r="L105" s="103" t="n"/>
    </row>
    <row r="106">
      <c r="B106" s="28" t="inlineStr">
        <is>
          <t>https://satori.marketing/marketing-blog/how_to_proceed_contentsseo/</t>
        </is>
      </c>
      <c r="C106" s="84" t="inlineStr">
        <is>
          <t>ユーザーに評価されるコンテンツSEOの進め方とは</t>
        </is>
      </c>
      <c r="D106" s="103" t="inlineStr">
        <is>
          <t>コンテンツSEO　進め方</t>
        </is>
      </c>
      <c r="E106" s="123" t="n"/>
      <c r="F106" s="105" t="inlineStr">
        <is>
          <t>広告　ROAS　高め方</t>
        </is>
      </c>
      <c r="G106" s="93">
        <f>IF(COUNTIF($C$3:$D$31,"*"&amp;F106&amp;"*")&gt;0,"〇","")</f>
        <v/>
      </c>
      <c r="H106" s="107">
        <f>IF(COUNTIF($C$35:$D$40,"*"&amp;F106&amp;"*")&gt;0,"〇","")</f>
        <v/>
      </c>
      <c r="I106" s="107">
        <f>IF(COUNTIF($C$44:$D$52,"*"&amp;F106&amp;"*")&gt;0,"〇","")</f>
        <v/>
      </c>
      <c r="J106" s="107">
        <f>IF(COUNTIF($C$56:$D$110,"*"&amp;F106&amp;"*")&gt;0,"〇","")</f>
        <v/>
      </c>
      <c r="K106" s="107">
        <f>IF(COUNTIF($C$114:$D$122,"*"&amp;F106&amp;"*")&gt;0,"〇","")</f>
        <v/>
      </c>
      <c r="L106" s="103" t="n"/>
    </row>
    <row r="107">
      <c r="B107" s="28" t="inlineStr">
        <is>
          <t>https://www.outbrain.com/jp/</t>
        </is>
      </c>
      <c r="C107" s="84" t="inlineStr">
        <is>
          <t>outbrain direct responce</t>
        </is>
      </c>
      <c r="D107" s="103" t="inlineStr">
        <is>
          <t>Outbrain</t>
        </is>
      </c>
      <c r="E107" s="123" t="n"/>
      <c r="F107" s="105" t="inlineStr">
        <is>
          <t>水道修理</t>
        </is>
      </c>
      <c r="G107" s="93">
        <f>IF(COUNTIF($C$3:$D$31,"*"&amp;F107&amp;"*")&gt;0,"〇","")</f>
        <v/>
      </c>
      <c r="H107" s="107">
        <f>IF(COUNTIF($C$35:$D$40,"*"&amp;F107&amp;"*")&gt;0,"〇","")</f>
        <v/>
      </c>
      <c r="I107" s="107">
        <f>IF(COUNTIF($C$44:$D$52,"*"&amp;F107&amp;"*")&gt;0,"〇","")</f>
        <v/>
      </c>
      <c r="J107" s="107">
        <f>IF(COUNTIF($C$56:$D$110,"*"&amp;F107&amp;"*")&gt;0,"〇","")</f>
        <v/>
      </c>
      <c r="K107" s="107">
        <f>IF(COUNTIF($C$114:$D$122,"*"&amp;F107&amp;"*")&gt;0,"〇","")</f>
        <v/>
      </c>
      <c r="L107" s="103" t="n"/>
    </row>
    <row r="108">
      <c r="B108" s="28" t="inlineStr">
        <is>
          <t>https://lift.logly.co.jp/</t>
        </is>
      </c>
      <c r="C108" s="103" t="inlineStr">
        <is>
          <t>LOGLY Marketing Nexus</t>
        </is>
      </c>
      <c r="D108" s="103" t="inlineStr">
        <is>
          <t>LOGLY</t>
        </is>
      </c>
      <c r="E108" s="123" t="n"/>
      <c r="F108" s="105" t="inlineStr">
        <is>
          <t>アクセス解析</t>
        </is>
      </c>
      <c r="G108" s="93">
        <f>IF(COUNTIF($C$3:$D$31,"*"&amp;F108&amp;"*")&gt;0,"〇","")</f>
        <v/>
      </c>
      <c r="H108" s="107">
        <f>IF(COUNTIF($C$35:$D$40,"*"&amp;F108&amp;"*")&gt;0,"〇","")</f>
        <v/>
      </c>
      <c r="I108" s="107">
        <f>IF(COUNTIF($C$44:$D$52,"*"&amp;F108&amp;"*")&gt;0,"〇","")</f>
        <v/>
      </c>
      <c r="J108" s="107">
        <f>IF(COUNTIF($C$56:$D$110,"*"&amp;F108&amp;"*")&gt;0,"〇","")</f>
        <v/>
      </c>
      <c r="K108" s="107">
        <f>IF(COUNTIF($C$114:$D$122,"*"&amp;F108&amp;"*")&gt;0,"〇","")</f>
        <v/>
      </c>
      <c r="L108" s="103" t="n"/>
    </row>
    <row r="109">
      <c r="B109" s="28" t="inlineStr">
        <is>
          <t>https://discovery.popin.cc/</t>
        </is>
      </c>
      <c r="C109" s="84" t="inlineStr">
        <is>
          <t>discovery DSP</t>
        </is>
      </c>
      <c r="D109" s="103" t="inlineStr">
        <is>
          <t>popIn</t>
        </is>
      </c>
      <c r="E109" s="123" t="n"/>
      <c r="F109" s="105" t="n"/>
      <c r="G109" s="93" t="n"/>
      <c r="H109" s="107" t="n"/>
      <c r="I109" s="107" t="n"/>
      <c r="J109" s="107" t="n"/>
      <c r="K109" s="107" t="n"/>
      <c r="L109" s="103" t="n"/>
    </row>
    <row r="110">
      <c r="B110" s="28" t="inlineStr">
        <is>
          <t>https://satori.marketing/materials/?s_action=embed_bottom_blog_materials</t>
        </is>
      </c>
      <c r="C110" s="84" t="inlineStr">
        <is>
          <t>お役立ち資料</t>
        </is>
      </c>
      <c r="D110" s="103" t="inlineStr">
        <is>
          <t>お役立ち資料</t>
        </is>
      </c>
      <c r="E110" s="123" t="n"/>
      <c r="F110" s="105" t="n"/>
      <c r="G110" s="93" t="n"/>
      <c r="H110" s="107" t="n"/>
      <c r="I110" s="107" t="n"/>
      <c r="J110" s="107" t="n"/>
      <c r="K110" s="107" t="n"/>
      <c r="L110" s="103" t="n"/>
    </row>
    <row r="111">
      <c r="E111" s="123" t="n"/>
      <c r="F111" s="105" t="n"/>
      <c r="G111" s="93" t="n"/>
      <c r="H111" s="107" t="n"/>
      <c r="I111" s="107" t="n"/>
      <c r="J111" s="107" t="n"/>
      <c r="K111" s="107" t="n"/>
      <c r="L111" s="103" t="n"/>
    </row>
    <row r="112">
      <c r="A112" s="84" t="inlineStr">
        <is>
          <t>5位</t>
        </is>
      </c>
      <c r="B112" s="16" t="inlineStr">
        <is>
          <t>https://www.lycbiz.com/jp/column/yahoo-ads/marketing/what-is-owned-media/</t>
        </is>
      </c>
      <c r="C112" s="84" t="inlineStr">
        <is>
          <t>オウンドメディアとは？　始め方やメリットを解説</t>
        </is>
      </c>
      <c r="E112" s="123" t="n"/>
      <c r="F112" s="105" t="n"/>
      <c r="G112" s="93" t="n"/>
      <c r="H112" s="107" t="n"/>
      <c r="I112" s="107" t="n"/>
      <c r="J112" s="107" t="n"/>
      <c r="K112" s="107" t="n"/>
      <c r="L112" s="103" t="n"/>
    </row>
    <row r="113">
      <c r="E113" s="123" t="n"/>
      <c r="F113" s="105" t="n"/>
      <c r="G113" s="93" t="n"/>
      <c r="H113" s="107" t="n"/>
      <c r="I113" s="107" t="n"/>
      <c r="J113" s="107" t="n"/>
      <c r="K113" s="107" t="n"/>
      <c r="L113" s="103" t="n"/>
    </row>
    <row r="114">
      <c r="A114" s="84" t="inlineStr">
        <is>
          <t>内部発リンク</t>
        </is>
      </c>
      <c r="B114" s="16" t="inlineStr">
        <is>
          <t>https://www.lycbiz.com/jp/column/yahoo-ads/marketing/what-is-triple-media/</t>
        </is>
      </c>
      <c r="C114" s="84" t="inlineStr">
        <is>
          <t>トリプルメディアとは？　3つの分類と効果的な組み合わせ、メディアの選び方も解説</t>
        </is>
      </c>
      <c r="D114" s="84" t="inlineStr">
        <is>
          <t>トリプルメディアとは</t>
        </is>
      </c>
      <c r="E114" s="123" t="n"/>
      <c r="F114" s="105" t="n"/>
      <c r="G114" s="93" t="n"/>
      <c r="H114" s="107" t="n"/>
      <c r="I114" s="107" t="n"/>
      <c r="J114" s="107" t="n"/>
      <c r="K114" s="107" t="n"/>
      <c r="L114" s="103" t="n"/>
    </row>
    <row r="115">
      <c r="B115" s="16" t="inlineStr">
        <is>
          <t>https://www.lycbiz.com/jp/service/yahoo-ads/</t>
        </is>
      </c>
      <c r="C115" s="84" t="inlineStr">
        <is>
          <t>Yahoo!広告</t>
        </is>
      </c>
      <c r="D115" s="84" t="inlineStr">
        <is>
          <t>Yahoo!広告</t>
        </is>
      </c>
      <c r="E115" s="123" t="n"/>
      <c r="F115" s="105" t="n"/>
      <c r="G115" s="93" t="n"/>
      <c r="H115" s="107" t="n"/>
      <c r="I115" s="107" t="n"/>
      <c r="J115" s="107" t="n"/>
      <c r="K115" s="107" t="n"/>
      <c r="L115" s="103" t="n"/>
    </row>
    <row r="116">
      <c r="B116" s="16" t="inlineStr">
        <is>
          <t>https://ads-help.yahoo-net.jp/s/article/H000044876?language=ja</t>
        </is>
      </c>
      <c r="C116" s="84" t="inlineStr">
        <is>
          <t>サイトリターゲティングとは【検索広告】</t>
        </is>
      </c>
      <c r="D116" s="84" t="inlineStr">
        <is>
          <t>サイトリターゲティングとは</t>
        </is>
      </c>
      <c r="E116" s="123" t="n"/>
      <c r="F116" s="105" t="n"/>
      <c r="G116" s="93" t="n"/>
      <c r="H116" s="107" t="n"/>
      <c r="I116" s="107" t="n"/>
      <c r="J116" s="107" t="n"/>
      <c r="K116" s="107" t="n"/>
      <c r="L116" s="103" t="n"/>
    </row>
    <row r="117">
      <c r="B117" s="16" t="inlineStr">
        <is>
          <t>https://www.lycbiz.com/jp/column/yahoo-ads/marketing/difference-bw-listing-and-seo/</t>
        </is>
      </c>
      <c r="C117" s="84" t="inlineStr">
        <is>
          <t>リスティング広告とSEOの違いや相乗効果とは。集客を増やすためのポイントも解説</t>
        </is>
      </c>
      <c r="D117" s="84" t="inlineStr">
        <is>
          <t>リスティング広告　SEO　違い</t>
        </is>
      </c>
      <c r="E117" s="123" t="n"/>
      <c r="F117" s="105" t="n"/>
      <c r="G117" s="93" t="n"/>
      <c r="H117" s="107" t="n"/>
      <c r="I117" s="107" t="n"/>
      <c r="J117" s="107" t="n"/>
      <c r="K117" s="107" t="n"/>
      <c r="L117" s="103" t="n"/>
    </row>
    <row r="118">
      <c r="B118" s="16" t="inlineStr">
        <is>
          <t>https://www.lycbiz.com/jp/column/yahoo-ads/marketing/what-is-access-analysis/</t>
        </is>
      </c>
      <c r="C118" s="84" t="inlineStr">
        <is>
          <t>アクセス解析とは？　分析方法やサイト改善のコツを解説</t>
        </is>
      </c>
      <c r="D118" s="84" t="inlineStr">
        <is>
          <t>アクセス解析とは</t>
        </is>
      </c>
      <c r="E118" s="123" t="n"/>
      <c r="F118" s="105" t="n"/>
      <c r="G118" s="93" t="n"/>
      <c r="H118" s="107" t="n"/>
      <c r="I118" s="107" t="n"/>
      <c r="J118" s="107" t="n"/>
      <c r="K118" s="107" t="n"/>
      <c r="L118" s="103" t="n"/>
    </row>
    <row r="119">
      <c r="B119" s="16" t="inlineStr">
        <is>
          <t>https://www.lycbiz.com/jp/column/marketing-0/</t>
        </is>
      </c>
      <c r="C119" s="84" t="inlineStr">
        <is>
          <t>コラム</t>
        </is>
      </c>
      <c r="D119" s="84" t="inlineStr">
        <is>
          <t>マーケティング　コラム</t>
        </is>
      </c>
      <c r="E119" s="123" t="n"/>
      <c r="F119" s="105" t="n"/>
      <c r="G119" s="93" t="n"/>
      <c r="H119" s="107" t="n"/>
      <c r="I119" s="107" t="n"/>
      <c r="J119" s="107" t="n"/>
      <c r="K119" s="107" t="n"/>
      <c r="L119" s="103" t="n"/>
    </row>
    <row r="120">
      <c r="B120" s="16" t="inlineStr">
        <is>
          <t>https://www.lycbiz.com/jp/column/yahoo-ads/marketing/ads-roas/</t>
        </is>
      </c>
      <c r="C120" s="84" t="inlineStr">
        <is>
          <t>広告の費用対効果（ROAS）を高めるには？ 指標の出し方や活用ステップ、予算の目安も解説</t>
        </is>
      </c>
      <c r="D120" s="84" t="inlineStr">
        <is>
          <t>広告　ROAS　高め方</t>
        </is>
      </c>
      <c r="E120" s="123" t="n"/>
      <c r="F120" s="105" t="n"/>
      <c r="G120" s="93" t="n"/>
      <c r="H120" s="107" t="n"/>
      <c r="I120" s="107" t="n"/>
      <c r="J120" s="107" t="n"/>
      <c r="K120" s="107" t="n"/>
      <c r="L120" s="103" t="n"/>
    </row>
    <row r="121">
      <c r="B121" s="16" t="inlineStr">
        <is>
          <t>https://www.lycbiz.com/jp/column/yahoo-ads/marketing/water-repair-digital-marketing/</t>
        </is>
      </c>
      <c r="C121" s="84" t="inlineStr">
        <is>
          <t>集客に効果的！水道修理を探しているユーザーの検索ワードとは？</t>
        </is>
      </c>
      <c r="D121" s="84" t="inlineStr">
        <is>
          <t>水道修理</t>
        </is>
      </c>
      <c r="E121" s="123" t="n"/>
      <c r="F121" s="105" t="n"/>
      <c r="G121" s="93" t="n"/>
      <c r="H121" s="107" t="n"/>
      <c r="I121" s="107" t="n"/>
      <c r="J121" s="107" t="n"/>
      <c r="K121" s="107" t="n"/>
      <c r="L121" s="103" t="n"/>
    </row>
    <row r="122">
      <c r="B122" s="16" t="inlineStr">
        <is>
          <t>https://www.lycbiz.com/jp/column/yahoo-ads/marketing/what-is-access-analysis/</t>
        </is>
      </c>
      <c r="C122" s="84" t="inlineStr">
        <is>
          <t>アクセス解析とは？　分析方法やサイト改善のコツを解説</t>
        </is>
      </c>
      <c r="D122" s="84" t="inlineStr">
        <is>
          <t>アクセス解析</t>
        </is>
      </c>
      <c r="E122" s="123" t="n"/>
      <c r="F122" s="105" t="n"/>
      <c r="G122" s="93" t="n"/>
      <c r="H122" s="107" t="n"/>
      <c r="I122" s="107" t="n"/>
      <c r="J122" s="107" t="n"/>
      <c r="K122" s="107" t="n"/>
      <c r="L122" s="103" t="n"/>
    </row>
    <row r="123">
      <c r="E123" s="123" t="n"/>
      <c r="F123" s="105" t="n"/>
      <c r="G123" s="93" t="n"/>
      <c r="H123" s="107" t="n"/>
      <c r="I123" s="107" t="n"/>
      <c r="J123" s="107" t="n"/>
      <c r="K123" s="107" t="n"/>
      <c r="L123" s="103" t="n"/>
    </row>
    <row r="124">
      <c r="E124" s="123" t="n"/>
      <c r="F124" s="105" t="n"/>
      <c r="G124" s="93" t="n"/>
      <c r="H124" s="107" t="n"/>
      <c r="I124" s="107" t="n"/>
      <c r="J124" s="107" t="n"/>
      <c r="K124" s="107" t="n"/>
      <c r="L124" s="103" t="n"/>
    </row>
    <row r="125">
      <c r="E125" s="123" t="n"/>
      <c r="F125" s="105" t="n"/>
      <c r="G125" s="93" t="n"/>
      <c r="H125" s="107" t="n"/>
      <c r="I125" s="107" t="n"/>
      <c r="J125" s="107" t="n"/>
      <c r="K125" s="107" t="n"/>
      <c r="L125" s="103" t="n"/>
    </row>
    <row r="126">
      <c r="E126" s="123" t="n"/>
      <c r="F126" s="105" t="n"/>
      <c r="G126" s="93" t="n"/>
      <c r="H126" s="107" t="n"/>
      <c r="I126" s="107" t="n"/>
      <c r="J126" s="107" t="n"/>
      <c r="K126" s="107" t="n"/>
      <c r="L126" s="103" t="n"/>
    </row>
    <row r="127">
      <c r="B127" s="84" t="n"/>
      <c r="C127" s="84" t="n"/>
      <c r="D127" s="84" t="n"/>
      <c r="E127" s="123" t="n"/>
      <c r="F127" s="105" t="n"/>
      <c r="G127" s="93" t="n"/>
      <c r="H127" s="107" t="n"/>
      <c r="I127" s="107" t="n"/>
      <c r="J127" s="107" t="n"/>
      <c r="K127" s="107" t="n"/>
      <c r="L127" s="103" t="n"/>
    </row>
    <row r="128">
      <c r="B128" s="84" t="n"/>
      <c r="C128" s="84" t="n"/>
      <c r="D128" s="103" t="n"/>
      <c r="E128" s="123" t="n"/>
      <c r="F128" s="105" t="n"/>
      <c r="G128" s="93" t="n"/>
      <c r="H128" s="107" t="n"/>
      <c r="I128" s="107" t="n"/>
      <c r="J128" s="107" t="n"/>
      <c r="K128" s="107" t="n"/>
      <c r="L128" s="103" t="n"/>
    </row>
    <row r="129">
      <c r="B129" s="84" t="n"/>
      <c r="C129" s="84" t="n"/>
      <c r="D129" s="103" t="n"/>
      <c r="E129" s="123" t="n"/>
      <c r="F129" s="105" t="n"/>
      <c r="G129" s="93" t="n"/>
      <c r="H129" s="107" t="n"/>
      <c r="I129" s="107" t="n"/>
      <c r="J129" s="107" t="n"/>
      <c r="K129" s="107" t="n"/>
      <c r="L129" s="103" t="n"/>
    </row>
    <row r="130">
      <c r="B130" s="84" t="n"/>
      <c r="C130" s="103" t="n"/>
      <c r="D130" s="103" t="n"/>
      <c r="E130" s="123" t="n"/>
      <c r="F130" s="105" t="n"/>
      <c r="G130" s="93" t="n"/>
      <c r="H130" s="107" t="n"/>
      <c r="I130" s="107" t="n"/>
      <c r="J130" s="107" t="n"/>
      <c r="K130" s="107" t="n"/>
      <c r="L130" s="103" t="n"/>
    </row>
    <row r="131">
      <c r="B131" s="84" t="n"/>
      <c r="C131" s="103" t="n"/>
      <c r="D131" s="103" t="n"/>
      <c r="E131" s="123" t="n"/>
      <c r="F131" s="105" t="n"/>
      <c r="G131" s="93" t="n"/>
      <c r="H131" s="107" t="n"/>
      <c r="I131" s="107" t="n"/>
      <c r="J131" s="107" t="n"/>
      <c r="K131" s="107" t="n"/>
      <c r="L131" s="103" t="n"/>
    </row>
    <row r="132">
      <c r="B132" s="84" t="n"/>
      <c r="C132" s="103" t="n"/>
      <c r="D132" s="103" t="n"/>
      <c r="E132" s="123" t="n"/>
      <c r="F132" s="105" t="n"/>
      <c r="G132" s="93" t="n"/>
      <c r="H132" s="107" t="n"/>
      <c r="I132" s="107" t="n"/>
      <c r="J132" s="107" t="n"/>
      <c r="K132" s="107" t="n"/>
      <c r="L132" s="103" t="n"/>
    </row>
    <row r="133">
      <c r="B133" s="84" t="n"/>
      <c r="C133" s="103" t="n"/>
      <c r="D133" s="103" t="n"/>
      <c r="E133" s="123" t="n"/>
      <c r="F133" s="105" t="n"/>
      <c r="G133" s="93" t="n"/>
      <c r="H133" s="107" t="n"/>
      <c r="I133" s="107" t="n"/>
      <c r="J133" s="107" t="n"/>
      <c r="K133" s="107" t="n"/>
      <c r="L133" s="103" t="n"/>
    </row>
    <row r="134">
      <c r="B134" s="84" t="n"/>
      <c r="C134" s="84" t="n"/>
      <c r="D134" s="103" t="n"/>
      <c r="E134" s="123" t="n"/>
      <c r="F134" s="105" t="n"/>
      <c r="G134" s="93" t="n"/>
      <c r="H134" s="107" t="n"/>
      <c r="I134" s="107" t="n"/>
      <c r="J134" s="107" t="n"/>
      <c r="K134" s="107" t="n"/>
      <c r="L134" s="103" t="n"/>
    </row>
    <row r="135">
      <c r="B135" s="84" t="n"/>
      <c r="C135" s="84" t="n"/>
      <c r="D135" s="103" t="n"/>
      <c r="E135" s="123" t="n"/>
      <c r="F135" s="105" t="n"/>
      <c r="G135" s="93" t="n"/>
      <c r="H135" s="107" t="n"/>
      <c r="I135" s="107" t="n"/>
      <c r="J135" s="107" t="n"/>
      <c r="K135" s="107" t="n"/>
      <c r="L135" s="103" t="n"/>
    </row>
    <row r="136">
      <c r="B136" s="84" t="n"/>
      <c r="C136" s="84" t="n"/>
      <c r="D136" s="103" t="n"/>
      <c r="E136" s="123" t="n"/>
      <c r="F136" s="105" t="n"/>
      <c r="G136" s="93" t="n"/>
      <c r="H136" s="107" t="n"/>
      <c r="I136" s="107" t="n"/>
      <c r="J136" s="107" t="n"/>
      <c r="K136" s="107" t="n"/>
      <c r="L136" s="103" t="n"/>
    </row>
    <row r="137">
      <c r="B137" s="84" t="n"/>
      <c r="C137" s="84" t="n"/>
      <c r="E137" s="123" t="n"/>
      <c r="F137" s="105" t="n"/>
      <c r="G137" s="93" t="n"/>
      <c r="H137" s="107" t="n"/>
      <c r="I137" s="107" t="n"/>
      <c r="J137" s="107" t="n"/>
      <c r="K137" s="107" t="n"/>
      <c r="L137" s="103" t="n"/>
    </row>
    <row r="138">
      <c r="B138" s="84" t="n"/>
      <c r="C138" s="84" t="n"/>
      <c r="D138" s="103" t="n"/>
      <c r="E138" s="123" t="n"/>
      <c r="F138" s="105" t="n"/>
      <c r="G138" s="93" t="n"/>
      <c r="H138" s="107" t="n"/>
      <c r="I138" s="107" t="n"/>
      <c r="J138" s="107" t="n"/>
      <c r="K138" s="107" t="n"/>
      <c r="L138" s="103" t="n"/>
    </row>
    <row r="139">
      <c r="B139" s="84" t="n"/>
      <c r="C139" s="84" t="n"/>
      <c r="D139" s="103" t="n"/>
      <c r="E139" s="123" t="n"/>
      <c r="F139" s="105" t="n"/>
      <c r="G139" s="93" t="n"/>
      <c r="H139" s="107" t="n"/>
      <c r="I139" s="107" t="n"/>
      <c r="J139" s="107" t="n"/>
      <c r="K139" s="107" t="n"/>
      <c r="L139" s="103" t="n"/>
    </row>
    <row r="140">
      <c r="B140" s="84" t="n"/>
      <c r="C140" s="103" t="n"/>
      <c r="D140" s="103" t="n"/>
      <c r="E140" s="123" t="n"/>
      <c r="F140" s="105" t="n"/>
      <c r="G140" s="93" t="n"/>
      <c r="H140" s="107" t="n"/>
      <c r="I140" s="107" t="n"/>
      <c r="J140" s="107" t="n"/>
      <c r="K140" s="107" t="n"/>
      <c r="L140" s="103" t="n"/>
    </row>
    <row r="141">
      <c r="B141" s="84" t="n"/>
      <c r="C141" s="84" t="n"/>
      <c r="D141" s="103" t="n"/>
      <c r="E141" s="123" t="n"/>
      <c r="F141" s="105" t="n"/>
      <c r="G141" s="93" t="n"/>
      <c r="H141" s="107" t="n"/>
      <c r="I141" s="107" t="n"/>
      <c r="J141" s="107" t="n"/>
      <c r="K141" s="107" t="n"/>
      <c r="L141" s="103" t="n"/>
    </row>
    <row r="142">
      <c r="B142" s="84" t="n"/>
      <c r="C142" s="103" t="n"/>
      <c r="D142" s="103" t="n"/>
      <c r="E142" s="123" t="n"/>
      <c r="F142" s="105" t="n"/>
      <c r="G142" s="93" t="n"/>
      <c r="H142" s="107" t="n"/>
      <c r="I142" s="107" t="n"/>
      <c r="J142" s="107" t="n"/>
      <c r="K142" s="107" t="n"/>
      <c r="L142" s="103" t="n"/>
    </row>
    <row r="143">
      <c r="B143" s="84" t="n"/>
      <c r="C143" s="84" t="n"/>
      <c r="F143" s="105" t="n"/>
      <c r="G143" s="93" t="n"/>
      <c r="H143" s="107" t="n"/>
      <c r="I143" s="107" t="n"/>
      <c r="J143" s="107" t="n"/>
      <c r="K143" s="107" t="n"/>
      <c r="L143" s="103" t="n"/>
    </row>
    <row r="144">
      <c r="B144" s="84" t="n"/>
      <c r="C144" s="84" t="n"/>
      <c r="F144" s="105" t="n"/>
      <c r="G144" s="93" t="n"/>
      <c r="H144" s="107" t="n"/>
      <c r="I144" s="107" t="n"/>
      <c r="J144" s="107" t="n"/>
      <c r="K144" s="107" t="n"/>
      <c r="L144" s="103" t="n"/>
    </row>
    <row r="145">
      <c r="B145" s="84" t="n"/>
      <c r="C145" s="84" t="n"/>
      <c r="F145" s="105" t="n"/>
      <c r="G145" s="93" t="n"/>
      <c r="H145" s="107" t="n"/>
      <c r="I145" s="107" t="n"/>
      <c r="J145" s="107" t="n"/>
      <c r="K145" s="107" t="n"/>
      <c r="L145" s="103" t="n"/>
    </row>
    <row r="146">
      <c r="B146" s="84" t="n"/>
      <c r="C146" s="84" t="n"/>
      <c r="F146" s="105" t="n"/>
      <c r="G146" s="93" t="n"/>
      <c r="H146" s="107" t="n"/>
      <c r="I146" s="107" t="n"/>
      <c r="J146" s="107" t="n"/>
      <c r="K146" s="107" t="n"/>
      <c r="L146" s="103" t="n"/>
    </row>
    <row r="147">
      <c r="B147" s="84" t="n"/>
      <c r="F147" s="105" t="n"/>
      <c r="G147" s="93" t="n"/>
      <c r="H147" s="107" t="n"/>
      <c r="I147" s="107" t="n"/>
      <c r="J147" s="107" t="n"/>
      <c r="K147" s="107" t="n"/>
      <c r="L147" s="103" t="n"/>
    </row>
    <row r="148">
      <c r="B148" s="84" t="n"/>
      <c r="C148" s="84" t="n"/>
      <c r="F148" s="105" t="n"/>
      <c r="G148" s="93" t="n"/>
      <c r="H148" s="107" t="n"/>
      <c r="I148" s="107" t="n"/>
      <c r="J148" s="107" t="n"/>
      <c r="K148" s="107" t="n"/>
      <c r="L148" s="103" t="n"/>
    </row>
    <row r="149">
      <c r="B149" s="84" t="n"/>
      <c r="C149" s="84" t="n"/>
      <c r="F149" s="105" t="n"/>
      <c r="G149" s="93" t="n"/>
      <c r="H149" s="107" t="n"/>
      <c r="I149" s="107" t="n"/>
      <c r="J149" s="107" t="n"/>
      <c r="K149" s="107" t="n"/>
      <c r="L149" s="103" t="n"/>
    </row>
    <row r="150">
      <c r="B150" s="84" t="n"/>
      <c r="C150" s="84" t="n"/>
      <c r="F150" s="105" t="n"/>
      <c r="G150" s="93" t="n"/>
      <c r="H150" s="107" t="n"/>
      <c r="I150" s="107" t="n"/>
      <c r="J150" s="107" t="n"/>
      <c r="K150" s="107" t="n"/>
      <c r="L150" s="103" t="n"/>
    </row>
    <row r="151">
      <c r="B151" s="84" t="n"/>
      <c r="C151" s="84" t="n"/>
      <c r="F151" s="105" t="n"/>
      <c r="G151" s="93" t="n"/>
      <c r="H151" s="107" t="n"/>
      <c r="I151" s="107" t="n"/>
      <c r="J151" s="107" t="n"/>
      <c r="K151" s="107" t="n"/>
      <c r="L151" s="103" t="n"/>
    </row>
    <row r="152">
      <c r="B152" s="84" t="n"/>
      <c r="C152" s="84" t="n"/>
      <c r="F152" s="105" t="n"/>
      <c r="G152" s="93" t="n"/>
      <c r="H152" s="107" t="n"/>
      <c r="I152" s="107" t="n"/>
      <c r="J152" s="107" t="n"/>
      <c r="K152" s="107" t="n"/>
      <c r="L152" s="103" t="n"/>
    </row>
    <row r="153">
      <c r="B153" s="84" t="n"/>
      <c r="C153" s="84" t="n"/>
      <c r="F153" s="105" t="n"/>
      <c r="G153" s="93" t="n"/>
      <c r="H153" s="107" t="n"/>
      <c r="I153" s="107" t="n"/>
      <c r="J153" s="107" t="n"/>
      <c r="K153" s="107" t="n"/>
      <c r="L153" s="103" t="n"/>
    </row>
    <row r="154">
      <c r="B154" s="84" t="n"/>
      <c r="C154" s="84" t="n"/>
      <c r="F154" s="105" t="n"/>
      <c r="G154" s="93" t="n"/>
      <c r="H154" s="107" t="n"/>
      <c r="I154" s="107" t="n"/>
      <c r="J154" s="107" t="n"/>
      <c r="K154" s="107" t="n"/>
      <c r="L154" s="103" t="n"/>
    </row>
    <row r="155">
      <c r="B155" s="84" t="n"/>
      <c r="C155" s="84" t="n"/>
      <c r="F155" s="105" t="n"/>
      <c r="G155" s="93" t="n"/>
      <c r="H155" s="107" t="n"/>
      <c r="I155" s="107" t="n"/>
      <c r="J155" s="107" t="n"/>
      <c r="K155" s="107" t="n"/>
      <c r="L155" s="103" t="n"/>
    </row>
    <row r="156">
      <c r="B156" s="84" t="n"/>
      <c r="C156" s="84" t="n"/>
      <c r="F156" s="105" t="n"/>
      <c r="G156" s="93" t="n"/>
      <c r="H156" s="107" t="n"/>
      <c r="I156" s="107" t="n"/>
      <c r="J156" s="107" t="n"/>
      <c r="K156" s="107" t="n"/>
      <c r="L156" s="103" t="n"/>
    </row>
    <row r="157">
      <c r="B157" s="84" t="n"/>
      <c r="C157" s="84" t="n"/>
      <c r="F157" s="105" t="n"/>
      <c r="G157" s="93" t="n"/>
      <c r="H157" s="107" t="n"/>
      <c r="I157" s="107" t="n"/>
      <c r="J157" s="107" t="n"/>
      <c r="K157" s="107" t="n"/>
      <c r="L157" s="103" t="n"/>
    </row>
    <row r="158">
      <c r="B158" s="84" t="n"/>
      <c r="C158" s="84" t="n"/>
      <c r="F158" s="105" t="n"/>
      <c r="G158" s="93" t="n"/>
      <c r="H158" s="107" t="n"/>
      <c r="I158" s="107" t="n"/>
      <c r="J158" s="107" t="n"/>
      <c r="K158" s="107" t="n"/>
      <c r="L158" s="103" t="n"/>
    </row>
    <row r="159">
      <c r="B159" s="84" t="n"/>
      <c r="C159" s="84" t="n"/>
      <c r="F159" s="105" t="n"/>
      <c r="G159" s="93" t="n"/>
      <c r="H159" s="107" t="n"/>
      <c r="I159" s="107" t="n"/>
      <c r="J159" s="107" t="n"/>
      <c r="K159" s="107" t="n"/>
      <c r="L159" s="103" t="n"/>
    </row>
    <row r="160">
      <c r="B160" s="84" t="n"/>
      <c r="F160" s="105" t="n"/>
      <c r="G160" s="93" t="n"/>
      <c r="H160" s="107" t="n"/>
      <c r="I160" s="107" t="n"/>
      <c r="J160" s="107" t="n"/>
      <c r="K160" s="107" t="n"/>
      <c r="L160" s="103" t="n"/>
    </row>
    <row r="161">
      <c r="B161" s="84" t="n"/>
      <c r="C161" s="84" t="n"/>
      <c r="F161" s="105" t="n"/>
      <c r="G161" s="93" t="n"/>
      <c r="H161" s="107" t="n"/>
      <c r="I161" s="107" t="n"/>
      <c r="J161" s="107" t="n"/>
      <c r="K161" s="107" t="n"/>
      <c r="L161" s="103" t="n"/>
    </row>
    <row r="162">
      <c r="B162" s="84" t="n"/>
      <c r="C162" s="84" t="n"/>
      <c r="F162" s="105" t="n"/>
      <c r="G162" s="93" t="n"/>
      <c r="H162" s="107" t="n"/>
      <c r="I162" s="107" t="n"/>
      <c r="J162" s="107" t="n"/>
      <c r="K162" s="107" t="n"/>
      <c r="L162" s="103" t="n"/>
    </row>
    <row r="163">
      <c r="B163" s="84" t="n"/>
      <c r="C163" s="84" t="n"/>
      <c r="F163" s="105" t="n"/>
      <c r="G163" s="93" t="n"/>
      <c r="H163" s="107" t="n"/>
      <c r="I163" s="107" t="n"/>
      <c r="J163" s="107" t="n"/>
      <c r="K163" s="107" t="n"/>
      <c r="L163" s="103" t="n"/>
    </row>
    <row r="164">
      <c r="B164" s="84" t="n"/>
      <c r="C164" s="84" t="n"/>
      <c r="F164" s="105" t="n"/>
      <c r="G164" s="93" t="n"/>
      <c r="H164" s="107" t="n"/>
      <c r="I164" s="107" t="n"/>
      <c r="J164" s="107" t="n"/>
      <c r="K164" s="107" t="n"/>
      <c r="L164" s="103" t="n"/>
    </row>
    <row r="165">
      <c r="B165" s="84" t="n"/>
      <c r="C165" s="84" t="n"/>
      <c r="F165" s="105" t="n"/>
      <c r="G165" s="93" t="n"/>
      <c r="H165" s="107" t="n"/>
      <c r="I165" s="107" t="n"/>
      <c r="J165" s="107" t="n"/>
      <c r="K165" s="107" t="n"/>
      <c r="L165" s="103" t="n"/>
    </row>
    <row r="166">
      <c r="B166" s="84" t="n"/>
      <c r="C166" s="84" t="n"/>
      <c r="F166" s="105" t="n"/>
      <c r="G166" s="93" t="n"/>
      <c r="H166" s="107" t="n"/>
      <c r="I166" s="107" t="n"/>
      <c r="J166" s="107" t="n"/>
      <c r="K166" s="107" t="n"/>
      <c r="L166" s="103" t="n"/>
    </row>
    <row r="167">
      <c r="B167" s="84" t="n"/>
      <c r="C167" s="84" t="n"/>
      <c r="F167" s="105" t="n"/>
      <c r="G167" s="93" t="n"/>
      <c r="H167" s="107" t="n"/>
      <c r="I167" s="107" t="n"/>
      <c r="J167" s="107" t="n"/>
      <c r="K167" s="107" t="n"/>
      <c r="L167" s="103" t="n"/>
    </row>
    <row r="168">
      <c r="B168" s="84" t="n"/>
      <c r="C168" s="84" t="n"/>
      <c r="F168" s="105" t="n"/>
      <c r="G168" s="93" t="n"/>
      <c r="H168" s="107" t="n"/>
      <c r="I168" s="107" t="n"/>
      <c r="J168" s="107" t="n"/>
      <c r="K168" s="107" t="n"/>
      <c r="L168" s="103" t="n"/>
    </row>
    <row r="169">
      <c r="B169" s="84" t="n"/>
      <c r="C169" s="84" t="n"/>
      <c r="F169" s="105" t="n"/>
      <c r="G169" s="93" t="n"/>
      <c r="H169" s="107" t="n"/>
      <c r="I169" s="107" t="n"/>
      <c r="J169" s="107" t="n"/>
      <c r="K169" s="107" t="n"/>
      <c r="L169" s="103" t="n"/>
    </row>
    <row r="170">
      <c r="B170" s="84" t="n"/>
      <c r="C170" s="84" t="n"/>
      <c r="F170" s="105" t="n"/>
      <c r="G170" s="93" t="n"/>
      <c r="H170" s="107" t="n"/>
      <c r="I170" s="107" t="n"/>
      <c r="J170" s="107" t="n"/>
      <c r="K170" s="107" t="n"/>
      <c r="L170" s="103" t="n"/>
    </row>
    <row r="171">
      <c r="B171" s="84" t="n"/>
      <c r="C171" s="84" t="n"/>
      <c r="F171" s="105" t="n"/>
      <c r="G171" s="93" t="n"/>
      <c r="H171" s="107" t="n"/>
      <c r="I171" s="107" t="n"/>
      <c r="J171" s="107" t="n"/>
      <c r="K171" s="107" t="n"/>
      <c r="L171" s="103" t="n"/>
    </row>
    <row r="172">
      <c r="B172" s="84" t="n"/>
      <c r="C172" s="84" t="n"/>
      <c r="F172" s="105" t="n"/>
      <c r="G172" s="93" t="n"/>
      <c r="H172" s="107" t="n"/>
      <c r="I172" s="107" t="n"/>
      <c r="J172" s="107" t="n"/>
      <c r="K172" s="107" t="n"/>
      <c r="L172" s="103" t="n"/>
    </row>
    <row r="173">
      <c r="B173" s="84" t="n"/>
      <c r="C173" s="84" t="n"/>
      <c r="F173" s="105" t="n"/>
      <c r="G173" s="93" t="n"/>
      <c r="H173" s="107" t="n"/>
      <c r="I173" s="107" t="n"/>
      <c r="J173" s="107" t="n"/>
      <c r="K173" s="107" t="n"/>
      <c r="L173" s="103" t="n"/>
    </row>
    <row r="174">
      <c r="B174" s="84" t="n"/>
      <c r="C174" s="84" t="n"/>
      <c r="F174" s="105" t="n"/>
      <c r="G174" s="93" t="n"/>
      <c r="H174" s="107" t="n"/>
      <c r="I174" s="107" t="n"/>
      <c r="J174" s="107" t="n"/>
      <c r="K174" s="107" t="n"/>
      <c r="L174" s="103" t="n"/>
    </row>
    <row r="175">
      <c r="B175" s="84" t="n"/>
      <c r="C175" s="84" t="n"/>
      <c r="F175" s="105" t="n"/>
      <c r="G175" s="93" t="n"/>
      <c r="H175" s="107" t="n"/>
      <c r="I175" s="107" t="n"/>
      <c r="J175" s="107" t="n"/>
      <c r="K175" s="107" t="n"/>
      <c r="L175" s="103" t="n"/>
    </row>
    <row r="176">
      <c r="B176" s="84" t="n"/>
      <c r="C176" s="84" t="n"/>
      <c r="F176" s="105" t="n"/>
      <c r="G176" s="93" t="n"/>
      <c r="H176" s="107" t="n"/>
      <c r="I176" s="107" t="n"/>
      <c r="J176" s="107" t="n"/>
      <c r="K176" s="107" t="n"/>
      <c r="L176" s="103" t="n"/>
    </row>
    <row r="177">
      <c r="B177" s="84" t="n"/>
      <c r="C177" s="84" t="n"/>
      <c r="F177" s="105" t="n"/>
      <c r="G177" s="93" t="n"/>
      <c r="H177" s="107" t="n"/>
      <c r="I177" s="107" t="n"/>
      <c r="J177" s="107" t="n"/>
      <c r="K177" s="107" t="n"/>
      <c r="L177" s="103" t="n"/>
    </row>
    <row r="178">
      <c r="B178" s="84" t="n"/>
      <c r="C178" s="84" t="n"/>
      <c r="F178" s="105" t="n"/>
      <c r="G178" s="93" t="n"/>
      <c r="H178" s="107" t="n"/>
      <c r="I178" s="107" t="n"/>
      <c r="J178" s="107" t="n"/>
      <c r="K178" s="107" t="n"/>
      <c r="L178" s="103" t="n"/>
    </row>
    <row r="179">
      <c r="B179" s="84" t="n"/>
      <c r="C179" s="84" t="n"/>
      <c r="F179" s="105" t="n"/>
      <c r="G179" s="93" t="n"/>
      <c r="H179" s="107" t="n"/>
      <c r="I179" s="107" t="n"/>
      <c r="J179" s="107" t="n"/>
      <c r="K179" s="107" t="n"/>
      <c r="L179" s="103" t="n"/>
    </row>
    <row r="180">
      <c r="B180" s="84" t="n"/>
      <c r="C180" s="84" t="n"/>
      <c r="F180" s="105" t="n"/>
      <c r="G180" s="93" t="n"/>
      <c r="H180" s="107" t="n"/>
      <c r="I180" s="107" t="n"/>
      <c r="J180" s="107" t="n"/>
      <c r="K180" s="107" t="n"/>
      <c r="L180" s="103" t="n"/>
    </row>
    <row r="181">
      <c r="B181" s="84" t="n"/>
      <c r="C181" s="84" t="n"/>
      <c r="F181" s="105" t="n"/>
      <c r="G181" s="93" t="n"/>
      <c r="H181" s="107" t="n"/>
      <c r="I181" s="107" t="n"/>
      <c r="J181" s="107" t="n"/>
      <c r="K181" s="107" t="n"/>
      <c r="L181" s="103" t="n"/>
    </row>
    <row r="182">
      <c r="B182" s="84" t="n"/>
      <c r="C182" s="84" t="n"/>
      <c r="F182" s="105" t="n"/>
      <c r="G182" s="93" t="n"/>
      <c r="H182" s="107" t="n"/>
      <c r="I182" s="107" t="n"/>
      <c r="J182" s="107" t="n"/>
      <c r="K182" s="107" t="n"/>
      <c r="L182" s="103" t="n"/>
    </row>
    <row r="183">
      <c r="B183" s="84" t="n"/>
      <c r="C183" s="84" t="n"/>
      <c r="F183" s="105" t="n"/>
      <c r="G183" s="93" t="n"/>
      <c r="H183" s="107" t="n"/>
      <c r="I183" s="107" t="n"/>
      <c r="J183" s="107" t="n"/>
      <c r="K183" s="107" t="n"/>
      <c r="L183" s="103" t="n"/>
    </row>
    <row r="184">
      <c r="B184" s="84" t="n"/>
      <c r="C184" s="84" t="n"/>
      <c r="F184" s="105" t="n"/>
      <c r="G184" s="93" t="n"/>
      <c r="H184" s="107" t="n"/>
      <c r="I184" s="107" t="n"/>
      <c r="J184" s="107" t="n"/>
      <c r="K184" s="107" t="n"/>
      <c r="L184" s="103" t="n"/>
    </row>
    <row r="185">
      <c r="B185" s="84" t="n"/>
      <c r="C185" s="84" t="n"/>
      <c r="F185" s="105" t="n"/>
      <c r="G185" s="93" t="n"/>
      <c r="H185" s="107" t="n"/>
      <c r="I185" s="107" t="n"/>
      <c r="J185" s="107" t="n"/>
      <c r="K185" s="107" t="n"/>
      <c r="L185" s="103" t="n"/>
    </row>
    <row r="186">
      <c r="B186" s="84" t="n"/>
      <c r="C186" s="84" t="n"/>
      <c r="F186" s="105" t="n"/>
      <c r="G186" s="93" t="n"/>
      <c r="H186" s="107" t="n"/>
      <c r="I186" s="107" t="n"/>
      <c r="J186" s="107" t="n"/>
      <c r="K186" s="107" t="n"/>
      <c r="L186" s="103" t="n"/>
    </row>
    <row r="187">
      <c r="B187" s="84" t="n"/>
      <c r="C187" s="84" t="n"/>
      <c r="F187" s="105" t="n"/>
      <c r="G187" s="93" t="n"/>
      <c r="H187" s="107" t="n"/>
      <c r="I187" s="107" t="n"/>
      <c r="J187" s="107" t="n"/>
      <c r="K187" s="107" t="n"/>
      <c r="L187" s="103" t="n"/>
    </row>
    <row r="188">
      <c r="B188" s="84" t="n"/>
      <c r="C188" s="84" t="n"/>
      <c r="D188" s="103" t="n"/>
      <c r="F188" s="105" t="n"/>
      <c r="G188" s="93" t="n"/>
      <c r="H188" s="107" t="n"/>
      <c r="I188" s="107" t="n"/>
      <c r="J188" s="107" t="n"/>
      <c r="K188" s="107" t="n"/>
      <c r="L188" s="103" t="n"/>
    </row>
    <row r="189">
      <c r="B189" s="84" t="n"/>
      <c r="C189" s="84" t="n"/>
      <c r="F189" s="105" t="n"/>
      <c r="G189" s="93" t="n"/>
      <c r="H189" s="107" t="n"/>
      <c r="I189" s="107" t="n"/>
      <c r="J189" s="107" t="n"/>
      <c r="K189" s="107" t="n"/>
      <c r="L189" s="103" t="n"/>
    </row>
    <row r="190">
      <c r="B190" s="84" t="n"/>
      <c r="C190" s="84" t="n"/>
      <c r="F190" s="105" t="n"/>
      <c r="G190" s="93" t="n"/>
      <c r="H190" s="107" t="n"/>
      <c r="I190" s="107" t="n"/>
      <c r="J190" s="107" t="n"/>
      <c r="K190" s="107" t="n"/>
      <c r="L190" s="103" t="n"/>
    </row>
    <row r="191">
      <c r="B191" s="84" t="n"/>
      <c r="C191" s="84" t="n"/>
      <c r="F191" s="105" t="n"/>
      <c r="G191" s="93" t="n"/>
      <c r="H191" s="107" t="n"/>
      <c r="I191" s="107" t="n"/>
      <c r="J191" s="107" t="n"/>
      <c r="K191" s="107" t="n"/>
      <c r="L191" s="103" t="n"/>
    </row>
    <row r="192">
      <c r="B192" s="84" t="n"/>
      <c r="C192" s="84" t="n"/>
      <c r="F192" s="105" t="n"/>
      <c r="G192" s="93" t="n"/>
      <c r="H192" s="107" t="n"/>
      <c r="I192" s="107" t="n"/>
      <c r="J192" s="107" t="n"/>
      <c r="K192" s="107" t="n"/>
      <c r="L192" s="103" t="n"/>
    </row>
    <row r="193">
      <c r="B193" s="84" t="n"/>
      <c r="C193" s="84" t="n"/>
      <c r="F193" s="105" t="n"/>
      <c r="G193" s="93" t="n"/>
      <c r="H193" s="107" t="n"/>
      <c r="I193" s="107" t="n"/>
      <c r="J193" s="107" t="n"/>
      <c r="K193" s="107" t="n"/>
      <c r="L193" s="103" t="n"/>
    </row>
    <row r="194">
      <c r="B194" s="84" t="n"/>
      <c r="C194" s="84" t="n"/>
      <c r="F194" s="105" t="n"/>
      <c r="G194" s="93" t="n"/>
      <c r="H194" s="107" t="n"/>
      <c r="I194" s="107" t="n"/>
      <c r="J194" s="107" t="n"/>
      <c r="K194" s="107" t="n"/>
      <c r="L194" s="103" t="n"/>
    </row>
    <row r="195">
      <c r="B195" s="84" t="n"/>
      <c r="C195" s="84" t="n"/>
      <c r="F195" s="105" t="n"/>
      <c r="G195" s="93" t="n"/>
      <c r="H195" s="107" t="n"/>
      <c r="I195" s="107" t="n"/>
      <c r="J195" s="107" t="n"/>
      <c r="K195" s="107" t="n"/>
      <c r="L195" s="103" t="n"/>
    </row>
    <row r="196">
      <c r="B196" s="84" t="n"/>
      <c r="C196" s="84" t="n"/>
      <c r="F196" s="105" t="n"/>
      <c r="G196" s="93" t="n"/>
      <c r="H196" s="107" t="n"/>
      <c r="I196" s="107" t="n"/>
      <c r="J196" s="107" t="n"/>
      <c r="K196" s="107" t="n"/>
      <c r="L196" s="103" t="n"/>
    </row>
    <row r="197">
      <c r="B197" s="84" t="n"/>
      <c r="C197" s="84" t="n"/>
      <c r="F197" s="105" t="n"/>
      <c r="G197" s="93" t="n"/>
      <c r="H197" s="107" t="n"/>
      <c r="I197" s="107" t="n"/>
      <c r="J197" s="107" t="n"/>
      <c r="K197" s="107" t="n"/>
      <c r="L197" s="103" t="n"/>
    </row>
    <row r="198">
      <c r="B198" s="84" t="n"/>
      <c r="C198" s="84" t="n"/>
      <c r="F198" s="105" t="n"/>
      <c r="G198" s="93" t="n"/>
      <c r="H198" s="107" t="n"/>
      <c r="I198" s="107" t="n"/>
      <c r="J198" s="107" t="n"/>
      <c r="K198" s="107" t="n"/>
      <c r="L198" s="103" t="n"/>
    </row>
    <row r="199">
      <c r="B199" s="84" t="n"/>
      <c r="C199" s="84" t="n"/>
      <c r="F199" s="105" t="n"/>
      <c r="G199" s="93" t="n"/>
      <c r="H199" s="107" t="n"/>
      <c r="I199" s="107" t="n"/>
      <c r="J199" s="107" t="n"/>
      <c r="K199" s="107" t="n"/>
      <c r="L199" s="103" t="n"/>
    </row>
    <row r="200">
      <c r="B200" s="84" t="n"/>
      <c r="C200" s="84" t="n"/>
      <c r="F200" s="105" t="n"/>
      <c r="G200" s="93" t="n"/>
      <c r="H200" s="107" t="n"/>
      <c r="I200" s="107" t="n"/>
      <c r="J200" s="107" t="n"/>
      <c r="K200" s="107" t="n"/>
      <c r="L200" s="103" t="n"/>
    </row>
    <row r="201">
      <c r="B201" s="84" t="n"/>
      <c r="C201" s="84" t="n"/>
      <c r="F201" s="105" t="n"/>
      <c r="G201" s="93" t="n"/>
      <c r="H201" s="107" t="n"/>
      <c r="I201" s="107" t="n"/>
      <c r="J201" s="107" t="n"/>
      <c r="K201" s="107" t="n"/>
      <c r="L201" s="103" t="n"/>
    </row>
    <row r="202">
      <c r="B202" s="84" t="n"/>
      <c r="C202" s="84" t="n"/>
      <c r="F202" s="105" t="n"/>
      <c r="G202" s="93" t="n"/>
      <c r="H202" s="107" t="n"/>
      <c r="I202" s="107" t="n"/>
      <c r="J202" s="107" t="n"/>
      <c r="K202" s="107" t="n"/>
      <c r="L202" s="103" t="n"/>
    </row>
    <row r="203">
      <c r="B203" s="84" t="n"/>
      <c r="C203" s="84" t="n"/>
      <c r="F203" s="105" t="n"/>
      <c r="G203" s="93" t="n"/>
      <c r="H203" s="107" t="n"/>
      <c r="I203" s="107" t="n"/>
      <c r="J203" s="107" t="n"/>
      <c r="K203" s="107" t="n"/>
      <c r="L203" s="103" t="n"/>
    </row>
    <row r="204">
      <c r="B204" s="84" t="n"/>
      <c r="C204" s="84" t="n"/>
      <c r="G204" s="106" t="n"/>
      <c r="H204" s="107" t="n"/>
      <c r="I204" s="107" t="n"/>
      <c r="J204" s="107" t="n"/>
      <c r="K204" s="107" t="n"/>
      <c r="L204" s="103" t="n"/>
    </row>
    <row r="205">
      <c r="B205" s="84" t="n"/>
      <c r="C205" s="84" t="n"/>
      <c r="F205" s="123" t="n"/>
      <c r="G205" s="109" t="n"/>
      <c r="H205" s="110" t="n"/>
      <c r="I205" s="110" t="n"/>
      <c r="J205" s="110" t="n"/>
      <c r="K205" s="110" t="n"/>
      <c r="L205" s="103" t="n"/>
    </row>
    <row r="206">
      <c r="B206" s="84" t="n"/>
      <c r="C206" s="84" t="n"/>
      <c r="F206" s="123" t="n"/>
      <c r="G206" s="109" t="n"/>
      <c r="H206" s="110" t="n"/>
      <c r="I206" s="110" t="n"/>
      <c r="J206" s="110" t="n"/>
      <c r="K206" s="110" t="n"/>
      <c r="L206" s="103" t="n"/>
    </row>
    <row r="207">
      <c r="B207" s="84" t="n"/>
      <c r="C207" s="84" t="n"/>
      <c r="F207" s="123" t="n"/>
      <c r="G207" s="109" t="n"/>
      <c r="H207" s="110" t="n"/>
      <c r="I207" s="110" t="n"/>
      <c r="J207" s="110" t="n"/>
      <c r="K207" s="110" t="n"/>
      <c r="L207" s="103" t="n"/>
    </row>
    <row r="208">
      <c r="B208" s="84" t="n"/>
      <c r="C208" s="84" t="n"/>
      <c r="F208" s="123" t="n"/>
      <c r="G208" s="109" t="n"/>
      <c r="H208" s="110" t="n"/>
      <c r="I208" s="110" t="n"/>
      <c r="J208" s="110" t="n"/>
      <c r="K208" s="110" t="n"/>
      <c r="L208" s="123" t="n"/>
    </row>
    <row r="209">
      <c r="B209" s="84" t="n"/>
      <c r="C209" s="84" t="n"/>
      <c r="G209" s="106" t="n"/>
      <c r="H209" s="107" t="n"/>
      <c r="I209" s="107" t="n"/>
      <c r="J209" s="107" t="n"/>
      <c r="K209" s="107" t="n"/>
    </row>
    <row r="210">
      <c r="B210" s="84" t="n"/>
      <c r="C210" s="84" t="n"/>
      <c r="G210" s="106" t="n"/>
      <c r="H210" s="107" t="n"/>
      <c r="I210" s="107" t="n"/>
      <c r="J210" s="107" t="n"/>
      <c r="K210" s="107" t="n"/>
    </row>
    <row r="211">
      <c r="B211" s="84" t="n"/>
      <c r="C211" s="84" t="n"/>
      <c r="G211" s="106" t="n"/>
      <c r="H211" s="107" t="n"/>
      <c r="I211" s="107" t="n"/>
      <c r="J211" s="107" t="n"/>
      <c r="K211" s="107" t="n"/>
    </row>
    <row r="212">
      <c r="B212" s="84" t="n"/>
      <c r="C212" s="86" t="n"/>
      <c r="G212" s="106" t="n"/>
      <c r="H212" s="107" t="n"/>
      <c r="I212" s="107" t="n"/>
      <c r="J212" s="107" t="n"/>
      <c r="K212" s="107" t="n"/>
    </row>
    <row r="213">
      <c r="B213" s="84" t="n"/>
      <c r="C213" s="87" t="n"/>
      <c r="G213" s="106" t="n"/>
      <c r="H213" s="107" t="n"/>
      <c r="I213" s="107" t="n"/>
      <c r="J213" s="107" t="n"/>
      <c r="K213" s="107" t="n"/>
    </row>
    <row r="214">
      <c r="B214" s="84" t="n"/>
      <c r="C214" s="84" t="n"/>
      <c r="G214" s="106" t="n"/>
      <c r="H214" s="107" t="n"/>
      <c r="I214" s="107" t="n"/>
      <c r="J214" s="107" t="n"/>
      <c r="K214" s="107" t="n"/>
    </row>
    <row r="215">
      <c r="B215" s="84" t="n"/>
      <c r="C215" s="84" t="n"/>
      <c r="G215" s="106" t="n"/>
      <c r="H215" s="107" t="n"/>
      <c r="I215" s="107" t="n"/>
      <c r="J215" s="107" t="n"/>
      <c r="K215" s="107" t="n"/>
    </row>
    <row r="216">
      <c r="B216" s="84" t="n"/>
      <c r="C216" s="84" t="n"/>
      <c r="G216" s="106" t="n"/>
      <c r="H216" s="107" t="n"/>
      <c r="I216" s="107" t="n"/>
      <c r="J216" s="107" t="n"/>
      <c r="K216" s="107" t="n"/>
    </row>
    <row r="217">
      <c r="B217" s="84" t="n"/>
      <c r="C217" s="84" t="n"/>
      <c r="G217" s="106" t="n"/>
      <c r="H217" s="107" t="n"/>
      <c r="I217" s="107" t="n"/>
      <c r="J217" s="107" t="n"/>
      <c r="K217" s="107" t="n"/>
    </row>
    <row r="218">
      <c r="B218" s="84" t="n"/>
      <c r="C218" s="84" t="n"/>
      <c r="G218" s="106" t="n"/>
      <c r="H218" s="107" t="n"/>
      <c r="I218" s="107" t="n"/>
      <c r="J218" s="107" t="n"/>
      <c r="K218" s="107" t="n"/>
    </row>
    <row r="219">
      <c r="B219" s="84" t="n"/>
      <c r="C219" s="84" t="n"/>
      <c r="G219" s="106" t="n"/>
      <c r="H219" s="107" t="n"/>
      <c r="I219" s="107" t="n"/>
      <c r="J219" s="107" t="n"/>
      <c r="K219" s="107" t="n"/>
    </row>
    <row r="220">
      <c r="B220" s="84" t="n"/>
      <c r="C220" s="84" t="n"/>
      <c r="G220" s="106" t="n"/>
      <c r="H220" s="107" t="n"/>
      <c r="I220" s="107" t="n"/>
      <c r="J220" s="107" t="n"/>
      <c r="K220" s="107" t="n"/>
    </row>
    <row r="221">
      <c r="B221" s="84" t="n"/>
      <c r="C221" s="84" t="n"/>
      <c r="G221" s="106" t="n"/>
      <c r="H221" s="107" t="n"/>
      <c r="I221" s="107" t="n"/>
      <c r="J221" s="107" t="n"/>
      <c r="K221" s="107" t="n"/>
    </row>
    <row r="222">
      <c r="B222" s="84" t="n"/>
      <c r="C222" s="84" t="n"/>
      <c r="G222" s="106" t="n"/>
      <c r="H222" s="107" t="n"/>
      <c r="I222" s="107" t="n"/>
      <c r="J222" s="107" t="n"/>
      <c r="K222" s="107" t="n"/>
    </row>
    <row r="223">
      <c r="B223" s="84" t="n"/>
      <c r="C223" s="84" t="n"/>
      <c r="G223" s="106" t="n"/>
      <c r="H223" s="107" t="n"/>
      <c r="I223" s="107" t="n"/>
      <c r="J223" s="107" t="n"/>
      <c r="K223" s="107" t="n"/>
    </row>
    <row r="224">
      <c r="B224" s="84" t="n"/>
      <c r="C224" s="84" t="n"/>
      <c r="G224" s="106" t="n"/>
      <c r="H224" s="107" t="n"/>
      <c r="I224" s="107" t="n"/>
      <c r="J224" s="107" t="n"/>
      <c r="K224" s="107" t="n"/>
    </row>
    <row r="225">
      <c r="B225" s="84" t="n"/>
      <c r="C225" s="84" t="n"/>
      <c r="G225" s="106" t="n"/>
      <c r="H225" s="107" t="n"/>
      <c r="I225" s="107" t="n"/>
      <c r="J225" s="107" t="n"/>
      <c r="K225" s="107" t="n"/>
    </row>
    <row r="226">
      <c r="B226" s="84" t="n"/>
      <c r="C226" s="84" t="n"/>
      <c r="G226" s="106" t="n"/>
      <c r="H226" s="107" t="n"/>
      <c r="I226" s="107" t="n"/>
      <c r="J226" s="107" t="n"/>
      <c r="K226" s="107" t="n"/>
    </row>
    <row r="227">
      <c r="B227" s="84" t="n"/>
      <c r="C227" s="84" t="n"/>
      <c r="G227" s="106" t="n"/>
      <c r="H227" s="107" t="n"/>
      <c r="I227" s="107" t="n"/>
      <c r="J227" s="107" t="n"/>
      <c r="K227" s="107" t="n"/>
    </row>
    <row r="228">
      <c r="B228" s="84" t="n"/>
      <c r="C228" s="84" t="n"/>
      <c r="G228" s="106" t="n"/>
      <c r="H228" s="107" t="n"/>
      <c r="I228" s="107" t="n"/>
      <c r="J228" s="107" t="n"/>
      <c r="K228" s="107" t="n"/>
    </row>
    <row r="229">
      <c r="B229" s="84" t="n"/>
      <c r="C229" s="84" t="n"/>
      <c r="G229" s="106" t="n"/>
      <c r="H229" s="107" t="n"/>
      <c r="I229" s="107" t="n"/>
      <c r="J229" s="107" t="n"/>
      <c r="K229" s="107" t="n"/>
    </row>
    <row r="230">
      <c r="B230" s="84" t="n"/>
      <c r="C230" s="84" t="n"/>
      <c r="G230" s="106" t="n"/>
      <c r="H230" s="107" t="n"/>
      <c r="I230" s="107" t="n"/>
      <c r="J230" s="107" t="n"/>
      <c r="K230" s="107" t="n"/>
    </row>
    <row r="231">
      <c r="B231" s="84" t="n"/>
      <c r="C231" s="84" t="n"/>
      <c r="G231" s="106" t="n"/>
      <c r="H231" s="107" t="n"/>
      <c r="I231" s="107" t="n"/>
      <c r="J231" s="107" t="n"/>
      <c r="K231" s="107" t="n"/>
    </row>
    <row r="232">
      <c r="B232" s="84" t="n"/>
      <c r="C232" s="84" t="n"/>
      <c r="G232" s="106" t="n"/>
      <c r="H232" s="107" t="n"/>
      <c r="I232" s="107" t="n"/>
      <c r="J232" s="107" t="n"/>
      <c r="K232" s="107" t="n"/>
    </row>
    <row r="233">
      <c r="B233" s="84" t="n"/>
      <c r="C233" s="84" t="n"/>
      <c r="G233" s="106" t="n"/>
      <c r="H233" s="107" t="n"/>
      <c r="I233" s="107" t="n"/>
      <c r="J233" s="107" t="n"/>
      <c r="K233" s="107" t="n"/>
    </row>
    <row r="234">
      <c r="B234" s="84" t="n"/>
      <c r="C234" s="84" t="n"/>
      <c r="G234" s="106" t="n"/>
      <c r="H234" s="107" t="n"/>
      <c r="I234" s="107" t="n"/>
      <c r="J234" s="107" t="n"/>
      <c r="K234" s="107" t="n"/>
    </row>
    <row r="235">
      <c r="B235" s="84" t="n"/>
      <c r="C235" s="84" t="n"/>
      <c r="G235" s="106" t="n"/>
      <c r="H235" s="107" t="n"/>
      <c r="I235" s="107" t="n"/>
      <c r="J235" s="107" t="n"/>
      <c r="K235" s="107" t="n"/>
    </row>
    <row r="236">
      <c r="B236" s="84" t="n"/>
      <c r="C236" s="84" t="n"/>
      <c r="G236" s="106" t="n"/>
      <c r="H236" s="107" t="n"/>
      <c r="I236" s="107" t="n"/>
      <c r="J236" s="107" t="n"/>
      <c r="K236" s="107" t="n"/>
    </row>
    <row r="237">
      <c r="B237" s="84" t="n"/>
      <c r="C237" s="84" t="n"/>
      <c r="G237" s="106" t="n"/>
      <c r="H237" s="107" t="n"/>
      <c r="I237" s="107" t="n"/>
      <c r="J237" s="107" t="n"/>
      <c r="K237" s="107" t="n"/>
    </row>
    <row r="238">
      <c r="B238" s="84" t="n"/>
      <c r="C238" s="84" t="n"/>
      <c r="G238" s="106" t="n"/>
      <c r="H238" s="107" t="n"/>
      <c r="I238" s="107" t="n"/>
      <c r="J238" s="107" t="n"/>
      <c r="K238" s="107" t="n"/>
    </row>
    <row r="239">
      <c r="B239" s="84" t="n"/>
      <c r="C239" s="84" t="n"/>
      <c r="G239" s="106" t="n"/>
      <c r="H239" s="107" t="n"/>
      <c r="I239" s="107" t="n"/>
      <c r="J239" s="107" t="n"/>
      <c r="K239" s="107" t="n"/>
    </row>
    <row r="240">
      <c r="B240" s="84" t="n"/>
      <c r="C240" s="84" t="n"/>
      <c r="G240" s="106" t="n"/>
      <c r="H240" s="107" t="n"/>
      <c r="I240" s="107" t="n"/>
      <c r="J240" s="107" t="n"/>
      <c r="K240" s="107" t="n"/>
    </row>
    <row r="241">
      <c r="B241" s="84" t="n"/>
      <c r="C241" s="84" t="n"/>
      <c r="F241" s="84" t="n"/>
      <c r="G241" s="106" t="n"/>
      <c r="H241" s="107" t="n"/>
      <c r="I241" s="107" t="n"/>
      <c r="J241" s="107" t="n"/>
      <c r="K241" s="107" t="n"/>
    </row>
    <row r="242">
      <c r="B242" s="84" t="n"/>
      <c r="C242" s="84" t="n"/>
      <c r="G242" s="106" t="n"/>
      <c r="H242" s="107" t="n"/>
      <c r="I242" s="107" t="n"/>
      <c r="J242" s="107" t="n"/>
      <c r="K242" s="107" t="n"/>
    </row>
    <row r="243">
      <c r="B243" s="84" t="n"/>
      <c r="C243" s="84" t="n"/>
      <c r="D243" s="123" t="n"/>
      <c r="G243" s="106" t="n"/>
      <c r="H243" s="107" t="n"/>
      <c r="I243" s="107" t="n"/>
      <c r="J243" s="107" t="n"/>
      <c r="K243" s="107" t="n"/>
    </row>
    <row r="244">
      <c r="B244" s="84" t="n"/>
      <c r="C244" s="84" t="n"/>
      <c r="G244" s="106" t="n"/>
      <c r="H244" s="107" t="n"/>
      <c r="I244" s="107" t="n"/>
      <c r="J244" s="107" t="n"/>
      <c r="K244" s="107" t="n"/>
    </row>
    <row r="245">
      <c r="B245" s="84" t="n"/>
      <c r="C245" s="84" t="n"/>
      <c r="G245" s="106" t="n"/>
      <c r="H245" s="107" t="n"/>
      <c r="I245" s="107" t="n"/>
      <c r="J245" s="107" t="n"/>
      <c r="K245" s="107" t="n"/>
    </row>
    <row r="246">
      <c r="B246" s="84" t="n"/>
      <c r="C246" s="84" t="n"/>
      <c r="G246" s="106" t="n"/>
      <c r="H246" s="107" t="n"/>
      <c r="I246" s="107" t="n"/>
      <c r="J246" s="107" t="n"/>
      <c r="K246" s="107" t="n"/>
    </row>
    <row r="247">
      <c r="B247" s="84" t="n"/>
      <c r="C247" s="84" t="n"/>
      <c r="G247" s="106" t="n"/>
      <c r="H247" s="107" t="n"/>
      <c r="I247" s="107" t="n"/>
      <c r="J247" s="107" t="n"/>
      <c r="K247" s="107" t="n"/>
    </row>
    <row r="248">
      <c r="B248" s="84" t="n"/>
      <c r="C248" s="84" t="n"/>
      <c r="G248" s="106" t="n"/>
      <c r="H248" s="107" t="n"/>
      <c r="I248" s="107" t="n"/>
      <c r="J248" s="107" t="n"/>
      <c r="K248" s="107" t="n"/>
    </row>
    <row r="249">
      <c r="B249" s="84" t="n"/>
      <c r="C249" s="84" t="n"/>
      <c r="G249" s="106" t="n"/>
      <c r="H249" s="107" t="n"/>
      <c r="I249" s="107" t="n"/>
      <c r="J249" s="107" t="n"/>
      <c r="K249" s="107" t="n"/>
    </row>
    <row r="250">
      <c r="B250" s="84" t="n"/>
      <c r="C250" s="84" t="n"/>
      <c r="G250" s="106" t="n"/>
      <c r="H250" s="107" t="n"/>
      <c r="I250" s="107" t="n"/>
      <c r="J250" s="107" t="n"/>
      <c r="K250" s="107" t="n"/>
    </row>
    <row r="251">
      <c r="B251" s="84" t="n"/>
      <c r="C251" s="84" t="n"/>
      <c r="G251" s="106" t="n"/>
      <c r="H251" s="107" t="n"/>
      <c r="I251" s="107" t="n"/>
      <c r="J251" s="107" t="n"/>
      <c r="K251" s="107" t="n"/>
    </row>
    <row r="252">
      <c r="B252" s="84" t="n"/>
      <c r="C252" s="84" t="n"/>
      <c r="G252" s="106" t="n"/>
      <c r="H252" s="107" t="n"/>
      <c r="I252" s="107" t="n"/>
      <c r="J252" s="107" t="n"/>
      <c r="K252" s="107" t="n"/>
    </row>
    <row r="253">
      <c r="B253" s="84" t="n"/>
      <c r="C253" s="84" t="n"/>
      <c r="G253" s="106" t="n"/>
      <c r="H253" s="107" t="n"/>
      <c r="I253" s="107" t="n"/>
      <c r="J253" s="107" t="n"/>
      <c r="K253" s="107" t="n"/>
    </row>
    <row r="254">
      <c r="B254" s="84" t="n"/>
      <c r="C254" s="84" t="n"/>
      <c r="G254" s="106" t="n"/>
      <c r="H254" s="107" t="n"/>
      <c r="I254" s="107" t="n"/>
      <c r="J254" s="107" t="n"/>
      <c r="K254" s="107" t="n"/>
    </row>
    <row r="255">
      <c r="B255" s="84" t="n"/>
      <c r="C255" s="84" t="n"/>
      <c r="G255" s="106" t="n"/>
      <c r="H255" s="107" t="n"/>
      <c r="I255" s="107" t="n"/>
      <c r="J255" s="107" t="n"/>
      <c r="K255" s="107" t="n"/>
    </row>
    <row r="256">
      <c r="B256" s="84" t="n"/>
      <c r="C256" s="84" t="n"/>
      <c r="G256" s="106" t="n"/>
      <c r="H256" s="107" t="n"/>
      <c r="I256" s="107" t="n"/>
      <c r="J256" s="107" t="n"/>
      <c r="K256" s="107" t="n"/>
    </row>
    <row r="257">
      <c r="B257" s="84" t="n"/>
      <c r="C257" s="84" t="n"/>
      <c r="G257" s="106" t="n"/>
      <c r="H257" s="107" t="n"/>
      <c r="I257" s="107" t="n"/>
      <c r="J257" s="107" t="n"/>
      <c r="K257" s="107" t="n"/>
    </row>
    <row r="258">
      <c r="B258" s="84" t="n"/>
      <c r="C258" s="84" t="n"/>
      <c r="G258" s="106" t="n"/>
      <c r="H258" s="107" t="n"/>
      <c r="I258" s="107" t="n"/>
      <c r="J258" s="107" t="n"/>
      <c r="K258" s="107" t="n"/>
    </row>
    <row r="259">
      <c r="B259" s="84" t="n"/>
      <c r="C259" s="84" t="n"/>
      <c r="G259" s="106" t="n"/>
      <c r="H259" s="107" t="n"/>
      <c r="I259" s="107" t="n"/>
      <c r="J259" s="107" t="n"/>
      <c r="K259" s="107" t="n"/>
    </row>
    <row r="260">
      <c r="B260" s="84" t="n"/>
      <c r="C260" s="84" t="n"/>
      <c r="G260" s="106" t="n"/>
      <c r="H260" s="107" t="n"/>
      <c r="I260" s="107" t="n"/>
      <c r="J260" s="107" t="n"/>
      <c r="K260" s="107" t="n"/>
    </row>
    <row r="261">
      <c r="B261" s="84" t="n"/>
      <c r="C261" s="84" t="n"/>
      <c r="G261" s="106" t="n"/>
      <c r="H261" s="107" t="n"/>
      <c r="I261" s="107" t="n"/>
      <c r="J261" s="107" t="n"/>
      <c r="K261" s="107" t="n"/>
    </row>
    <row r="262">
      <c r="B262" s="84" t="n"/>
      <c r="C262" s="84" t="n"/>
      <c r="G262" s="106" t="n"/>
      <c r="H262" s="107" t="n"/>
      <c r="I262" s="107" t="n"/>
      <c r="J262" s="107" t="n"/>
      <c r="K262" s="107" t="n"/>
    </row>
    <row r="263">
      <c r="B263" s="84" t="n"/>
      <c r="C263" s="84" t="n"/>
      <c r="G263" s="106" t="n"/>
      <c r="H263" s="107" t="n"/>
      <c r="I263" s="107" t="n"/>
      <c r="J263" s="107" t="n"/>
      <c r="K263" s="107" t="n"/>
    </row>
    <row r="264">
      <c r="B264" s="84" t="n"/>
      <c r="C264" s="84" t="n"/>
      <c r="G264" s="106" t="n"/>
      <c r="H264" s="107" t="n"/>
      <c r="I264" s="107" t="n"/>
      <c r="J264" s="107" t="n"/>
      <c r="K264" s="107" t="n"/>
    </row>
    <row r="265">
      <c r="B265" s="84" t="n"/>
      <c r="C265" s="84" t="n"/>
      <c r="G265" s="106" t="n"/>
      <c r="H265" s="107" t="n"/>
      <c r="I265" s="107" t="n"/>
      <c r="J265" s="107" t="n"/>
      <c r="K265" s="107" t="n"/>
    </row>
    <row r="266">
      <c r="B266" s="84" t="n"/>
      <c r="C266" s="84" t="n"/>
      <c r="G266" s="106" t="n"/>
      <c r="H266" s="107" t="n"/>
      <c r="I266" s="107" t="n"/>
      <c r="J266" s="107" t="n"/>
      <c r="K266" s="107" t="n"/>
    </row>
    <row r="267">
      <c r="B267" s="84" t="n"/>
      <c r="C267" s="84" t="n"/>
      <c r="G267" s="106" t="n"/>
      <c r="H267" s="107" t="n"/>
      <c r="I267" s="107" t="n"/>
      <c r="J267" s="107" t="n"/>
      <c r="K267" s="107" t="n"/>
    </row>
    <row r="268">
      <c r="B268" s="84" t="n"/>
      <c r="C268" s="84" t="n"/>
      <c r="G268" s="106" t="n"/>
      <c r="H268" s="107" t="n"/>
      <c r="I268" s="107" t="n"/>
      <c r="J268" s="107" t="n"/>
      <c r="K268" s="107" t="n"/>
    </row>
    <row r="269">
      <c r="B269" s="84" t="n"/>
      <c r="C269" s="84" t="n"/>
      <c r="G269" s="106" t="n"/>
      <c r="H269" s="107" t="n"/>
      <c r="I269" s="107" t="n"/>
      <c r="J269" s="107" t="n"/>
      <c r="K269" s="107" t="n"/>
    </row>
    <row r="270">
      <c r="B270" s="84" t="n"/>
      <c r="C270" s="84" t="n"/>
      <c r="G270" s="106" t="n"/>
      <c r="H270" s="107" t="n"/>
      <c r="I270" s="107" t="n"/>
      <c r="J270" s="107" t="n"/>
      <c r="K270" s="107" t="n"/>
    </row>
    <row r="271">
      <c r="B271" s="84" t="n"/>
      <c r="C271" s="84" t="n"/>
      <c r="G271" s="106" t="n"/>
      <c r="H271" s="107" t="n"/>
      <c r="I271" s="107" t="n"/>
      <c r="J271" s="107" t="n"/>
      <c r="K271" s="107" t="n"/>
    </row>
    <row r="272">
      <c r="B272" s="84" t="n"/>
      <c r="C272" s="84" t="n"/>
      <c r="G272" s="106" t="n"/>
      <c r="H272" s="107" t="n"/>
      <c r="I272" s="107" t="n"/>
      <c r="J272" s="107" t="n"/>
      <c r="K272" s="107" t="n"/>
    </row>
    <row r="273">
      <c r="B273" s="84" t="n"/>
      <c r="C273" s="84" t="n"/>
      <c r="G273" s="106" t="n"/>
      <c r="H273" s="107" t="n"/>
      <c r="I273" s="107" t="n"/>
      <c r="J273" s="107" t="n"/>
      <c r="K273" s="107" t="n"/>
    </row>
    <row r="274">
      <c r="B274" s="84" t="n"/>
      <c r="C274" s="84" t="n"/>
      <c r="G274" s="106" t="n"/>
      <c r="H274" s="107" t="n"/>
      <c r="I274" s="107" t="n"/>
      <c r="J274" s="107" t="n"/>
      <c r="K274" s="107" t="n"/>
    </row>
    <row r="275">
      <c r="B275" s="84" t="n"/>
      <c r="C275" s="84" t="n"/>
      <c r="G275" s="106" t="n"/>
      <c r="H275" s="107" t="n"/>
      <c r="I275" s="107" t="n"/>
      <c r="J275" s="107" t="n"/>
      <c r="K275" s="107" t="n"/>
    </row>
    <row r="276">
      <c r="B276" s="84" t="n"/>
      <c r="C276" s="84" t="n"/>
      <c r="G276" s="106" t="n"/>
      <c r="H276" s="107" t="n"/>
      <c r="I276" s="107" t="n"/>
      <c r="J276" s="107" t="n"/>
      <c r="K276" s="107" t="n"/>
    </row>
    <row r="277">
      <c r="B277" s="84" t="n"/>
      <c r="C277" s="84" t="n"/>
      <c r="G277" s="106" t="n"/>
      <c r="H277" s="107" t="n"/>
      <c r="I277" s="107" t="n"/>
      <c r="J277" s="107" t="n"/>
      <c r="K277" s="107" t="n"/>
    </row>
    <row r="278">
      <c r="B278" s="84" t="n"/>
      <c r="C278" s="84" t="n"/>
      <c r="G278" s="106" t="n"/>
      <c r="H278" s="107" t="n"/>
      <c r="I278" s="107" t="n"/>
      <c r="J278" s="107" t="n"/>
      <c r="K278" s="107" t="n"/>
    </row>
    <row r="279">
      <c r="B279" s="84" t="n"/>
      <c r="C279" s="84" t="n"/>
      <c r="G279" s="106" t="n"/>
      <c r="H279" s="107" t="n"/>
      <c r="I279" s="107" t="n"/>
      <c r="J279" s="107" t="n"/>
      <c r="K279" s="107" t="n"/>
    </row>
    <row r="280">
      <c r="B280" s="84" t="n"/>
      <c r="C280" s="84" t="n"/>
      <c r="G280" s="106" t="n"/>
      <c r="H280" s="107" t="n"/>
      <c r="I280" s="107" t="n"/>
      <c r="J280" s="107" t="n"/>
      <c r="K280" s="107" t="n"/>
    </row>
    <row r="281">
      <c r="B281" s="84" t="n"/>
      <c r="C281" s="84" t="n"/>
      <c r="G281" s="106" t="n"/>
      <c r="H281" s="107" t="n"/>
      <c r="I281" s="107" t="n"/>
      <c r="J281" s="107" t="n"/>
      <c r="K281" s="107" t="n"/>
    </row>
    <row r="282">
      <c r="B282" s="84" t="n"/>
      <c r="C282" s="84" t="n"/>
      <c r="G282" s="106" t="n"/>
      <c r="H282" s="107" t="n"/>
      <c r="I282" s="107" t="n"/>
      <c r="J282" s="107" t="n"/>
      <c r="K282" s="107" t="n"/>
    </row>
    <row r="283">
      <c r="B283" s="84" t="n"/>
      <c r="C283" s="84" t="n"/>
      <c r="G283" s="106" t="n"/>
      <c r="H283" s="107" t="n"/>
      <c r="I283" s="107" t="n"/>
      <c r="J283" s="107" t="n"/>
      <c r="K283" s="107" t="n"/>
    </row>
    <row r="284">
      <c r="B284" s="84" t="n"/>
      <c r="C284" s="84" t="n"/>
      <c r="G284" s="106" t="n"/>
      <c r="H284" s="107" t="n"/>
      <c r="I284" s="107" t="n"/>
      <c r="J284" s="107" t="n"/>
      <c r="K284" s="107" t="n"/>
    </row>
    <row r="285">
      <c r="B285" s="84" t="n"/>
      <c r="C285" s="84" t="n"/>
      <c r="G285" s="106" t="n"/>
      <c r="H285" s="107" t="n"/>
      <c r="I285" s="107" t="n"/>
      <c r="J285" s="107" t="n"/>
      <c r="K285" s="107" t="n"/>
    </row>
    <row r="286">
      <c r="B286" s="84" t="n"/>
      <c r="C286" s="84" t="n"/>
      <c r="G286" s="106" t="n"/>
      <c r="H286" s="107" t="n"/>
      <c r="I286" s="107" t="n"/>
      <c r="J286" s="107" t="n"/>
      <c r="K286" s="107" t="n"/>
    </row>
    <row r="287">
      <c r="B287" s="84" t="n"/>
      <c r="C287" s="84" t="n"/>
      <c r="G287" s="106" t="n"/>
      <c r="H287" s="107" t="n"/>
      <c r="I287" s="107" t="n"/>
      <c r="J287" s="107" t="n"/>
      <c r="K287" s="107" t="n"/>
    </row>
    <row r="288">
      <c r="B288" s="84" t="n"/>
      <c r="C288" s="84" t="n"/>
      <c r="G288" s="106" t="n"/>
      <c r="H288" s="107" t="n"/>
      <c r="I288" s="107" t="n"/>
      <c r="J288" s="107" t="n"/>
      <c r="K288" s="107" t="n"/>
    </row>
    <row r="289">
      <c r="B289" s="84" t="n"/>
      <c r="C289" s="84" t="n"/>
      <c r="G289" s="106" t="n"/>
      <c r="H289" s="107" t="n"/>
      <c r="I289" s="107" t="n"/>
      <c r="J289" s="107" t="n"/>
      <c r="K289" s="107" t="n"/>
    </row>
    <row r="290">
      <c r="B290" s="84" t="n"/>
      <c r="C290" s="84" t="n"/>
      <c r="G290" s="106" t="n"/>
      <c r="H290" s="107" t="n"/>
      <c r="I290" s="107" t="n"/>
      <c r="J290" s="107" t="n"/>
      <c r="K290" s="107" t="n"/>
    </row>
    <row r="291">
      <c r="B291" s="84" t="n"/>
      <c r="C291" s="84" t="n"/>
      <c r="G291" s="106" t="n"/>
      <c r="H291" s="107" t="n"/>
      <c r="I291" s="107" t="n"/>
      <c r="J291" s="107" t="n"/>
      <c r="K291" s="107" t="n"/>
    </row>
    <row r="292">
      <c r="B292" s="84" t="n"/>
      <c r="C292" s="84" t="n"/>
      <c r="G292" s="106" t="n"/>
      <c r="H292" s="107" t="n"/>
      <c r="I292" s="107" t="n"/>
      <c r="J292" s="107" t="n"/>
      <c r="K292" s="107" t="n"/>
    </row>
    <row r="293">
      <c r="B293" s="84" t="n"/>
      <c r="G293" s="106" t="n"/>
      <c r="H293" s="107" t="n"/>
      <c r="I293" s="107" t="n"/>
      <c r="J293" s="107" t="n"/>
      <c r="K293" s="107" t="n"/>
    </row>
    <row r="294">
      <c r="A294" s="84" t="inlineStr">
        <is>
          <t>4位</t>
        </is>
      </c>
      <c r="B294" s="28" t="inlineStr">
        <is>
          <t>https://www.japan-it.jp/hub/ja-jp/blog/article-41.html</t>
        </is>
      </c>
      <c r="C294" s="84">
        <f>IFERROR(__xludf.DUMMYFUNCTION("IMPORTXML(B294, ""//title"")"),"SEO（検索エンジン最適化）とは？意味や対策を実施するメリット・デメリットを解説｜営業・デジタル マーケティングWeek")</f>
        <v/>
      </c>
      <c r="G294" s="106" t="n"/>
      <c r="H294" s="107" t="n"/>
      <c r="I294" s="107" t="n"/>
      <c r="J294" s="107" t="n"/>
      <c r="K294" s="107" t="n"/>
    </row>
    <row r="295">
      <c r="B295" s="84" t="n"/>
      <c r="G295" s="106" t="n"/>
      <c r="H295" s="107" t="n"/>
      <c r="I295" s="107" t="n"/>
      <c r="J295" s="107" t="n"/>
      <c r="K295" s="107" t="n"/>
    </row>
    <row r="296">
      <c r="A296" s="84" t="inlineStr">
        <is>
          <t>内部発リンク</t>
        </is>
      </c>
      <c r="B296" s="28" t="inlineStr">
        <is>
          <t>https://www.japan-it.jp/hub/ja-jp/visit/web.html</t>
        </is>
      </c>
      <c r="C296" s="84">
        <f>IFERROR(__xludf.DUMMYFUNCTION("IMPORTXML(B296, ""//title"")"),"【4/8～10 東京開催】デジタルマーケティング EXPO（AIマーケティング / AIO・LLMO / MA・CRM 
などの展示会）の来場案内｜営業・デジタルマーケティング Week 内")</f>
        <v/>
      </c>
      <c r="G296" s="106" t="n"/>
      <c r="H296" s="107" t="n"/>
      <c r="I296" s="107" t="n"/>
      <c r="J296" s="107" t="n"/>
      <c r="K296" s="107" t="n"/>
    </row>
    <row r="297">
      <c r="B297" s="28" t="inlineStr">
        <is>
          <t>https://www.japan-it.jp/hub/ja-jp/exhibit/web.html</t>
        </is>
      </c>
      <c r="C297" s="84">
        <f>IFERROR(__xludf.DUMMYFUNCTION("IMPORTXML(B297, ""//title"")"),"デジタルマーケティング EXPOの出展案内｜営業・デジタルマーケティング Week 内")</f>
        <v/>
      </c>
      <c r="G297" s="106" t="n"/>
      <c r="H297" s="107" t="n"/>
      <c r="I297" s="107" t="n"/>
      <c r="J297" s="107" t="n"/>
      <c r="K297" s="107" t="n"/>
    </row>
    <row r="298">
      <c r="B298" s="28" t="inlineStr">
        <is>
          <t>https://www.japan-it.jp/hub/ja-jp/about/sales-marketingweek.html</t>
        </is>
      </c>
      <c r="C298" s="84">
        <f>IFERROR(__xludf.DUMMYFUNCTION("IMPORTXML(B298, ""//title"")"),"営業・デジタルマーケティング Week 展示会概要")</f>
        <v/>
      </c>
      <c r="G298" s="106" t="n"/>
      <c r="H298" s="107" t="n"/>
      <c r="I298" s="107" t="n"/>
      <c r="J298" s="107" t="n"/>
      <c r="K298" s="107" t="n"/>
    </row>
    <row r="299">
      <c r="B299" s="84" t="n"/>
      <c r="F299" s="84" t="n"/>
      <c r="G299" s="106" t="n"/>
      <c r="H299" s="107" t="n"/>
      <c r="I299" s="107" t="n"/>
      <c r="J299" s="107" t="n"/>
      <c r="K299" s="107" t="n"/>
    </row>
    <row r="300">
      <c r="A300" s="84" t="inlineStr">
        <is>
          <t>5位</t>
        </is>
      </c>
      <c r="B300" s="28" t="inlineStr">
        <is>
          <t>https://www.seohacks.net/blog/1066/</t>
        </is>
      </c>
      <c r="C300" s="84">
        <f>IFERROR(__xludf.DUMMYFUNCTION("IMPORTXML(B300, ""//title"")"),"SEOとは――施策の目的や特徴、メリットを解説")</f>
        <v/>
      </c>
      <c r="F300" s="84" t="inlineStr">
        <is>
          <t>検索エンジン</t>
        </is>
      </c>
      <c r="G300" s="106" t="n"/>
      <c r="H300" s="107" t="n"/>
      <c r="I300" s="107" t="n"/>
      <c r="J300" s="107" t="n"/>
      <c r="K300" s="107" t="n"/>
    </row>
    <row r="301">
      <c r="B301" s="84" t="n"/>
      <c r="D301" s="123" t="n"/>
      <c r="F301" s="84" t="inlineStr">
        <is>
          <t>内部リンク</t>
        </is>
      </c>
      <c r="G301" s="106" t="n"/>
      <c r="H301" s="107" t="n"/>
      <c r="I301" s="107" t="n"/>
      <c r="J301" s="107" t="n"/>
      <c r="K301" s="107" t="n"/>
    </row>
    <row r="302">
      <c r="A302" s="84" t="inlineStr">
        <is>
          <t>内部発リンク</t>
        </is>
      </c>
      <c r="B302" s="28" t="inlineStr">
        <is>
          <t>https://www.seohacks.net/blog/939/</t>
        </is>
      </c>
      <c r="C302" s="84">
        <f>IFERROR(__xludf.DUMMYFUNCTION("IMPORTXML(B302, ""//title"")"),"検索エンジンの仕組み――検索順位が決定する流れや指標を解説")</f>
        <v/>
      </c>
      <c r="D302" s="123" t="inlineStr">
        <is>
          <t>検索エンジン</t>
        </is>
      </c>
      <c r="F302" s="84" t="inlineStr">
        <is>
          <t>強調スニペット</t>
        </is>
      </c>
      <c r="G302" s="106" t="n"/>
      <c r="H302" s="107" t="n"/>
      <c r="I302" s="107" t="n"/>
      <c r="J302" s="107" t="n"/>
      <c r="K302" s="107" t="n"/>
    </row>
    <row r="303">
      <c r="B303" s="28" t="inlineStr">
        <is>
          <t>https://www.seohacks.net/blog/906/</t>
        </is>
      </c>
      <c r="C303" s="84">
        <f>IFERROR(__xludf.DUMMYFUNCTION("IMPORTXML(B303, ""//title"")"),"内部リンクとは？メリットやSEOに効果的な設置の仕方を解説")</f>
        <v/>
      </c>
      <c r="D303" s="123" t="inlineStr">
        <is>
          <t>内部リンク</t>
        </is>
      </c>
      <c r="F303" s="84" t="inlineStr">
        <is>
          <t>AI Overviews</t>
        </is>
      </c>
      <c r="G303" s="106" t="n"/>
      <c r="H303" s="107" t="n"/>
      <c r="I303" s="107" t="n"/>
      <c r="J303" s="107" t="n"/>
      <c r="K303" s="107" t="n"/>
    </row>
    <row r="304">
      <c r="B304" s="28" t="inlineStr">
        <is>
          <t>https://www.seohacks.net/blog/2277/</t>
        </is>
      </c>
      <c r="C304" s="84">
        <f>IFERROR(__xludf.DUMMYFUNCTION("IMPORTXML(B304, ""//title"")"),"強調スニペットとは？表示される仕組みや出し方、非表示にする方法")</f>
        <v/>
      </c>
      <c r="D304" s="123" t="inlineStr">
        <is>
          <t>強調スニペット</t>
        </is>
      </c>
      <c r="F304" s="84" t="inlineStr">
        <is>
          <t>SEOの手順</t>
        </is>
      </c>
      <c r="G304" s="106" t="n"/>
      <c r="H304" s="107" t="n"/>
      <c r="I304" s="107" t="n"/>
      <c r="J304" s="107" t="n"/>
      <c r="K304" s="107" t="n"/>
    </row>
    <row r="305">
      <c r="B305" s="28" t="inlineStr">
        <is>
          <t>https://www.seohacks.net/blog/28203/</t>
        </is>
      </c>
      <c r="C305" s="84">
        <f>IFERROR(__xludf.DUMMYFUNCTION("IMPORTXML(B305, ""//title"")"),"AI Overviewsとは？最新動向や自サイトが参照される方法を解説")</f>
        <v/>
      </c>
      <c r="D305" s="123" t="inlineStr">
        <is>
          <t>AI Overviews</t>
        </is>
      </c>
      <c r="F305" s="84" t="inlineStr">
        <is>
          <t>ナレッジパネル</t>
        </is>
      </c>
      <c r="G305" s="106" t="n"/>
      <c r="H305" s="107" t="n"/>
      <c r="I305" s="107" t="n"/>
      <c r="J305" s="107" t="n"/>
      <c r="K305" s="107" t="n"/>
    </row>
    <row r="306">
      <c r="B306" s="28" t="inlineStr">
        <is>
          <t>https://www.seohacks.net/blog/28360/</t>
        </is>
      </c>
      <c r="C306" s="84">
        <f>IFERROR(__xludf.DUMMYFUNCTION("IMPORTXML(B306, ""//title"")"),"SEOの手順――必要なプロセスと進め方を解説")</f>
        <v/>
      </c>
      <c r="D306" s="123" t="inlineStr">
        <is>
          <t>SEOの手順</t>
        </is>
      </c>
      <c r="F306" s="84" t="inlineStr">
        <is>
          <t>Googleコアアップデート</t>
        </is>
      </c>
      <c r="G306" s="106" t="n"/>
      <c r="H306" s="107" t="n"/>
      <c r="I306" s="107" t="n"/>
      <c r="J306" s="107" t="n"/>
      <c r="K306" s="107" t="n"/>
    </row>
    <row r="307">
      <c r="B307" s="28" t="inlineStr">
        <is>
          <t>https://www.seohacks.net/blog/926/</t>
        </is>
      </c>
      <c r="C307" s="84">
        <f>IFERROR(__xludf.DUMMYFUNCTION("IMPORTXML(B307, ""//title"")"),"ナレッジパネルとは？ナレッジパネルの仕組みと表示方法について")</f>
        <v/>
      </c>
      <c r="D307" s="123" t="inlineStr">
        <is>
          <t>ナレッジパネル</t>
        </is>
      </c>
      <c r="F307" s="84" t="inlineStr">
        <is>
          <t>SEO</t>
        </is>
      </c>
      <c r="G307" s="106" t="n"/>
      <c r="H307" s="107" t="n"/>
      <c r="I307" s="107" t="n"/>
      <c r="J307" s="107" t="n"/>
      <c r="K307" s="107" t="n"/>
    </row>
    <row r="308">
      <c r="B308" s="28" t="inlineStr">
        <is>
          <t>https://www.seohacks.net/blog/14491/</t>
        </is>
      </c>
      <c r="C308" s="84">
        <f>IFERROR(__xludf.DUMMYFUNCTION("IMPORTXML(B308, ""//title"")"),"【2025年12月最新】Googleコアアップデート情報と取り組むべきSEOを解説")</f>
        <v/>
      </c>
      <c r="D308" s="123" t="inlineStr">
        <is>
          <t>Googleコアアップデート</t>
        </is>
      </c>
      <c r="F308" s="84" t="inlineStr">
        <is>
          <t>構造化データ</t>
        </is>
      </c>
      <c r="G308" s="106" t="n"/>
      <c r="H308" s="107" t="n"/>
      <c r="I308" s="107" t="n"/>
      <c r="J308" s="107" t="n"/>
      <c r="K308" s="107" t="n"/>
    </row>
    <row r="309">
      <c r="B309" s="28" t="inlineStr">
        <is>
          <t>https://www.seohacks.net/blog/1066/#element1</t>
        </is>
      </c>
      <c r="C309" s="84">
        <f>IFERROR(__xludf.DUMMYFUNCTION("IMPORTXML(B309, ""//title"")"),"SEOとは――施策の目的や特徴、メリットを解説")</f>
        <v/>
      </c>
      <c r="D309" s="123" t="inlineStr">
        <is>
          <t>SEO</t>
        </is>
      </c>
      <c r="F309" s="84" t="inlineStr">
        <is>
          <t>SEOの効果測定</t>
        </is>
      </c>
      <c r="G309" s="106" t="n"/>
      <c r="H309" s="107" t="n"/>
      <c r="I309" s="107" t="n"/>
      <c r="J309" s="107" t="n"/>
      <c r="K309" s="107" t="n"/>
    </row>
    <row r="310">
      <c r="B310" s="28" t="inlineStr">
        <is>
          <t>https://www.seohacks.net/blog/1191/</t>
        </is>
      </c>
      <c r="C310" s="84">
        <f>IFERROR(__xludf.DUMMYFUNCTION("IMPORTXML(B310, ""//title"")"),"構造化データとは？非エンジニアでもわかる設定手順を解説")</f>
        <v/>
      </c>
      <c r="D310" s="123" t="inlineStr">
        <is>
          <t>構造化データ</t>
        </is>
      </c>
      <c r="F310" s="84" t="inlineStr">
        <is>
          <t>SEOの種類</t>
        </is>
      </c>
      <c r="G310" s="106" t="n"/>
      <c r="H310" s="107" t="n"/>
      <c r="I310" s="107" t="n"/>
      <c r="J310" s="107" t="n"/>
      <c r="K310" s="107" t="n"/>
    </row>
    <row r="311">
      <c r="B311" s="28" t="inlineStr">
        <is>
          <t>https://www.seohacks.net/blog/16864/</t>
        </is>
      </c>
      <c r="C311" s="84">
        <f>IFERROR(__xludf.DUMMYFUNCTION("IMPORTXML(B311, ""//title"")"),"SEOの効果測定の方法――活用するツールや見るべき指標、改善策の出し方")</f>
        <v/>
      </c>
      <c r="D311" s="123" t="inlineStr">
        <is>
          <t>SEOの効果測定</t>
        </is>
      </c>
      <c r="G311" s="106" t="n"/>
      <c r="H311" s="107" t="n"/>
      <c r="I311" s="107" t="n"/>
      <c r="J311" s="107" t="n"/>
      <c r="K311" s="107" t="n"/>
    </row>
    <row r="312">
      <c r="B312" s="28" t="inlineStr">
        <is>
          <t>https://www.seohacks.net/blog/28359/</t>
        </is>
      </c>
      <c r="C312" s="84">
        <f>IFERROR(__xludf.DUMMYFUNCTION("IMPORTXML(B312, ""//title"")"),"SEOの種類――テクニカル・コンテンツ・外部対策を押さえよう")</f>
        <v/>
      </c>
      <c r="D312" s="123" t="inlineStr">
        <is>
          <t>SEOの種類</t>
        </is>
      </c>
      <c r="G312" s="106" t="n"/>
      <c r="H312" s="107" t="n"/>
      <c r="I312" s="107" t="n"/>
      <c r="J312" s="107" t="n"/>
      <c r="K312" s="107" t="n"/>
    </row>
    <row r="313">
      <c r="B313" s="84" t="n"/>
      <c r="G313" s="106" t="n"/>
      <c r="H313" s="107" t="n"/>
      <c r="I313" s="107" t="n"/>
      <c r="J313" s="107" t="n"/>
      <c r="K313" s="107" t="n"/>
    </row>
    <row r="314">
      <c r="B314" s="84" t="n"/>
      <c r="G314" s="106" t="n"/>
      <c r="H314" s="107" t="n"/>
      <c r="I314" s="107" t="n"/>
      <c r="J314" s="107" t="n"/>
      <c r="K314" s="107" t="n"/>
    </row>
    <row r="315">
      <c r="B315" s="84" t="n"/>
      <c r="G315" s="106" t="n"/>
      <c r="H315" s="107" t="n"/>
      <c r="I315" s="107" t="n"/>
      <c r="J315" s="107" t="n"/>
      <c r="K315" s="107" t="n"/>
    </row>
    <row r="316">
      <c r="B316" s="84" t="n"/>
      <c r="G316" s="106" t="n"/>
      <c r="H316" s="107" t="n"/>
      <c r="I316" s="107" t="n"/>
      <c r="J316" s="107" t="n"/>
      <c r="K316" s="107" t="n"/>
    </row>
    <row r="317">
      <c r="B317" s="84" t="n"/>
      <c r="G317" s="106" t="n"/>
      <c r="H317" s="107" t="n"/>
      <c r="I317" s="107" t="n"/>
      <c r="J317" s="107" t="n"/>
      <c r="K317" s="107" t="n"/>
    </row>
    <row r="318">
      <c r="B318" s="84" t="n"/>
      <c r="G318" s="106" t="n"/>
      <c r="H318" s="107" t="n"/>
      <c r="I318" s="107" t="n"/>
      <c r="J318" s="107" t="n"/>
      <c r="K318" s="107" t="n"/>
    </row>
    <row r="319">
      <c r="B319" s="84" t="n"/>
      <c r="G319" s="106" t="n"/>
      <c r="H319" s="107" t="n"/>
      <c r="I319" s="107" t="n"/>
      <c r="J319" s="107" t="n"/>
      <c r="K319" s="107" t="n"/>
    </row>
    <row r="320">
      <c r="B320" s="84" t="n"/>
      <c r="G320" s="106" t="n"/>
      <c r="H320" s="107" t="n"/>
      <c r="I320" s="107" t="n"/>
      <c r="J320" s="107" t="n"/>
      <c r="K320" s="107" t="n"/>
    </row>
    <row r="321">
      <c r="B321" s="84" t="n"/>
      <c r="G321" s="106" t="n"/>
      <c r="H321" s="107" t="n"/>
      <c r="I321" s="107" t="n"/>
      <c r="J321" s="107" t="n"/>
      <c r="K321" s="107" t="n"/>
    </row>
    <row r="322">
      <c r="B322" s="84" t="n"/>
      <c r="G322" s="106" t="n"/>
      <c r="H322" s="107" t="n"/>
      <c r="I322" s="107" t="n"/>
      <c r="J322" s="107" t="n"/>
      <c r="K322" s="107" t="n"/>
    </row>
    <row r="323">
      <c r="B323" s="84" t="n"/>
      <c r="G323" s="106" t="n"/>
      <c r="H323" s="107" t="n"/>
      <c r="I323" s="107" t="n"/>
      <c r="J323" s="107" t="n"/>
      <c r="K323" s="107" t="n"/>
    </row>
    <row r="324">
      <c r="B324" s="84" t="n"/>
      <c r="G324" s="106" t="n"/>
      <c r="H324" s="107" t="n"/>
      <c r="I324" s="107" t="n"/>
      <c r="J324" s="107" t="n"/>
      <c r="K324" s="107" t="n"/>
    </row>
    <row r="325">
      <c r="B325" s="84" t="n"/>
      <c r="G325" s="106" t="n"/>
      <c r="H325" s="107" t="n"/>
      <c r="I325" s="107" t="n"/>
      <c r="J325" s="107" t="n"/>
      <c r="K325" s="107" t="n"/>
    </row>
    <row r="326">
      <c r="B326" s="84" t="n"/>
      <c r="G326" s="106" t="n"/>
      <c r="H326" s="107" t="n"/>
      <c r="I326" s="107" t="n"/>
      <c r="J326" s="107" t="n"/>
      <c r="K326" s="107" t="n"/>
    </row>
    <row r="327">
      <c r="B327" s="84" t="n"/>
      <c r="G327" s="106" t="n"/>
      <c r="H327" s="107" t="n"/>
      <c r="I327" s="107" t="n"/>
      <c r="J327" s="107" t="n"/>
      <c r="K327" s="107" t="n"/>
    </row>
    <row r="328">
      <c r="B328" s="84" t="n"/>
      <c r="G328" s="106" t="n"/>
      <c r="H328" s="107" t="n"/>
      <c r="I328" s="107" t="n"/>
      <c r="J328" s="107" t="n"/>
      <c r="K328" s="107" t="n"/>
    </row>
    <row r="329">
      <c r="B329" s="84" t="n"/>
      <c r="G329" s="106" t="n"/>
      <c r="H329" s="107" t="n"/>
      <c r="I329" s="107" t="n"/>
      <c r="J329" s="107" t="n"/>
      <c r="K329" s="107" t="n"/>
    </row>
    <row r="330">
      <c r="B330" s="84" t="n"/>
      <c r="G330" s="106" t="n"/>
      <c r="H330" s="107" t="n"/>
      <c r="I330" s="107" t="n"/>
      <c r="J330" s="107" t="n"/>
      <c r="K330" s="107" t="n"/>
    </row>
    <row r="331">
      <c r="B331" s="84" t="n"/>
      <c r="G331" s="106" t="n"/>
      <c r="H331" s="107" t="n"/>
      <c r="I331" s="107" t="n"/>
      <c r="J331" s="107" t="n"/>
      <c r="K331" s="107" t="n"/>
    </row>
    <row r="332">
      <c r="B332" s="84" t="n"/>
      <c r="G332" s="106" t="n"/>
      <c r="H332" s="107" t="n"/>
      <c r="I332" s="107" t="n"/>
      <c r="J332" s="107" t="n"/>
      <c r="K332" s="107" t="n"/>
    </row>
    <row r="333">
      <c r="B333" s="84" t="n"/>
      <c r="G333" s="106" t="n"/>
      <c r="H333" s="107" t="n"/>
      <c r="I333" s="107" t="n"/>
      <c r="J333" s="107" t="n"/>
      <c r="K333" s="107" t="n"/>
    </row>
    <row r="334">
      <c r="B334" s="84" t="n"/>
      <c r="G334" s="106" t="n"/>
      <c r="H334" s="107" t="n"/>
      <c r="I334" s="107" t="n"/>
      <c r="J334" s="107" t="n"/>
      <c r="K334" s="107" t="n"/>
    </row>
    <row r="335">
      <c r="B335" s="84" t="n"/>
      <c r="G335" s="106" t="n"/>
      <c r="H335" s="107" t="n"/>
      <c r="I335" s="107" t="n"/>
      <c r="J335" s="107" t="n"/>
      <c r="K335" s="107" t="n"/>
    </row>
    <row r="336">
      <c r="B336" s="84" t="n"/>
      <c r="G336" s="106" t="n"/>
      <c r="H336" s="107" t="n"/>
      <c r="I336" s="107" t="n"/>
      <c r="J336" s="107" t="n"/>
      <c r="K336" s="107" t="n"/>
    </row>
    <row r="337">
      <c r="B337" s="84" t="n"/>
      <c r="G337" s="106" t="n"/>
      <c r="H337" s="107" t="n"/>
      <c r="I337" s="107" t="n"/>
      <c r="J337" s="107" t="n"/>
      <c r="K337" s="107" t="n"/>
    </row>
    <row r="338">
      <c r="B338" s="84" t="n"/>
      <c r="G338" s="106" t="n"/>
      <c r="H338" s="107" t="n"/>
      <c r="I338" s="107" t="n"/>
      <c r="J338" s="107" t="n"/>
      <c r="K338" s="107" t="n"/>
    </row>
    <row r="339">
      <c r="B339" s="84" t="n"/>
      <c r="G339" s="106" t="n"/>
      <c r="H339" s="107" t="n"/>
      <c r="I339" s="107" t="n"/>
      <c r="J339" s="107" t="n"/>
      <c r="K339" s="107" t="n"/>
    </row>
    <row r="340">
      <c r="B340" s="84" t="n"/>
      <c r="G340" s="106" t="n"/>
      <c r="H340" s="107" t="n"/>
      <c r="I340" s="107" t="n"/>
      <c r="J340" s="107" t="n"/>
      <c r="K340" s="107" t="n"/>
    </row>
    <row r="341">
      <c r="B341" s="84" t="n"/>
      <c r="G341" s="106" t="n"/>
      <c r="H341" s="107" t="n"/>
      <c r="I341" s="107" t="n"/>
      <c r="J341" s="107" t="n"/>
      <c r="K341" s="107" t="n"/>
    </row>
    <row r="342">
      <c r="B342" s="84" t="n"/>
      <c r="G342" s="106" t="n"/>
      <c r="H342" s="107" t="n"/>
      <c r="I342" s="107" t="n"/>
      <c r="J342" s="107" t="n"/>
      <c r="K342" s="107" t="n"/>
    </row>
    <row r="343">
      <c r="B343" s="84" t="n"/>
      <c r="G343" s="106" t="n"/>
      <c r="H343" s="107" t="n"/>
      <c r="I343" s="107" t="n"/>
      <c r="J343" s="107" t="n"/>
      <c r="K343" s="107" t="n"/>
    </row>
    <row r="344">
      <c r="B344" s="84" t="n"/>
      <c r="G344" s="106" t="n"/>
      <c r="H344" s="107" t="n"/>
      <c r="I344" s="107" t="n"/>
      <c r="J344" s="107" t="n"/>
      <c r="K344" s="107" t="n"/>
    </row>
    <row r="345">
      <c r="B345" s="84" t="n"/>
      <c r="G345" s="106" t="n"/>
      <c r="H345" s="107" t="n"/>
      <c r="I345" s="107" t="n"/>
      <c r="J345" s="107" t="n"/>
      <c r="K345" s="107" t="n"/>
    </row>
    <row r="346">
      <c r="B346" s="84" t="n"/>
      <c r="G346" s="106" t="n"/>
      <c r="H346" s="107" t="n"/>
      <c r="I346" s="107" t="n"/>
      <c r="J346" s="107" t="n"/>
      <c r="K346" s="107" t="n"/>
    </row>
    <row r="347">
      <c r="B347" s="84" t="n"/>
      <c r="G347" s="106" t="n"/>
      <c r="H347" s="107" t="n"/>
      <c r="I347" s="107" t="n"/>
      <c r="J347" s="107" t="n"/>
      <c r="K347" s="107" t="n"/>
    </row>
    <row r="348">
      <c r="B348" s="84" t="n"/>
      <c r="G348" s="106" t="n"/>
      <c r="H348" s="107" t="n"/>
      <c r="I348" s="107" t="n"/>
      <c r="J348" s="107" t="n"/>
      <c r="K348" s="107" t="n"/>
    </row>
    <row r="349">
      <c r="B349" s="84" t="n"/>
      <c r="G349" s="106" t="n"/>
      <c r="H349" s="107" t="n"/>
      <c r="I349" s="107" t="n"/>
      <c r="J349" s="107" t="n"/>
      <c r="K349" s="107" t="n"/>
    </row>
    <row r="350">
      <c r="B350" s="84" t="n"/>
      <c r="G350" s="106" t="n"/>
      <c r="H350" s="107" t="n"/>
      <c r="I350" s="107" t="n"/>
      <c r="J350" s="107" t="n"/>
      <c r="K350" s="107" t="n"/>
    </row>
    <row r="351">
      <c r="B351" s="84" t="n"/>
      <c r="G351" s="106" t="n"/>
      <c r="H351" s="107" t="n"/>
      <c r="I351" s="107" t="n"/>
      <c r="J351" s="107" t="n"/>
      <c r="K351" s="107" t="n"/>
    </row>
    <row r="352">
      <c r="B352" s="84" t="n"/>
      <c r="G352" s="106" t="n"/>
      <c r="H352" s="107" t="n"/>
      <c r="I352" s="107" t="n"/>
      <c r="J352" s="107" t="n"/>
      <c r="K352" s="107" t="n"/>
    </row>
    <row r="353">
      <c r="B353" s="84" t="n"/>
      <c r="G353" s="106" t="n"/>
      <c r="H353" s="107" t="n"/>
      <c r="I353" s="107" t="n"/>
      <c r="J353" s="107" t="n"/>
      <c r="K353" s="107" t="n"/>
    </row>
    <row r="354">
      <c r="B354" s="84" t="n"/>
      <c r="G354" s="106" t="n"/>
      <c r="H354" s="107" t="n"/>
      <c r="I354" s="107" t="n"/>
      <c r="J354" s="107" t="n"/>
      <c r="K354" s="107" t="n"/>
    </row>
    <row r="355">
      <c r="B355" s="84" t="n"/>
      <c r="G355" s="106" t="n"/>
      <c r="H355" s="107" t="n"/>
      <c r="I355" s="107" t="n"/>
      <c r="J355" s="107" t="n"/>
      <c r="K355" s="107" t="n"/>
    </row>
    <row r="356">
      <c r="B356" s="84" t="n"/>
      <c r="G356" s="106" t="n"/>
      <c r="H356" s="107" t="n"/>
      <c r="I356" s="107" t="n"/>
      <c r="J356" s="107" t="n"/>
      <c r="K356" s="107" t="n"/>
    </row>
    <row r="357">
      <c r="B357" s="84" t="n"/>
      <c r="G357" s="106" t="n"/>
      <c r="H357" s="107" t="n"/>
      <c r="I357" s="107" t="n"/>
      <c r="J357" s="107" t="n"/>
      <c r="K357" s="107" t="n"/>
    </row>
    <row r="358">
      <c r="B358" s="84" t="n"/>
      <c r="G358" s="106" t="n"/>
      <c r="H358" s="107" t="n"/>
      <c r="I358" s="107" t="n"/>
      <c r="J358" s="107" t="n"/>
      <c r="K358" s="107" t="n"/>
    </row>
    <row r="359">
      <c r="B359" s="84" t="n"/>
      <c r="G359" s="106" t="n"/>
      <c r="H359" s="107" t="n"/>
      <c r="I359" s="107" t="n"/>
      <c r="J359" s="107" t="n"/>
      <c r="K359" s="107" t="n"/>
    </row>
    <row r="360">
      <c r="B360" s="84" t="n"/>
      <c r="G360" s="106" t="n"/>
      <c r="H360" s="107" t="n"/>
      <c r="I360" s="107" t="n"/>
      <c r="J360" s="107" t="n"/>
      <c r="K360" s="107" t="n"/>
    </row>
    <row r="361">
      <c r="B361" s="84" t="n"/>
      <c r="G361" s="106" t="n"/>
      <c r="H361" s="107" t="n"/>
      <c r="I361" s="107" t="n"/>
      <c r="J361" s="107" t="n"/>
      <c r="K361" s="107" t="n"/>
    </row>
    <row r="362">
      <c r="B362" s="84" t="n"/>
      <c r="G362" s="106" t="n"/>
      <c r="H362" s="107" t="n"/>
      <c r="I362" s="107" t="n"/>
      <c r="J362" s="107" t="n"/>
      <c r="K362" s="107" t="n"/>
    </row>
    <row r="363">
      <c r="B363" s="84" t="n"/>
      <c r="G363" s="106" t="n"/>
      <c r="H363" s="107" t="n"/>
      <c r="I363" s="107" t="n"/>
      <c r="J363" s="107" t="n"/>
      <c r="K363" s="107" t="n"/>
    </row>
    <row r="364">
      <c r="B364" s="84" t="n"/>
      <c r="G364" s="106" t="n"/>
      <c r="H364" s="107" t="n"/>
      <c r="I364" s="107" t="n"/>
      <c r="J364" s="107" t="n"/>
      <c r="K364" s="107" t="n"/>
    </row>
    <row r="365">
      <c r="B365" s="84" t="n"/>
      <c r="G365" s="106" t="n"/>
      <c r="H365" s="107" t="n"/>
      <c r="I365" s="107" t="n"/>
      <c r="J365" s="107" t="n"/>
      <c r="K365" s="107" t="n"/>
    </row>
    <row r="366">
      <c r="B366" s="84" t="n"/>
      <c r="G366" s="106" t="n"/>
      <c r="H366" s="107" t="n"/>
      <c r="I366" s="107" t="n"/>
      <c r="J366" s="107" t="n"/>
      <c r="K366" s="107" t="n"/>
    </row>
    <row r="367">
      <c r="B367" s="84" t="n"/>
      <c r="G367" s="106" t="n"/>
      <c r="H367" s="107" t="n"/>
      <c r="I367" s="107" t="n"/>
      <c r="J367" s="107" t="n"/>
      <c r="K367" s="107" t="n"/>
    </row>
    <row r="368">
      <c r="B368" s="84" t="n"/>
      <c r="G368" s="106" t="n"/>
      <c r="H368" s="107" t="n"/>
      <c r="I368" s="107" t="n"/>
      <c r="J368" s="107" t="n"/>
      <c r="K368" s="107" t="n"/>
    </row>
    <row r="369">
      <c r="B369" s="84" t="n"/>
      <c r="G369" s="106" t="n"/>
      <c r="H369" s="107" t="n"/>
      <c r="I369" s="107" t="n"/>
      <c r="J369" s="107" t="n"/>
      <c r="K369" s="107" t="n"/>
    </row>
    <row r="370">
      <c r="B370" s="84" t="n"/>
      <c r="G370" s="106" t="n"/>
      <c r="H370" s="107" t="n"/>
      <c r="I370" s="107" t="n"/>
      <c r="J370" s="107" t="n"/>
      <c r="K370" s="107" t="n"/>
    </row>
    <row r="371">
      <c r="B371" s="84" t="n"/>
      <c r="G371" s="106" t="n"/>
      <c r="H371" s="107" t="n"/>
      <c r="I371" s="107" t="n"/>
      <c r="J371" s="107" t="n"/>
      <c r="K371" s="107" t="n"/>
    </row>
    <row r="372">
      <c r="B372" s="84" t="n"/>
      <c r="G372" s="106" t="n"/>
      <c r="H372" s="107" t="n"/>
      <c r="I372" s="107" t="n"/>
      <c r="J372" s="107" t="n"/>
      <c r="K372" s="107" t="n"/>
    </row>
    <row r="373">
      <c r="B373" s="84" t="n"/>
      <c r="G373" s="106" t="n"/>
      <c r="H373" s="107" t="n"/>
      <c r="I373" s="107" t="n"/>
      <c r="J373" s="107" t="n"/>
      <c r="K373" s="107" t="n"/>
    </row>
    <row r="374">
      <c r="B374" s="84" t="n"/>
      <c r="G374" s="106" t="n"/>
      <c r="H374" s="107" t="n"/>
      <c r="I374" s="107" t="n"/>
      <c r="J374" s="107" t="n"/>
      <c r="K374" s="107" t="n"/>
    </row>
    <row r="375">
      <c r="B375" s="84" t="n"/>
      <c r="G375" s="106" t="n"/>
      <c r="H375" s="107" t="n"/>
      <c r="I375" s="107" t="n"/>
      <c r="J375" s="107" t="n"/>
      <c r="K375" s="107" t="n"/>
    </row>
    <row r="376">
      <c r="B376" s="84" t="n"/>
      <c r="G376" s="106" t="n"/>
      <c r="H376" s="107" t="n"/>
      <c r="I376" s="107" t="n"/>
      <c r="J376" s="107" t="n"/>
      <c r="K376" s="107" t="n"/>
    </row>
    <row r="377">
      <c r="B377" s="84" t="n"/>
      <c r="G377" s="106" t="n"/>
      <c r="H377" s="107" t="n"/>
      <c r="I377" s="107" t="n"/>
      <c r="J377" s="107" t="n"/>
      <c r="K377" s="107" t="n"/>
    </row>
    <row r="378">
      <c r="B378" s="84" t="n"/>
      <c r="G378" s="106" t="n"/>
      <c r="H378" s="107" t="n"/>
      <c r="I378" s="107" t="n"/>
      <c r="J378" s="107" t="n"/>
      <c r="K378" s="107" t="n"/>
    </row>
    <row r="379">
      <c r="B379" s="84" t="n"/>
      <c r="G379" s="106" t="n"/>
      <c r="H379" s="107" t="n"/>
      <c r="I379" s="107" t="n"/>
      <c r="J379" s="107" t="n"/>
      <c r="K379" s="107" t="n"/>
    </row>
    <row r="380">
      <c r="B380" s="84" t="n"/>
      <c r="G380" s="106" t="n"/>
      <c r="H380" s="107" t="n"/>
      <c r="I380" s="107" t="n"/>
      <c r="J380" s="107" t="n"/>
      <c r="K380" s="107" t="n"/>
    </row>
    <row r="381">
      <c r="B381" s="84" t="n"/>
      <c r="G381" s="106" t="n"/>
      <c r="H381" s="107" t="n"/>
      <c r="I381" s="107" t="n"/>
      <c r="J381" s="107" t="n"/>
      <c r="K381" s="107" t="n"/>
    </row>
    <row r="382">
      <c r="B382" s="84" t="n"/>
      <c r="G382" s="106" t="n"/>
      <c r="H382" s="107" t="n"/>
      <c r="I382" s="107" t="n"/>
      <c r="J382" s="107" t="n"/>
      <c r="K382" s="107" t="n"/>
    </row>
    <row r="383">
      <c r="B383" s="84" t="n"/>
      <c r="G383" s="106" t="n"/>
      <c r="H383" s="107" t="n"/>
      <c r="I383" s="107" t="n"/>
      <c r="J383" s="107" t="n"/>
      <c r="K383" s="107" t="n"/>
    </row>
    <row r="384">
      <c r="B384" s="84" t="n"/>
      <c r="G384" s="106" t="n"/>
      <c r="H384" s="107" t="n"/>
      <c r="I384" s="107" t="n"/>
      <c r="J384" s="107" t="n"/>
      <c r="K384" s="107" t="n"/>
    </row>
    <row r="385">
      <c r="B385" s="84" t="n"/>
      <c r="G385" s="106" t="n"/>
      <c r="H385" s="107" t="n"/>
      <c r="I385" s="107" t="n"/>
      <c r="J385" s="107" t="n"/>
      <c r="K385" s="107" t="n"/>
    </row>
    <row r="386">
      <c r="B386" s="84" t="n"/>
      <c r="G386" s="106" t="n"/>
      <c r="H386" s="107" t="n"/>
      <c r="I386" s="107" t="n"/>
      <c r="J386" s="107" t="n"/>
      <c r="K386" s="107" t="n"/>
    </row>
    <row r="387">
      <c r="B387" s="84" t="n"/>
      <c r="G387" s="106" t="n"/>
      <c r="H387" s="107" t="n"/>
      <c r="I387" s="107" t="n"/>
      <c r="J387" s="107" t="n"/>
      <c r="K387" s="107" t="n"/>
    </row>
    <row r="388">
      <c r="B388" s="84" t="n"/>
      <c r="G388" s="106" t="n"/>
      <c r="H388" s="107" t="n"/>
      <c r="I388" s="107" t="n"/>
      <c r="J388" s="107" t="n"/>
      <c r="K388" s="107" t="n"/>
    </row>
    <row r="389">
      <c r="B389" s="84" t="n"/>
      <c r="G389" s="106" t="n"/>
      <c r="H389" s="107" t="n"/>
      <c r="I389" s="107" t="n"/>
      <c r="J389" s="107" t="n"/>
      <c r="K389" s="107" t="n"/>
    </row>
    <row r="390">
      <c r="B390" s="84" t="n"/>
      <c r="G390" s="106" t="n"/>
      <c r="H390" s="107" t="n"/>
      <c r="I390" s="107" t="n"/>
      <c r="J390" s="107" t="n"/>
      <c r="K390" s="107" t="n"/>
    </row>
    <row r="391">
      <c r="B391" s="84" t="n"/>
      <c r="G391" s="106" t="n"/>
      <c r="H391" s="107" t="n"/>
      <c r="I391" s="107" t="n"/>
      <c r="J391" s="107" t="n"/>
      <c r="K391" s="107" t="n"/>
    </row>
    <row r="392">
      <c r="B392" s="84" t="n"/>
      <c r="G392" s="106" t="n"/>
      <c r="H392" s="107" t="n"/>
      <c r="I392" s="107" t="n"/>
      <c r="J392" s="107" t="n"/>
      <c r="K392" s="107" t="n"/>
    </row>
    <row r="393">
      <c r="B393" s="84" t="n"/>
      <c r="G393" s="106" t="n"/>
      <c r="H393" s="107" t="n"/>
      <c r="I393" s="107" t="n"/>
      <c r="J393" s="107" t="n"/>
      <c r="K393" s="107" t="n"/>
    </row>
    <row r="394">
      <c r="B394" s="84" t="n"/>
      <c r="G394" s="106" t="n"/>
      <c r="H394" s="107" t="n"/>
      <c r="I394" s="107" t="n"/>
      <c r="J394" s="107" t="n"/>
      <c r="K394" s="107" t="n"/>
    </row>
    <row r="395">
      <c r="B395" s="84" t="n"/>
      <c r="G395" s="106" t="n"/>
      <c r="H395" s="107" t="n"/>
      <c r="I395" s="107" t="n"/>
      <c r="J395" s="107" t="n"/>
      <c r="K395" s="107" t="n"/>
    </row>
    <row r="396">
      <c r="B396" s="84" t="n"/>
      <c r="G396" s="106" t="n"/>
      <c r="H396" s="107" t="n"/>
      <c r="I396" s="107" t="n"/>
      <c r="J396" s="107" t="n"/>
      <c r="K396" s="107" t="n"/>
    </row>
    <row r="397">
      <c r="B397" s="84" t="n"/>
      <c r="G397" s="106" t="n"/>
      <c r="H397" s="107" t="n"/>
      <c r="I397" s="107" t="n"/>
      <c r="J397" s="107" t="n"/>
      <c r="K397" s="107" t="n"/>
    </row>
    <row r="398">
      <c r="B398" s="84" t="n"/>
      <c r="G398" s="106" t="n"/>
      <c r="H398" s="107" t="n"/>
      <c r="I398" s="107" t="n"/>
      <c r="J398" s="107" t="n"/>
      <c r="K398" s="107" t="n"/>
    </row>
    <row r="399">
      <c r="B399" s="84" t="n"/>
      <c r="G399" s="106" t="n"/>
      <c r="H399" s="107" t="n"/>
      <c r="I399" s="107" t="n"/>
      <c r="J399" s="107" t="n"/>
      <c r="K399" s="107" t="n"/>
    </row>
    <row r="400">
      <c r="B400" s="84" t="n"/>
      <c r="G400" s="106" t="n"/>
      <c r="H400" s="107" t="n"/>
      <c r="I400" s="107" t="n"/>
      <c r="J400" s="107" t="n"/>
      <c r="K400" s="107" t="n"/>
    </row>
    <row r="401">
      <c r="B401" s="84" t="n"/>
      <c r="G401" s="106" t="n"/>
      <c r="H401" s="107" t="n"/>
      <c r="I401" s="107" t="n"/>
      <c r="J401" s="107" t="n"/>
      <c r="K401" s="107" t="n"/>
    </row>
    <row r="402">
      <c r="B402" s="84" t="n"/>
      <c r="G402" s="106" t="n"/>
      <c r="H402" s="107" t="n"/>
      <c r="I402" s="107" t="n"/>
      <c r="J402" s="107" t="n"/>
      <c r="K402" s="107" t="n"/>
    </row>
    <row r="403">
      <c r="B403" s="84" t="n"/>
      <c r="G403" s="106" t="n"/>
      <c r="H403" s="107" t="n"/>
      <c r="I403" s="107" t="n"/>
      <c r="J403" s="107" t="n"/>
      <c r="K403" s="107" t="n"/>
    </row>
    <row r="404">
      <c r="B404" s="84" t="n"/>
      <c r="G404" s="106" t="n"/>
      <c r="H404" s="107" t="n"/>
      <c r="I404" s="107" t="n"/>
      <c r="J404" s="107" t="n"/>
      <c r="K404" s="107" t="n"/>
    </row>
    <row r="405">
      <c r="B405" s="84" t="n"/>
      <c r="G405" s="106" t="n"/>
      <c r="H405" s="107" t="n"/>
      <c r="I405" s="107" t="n"/>
      <c r="J405" s="107" t="n"/>
      <c r="K405" s="107" t="n"/>
    </row>
    <row r="406">
      <c r="B406" s="84" t="n"/>
      <c r="G406" s="106" t="n"/>
      <c r="H406" s="107" t="n"/>
      <c r="I406" s="107" t="n"/>
      <c r="J406" s="107" t="n"/>
      <c r="K406" s="107" t="n"/>
    </row>
    <row r="407">
      <c r="B407" s="84" t="n"/>
      <c r="G407" s="106" t="n"/>
      <c r="H407" s="107" t="n"/>
      <c r="I407" s="107" t="n"/>
      <c r="J407" s="107" t="n"/>
      <c r="K407" s="107" t="n"/>
    </row>
    <row r="408">
      <c r="B408" s="84" t="n"/>
      <c r="G408" s="106" t="n"/>
      <c r="H408" s="107" t="n"/>
      <c r="I408" s="107" t="n"/>
      <c r="J408" s="107" t="n"/>
      <c r="K408" s="107" t="n"/>
    </row>
    <row r="409">
      <c r="B409" s="84" t="n"/>
      <c r="G409" s="106" t="n"/>
      <c r="H409" s="107" t="n"/>
      <c r="I409" s="107" t="n"/>
      <c r="J409" s="107" t="n"/>
      <c r="K409" s="107" t="n"/>
    </row>
    <row r="410">
      <c r="B410" s="84" t="n"/>
      <c r="G410" s="106" t="n"/>
      <c r="H410" s="107" t="n"/>
      <c r="I410" s="107" t="n"/>
      <c r="J410" s="107" t="n"/>
      <c r="K410" s="107" t="n"/>
    </row>
    <row r="411">
      <c r="B411" s="84" t="n"/>
      <c r="G411" s="106" t="n"/>
      <c r="H411" s="107" t="n"/>
      <c r="I411" s="107" t="n"/>
      <c r="J411" s="107" t="n"/>
      <c r="K411" s="107" t="n"/>
    </row>
    <row r="412">
      <c r="B412" s="84" t="n"/>
      <c r="G412" s="106" t="n"/>
      <c r="H412" s="107" t="n"/>
      <c r="I412" s="107" t="n"/>
      <c r="J412" s="107" t="n"/>
      <c r="K412" s="107" t="n"/>
    </row>
    <row r="413">
      <c r="B413" s="84" t="n"/>
      <c r="G413" s="106" t="n"/>
      <c r="H413" s="107" t="n"/>
      <c r="I413" s="107" t="n"/>
      <c r="J413" s="107" t="n"/>
      <c r="K413" s="107" t="n"/>
    </row>
    <row r="414">
      <c r="B414" s="84" t="n"/>
      <c r="G414" s="106" t="n"/>
      <c r="H414" s="107" t="n"/>
      <c r="I414" s="107" t="n"/>
      <c r="J414" s="107" t="n"/>
      <c r="K414" s="107" t="n"/>
    </row>
    <row r="415">
      <c r="B415" s="84" t="n"/>
      <c r="G415" s="106" t="n"/>
      <c r="H415" s="107" t="n"/>
      <c r="I415" s="107" t="n"/>
      <c r="J415" s="107" t="n"/>
      <c r="K415" s="107" t="n"/>
    </row>
    <row r="416">
      <c r="B416" s="84" t="n"/>
      <c r="G416" s="106" t="n"/>
      <c r="H416" s="107" t="n"/>
      <c r="I416" s="107" t="n"/>
      <c r="J416" s="107" t="n"/>
      <c r="K416" s="107" t="n"/>
    </row>
    <row r="417">
      <c r="B417" s="84" t="n"/>
      <c r="G417" s="106" t="n"/>
      <c r="H417" s="107" t="n"/>
      <c r="I417" s="107" t="n"/>
      <c r="J417" s="107" t="n"/>
      <c r="K417" s="107" t="n"/>
    </row>
    <row r="418">
      <c r="B418" s="84" t="n"/>
      <c r="G418" s="106" t="n"/>
      <c r="H418" s="107" t="n"/>
      <c r="I418" s="107" t="n"/>
      <c r="J418" s="107" t="n"/>
      <c r="K418" s="107" t="n"/>
    </row>
    <row r="419">
      <c r="B419" s="84" t="n"/>
      <c r="G419" s="106" t="n"/>
      <c r="H419" s="107" t="n"/>
      <c r="I419" s="107" t="n"/>
      <c r="J419" s="107" t="n"/>
      <c r="K419" s="107" t="n"/>
    </row>
    <row r="420">
      <c r="B420" s="84" t="n"/>
      <c r="G420" s="106" t="n"/>
      <c r="H420" s="107" t="n"/>
      <c r="I420" s="107" t="n"/>
      <c r="J420" s="107" t="n"/>
      <c r="K420" s="107" t="n"/>
    </row>
    <row r="421">
      <c r="B421" s="84" t="n"/>
      <c r="G421" s="106" t="n"/>
      <c r="H421" s="107" t="n"/>
      <c r="I421" s="107" t="n"/>
      <c r="J421" s="107" t="n"/>
      <c r="K421" s="107" t="n"/>
    </row>
    <row r="422">
      <c r="B422" s="84" t="n"/>
      <c r="G422" s="106" t="n"/>
      <c r="H422" s="107" t="n"/>
      <c r="I422" s="107" t="n"/>
      <c r="J422" s="107" t="n"/>
      <c r="K422" s="107" t="n"/>
    </row>
    <row r="423">
      <c r="B423" s="84" t="n"/>
      <c r="G423" s="106" t="n"/>
      <c r="H423" s="107" t="n"/>
      <c r="I423" s="107" t="n"/>
      <c r="J423" s="107" t="n"/>
      <c r="K423" s="107" t="n"/>
    </row>
    <row r="424">
      <c r="B424" s="84" t="n"/>
      <c r="G424" s="106" t="n"/>
      <c r="H424" s="107" t="n"/>
      <c r="I424" s="107" t="n"/>
      <c r="J424" s="107" t="n"/>
      <c r="K424" s="107" t="n"/>
    </row>
    <row r="425">
      <c r="B425" s="84" t="n"/>
      <c r="G425" s="106" t="n"/>
      <c r="H425" s="107" t="n"/>
      <c r="I425" s="107" t="n"/>
      <c r="J425" s="107" t="n"/>
      <c r="K425" s="107" t="n"/>
    </row>
    <row r="426">
      <c r="B426" s="84" t="n"/>
      <c r="G426" s="106" t="n"/>
      <c r="H426" s="107" t="n"/>
      <c r="I426" s="107" t="n"/>
      <c r="J426" s="107" t="n"/>
      <c r="K426" s="107" t="n"/>
    </row>
    <row r="427">
      <c r="B427" s="84" t="n"/>
      <c r="G427" s="106" t="n"/>
      <c r="H427" s="107" t="n"/>
      <c r="I427" s="107" t="n"/>
      <c r="J427" s="107" t="n"/>
      <c r="K427" s="107" t="n"/>
    </row>
    <row r="428">
      <c r="B428" s="84" t="n"/>
      <c r="G428" s="106" t="n"/>
      <c r="H428" s="107" t="n"/>
      <c r="I428" s="107" t="n"/>
      <c r="J428" s="107" t="n"/>
      <c r="K428" s="107" t="n"/>
    </row>
    <row r="429">
      <c r="B429" s="84" t="n"/>
      <c r="G429" s="106" t="n"/>
      <c r="H429" s="107" t="n"/>
      <c r="I429" s="107" t="n"/>
      <c r="J429" s="107" t="n"/>
      <c r="K429" s="107" t="n"/>
    </row>
    <row r="430">
      <c r="B430" s="84" t="n"/>
      <c r="G430" s="106" t="n"/>
      <c r="H430" s="107" t="n"/>
      <c r="I430" s="107" t="n"/>
      <c r="J430" s="107" t="n"/>
      <c r="K430" s="107" t="n"/>
    </row>
    <row r="431">
      <c r="B431" s="84" t="n"/>
      <c r="G431" s="106" t="n"/>
      <c r="H431" s="107" t="n"/>
      <c r="I431" s="107" t="n"/>
      <c r="J431" s="107" t="n"/>
      <c r="K431" s="107" t="n"/>
    </row>
    <row r="432">
      <c r="B432" s="84" t="n"/>
      <c r="G432" s="106" t="n"/>
      <c r="H432" s="107" t="n"/>
      <c r="I432" s="107" t="n"/>
      <c r="J432" s="107" t="n"/>
      <c r="K432" s="107" t="n"/>
    </row>
    <row r="433">
      <c r="B433" s="84" t="n"/>
      <c r="G433" s="106" t="n"/>
      <c r="H433" s="107" t="n"/>
      <c r="I433" s="107" t="n"/>
      <c r="J433" s="107" t="n"/>
      <c r="K433" s="107" t="n"/>
    </row>
    <row r="434">
      <c r="B434" s="84" t="n"/>
      <c r="G434" s="106" t="n"/>
      <c r="H434" s="107" t="n"/>
      <c r="I434" s="107" t="n"/>
      <c r="J434" s="107" t="n"/>
      <c r="K434" s="107" t="n"/>
    </row>
    <row r="435">
      <c r="B435" s="84" t="n"/>
      <c r="G435" s="106" t="n"/>
      <c r="H435" s="107" t="n"/>
      <c r="I435" s="107" t="n"/>
      <c r="J435" s="107" t="n"/>
      <c r="K435" s="107" t="n"/>
    </row>
    <row r="436">
      <c r="B436" s="84" t="n"/>
      <c r="G436" s="106" t="n"/>
      <c r="H436" s="107" t="n"/>
      <c r="I436" s="107" t="n"/>
      <c r="J436" s="107" t="n"/>
      <c r="K436" s="107" t="n"/>
    </row>
    <row r="437">
      <c r="B437" s="84" t="n"/>
      <c r="G437" s="106" t="n"/>
      <c r="H437" s="107" t="n"/>
      <c r="I437" s="107" t="n"/>
      <c r="J437" s="107" t="n"/>
      <c r="K437" s="107" t="n"/>
    </row>
    <row r="438">
      <c r="B438" s="84" t="n"/>
      <c r="G438" s="106" t="n"/>
      <c r="H438" s="107" t="n"/>
      <c r="I438" s="107" t="n"/>
      <c r="J438" s="107" t="n"/>
      <c r="K438" s="107" t="n"/>
    </row>
    <row r="439">
      <c r="B439" s="84" t="n"/>
      <c r="G439" s="106" t="n"/>
      <c r="H439" s="107" t="n"/>
      <c r="I439" s="107" t="n"/>
      <c r="J439" s="107" t="n"/>
      <c r="K439" s="107" t="n"/>
    </row>
    <row r="440">
      <c r="B440" s="84" t="n"/>
      <c r="G440" s="106" t="n"/>
      <c r="H440" s="107" t="n"/>
      <c r="I440" s="107" t="n"/>
      <c r="J440" s="107" t="n"/>
      <c r="K440" s="107" t="n"/>
    </row>
    <row r="441">
      <c r="B441" s="84" t="n"/>
      <c r="G441" s="106" t="n"/>
      <c r="H441" s="107" t="n"/>
      <c r="I441" s="107" t="n"/>
      <c r="J441" s="107" t="n"/>
      <c r="K441" s="107" t="n"/>
    </row>
    <row r="442">
      <c r="B442" s="84" t="n"/>
      <c r="G442" s="106" t="n"/>
      <c r="H442" s="107" t="n"/>
      <c r="I442" s="107" t="n"/>
      <c r="J442" s="107" t="n"/>
      <c r="K442" s="107" t="n"/>
    </row>
    <row r="443">
      <c r="B443" s="84" t="n"/>
      <c r="G443" s="106" t="n"/>
      <c r="H443" s="107" t="n"/>
      <c r="I443" s="107" t="n"/>
      <c r="J443" s="107" t="n"/>
      <c r="K443" s="107" t="n"/>
    </row>
    <row r="444">
      <c r="B444" s="84" t="n"/>
      <c r="G444" s="106" t="n"/>
      <c r="H444" s="107" t="n"/>
      <c r="I444" s="107" t="n"/>
      <c r="J444" s="107" t="n"/>
      <c r="K444" s="107" t="n"/>
    </row>
    <row r="445">
      <c r="B445" s="84" t="n"/>
      <c r="G445" s="106" t="n"/>
      <c r="H445" s="107" t="n"/>
      <c r="I445" s="107" t="n"/>
      <c r="J445" s="107" t="n"/>
      <c r="K445" s="107" t="n"/>
    </row>
    <row r="446">
      <c r="B446" s="84" t="n"/>
      <c r="G446" s="106" t="n"/>
      <c r="H446" s="107" t="n"/>
      <c r="I446" s="107" t="n"/>
      <c r="J446" s="107" t="n"/>
      <c r="K446" s="107" t="n"/>
    </row>
    <row r="447">
      <c r="B447" s="84" t="n"/>
      <c r="G447" s="106" t="n"/>
      <c r="H447" s="107" t="n"/>
      <c r="I447" s="107" t="n"/>
      <c r="J447" s="107" t="n"/>
      <c r="K447" s="107" t="n"/>
    </row>
    <row r="448">
      <c r="B448" s="84" t="n"/>
      <c r="G448" s="106" t="n"/>
      <c r="H448" s="107" t="n"/>
      <c r="I448" s="107" t="n"/>
      <c r="J448" s="107" t="n"/>
      <c r="K448" s="107" t="n"/>
    </row>
    <row r="449">
      <c r="B449" s="84" t="n"/>
      <c r="G449" s="106" t="n"/>
      <c r="H449" s="107" t="n"/>
      <c r="I449" s="107" t="n"/>
      <c r="J449" s="107" t="n"/>
      <c r="K449" s="107" t="n"/>
    </row>
    <row r="450">
      <c r="B450" s="84" t="n"/>
      <c r="G450" s="106" t="n"/>
      <c r="H450" s="107" t="n"/>
      <c r="I450" s="107" t="n"/>
      <c r="J450" s="107" t="n"/>
      <c r="K450" s="107" t="n"/>
    </row>
    <row r="451">
      <c r="B451" s="84" t="n"/>
      <c r="G451" s="106" t="n"/>
      <c r="H451" s="107" t="n"/>
      <c r="I451" s="107" t="n"/>
      <c r="J451" s="107" t="n"/>
      <c r="K451" s="107" t="n"/>
    </row>
    <row r="452">
      <c r="B452" s="84" t="n"/>
      <c r="G452" s="106" t="n"/>
      <c r="H452" s="107" t="n"/>
      <c r="I452" s="107" t="n"/>
      <c r="J452" s="107" t="n"/>
      <c r="K452" s="107" t="n"/>
    </row>
    <row r="453">
      <c r="B453" s="84" t="n"/>
      <c r="G453" s="106" t="n"/>
      <c r="H453" s="107" t="n"/>
      <c r="I453" s="107" t="n"/>
      <c r="J453" s="107" t="n"/>
      <c r="K453" s="107" t="n"/>
    </row>
    <row r="454">
      <c r="B454" s="84" t="n"/>
      <c r="G454" s="106" t="n"/>
      <c r="H454" s="107" t="n"/>
      <c r="I454" s="107" t="n"/>
      <c r="J454" s="107" t="n"/>
      <c r="K454" s="107" t="n"/>
    </row>
    <row r="455">
      <c r="B455" s="84" t="n"/>
      <c r="G455" s="106" t="n"/>
      <c r="H455" s="107" t="n"/>
      <c r="I455" s="107" t="n"/>
      <c r="J455" s="107" t="n"/>
      <c r="K455" s="107" t="n"/>
    </row>
    <row r="456">
      <c r="B456" s="84" t="n"/>
      <c r="G456" s="106" t="n"/>
      <c r="H456" s="107" t="n"/>
      <c r="I456" s="107" t="n"/>
      <c r="J456" s="107" t="n"/>
      <c r="K456" s="107" t="n"/>
    </row>
    <row r="457">
      <c r="B457" s="84" t="n"/>
      <c r="G457" s="106" t="n"/>
      <c r="H457" s="107" t="n"/>
      <c r="I457" s="107" t="n"/>
      <c r="J457" s="107" t="n"/>
      <c r="K457" s="107" t="n"/>
    </row>
    <row r="458">
      <c r="B458" s="84" t="n"/>
      <c r="G458" s="106" t="n"/>
      <c r="H458" s="107" t="n"/>
      <c r="I458" s="107" t="n"/>
      <c r="J458" s="107" t="n"/>
      <c r="K458" s="107" t="n"/>
    </row>
    <row r="459">
      <c r="B459" s="84" t="n"/>
      <c r="G459" s="106" t="n"/>
      <c r="H459" s="107" t="n"/>
      <c r="I459" s="107" t="n"/>
      <c r="J459" s="107" t="n"/>
      <c r="K459" s="107" t="n"/>
    </row>
    <row r="460">
      <c r="B460" s="84" t="n"/>
      <c r="G460" s="106" t="n"/>
      <c r="H460" s="107" t="n"/>
      <c r="I460" s="107" t="n"/>
      <c r="J460" s="107" t="n"/>
      <c r="K460" s="107" t="n"/>
    </row>
    <row r="461">
      <c r="B461" s="84" t="n"/>
      <c r="G461" s="106" t="n"/>
      <c r="H461" s="107" t="n"/>
      <c r="I461" s="107" t="n"/>
      <c r="J461" s="107" t="n"/>
      <c r="K461" s="107" t="n"/>
    </row>
    <row r="462">
      <c r="B462" s="84" t="n"/>
      <c r="G462" s="106" t="n"/>
      <c r="H462" s="107" t="n"/>
      <c r="I462" s="107" t="n"/>
      <c r="J462" s="107" t="n"/>
      <c r="K462" s="107" t="n"/>
    </row>
    <row r="463">
      <c r="B463" s="84" t="n"/>
      <c r="G463" s="106" t="n"/>
      <c r="H463" s="107" t="n"/>
      <c r="I463" s="107" t="n"/>
      <c r="J463" s="107" t="n"/>
      <c r="K463" s="107" t="n"/>
    </row>
    <row r="464">
      <c r="B464" s="84" t="n"/>
      <c r="G464" s="106" t="n"/>
      <c r="H464" s="107" t="n"/>
      <c r="I464" s="107" t="n"/>
      <c r="J464" s="107" t="n"/>
      <c r="K464" s="107" t="n"/>
    </row>
    <row r="465">
      <c r="B465" s="84" t="n"/>
      <c r="G465" s="106" t="n"/>
      <c r="H465" s="107" t="n"/>
      <c r="I465" s="107" t="n"/>
      <c r="J465" s="107" t="n"/>
      <c r="K465" s="107" t="n"/>
    </row>
    <row r="466">
      <c r="B466" s="84" t="n"/>
      <c r="G466" s="106" t="n"/>
      <c r="H466" s="107" t="n"/>
      <c r="I466" s="107" t="n"/>
      <c r="J466" s="107" t="n"/>
      <c r="K466" s="107" t="n"/>
    </row>
    <row r="467">
      <c r="B467" s="84" t="n"/>
      <c r="G467" s="106" t="n"/>
      <c r="H467" s="107" t="n"/>
      <c r="I467" s="107" t="n"/>
      <c r="J467" s="107" t="n"/>
      <c r="K467" s="107" t="n"/>
    </row>
    <row r="468">
      <c r="B468" s="84" t="n"/>
      <c r="G468" s="106" t="n"/>
      <c r="H468" s="107" t="n"/>
      <c r="I468" s="107" t="n"/>
      <c r="J468" s="107" t="n"/>
      <c r="K468" s="107" t="n"/>
    </row>
    <row r="469">
      <c r="B469" s="84" t="n"/>
      <c r="G469" s="106" t="n"/>
      <c r="H469" s="107" t="n"/>
      <c r="I469" s="107" t="n"/>
      <c r="J469" s="107" t="n"/>
      <c r="K469" s="107" t="n"/>
    </row>
    <row r="470">
      <c r="B470" s="84" t="n"/>
      <c r="G470" s="106" t="n"/>
      <c r="H470" s="107" t="n"/>
      <c r="I470" s="107" t="n"/>
      <c r="J470" s="107" t="n"/>
      <c r="K470" s="107" t="n"/>
    </row>
    <row r="471">
      <c r="B471" s="84" t="n"/>
      <c r="G471" s="106" t="n"/>
      <c r="H471" s="107" t="n"/>
      <c r="I471" s="107" t="n"/>
      <c r="J471" s="107" t="n"/>
      <c r="K471" s="107" t="n"/>
    </row>
    <row r="472">
      <c r="B472" s="84" t="n"/>
      <c r="G472" s="106" t="n"/>
      <c r="H472" s="107" t="n"/>
      <c r="I472" s="107" t="n"/>
      <c r="J472" s="107" t="n"/>
      <c r="K472" s="107" t="n"/>
    </row>
    <row r="473">
      <c r="B473" s="84" t="n"/>
      <c r="G473" s="106" t="n"/>
      <c r="H473" s="107" t="n"/>
      <c r="I473" s="107" t="n"/>
      <c r="J473" s="107" t="n"/>
      <c r="K473" s="107" t="n"/>
    </row>
    <row r="474">
      <c r="B474" s="84" t="n"/>
      <c r="G474" s="106" t="n"/>
      <c r="H474" s="107" t="n"/>
      <c r="I474" s="107" t="n"/>
      <c r="J474" s="107" t="n"/>
      <c r="K474" s="107" t="n"/>
    </row>
    <row r="475">
      <c r="B475" s="84" t="n"/>
      <c r="G475" s="106" t="n"/>
      <c r="H475" s="107" t="n"/>
      <c r="I475" s="107" t="n"/>
      <c r="J475" s="107" t="n"/>
      <c r="K475" s="107" t="n"/>
    </row>
    <row r="476">
      <c r="B476" s="84" t="n"/>
      <c r="G476" s="106" t="n"/>
      <c r="H476" s="107" t="n"/>
      <c r="I476" s="107" t="n"/>
      <c r="J476" s="107" t="n"/>
      <c r="K476" s="107" t="n"/>
    </row>
    <row r="477">
      <c r="B477" s="84" t="n"/>
      <c r="G477" s="106" t="n"/>
      <c r="H477" s="107" t="n"/>
      <c r="I477" s="107" t="n"/>
      <c r="J477" s="107" t="n"/>
      <c r="K477" s="107" t="n"/>
    </row>
    <row r="478">
      <c r="B478" s="84" t="n"/>
      <c r="G478" s="106" t="n"/>
      <c r="H478" s="107" t="n"/>
      <c r="I478" s="107" t="n"/>
      <c r="J478" s="107" t="n"/>
      <c r="K478" s="107" t="n"/>
    </row>
    <row r="479">
      <c r="B479" s="84" t="n"/>
      <c r="G479" s="106" t="n"/>
      <c r="H479" s="107" t="n"/>
      <c r="I479" s="107" t="n"/>
      <c r="J479" s="107" t="n"/>
      <c r="K479" s="107" t="n"/>
    </row>
    <row r="480">
      <c r="B480" s="84" t="n"/>
      <c r="G480" s="106" t="n"/>
      <c r="H480" s="107" t="n"/>
      <c r="I480" s="107" t="n"/>
      <c r="J480" s="107" t="n"/>
      <c r="K480" s="107" t="n"/>
    </row>
    <row r="481">
      <c r="B481" s="84" t="n"/>
      <c r="G481" s="106" t="n"/>
      <c r="H481" s="107" t="n"/>
      <c r="I481" s="107" t="n"/>
      <c r="J481" s="107" t="n"/>
      <c r="K481" s="107" t="n"/>
    </row>
    <row r="482">
      <c r="B482" s="84" t="n"/>
      <c r="G482" s="106" t="n"/>
      <c r="H482" s="107" t="n"/>
      <c r="I482" s="107" t="n"/>
      <c r="J482" s="107" t="n"/>
      <c r="K482" s="107" t="n"/>
    </row>
    <row r="483">
      <c r="B483" s="84" t="n"/>
      <c r="G483" s="106" t="n"/>
      <c r="H483" s="107" t="n"/>
      <c r="I483" s="107" t="n"/>
      <c r="J483" s="107" t="n"/>
      <c r="K483" s="107" t="n"/>
    </row>
    <row r="484">
      <c r="B484" s="84" t="n"/>
      <c r="G484" s="106" t="n"/>
      <c r="H484" s="107" t="n"/>
      <c r="I484" s="107" t="n"/>
      <c r="J484" s="107" t="n"/>
      <c r="K484" s="107" t="n"/>
    </row>
    <row r="485">
      <c r="B485" s="84" t="n"/>
      <c r="G485" s="106" t="n"/>
      <c r="H485" s="107" t="n"/>
      <c r="I485" s="107" t="n"/>
      <c r="J485" s="107" t="n"/>
      <c r="K485" s="107" t="n"/>
    </row>
    <row r="486">
      <c r="B486" s="84" t="n"/>
      <c r="G486" s="106" t="n"/>
      <c r="H486" s="107" t="n"/>
      <c r="I486" s="107" t="n"/>
      <c r="J486" s="107" t="n"/>
      <c r="K486" s="107" t="n"/>
    </row>
    <row r="487">
      <c r="B487" s="84" t="n"/>
      <c r="G487" s="106" t="n"/>
      <c r="H487" s="107" t="n"/>
      <c r="I487" s="107" t="n"/>
      <c r="J487" s="107" t="n"/>
      <c r="K487" s="107" t="n"/>
    </row>
    <row r="488">
      <c r="B488" s="84" t="n"/>
      <c r="G488" s="106" t="n"/>
      <c r="H488" s="107" t="n"/>
      <c r="I488" s="107" t="n"/>
      <c r="J488" s="107" t="n"/>
      <c r="K488" s="107" t="n"/>
    </row>
    <row r="489">
      <c r="B489" s="84" t="n"/>
      <c r="G489" s="106" t="n"/>
      <c r="H489" s="107" t="n"/>
      <c r="I489" s="107" t="n"/>
      <c r="J489" s="107" t="n"/>
      <c r="K489" s="107" t="n"/>
    </row>
    <row r="490">
      <c r="B490" s="84" t="n"/>
      <c r="G490" s="106" t="n"/>
      <c r="H490" s="107" t="n"/>
      <c r="I490" s="107" t="n"/>
      <c r="J490" s="107" t="n"/>
      <c r="K490" s="107" t="n"/>
    </row>
    <row r="491">
      <c r="B491" s="84" t="n"/>
      <c r="G491" s="106" t="n"/>
      <c r="H491" s="107" t="n"/>
      <c r="I491" s="107" t="n"/>
      <c r="J491" s="107" t="n"/>
      <c r="K491" s="107" t="n"/>
    </row>
    <row r="492">
      <c r="B492" s="84" t="n"/>
      <c r="G492" s="106" t="n"/>
      <c r="H492" s="107" t="n"/>
      <c r="I492" s="107" t="n"/>
      <c r="J492" s="107" t="n"/>
      <c r="K492" s="107" t="n"/>
    </row>
    <row r="493">
      <c r="B493" s="84" t="n"/>
      <c r="G493" s="106" t="n"/>
      <c r="H493" s="107" t="n"/>
      <c r="I493" s="107" t="n"/>
      <c r="J493" s="107" t="n"/>
      <c r="K493" s="107" t="n"/>
    </row>
    <row r="494">
      <c r="B494" s="84" t="n"/>
      <c r="G494" s="106" t="n"/>
      <c r="H494" s="107" t="n"/>
      <c r="I494" s="107" t="n"/>
      <c r="J494" s="107" t="n"/>
      <c r="K494" s="107" t="n"/>
    </row>
    <row r="495">
      <c r="B495" s="84" t="n"/>
      <c r="G495" s="106" t="n"/>
      <c r="H495" s="107" t="n"/>
      <c r="I495" s="107" t="n"/>
      <c r="J495" s="107" t="n"/>
      <c r="K495" s="107" t="n"/>
    </row>
    <row r="496">
      <c r="B496" s="84" t="n"/>
      <c r="G496" s="106" t="n"/>
      <c r="H496" s="107" t="n"/>
      <c r="I496" s="107" t="n"/>
      <c r="J496" s="107" t="n"/>
      <c r="K496" s="107" t="n"/>
    </row>
    <row r="497">
      <c r="B497" s="84" t="n"/>
      <c r="G497" s="106" t="n"/>
      <c r="H497" s="107" t="n"/>
      <c r="I497" s="107" t="n"/>
      <c r="J497" s="107" t="n"/>
      <c r="K497" s="107" t="n"/>
    </row>
    <row r="498">
      <c r="B498" s="84" t="n"/>
      <c r="G498" s="106" t="n"/>
      <c r="H498" s="107" t="n"/>
      <c r="I498" s="107" t="n"/>
      <c r="J498" s="107" t="n"/>
      <c r="K498" s="107" t="n"/>
    </row>
    <row r="499">
      <c r="B499" s="84" t="n"/>
      <c r="G499" s="106" t="n"/>
      <c r="H499" s="107" t="n"/>
      <c r="I499" s="107" t="n"/>
      <c r="J499" s="107" t="n"/>
      <c r="K499" s="107" t="n"/>
    </row>
    <row r="500">
      <c r="B500" s="84" t="n"/>
      <c r="G500" s="106" t="n"/>
      <c r="H500" s="107" t="n"/>
      <c r="I500" s="107" t="n"/>
      <c r="J500" s="107" t="n"/>
      <c r="K500" s="107" t="n"/>
    </row>
    <row r="501">
      <c r="B501" s="84" t="n"/>
      <c r="G501" s="106" t="n"/>
      <c r="H501" s="107" t="n"/>
      <c r="I501" s="107" t="n"/>
      <c r="J501" s="107" t="n"/>
      <c r="K501" s="107" t="n"/>
    </row>
    <row r="502">
      <c r="B502" s="84" t="n"/>
      <c r="G502" s="106" t="n"/>
      <c r="H502" s="107" t="n"/>
      <c r="I502" s="107" t="n"/>
      <c r="J502" s="107" t="n"/>
      <c r="K502" s="107" t="n"/>
    </row>
    <row r="503">
      <c r="B503" s="84" t="n"/>
      <c r="G503" s="106" t="n"/>
      <c r="H503" s="107" t="n"/>
      <c r="I503" s="107" t="n"/>
      <c r="J503" s="107" t="n"/>
      <c r="K503" s="107" t="n"/>
    </row>
    <row r="504">
      <c r="B504" s="84" t="n"/>
      <c r="G504" s="106" t="n"/>
      <c r="H504" s="107" t="n"/>
      <c r="I504" s="107" t="n"/>
      <c r="J504" s="107" t="n"/>
      <c r="K504" s="107" t="n"/>
    </row>
    <row r="505">
      <c r="B505" s="84" t="n"/>
      <c r="G505" s="106" t="n"/>
      <c r="H505" s="107" t="n"/>
      <c r="I505" s="107" t="n"/>
      <c r="J505" s="107" t="n"/>
      <c r="K505" s="107" t="n"/>
    </row>
    <row r="506">
      <c r="B506" s="84" t="n"/>
      <c r="G506" s="106" t="n"/>
      <c r="H506" s="107" t="n"/>
      <c r="I506" s="107" t="n"/>
      <c r="J506" s="107" t="n"/>
      <c r="K506" s="107" t="n"/>
    </row>
    <row r="507">
      <c r="B507" s="84" t="n"/>
      <c r="G507" s="106" t="n"/>
      <c r="H507" s="107" t="n"/>
      <c r="I507" s="107" t="n"/>
      <c r="J507" s="107" t="n"/>
      <c r="K507" s="107" t="n"/>
    </row>
    <row r="508">
      <c r="B508" s="84" t="n"/>
      <c r="G508" s="106" t="n"/>
      <c r="H508" s="107" t="n"/>
      <c r="I508" s="107" t="n"/>
      <c r="J508" s="107" t="n"/>
      <c r="K508" s="107" t="n"/>
    </row>
    <row r="509">
      <c r="B509" s="84" t="n"/>
      <c r="G509" s="106" t="n"/>
      <c r="H509" s="107" t="n"/>
      <c r="I509" s="107" t="n"/>
      <c r="J509" s="107" t="n"/>
      <c r="K509" s="107" t="n"/>
    </row>
    <row r="510">
      <c r="B510" s="84" t="n"/>
      <c r="G510" s="106" t="n"/>
      <c r="H510" s="107" t="n"/>
      <c r="I510" s="107" t="n"/>
      <c r="J510" s="107" t="n"/>
      <c r="K510" s="107" t="n"/>
    </row>
    <row r="511">
      <c r="B511" s="84" t="n"/>
      <c r="G511" s="106" t="n"/>
      <c r="H511" s="107" t="n"/>
      <c r="I511" s="107" t="n"/>
      <c r="J511" s="107" t="n"/>
      <c r="K511" s="107" t="n"/>
    </row>
    <row r="512">
      <c r="B512" s="84" t="n"/>
      <c r="G512" s="106" t="n"/>
      <c r="H512" s="107" t="n"/>
      <c r="I512" s="107" t="n"/>
      <c r="J512" s="107" t="n"/>
      <c r="K512" s="107" t="n"/>
    </row>
    <row r="513">
      <c r="B513" s="84" t="n"/>
      <c r="G513" s="106" t="n"/>
      <c r="H513" s="107" t="n"/>
      <c r="I513" s="107" t="n"/>
      <c r="J513" s="107" t="n"/>
      <c r="K513" s="107" t="n"/>
    </row>
    <row r="514">
      <c r="B514" s="84" t="n"/>
      <c r="G514" s="106" t="n"/>
      <c r="H514" s="107" t="n"/>
      <c r="I514" s="107" t="n"/>
      <c r="J514" s="107" t="n"/>
      <c r="K514" s="107" t="n"/>
    </row>
    <row r="515">
      <c r="B515" s="84" t="n"/>
      <c r="G515" s="106" t="n"/>
      <c r="H515" s="107" t="n"/>
      <c r="I515" s="107" t="n"/>
      <c r="J515" s="107" t="n"/>
      <c r="K515" s="107" t="n"/>
    </row>
    <row r="516">
      <c r="B516" s="84" t="n"/>
      <c r="G516" s="106" t="n"/>
      <c r="H516" s="107" t="n"/>
      <c r="I516" s="107" t="n"/>
      <c r="J516" s="107" t="n"/>
      <c r="K516" s="107" t="n"/>
    </row>
    <row r="517">
      <c r="B517" s="84" t="n"/>
      <c r="G517" s="106" t="n"/>
      <c r="H517" s="107" t="n"/>
      <c r="I517" s="107" t="n"/>
      <c r="J517" s="107" t="n"/>
      <c r="K517" s="107" t="n"/>
    </row>
    <row r="518">
      <c r="B518" s="84" t="n"/>
      <c r="G518" s="106" t="n"/>
      <c r="H518" s="107" t="n"/>
      <c r="I518" s="107" t="n"/>
      <c r="J518" s="107" t="n"/>
      <c r="K518" s="107" t="n"/>
    </row>
    <row r="519">
      <c r="B519" s="84" t="n"/>
      <c r="G519" s="106" t="n"/>
      <c r="H519" s="107" t="n"/>
      <c r="I519" s="107" t="n"/>
      <c r="J519" s="107" t="n"/>
      <c r="K519" s="107" t="n"/>
    </row>
    <row r="520">
      <c r="B520" s="84" t="n"/>
      <c r="G520" s="106" t="n"/>
      <c r="H520" s="107" t="n"/>
      <c r="I520" s="107" t="n"/>
      <c r="J520" s="107" t="n"/>
      <c r="K520" s="107" t="n"/>
    </row>
    <row r="521">
      <c r="B521" s="84" t="n"/>
      <c r="G521" s="106" t="n"/>
      <c r="H521" s="107" t="n"/>
      <c r="I521" s="107" t="n"/>
      <c r="J521" s="107" t="n"/>
      <c r="K521" s="107" t="n"/>
    </row>
    <row r="522">
      <c r="B522" s="84" t="n"/>
      <c r="G522" s="106" t="n"/>
      <c r="H522" s="107" t="n"/>
      <c r="I522" s="107" t="n"/>
      <c r="J522" s="107" t="n"/>
      <c r="K522" s="107" t="n"/>
    </row>
    <row r="523">
      <c r="B523" s="84" t="n"/>
      <c r="G523" s="106" t="n"/>
      <c r="H523" s="107" t="n"/>
      <c r="I523" s="107" t="n"/>
      <c r="J523" s="107" t="n"/>
      <c r="K523" s="107" t="n"/>
    </row>
    <row r="524">
      <c r="B524" s="84" t="n"/>
      <c r="G524" s="106" t="n"/>
      <c r="H524" s="107" t="n"/>
      <c r="I524" s="107" t="n"/>
      <c r="J524" s="107" t="n"/>
      <c r="K524" s="107" t="n"/>
    </row>
    <row r="525">
      <c r="B525" s="84" t="n"/>
      <c r="G525" s="106" t="n"/>
      <c r="H525" s="107" t="n"/>
      <c r="I525" s="107" t="n"/>
      <c r="J525" s="107" t="n"/>
      <c r="K525" s="107" t="n"/>
    </row>
    <row r="526">
      <c r="B526" s="84" t="n"/>
      <c r="G526" s="106" t="n"/>
      <c r="H526" s="107" t="n"/>
      <c r="I526" s="107" t="n"/>
      <c r="J526" s="107" t="n"/>
      <c r="K526" s="107" t="n"/>
    </row>
    <row r="527">
      <c r="B527" s="84" t="n"/>
      <c r="G527" s="106" t="n"/>
      <c r="H527" s="107" t="n"/>
      <c r="I527" s="107" t="n"/>
      <c r="J527" s="107" t="n"/>
      <c r="K527" s="107" t="n"/>
    </row>
    <row r="528">
      <c r="B528" s="84" t="n"/>
      <c r="G528" s="106" t="n"/>
      <c r="H528" s="107" t="n"/>
      <c r="I528" s="107" t="n"/>
      <c r="J528" s="107" t="n"/>
      <c r="K528" s="107" t="n"/>
    </row>
    <row r="529">
      <c r="B529" s="84" t="n"/>
      <c r="G529" s="106" t="n"/>
      <c r="H529" s="107" t="n"/>
      <c r="I529" s="107" t="n"/>
      <c r="J529" s="107" t="n"/>
      <c r="K529" s="107" t="n"/>
    </row>
    <row r="530">
      <c r="B530" s="84" t="n"/>
      <c r="G530" s="106" t="n"/>
      <c r="H530" s="107" t="n"/>
      <c r="I530" s="107" t="n"/>
      <c r="J530" s="107" t="n"/>
      <c r="K530" s="107" t="n"/>
    </row>
    <row r="531">
      <c r="B531" s="84" t="n"/>
      <c r="G531" s="106" t="n"/>
      <c r="H531" s="107" t="n"/>
      <c r="I531" s="107" t="n"/>
      <c r="J531" s="107" t="n"/>
      <c r="K531" s="107" t="n"/>
    </row>
    <row r="532">
      <c r="B532" s="84" t="n"/>
      <c r="G532" s="106" t="n"/>
      <c r="H532" s="107" t="n"/>
      <c r="I532" s="107" t="n"/>
      <c r="J532" s="107" t="n"/>
      <c r="K532" s="107" t="n"/>
    </row>
    <row r="533">
      <c r="B533" s="84" t="n"/>
      <c r="G533" s="106" t="n"/>
      <c r="H533" s="107" t="n"/>
      <c r="I533" s="107" t="n"/>
      <c r="J533" s="107" t="n"/>
      <c r="K533" s="107" t="n"/>
    </row>
    <row r="534">
      <c r="B534" s="84" t="n"/>
      <c r="G534" s="106" t="n"/>
      <c r="H534" s="107" t="n"/>
      <c r="I534" s="107" t="n"/>
      <c r="J534" s="107" t="n"/>
      <c r="K534" s="107" t="n"/>
    </row>
    <row r="535">
      <c r="B535" s="84" t="n"/>
      <c r="G535" s="106" t="n"/>
      <c r="H535" s="107" t="n"/>
      <c r="I535" s="107" t="n"/>
      <c r="J535" s="107" t="n"/>
      <c r="K535" s="107" t="n"/>
    </row>
    <row r="536">
      <c r="B536" s="84" t="n"/>
      <c r="G536" s="106" t="n"/>
      <c r="H536" s="107" t="n"/>
      <c r="I536" s="107" t="n"/>
      <c r="J536" s="107" t="n"/>
      <c r="K536" s="107" t="n"/>
    </row>
    <row r="537">
      <c r="B537" s="84" t="n"/>
      <c r="G537" s="106" t="n"/>
      <c r="H537" s="107" t="n"/>
      <c r="I537" s="107" t="n"/>
      <c r="J537" s="107" t="n"/>
      <c r="K537" s="107" t="n"/>
    </row>
    <row r="538">
      <c r="B538" s="84" t="n"/>
      <c r="G538" s="106" t="n"/>
      <c r="H538" s="107" t="n"/>
      <c r="I538" s="107" t="n"/>
      <c r="J538" s="107" t="n"/>
      <c r="K538" s="107" t="n"/>
    </row>
    <row r="539">
      <c r="B539" s="84" t="n"/>
      <c r="G539" s="106" t="n"/>
      <c r="H539" s="107" t="n"/>
      <c r="I539" s="107" t="n"/>
      <c r="J539" s="107" t="n"/>
      <c r="K539" s="107" t="n"/>
    </row>
    <row r="540">
      <c r="B540" s="84" t="n"/>
      <c r="G540" s="106" t="n"/>
      <c r="H540" s="107" t="n"/>
      <c r="I540" s="107" t="n"/>
      <c r="J540" s="107" t="n"/>
      <c r="K540" s="107" t="n"/>
    </row>
    <row r="541">
      <c r="B541" s="84" t="n"/>
      <c r="G541" s="106" t="n"/>
      <c r="H541" s="107" t="n"/>
      <c r="I541" s="107" t="n"/>
      <c r="J541" s="107" t="n"/>
      <c r="K541" s="107" t="n"/>
    </row>
    <row r="542">
      <c r="B542" s="84" t="n"/>
      <c r="G542" s="106" t="n"/>
      <c r="H542" s="107" t="n"/>
      <c r="I542" s="107" t="n"/>
      <c r="J542" s="107" t="n"/>
      <c r="K542" s="107" t="n"/>
    </row>
    <row r="543">
      <c r="B543" s="84" t="n"/>
      <c r="G543" s="106" t="n"/>
      <c r="H543" s="107" t="n"/>
      <c r="I543" s="107" t="n"/>
      <c r="J543" s="107" t="n"/>
      <c r="K543" s="107" t="n"/>
    </row>
    <row r="544">
      <c r="B544" s="84" t="n"/>
      <c r="G544" s="106" t="n"/>
      <c r="H544" s="107" t="n"/>
      <c r="I544" s="107" t="n"/>
      <c r="J544" s="107" t="n"/>
      <c r="K544" s="107" t="n"/>
    </row>
    <row r="545">
      <c r="B545" s="84" t="n"/>
      <c r="G545" s="106" t="n"/>
      <c r="H545" s="107" t="n"/>
      <c r="I545" s="107" t="n"/>
      <c r="J545" s="107" t="n"/>
      <c r="K545" s="107" t="n"/>
    </row>
    <row r="546">
      <c r="B546" s="84" t="n"/>
      <c r="G546" s="106" t="n"/>
      <c r="H546" s="107" t="n"/>
      <c r="I546" s="107" t="n"/>
      <c r="J546" s="107" t="n"/>
      <c r="K546" s="107" t="n"/>
    </row>
    <row r="547">
      <c r="G547" s="106" t="n"/>
      <c r="H547" s="107" t="n"/>
      <c r="I547" s="107" t="n"/>
      <c r="J547" s="107" t="n"/>
      <c r="K547" s="107" t="n"/>
    </row>
    <row r="548">
      <c r="G548" s="106" t="n"/>
      <c r="H548" s="107" t="n"/>
      <c r="I548" s="107" t="n"/>
      <c r="J548" s="107" t="n"/>
      <c r="K548" s="107" t="n"/>
    </row>
    <row r="549">
      <c r="G549" s="106" t="n"/>
      <c r="H549" s="107" t="n"/>
      <c r="I549" s="107" t="n"/>
      <c r="J549" s="107" t="n"/>
      <c r="K549" s="107" t="n"/>
    </row>
    <row r="550">
      <c r="G550" s="106" t="n"/>
      <c r="H550" s="107" t="n"/>
      <c r="I550" s="107" t="n"/>
      <c r="J550" s="107" t="n"/>
      <c r="K550" s="107" t="n"/>
    </row>
    <row r="551">
      <c r="G551" s="106" t="n"/>
      <c r="H551" s="107" t="n"/>
      <c r="I551" s="107" t="n"/>
      <c r="J551" s="107" t="n"/>
      <c r="K551" s="107" t="n"/>
    </row>
    <row r="552">
      <c r="G552" s="106" t="n"/>
      <c r="H552" s="107" t="n"/>
      <c r="I552" s="107" t="n"/>
      <c r="J552" s="107" t="n"/>
      <c r="K552" s="107" t="n"/>
    </row>
    <row r="553">
      <c r="G553" s="106" t="n"/>
      <c r="H553" s="107" t="n"/>
      <c r="I553" s="107" t="n"/>
      <c r="J553" s="107" t="n"/>
      <c r="K553" s="107" t="n"/>
    </row>
    <row r="554">
      <c r="G554" s="106" t="n"/>
      <c r="H554" s="107" t="n"/>
      <c r="I554" s="107" t="n"/>
      <c r="J554" s="107" t="n"/>
      <c r="K554" s="107" t="n"/>
    </row>
    <row r="555">
      <c r="G555" s="106" t="n"/>
      <c r="H555" s="107" t="n"/>
      <c r="I555" s="107" t="n"/>
      <c r="J555" s="107" t="n"/>
      <c r="K555" s="107" t="n"/>
    </row>
    <row r="556">
      <c r="G556" s="106" t="n"/>
      <c r="H556" s="107" t="n"/>
      <c r="I556" s="107" t="n"/>
      <c r="J556" s="107" t="n"/>
      <c r="K556" s="107" t="n"/>
    </row>
    <row r="557">
      <c r="G557" s="106" t="n"/>
      <c r="H557" s="107" t="n"/>
      <c r="I557" s="107" t="n"/>
      <c r="J557" s="107" t="n"/>
      <c r="K557" s="107" t="n"/>
    </row>
    <row r="558">
      <c r="G558" s="106" t="n"/>
      <c r="H558" s="107" t="n"/>
      <c r="I558" s="107" t="n"/>
      <c r="J558" s="107" t="n"/>
      <c r="K558" s="107" t="n"/>
    </row>
    <row r="559">
      <c r="G559" s="106" t="n"/>
      <c r="H559" s="107" t="n"/>
      <c r="I559" s="107" t="n"/>
      <c r="J559" s="107" t="n"/>
      <c r="K559" s="107" t="n"/>
    </row>
    <row r="560">
      <c r="G560" s="106" t="n"/>
      <c r="H560" s="107" t="n"/>
      <c r="I560" s="107" t="n"/>
      <c r="J560" s="107" t="n"/>
      <c r="K560" s="107" t="n"/>
    </row>
    <row r="561">
      <c r="G561" s="106" t="n"/>
      <c r="H561" s="107" t="n"/>
      <c r="I561" s="107" t="n"/>
      <c r="J561" s="107" t="n"/>
      <c r="K561" s="107" t="n"/>
    </row>
    <row r="562">
      <c r="G562" s="106" t="n"/>
      <c r="H562" s="107" t="n"/>
      <c r="I562" s="107" t="n"/>
      <c r="J562" s="107" t="n"/>
      <c r="K562" s="107" t="n"/>
    </row>
    <row r="563">
      <c r="G563" s="106" t="n"/>
      <c r="H563" s="107" t="n"/>
      <c r="I563" s="107" t="n"/>
      <c r="J563" s="107" t="n"/>
      <c r="K563" s="107" t="n"/>
    </row>
    <row r="564">
      <c r="G564" s="106" t="n"/>
      <c r="H564" s="107" t="n"/>
      <c r="I564" s="107" t="n"/>
      <c r="J564" s="107" t="n"/>
      <c r="K564" s="107" t="n"/>
    </row>
    <row r="565">
      <c r="G565" s="106" t="n"/>
      <c r="H565" s="107" t="n"/>
      <c r="I565" s="107" t="n"/>
      <c r="J565" s="107" t="n"/>
      <c r="K565" s="107" t="n"/>
    </row>
    <row r="566">
      <c r="G566" s="106" t="n"/>
      <c r="H566" s="107" t="n"/>
      <c r="I566" s="107" t="n"/>
      <c r="J566" s="107" t="n"/>
      <c r="K566" s="107" t="n"/>
    </row>
    <row r="567">
      <c r="G567" s="106" t="n"/>
      <c r="H567" s="107" t="n"/>
      <c r="I567" s="107" t="n"/>
      <c r="J567" s="107" t="n"/>
      <c r="K567" s="107" t="n"/>
    </row>
    <row r="568">
      <c r="G568" s="106" t="n"/>
      <c r="H568" s="107" t="n"/>
      <c r="I568" s="107" t="n"/>
      <c r="J568" s="107" t="n"/>
      <c r="K568" s="107" t="n"/>
    </row>
    <row r="569">
      <c r="G569" s="106" t="n"/>
      <c r="H569" s="107" t="n"/>
      <c r="I569" s="107" t="n"/>
      <c r="J569" s="107" t="n"/>
      <c r="K569" s="107" t="n"/>
    </row>
    <row r="570">
      <c r="G570" s="106" t="n"/>
      <c r="H570" s="107" t="n"/>
      <c r="I570" s="107" t="n"/>
      <c r="J570" s="107" t="n"/>
      <c r="K570" s="107" t="n"/>
    </row>
    <row r="571">
      <c r="G571" s="106" t="n"/>
      <c r="H571" s="107" t="n"/>
      <c r="I571" s="107" t="n"/>
      <c r="J571" s="107" t="n"/>
      <c r="K571" s="107" t="n"/>
    </row>
    <row r="572">
      <c r="G572" s="106" t="n"/>
      <c r="H572" s="107" t="n"/>
      <c r="I572" s="107" t="n"/>
      <c r="J572" s="107" t="n"/>
      <c r="K572" s="107" t="n"/>
    </row>
    <row r="573">
      <c r="G573" s="106" t="n"/>
      <c r="H573" s="107" t="n"/>
      <c r="I573" s="107" t="n"/>
      <c r="J573" s="107" t="n"/>
      <c r="K573" s="107" t="n"/>
    </row>
    <row r="574">
      <c r="G574" s="106" t="n"/>
      <c r="H574" s="107" t="n"/>
      <c r="I574" s="107" t="n"/>
      <c r="J574" s="107" t="n"/>
      <c r="K574" s="107" t="n"/>
    </row>
    <row r="575">
      <c r="G575" s="106" t="n"/>
      <c r="H575" s="107" t="n"/>
      <c r="I575" s="107" t="n"/>
      <c r="J575" s="107" t="n"/>
      <c r="K575" s="107" t="n"/>
    </row>
    <row r="576">
      <c r="G576" s="106" t="n"/>
      <c r="H576" s="107" t="n"/>
      <c r="I576" s="107" t="n"/>
      <c r="J576" s="107" t="n"/>
      <c r="K576" s="107" t="n"/>
    </row>
    <row r="577">
      <c r="G577" s="106" t="n"/>
      <c r="H577" s="107" t="n"/>
      <c r="I577" s="107" t="n"/>
      <c r="J577" s="107" t="n"/>
      <c r="K577" s="107" t="n"/>
    </row>
    <row r="578">
      <c r="G578" s="106" t="n"/>
      <c r="H578" s="107" t="n"/>
      <c r="I578" s="107" t="n"/>
      <c r="J578" s="107" t="n"/>
      <c r="K578" s="107" t="n"/>
    </row>
    <row r="579">
      <c r="G579" s="106" t="n"/>
      <c r="H579" s="107" t="n"/>
      <c r="I579" s="107" t="n"/>
      <c r="J579" s="107" t="n"/>
      <c r="K579" s="107" t="n"/>
    </row>
    <row r="580">
      <c r="G580" s="106" t="n"/>
      <c r="H580" s="107" t="n"/>
      <c r="I580" s="107" t="n"/>
      <c r="J580" s="107" t="n"/>
      <c r="K580" s="107" t="n"/>
    </row>
    <row r="581">
      <c r="G581" s="106" t="n"/>
      <c r="H581" s="107" t="n"/>
      <c r="I581" s="107" t="n"/>
      <c r="J581" s="107" t="n"/>
      <c r="K581" s="107" t="n"/>
    </row>
    <row r="582">
      <c r="G582" s="106" t="n"/>
      <c r="H582" s="107" t="n"/>
      <c r="I582" s="107" t="n"/>
      <c r="J582" s="107" t="n"/>
      <c r="K582" s="107" t="n"/>
    </row>
    <row r="583">
      <c r="G583" s="106" t="n"/>
      <c r="H583" s="107" t="n"/>
      <c r="I583" s="107" t="n"/>
      <c r="J583" s="107" t="n"/>
      <c r="K583" s="107" t="n"/>
    </row>
    <row r="584">
      <c r="G584" s="106" t="n"/>
      <c r="H584" s="107" t="n"/>
      <c r="I584" s="107" t="n"/>
      <c r="J584" s="107" t="n"/>
      <c r="K584" s="107" t="n"/>
    </row>
    <row r="585">
      <c r="G585" s="106" t="n"/>
      <c r="H585" s="107" t="n"/>
      <c r="I585" s="107" t="n"/>
      <c r="J585" s="107" t="n"/>
      <c r="K585" s="107" t="n"/>
    </row>
    <row r="586">
      <c r="G586" s="106" t="n"/>
      <c r="H586" s="107" t="n"/>
      <c r="I586" s="107" t="n"/>
      <c r="J586" s="107" t="n"/>
      <c r="K586" s="107" t="n"/>
    </row>
    <row r="587">
      <c r="G587" s="106" t="n"/>
      <c r="H587" s="107" t="n"/>
      <c r="I587" s="107" t="n"/>
      <c r="J587" s="107" t="n"/>
      <c r="K587" s="107" t="n"/>
    </row>
    <row r="588">
      <c r="G588" s="106" t="n"/>
      <c r="H588" s="107" t="n"/>
      <c r="I588" s="107" t="n"/>
      <c r="J588" s="107" t="n"/>
      <c r="K588" s="107" t="n"/>
    </row>
    <row r="589">
      <c r="G589" s="106" t="n"/>
      <c r="H589" s="107" t="n"/>
      <c r="I589" s="107" t="n"/>
      <c r="J589" s="107" t="n"/>
      <c r="K589" s="107" t="n"/>
    </row>
    <row r="590">
      <c r="G590" s="106" t="n"/>
      <c r="H590" s="107" t="n"/>
      <c r="I590" s="107" t="n"/>
      <c r="J590" s="107" t="n"/>
      <c r="K590" s="107" t="n"/>
    </row>
    <row r="591">
      <c r="G591" s="106" t="n"/>
      <c r="H591" s="107" t="n"/>
      <c r="I591" s="107" t="n"/>
      <c r="J591" s="107" t="n"/>
      <c r="K591" s="107" t="n"/>
    </row>
    <row r="592">
      <c r="G592" s="106" t="n"/>
      <c r="H592" s="107" t="n"/>
      <c r="I592" s="107" t="n"/>
      <c r="J592" s="107" t="n"/>
      <c r="K592" s="107" t="n"/>
    </row>
    <row r="593">
      <c r="G593" s="106" t="n"/>
      <c r="H593" s="107" t="n"/>
      <c r="I593" s="107" t="n"/>
      <c r="J593" s="107" t="n"/>
      <c r="K593" s="107" t="n"/>
    </row>
    <row r="594">
      <c r="G594" s="106" t="n"/>
      <c r="H594" s="107" t="n"/>
      <c r="I594" s="107" t="n"/>
      <c r="J594" s="107" t="n"/>
      <c r="K594" s="107" t="n"/>
    </row>
    <row r="595">
      <c r="G595" s="106" t="n"/>
      <c r="H595" s="107" t="n"/>
      <c r="I595" s="107" t="n"/>
      <c r="J595" s="107" t="n"/>
      <c r="K595" s="107" t="n"/>
    </row>
    <row r="596">
      <c r="G596" s="106" t="n"/>
      <c r="H596" s="107" t="n"/>
      <c r="I596" s="107" t="n"/>
      <c r="J596" s="107" t="n"/>
      <c r="K596" s="107" t="n"/>
    </row>
    <row r="597">
      <c r="G597" s="106" t="n"/>
      <c r="H597" s="107" t="n"/>
      <c r="I597" s="107" t="n"/>
      <c r="J597" s="107" t="n"/>
      <c r="K597" s="107" t="n"/>
    </row>
    <row r="598">
      <c r="G598" s="106" t="n"/>
      <c r="H598" s="107" t="n"/>
      <c r="I598" s="107" t="n"/>
      <c r="J598" s="107" t="n"/>
      <c r="K598" s="107" t="n"/>
    </row>
    <row r="599">
      <c r="G599" s="106" t="n"/>
      <c r="H599" s="107" t="n"/>
      <c r="I599" s="107" t="n"/>
      <c r="J599" s="107" t="n"/>
      <c r="K599" s="107" t="n"/>
    </row>
    <row r="600">
      <c r="G600" s="106" t="n"/>
      <c r="H600" s="107" t="n"/>
      <c r="I600" s="107" t="n"/>
      <c r="J600" s="107" t="n"/>
      <c r="K600" s="107" t="n"/>
    </row>
    <row r="601">
      <c r="G601" s="106" t="n"/>
      <c r="H601" s="107" t="n"/>
      <c r="I601" s="107" t="n"/>
      <c r="J601" s="107" t="n"/>
      <c r="K601" s="107" t="n"/>
    </row>
    <row r="602">
      <c r="G602" s="106" t="n"/>
      <c r="H602" s="107" t="n"/>
      <c r="I602" s="107" t="n"/>
      <c r="J602" s="107" t="n"/>
      <c r="K602" s="107" t="n"/>
    </row>
    <row r="603">
      <c r="G603" s="106" t="n"/>
      <c r="H603" s="107" t="n"/>
      <c r="I603" s="107" t="n"/>
      <c r="J603" s="107" t="n"/>
      <c r="K603" s="107" t="n"/>
    </row>
    <row r="604">
      <c r="G604" s="106" t="n"/>
      <c r="H604" s="107" t="n"/>
      <c r="I604" s="107" t="n"/>
      <c r="J604" s="107" t="n"/>
      <c r="K604" s="107" t="n"/>
    </row>
    <row r="605">
      <c r="G605" s="106" t="n"/>
      <c r="H605" s="107" t="n"/>
      <c r="I605" s="107" t="n"/>
      <c r="J605" s="107" t="n"/>
      <c r="K605" s="107" t="n"/>
    </row>
    <row r="606">
      <c r="G606" s="106" t="n"/>
      <c r="H606" s="107" t="n"/>
      <c r="I606" s="107" t="n"/>
      <c r="J606" s="107" t="n"/>
      <c r="K606" s="107" t="n"/>
    </row>
    <row r="607">
      <c r="G607" s="106" t="n"/>
      <c r="H607" s="107" t="n"/>
      <c r="I607" s="107" t="n"/>
      <c r="J607" s="107" t="n"/>
      <c r="K607" s="107" t="n"/>
    </row>
    <row r="608">
      <c r="G608" s="106" t="n"/>
      <c r="H608" s="107" t="n"/>
      <c r="I608" s="107" t="n"/>
      <c r="J608" s="107" t="n"/>
      <c r="K608" s="107" t="n"/>
    </row>
    <row r="609">
      <c r="G609" s="106" t="n"/>
      <c r="H609" s="107" t="n"/>
      <c r="I609" s="107" t="n"/>
      <c r="J609" s="107" t="n"/>
      <c r="K609" s="107" t="n"/>
    </row>
    <row r="610">
      <c r="G610" s="106" t="n"/>
      <c r="H610" s="107" t="n"/>
      <c r="I610" s="107" t="n"/>
      <c r="J610" s="107" t="n"/>
      <c r="K610" s="107" t="n"/>
    </row>
    <row r="611">
      <c r="G611" s="106" t="n"/>
      <c r="H611" s="107" t="n"/>
      <c r="I611" s="107" t="n"/>
      <c r="J611" s="107" t="n"/>
      <c r="K611" s="107" t="n"/>
    </row>
    <row r="612">
      <c r="G612" s="106" t="n"/>
      <c r="H612" s="107" t="n"/>
      <c r="I612" s="107" t="n"/>
      <c r="J612" s="107" t="n"/>
      <c r="K612" s="107" t="n"/>
    </row>
    <row r="613">
      <c r="G613" s="106" t="n"/>
      <c r="H613" s="107" t="n"/>
      <c r="I613" s="107" t="n"/>
      <c r="J613" s="107" t="n"/>
      <c r="K613" s="107" t="n"/>
    </row>
    <row r="614">
      <c r="G614" s="106" t="n"/>
      <c r="H614" s="107" t="n"/>
      <c r="I614" s="107" t="n"/>
      <c r="J614" s="107" t="n"/>
      <c r="K614" s="107" t="n"/>
    </row>
    <row r="615">
      <c r="G615" s="106" t="n"/>
      <c r="H615" s="107" t="n"/>
      <c r="I615" s="107" t="n"/>
      <c r="J615" s="107" t="n"/>
      <c r="K615" s="107" t="n"/>
    </row>
    <row r="616">
      <c r="G616" s="106" t="n"/>
      <c r="H616" s="107" t="n"/>
      <c r="I616" s="107" t="n"/>
      <c r="J616" s="107" t="n"/>
      <c r="K616" s="107" t="n"/>
    </row>
    <row r="617">
      <c r="G617" s="106" t="n"/>
      <c r="H617" s="107" t="n"/>
      <c r="I617" s="107" t="n"/>
      <c r="J617" s="107" t="n"/>
      <c r="K617" s="107" t="n"/>
    </row>
    <row r="618">
      <c r="G618" s="106" t="n"/>
      <c r="H618" s="107" t="n"/>
      <c r="I618" s="107" t="n"/>
      <c r="J618" s="107" t="n"/>
      <c r="K618" s="107" t="n"/>
    </row>
    <row r="619">
      <c r="G619" s="106" t="n"/>
      <c r="H619" s="107" t="n"/>
      <c r="I619" s="107" t="n"/>
      <c r="J619" s="107" t="n"/>
      <c r="K619" s="107" t="n"/>
    </row>
    <row r="620">
      <c r="G620" s="106" t="n"/>
      <c r="H620" s="107" t="n"/>
      <c r="I620" s="107" t="n"/>
      <c r="J620" s="107" t="n"/>
      <c r="K620" s="107" t="n"/>
    </row>
    <row r="621">
      <c r="G621" s="106" t="n"/>
      <c r="H621" s="107" t="n"/>
      <c r="I621" s="107" t="n"/>
      <c r="J621" s="107" t="n"/>
      <c r="K621" s="107" t="n"/>
    </row>
    <row r="622">
      <c r="G622" s="106" t="n"/>
      <c r="H622" s="107" t="n"/>
      <c r="I622" s="107" t="n"/>
      <c r="J622" s="107" t="n"/>
      <c r="K622" s="107" t="n"/>
    </row>
    <row r="623">
      <c r="G623" s="106" t="n"/>
      <c r="H623" s="107" t="n"/>
      <c r="I623" s="107" t="n"/>
      <c r="J623" s="107" t="n"/>
      <c r="K623" s="107" t="n"/>
    </row>
    <row r="624">
      <c r="G624" s="106" t="n"/>
      <c r="H624" s="107" t="n"/>
      <c r="I624" s="107" t="n"/>
      <c r="J624" s="107" t="n"/>
      <c r="K624" s="107" t="n"/>
    </row>
    <row r="625">
      <c r="G625" s="106" t="n"/>
      <c r="H625" s="107" t="n"/>
      <c r="I625" s="107" t="n"/>
      <c r="J625" s="107" t="n"/>
      <c r="K625" s="107" t="n"/>
    </row>
    <row r="626">
      <c r="G626" s="106" t="n"/>
      <c r="H626" s="107" t="n"/>
      <c r="I626" s="107" t="n"/>
      <c r="J626" s="107" t="n"/>
      <c r="K626" s="107" t="n"/>
    </row>
    <row r="627">
      <c r="G627" s="106" t="n"/>
      <c r="H627" s="107" t="n"/>
      <c r="I627" s="107" t="n"/>
      <c r="J627" s="107" t="n"/>
      <c r="K627" s="107" t="n"/>
    </row>
    <row r="628">
      <c r="G628" s="106" t="n"/>
      <c r="H628" s="107" t="n"/>
      <c r="I628" s="107" t="n"/>
      <c r="J628" s="107" t="n"/>
      <c r="K628" s="107" t="n"/>
    </row>
    <row r="629">
      <c r="G629" s="106" t="n"/>
      <c r="H629" s="107" t="n"/>
      <c r="I629" s="107" t="n"/>
      <c r="J629" s="107" t="n"/>
      <c r="K629" s="107" t="n"/>
    </row>
    <row r="630">
      <c r="G630" s="106" t="n"/>
      <c r="H630" s="107" t="n"/>
      <c r="I630" s="107" t="n"/>
      <c r="J630" s="107" t="n"/>
      <c r="K630" s="107" t="n"/>
    </row>
    <row r="631">
      <c r="G631" s="106" t="n"/>
      <c r="H631" s="107" t="n"/>
      <c r="I631" s="107" t="n"/>
      <c r="J631" s="107" t="n"/>
      <c r="K631" s="107" t="n"/>
    </row>
    <row r="632">
      <c r="G632" s="106" t="n"/>
      <c r="H632" s="107" t="n"/>
      <c r="I632" s="107" t="n"/>
      <c r="J632" s="107" t="n"/>
      <c r="K632" s="107" t="n"/>
    </row>
    <row r="633">
      <c r="G633" s="106" t="n"/>
      <c r="H633" s="107" t="n"/>
      <c r="I633" s="107" t="n"/>
      <c r="J633" s="107" t="n"/>
      <c r="K633" s="107" t="n"/>
    </row>
    <row r="634">
      <c r="G634" s="106" t="n"/>
      <c r="H634" s="107" t="n"/>
      <c r="I634" s="107" t="n"/>
      <c r="J634" s="107" t="n"/>
      <c r="K634" s="107" t="n"/>
    </row>
    <row r="635">
      <c r="G635" s="106" t="n"/>
      <c r="H635" s="107" t="n"/>
      <c r="I635" s="107" t="n"/>
      <c r="J635" s="107" t="n"/>
      <c r="K635" s="107" t="n"/>
    </row>
    <row r="636">
      <c r="G636" s="106" t="n"/>
      <c r="H636" s="107" t="n"/>
      <c r="I636" s="107" t="n"/>
      <c r="J636" s="107" t="n"/>
      <c r="K636" s="107" t="n"/>
    </row>
    <row r="637">
      <c r="G637" s="106" t="n"/>
      <c r="H637" s="107" t="n"/>
      <c r="I637" s="107" t="n"/>
      <c r="J637" s="107" t="n"/>
      <c r="K637" s="107" t="n"/>
    </row>
    <row r="638">
      <c r="G638" s="106" t="n"/>
      <c r="H638" s="107" t="n"/>
      <c r="I638" s="107" t="n"/>
      <c r="J638" s="107" t="n"/>
      <c r="K638" s="107" t="n"/>
    </row>
    <row r="639">
      <c r="G639" s="106" t="n"/>
      <c r="H639" s="107" t="n"/>
      <c r="I639" s="107" t="n"/>
      <c r="J639" s="107" t="n"/>
      <c r="K639" s="107" t="n"/>
    </row>
    <row r="640">
      <c r="G640" s="106" t="n"/>
      <c r="H640" s="107" t="n"/>
      <c r="I640" s="107" t="n"/>
      <c r="J640" s="107" t="n"/>
      <c r="K640" s="107" t="n"/>
    </row>
    <row r="641">
      <c r="G641" s="106" t="n"/>
      <c r="H641" s="107" t="n"/>
      <c r="I641" s="107" t="n"/>
      <c r="J641" s="107" t="n"/>
      <c r="K641" s="107" t="n"/>
    </row>
    <row r="642">
      <c r="G642" s="106" t="n"/>
      <c r="H642" s="107" t="n"/>
      <c r="I642" s="107" t="n"/>
      <c r="J642" s="107" t="n"/>
      <c r="K642" s="107" t="n"/>
    </row>
    <row r="643">
      <c r="G643" s="106" t="n"/>
      <c r="H643" s="107" t="n"/>
      <c r="I643" s="107" t="n"/>
      <c r="J643" s="107" t="n"/>
      <c r="K643" s="107" t="n"/>
    </row>
    <row r="644">
      <c r="G644" s="106" t="n"/>
      <c r="H644" s="107" t="n"/>
      <c r="I644" s="107" t="n"/>
      <c r="J644" s="107" t="n"/>
      <c r="K644" s="107" t="n"/>
    </row>
    <row r="645">
      <c r="G645" s="106" t="n"/>
      <c r="H645" s="107" t="n"/>
      <c r="I645" s="107" t="n"/>
      <c r="J645" s="107" t="n"/>
      <c r="K645" s="107" t="n"/>
    </row>
    <row r="646">
      <c r="G646" s="106" t="n"/>
      <c r="H646" s="107" t="n"/>
      <c r="I646" s="107" t="n"/>
      <c r="J646" s="107" t="n"/>
      <c r="K646" s="107" t="n"/>
    </row>
    <row r="647">
      <c r="G647" s="106" t="n"/>
      <c r="H647" s="107" t="n"/>
      <c r="I647" s="107" t="n"/>
      <c r="J647" s="107" t="n"/>
      <c r="K647" s="107" t="n"/>
    </row>
    <row r="648">
      <c r="G648" s="106" t="n"/>
      <c r="H648" s="107" t="n"/>
      <c r="I648" s="107" t="n"/>
      <c r="J648" s="107" t="n"/>
      <c r="K648" s="107" t="n"/>
    </row>
    <row r="649">
      <c r="G649" s="106" t="n"/>
      <c r="H649" s="107" t="n"/>
      <c r="I649" s="107" t="n"/>
      <c r="J649" s="107" t="n"/>
      <c r="K649" s="107" t="n"/>
    </row>
    <row r="650">
      <c r="G650" s="106" t="n"/>
      <c r="H650" s="107" t="n"/>
      <c r="I650" s="107" t="n"/>
      <c r="J650" s="107" t="n"/>
      <c r="K650" s="107" t="n"/>
    </row>
    <row r="651">
      <c r="G651" s="106" t="n"/>
      <c r="H651" s="107" t="n"/>
      <c r="I651" s="107" t="n"/>
      <c r="J651" s="107" t="n"/>
      <c r="K651" s="107" t="n"/>
    </row>
    <row r="652">
      <c r="G652" s="106" t="n"/>
      <c r="H652" s="107" t="n"/>
      <c r="I652" s="107" t="n"/>
      <c r="J652" s="107" t="n"/>
      <c r="K652" s="107" t="n"/>
    </row>
    <row r="653">
      <c r="G653" s="106" t="n"/>
      <c r="H653" s="107" t="n"/>
      <c r="I653" s="107" t="n"/>
      <c r="J653" s="107" t="n"/>
      <c r="K653" s="107" t="n"/>
    </row>
    <row r="654">
      <c r="G654" s="106" t="n"/>
      <c r="H654" s="107" t="n"/>
      <c r="I654" s="107" t="n"/>
      <c r="J654" s="107" t="n"/>
      <c r="K654" s="107" t="n"/>
    </row>
    <row r="655">
      <c r="G655" s="106" t="n"/>
      <c r="H655" s="107" t="n"/>
      <c r="I655" s="107" t="n"/>
      <c r="J655" s="107" t="n"/>
      <c r="K655" s="107" t="n"/>
    </row>
    <row r="656">
      <c r="G656" s="106" t="n"/>
      <c r="H656" s="107" t="n"/>
      <c r="I656" s="107" t="n"/>
      <c r="J656" s="107" t="n"/>
      <c r="K656" s="107" t="n"/>
    </row>
    <row r="657">
      <c r="G657" s="106" t="n"/>
      <c r="H657" s="107" t="n"/>
      <c r="I657" s="107" t="n"/>
      <c r="J657" s="107" t="n"/>
      <c r="K657" s="107" t="n"/>
    </row>
    <row r="658">
      <c r="G658" s="106" t="n"/>
      <c r="H658" s="107" t="n"/>
      <c r="I658" s="107" t="n"/>
      <c r="J658" s="107" t="n"/>
      <c r="K658" s="107" t="n"/>
    </row>
    <row r="659">
      <c r="G659" s="106" t="n"/>
      <c r="H659" s="107" t="n"/>
      <c r="I659" s="107" t="n"/>
      <c r="J659" s="107" t="n"/>
      <c r="K659" s="107" t="n"/>
    </row>
    <row r="660">
      <c r="G660" s="106" t="n"/>
      <c r="H660" s="107" t="n"/>
      <c r="I660" s="107" t="n"/>
      <c r="J660" s="107" t="n"/>
      <c r="K660" s="107" t="n"/>
    </row>
    <row r="661">
      <c r="G661" s="106" t="n"/>
      <c r="H661" s="107" t="n"/>
      <c r="I661" s="107" t="n"/>
      <c r="J661" s="107" t="n"/>
      <c r="K661" s="107" t="n"/>
    </row>
    <row r="662">
      <c r="G662" s="106" t="n"/>
      <c r="H662" s="107" t="n"/>
      <c r="I662" s="107" t="n"/>
      <c r="J662" s="107" t="n"/>
      <c r="K662" s="107" t="n"/>
    </row>
    <row r="663">
      <c r="G663" s="106" t="n"/>
      <c r="H663" s="107" t="n"/>
      <c r="I663" s="107" t="n"/>
      <c r="J663" s="107" t="n"/>
      <c r="K663" s="107" t="n"/>
    </row>
    <row r="664">
      <c r="G664" s="106" t="n"/>
      <c r="H664" s="107" t="n"/>
      <c r="I664" s="107" t="n"/>
      <c r="J664" s="107" t="n"/>
      <c r="K664" s="107" t="n"/>
    </row>
    <row r="665">
      <c r="G665" s="106" t="n"/>
      <c r="H665" s="107" t="n"/>
      <c r="I665" s="107" t="n"/>
      <c r="J665" s="107" t="n"/>
      <c r="K665" s="107" t="n"/>
    </row>
    <row r="666">
      <c r="G666" s="106" t="n"/>
      <c r="H666" s="107" t="n"/>
      <c r="I666" s="107" t="n"/>
      <c r="J666" s="107" t="n"/>
      <c r="K666" s="107" t="n"/>
    </row>
    <row r="667">
      <c r="G667" s="106" t="n"/>
      <c r="H667" s="107" t="n"/>
      <c r="I667" s="107" t="n"/>
      <c r="J667" s="107" t="n"/>
      <c r="K667" s="107" t="n"/>
    </row>
    <row r="668">
      <c r="G668" s="106" t="n"/>
      <c r="H668" s="107" t="n"/>
      <c r="I668" s="107" t="n"/>
      <c r="J668" s="107" t="n"/>
      <c r="K668" s="107" t="n"/>
    </row>
    <row r="669">
      <c r="G669" s="106" t="n"/>
      <c r="H669" s="107" t="n"/>
      <c r="I669" s="107" t="n"/>
      <c r="J669" s="107" t="n"/>
      <c r="K669" s="107" t="n"/>
    </row>
    <row r="670">
      <c r="G670" s="106" t="n"/>
      <c r="H670" s="107" t="n"/>
      <c r="I670" s="107" t="n"/>
      <c r="J670" s="107" t="n"/>
      <c r="K670" s="107" t="n"/>
    </row>
    <row r="671">
      <c r="G671" s="106" t="n"/>
      <c r="H671" s="107" t="n"/>
      <c r="I671" s="107" t="n"/>
      <c r="J671" s="107" t="n"/>
      <c r="K671" s="107" t="n"/>
    </row>
    <row r="672">
      <c r="G672" s="106" t="n"/>
      <c r="H672" s="107" t="n"/>
      <c r="I672" s="107" t="n"/>
      <c r="J672" s="107" t="n"/>
      <c r="K672" s="107" t="n"/>
    </row>
    <row r="673">
      <c r="G673" s="106" t="n"/>
      <c r="H673" s="107" t="n"/>
      <c r="I673" s="107" t="n"/>
      <c r="J673" s="107" t="n"/>
      <c r="K673" s="107" t="n"/>
    </row>
    <row r="674">
      <c r="G674" s="106" t="n"/>
      <c r="H674" s="107" t="n"/>
      <c r="I674" s="107" t="n"/>
      <c r="J674" s="107" t="n"/>
      <c r="K674" s="107" t="n"/>
    </row>
    <row r="675">
      <c r="G675" s="106" t="n"/>
      <c r="H675" s="107" t="n"/>
      <c r="I675" s="107" t="n"/>
      <c r="J675" s="107" t="n"/>
      <c r="K675" s="107" t="n"/>
    </row>
    <row r="676">
      <c r="G676" s="106" t="n"/>
      <c r="H676" s="107" t="n"/>
      <c r="I676" s="107" t="n"/>
      <c r="J676" s="107" t="n"/>
      <c r="K676" s="107" t="n"/>
    </row>
    <row r="677">
      <c r="G677" s="106" t="n"/>
      <c r="H677" s="107" t="n"/>
      <c r="I677" s="107" t="n"/>
      <c r="J677" s="107" t="n"/>
      <c r="K677" s="107" t="n"/>
    </row>
    <row r="678">
      <c r="G678" s="106" t="n"/>
      <c r="H678" s="107" t="n"/>
      <c r="I678" s="107" t="n"/>
      <c r="J678" s="107" t="n"/>
      <c r="K678" s="107" t="n"/>
    </row>
    <row r="679">
      <c r="G679" s="106" t="n"/>
      <c r="H679" s="107" t="n"/>
      <c r="I679" s="107" t="n"/>
      <c r="J679" s="107" t="n"/>
      <c r="K679" s="107" t="n"/>
    </row>
    <row r="680">
      <c r="G680" s="106" t="n"/>
      <c r="H680" s="107" t="n"/>
      <c r="I680" s="107" t="n"/>
      <c r="J680" s="107" t="n"/>
      <c r="K680" s="107" t="n"/>
    </row>
    <row r="681">
      <c r="G681" s="106" t="n"/>
      <c r="H681" s="107" t="n"/>
      <c r="I681" s="107" t="n"/>
      <c r="J681" s="107" t="n"/>
      <c r="K681" s="107" t="n"/>
    </row>
    <row r="682">
      <c r="G682" s="106" t="n"/>
      <c r="H682" s="107" t="n"/>
      <c r="I682" s="107" t="n"/>
      <c r="J682" s="107" t="n"/>
      <c r="K682" s="107" t="n"/>
    </row>
    <row r="683">
      <c r="G683" s="106" t="n"/>
      <c r="H683" s="107" t="n"/>
      <c r="I683" s="107" t="n"/>
      <c r="J683" s="107" t="n"/>
      <c r="K683" s="107" t="n"/>
    </row>
    <row r="684">
      <c r="G684" s="106" t="n"/>
      <c r="H684" s="107" t="n"/>
      <c r="I684" s="107" t="n"/>
      <c r="J684" s="107" t="n"/>
      <c r="K684" s="107" t="n"/>
    </row>
    <row r="685">
      <c r="G685" s="106" t="n"/>
      <c r="H685" s="107" t="n"/>
      <c r="I685" s="107" t="n"/>
      <c r="J685" s="107" t="n"/>
      <c r="K685" s="107" t="n"/>
    </row>
    <row r="686">
      <c r="G686" s="106" t="n"/>
      <c r="H686" s="107" t="n"/>
      <c r="I686" s="107" t="n"/>
      <c r="J686" s="107" t="n"/>
      <c r="K686" s="107" t="n"/>
    </row>
    <row r="687">
      <c r="G687" s="106" t="n"/>
      <c r="H687" s="107" t="n"/>
      <c r="I687" s="107" t="n"/>
      <c r="J687" s="107" t="n"/>
      <c r="K687" s="107" t="n"/>
    </row>
    <row r="688">
      <c r="G688" s="106" t="n"/>
      <c r="H688" s="107" t="n"/>
      <c r="I688" s="107" t="n"/>
      <c r="J688" s="107" t="n"/>
      <c r="K688" s="107" t="n"/>
    </row>
    <row r="689">
      <c r="G689" s="106" t="n"/>
      <c r="H689" s="107" t="n"/>
      <c r="I689" s="107" t="n"/>
      <c r="J689" s="107" t="n"/>
      <c r="K689" s="107" t="n"/>
    </row>
    <row r="690">
      <c r="G690" s="106" t="n"/>
      <c r="H690" s="107" t="n"/>
      <c r="I690" s="107" t="n"/>
      <c r="J690" s="107" t="n"/>
      <c r="K690" s="107" t="n"/>
    </row>
    <row r="691">
      <c r="G691" s="106" t="n"/>
      <c r="H691" s="107" t="n"/>
      <c r="I691" s="107" t="n"/>
      <c r="J691" s="107" t="n"/>
      <c r="K691" s="107" t="n"/>
    </row>
    <row r="692">
      <c r="G692" s="106" t="n"/>
      <c r="H692" s="107" t="n"/>
      <c r="I692" s="107" t="n"/>
      <c r="J692" s="107" t="n"/>
      <c r="K692" s="107" t="n"/>
    </row>
    <row r="693">
      <c r="G693" s="106" t="n"/>
      <c r="H693" s="107" t="n"/>
      <c r="I693" s="107" t="n"/>
      <c r="J693" s="107" t="n"/>
      <c r="K693" s="107" t="n"/>
    </row>
    <row r="694">
      <c r="G694" s="106" t="n"/>
      <c r="H694" s="107" t="n"/>
      <c r="I694" s="107" t="n"/>
      <c r="J694" s="107" t="n"/>
      <c r="K694" s="107" t="n"/>
    </row>
    <row r="695">
      <c r="G695" s="106" t="n"/>
      <c r="H695" s="107" t="n"/>
      <c r="I695" s="107" t="n"/>
      <c r="J695" s="107" t="n"/>
      <c r="K695" s="107" t="n"/>
    </row>
    <row r="696">
      <c r="G696" s="106" t="n"/>
      <c r="H696" s="107" t="n"/>
      <c r="I696" s="107" t="n"/>
      <c r="J696" s="107" t="n"/>
      <c r="K696" s="107" t="n"/>
    </row>
    <row r="697">
      <c r="G697" s="106" t="n"/>
      <c r="H697" s="107" t="n"/>
      <c r="I697" s="107" t="n"/>
      <c r="J697" s="107" t="n"/>
      <c r="K697" s="107" t="n"/>
    </row>
    <row r="698">
      <c r="G698" s="106" t="n"/>
      <c r="H698" s="107" t="n"/>
      <c r="I698" s="107" t="n"/>
      <c r="J698" s="107" t="n"/>
      <c r="K698" s="107" t="n"/>
    </row>
    <row r="699">
      <c r="G699" s="106" t="n"/>
      <c r="H699" s="107" t="n"/>
      <c r="I699" s="107" t="n"/>
      <c r="J699" s="107" t="n"/>
      <c r="K699" s="107" t="n"/>
    </row>
    <row r="700">
      <c r="G700" s="106" t="n"/>
      <c r="H700" s="107" t="n"/>
      <c r="I700" s="107" t="n"/>
      <c r="J700" s="107" t="n"/>
      <c r="K700" s="107" t="n"/>
    </row>
    <row r="701">
      <c r="G701" s="106" t="n"/>
      <c r="H701" s="107" t="n"/>
      <c r="I701" s="107" t="n"/>
      <c r="J701" s="107" t="n"/>
      <c r="K701" s="107" t="n"/>
    </row>
    <row r="702">
      <c r="G702" s="106" t="n"/>
      <c r="H702" s="107" t="n"/>
      <c r="I702" s="107" t="n"/>
      <c r="J702" s="107" t="n"/>
      <c r="K702" s="107" t="n"/>
    </row>
    <row r="703">
      <c r="G703" s="106" t="n"/>
      <c r="H703" s="107" t="n"/>
      <c r="I703" s="107" t="n"/>
      <c r="J703" s="107" t="n"/>
      <c r="K703" s="107" t="n"/>
    </row>
    <row r="704">
      <c r="G704" s="106" t="n"/>
      <c r="H704" s="107" t="n"/>
      <c r="I704" s="107" t="n"/>
      <c r="J704" s="107" t="n"/>
      <c r="K704" s="107" t="n"/>
    </row>
    <row r="705">
      <c r="G705" s="106" t="n"/>
      <c r="H705" s="107" t="n"/>
      <c r="I705" s="107" t="n"/>
      <c r="J705" s="107" t="n"/>
      <c r="K705" s="107" t="n"/>
    </row>
    <row r="706">
      <c r="G706" s="106" t="n"/>
      <c r="H706" s="107" t="n"/>
      <c r="I706" s="107" t="n"/>
      <c r="J706" s="107" t="n"/>
      <c r="K706" s="107" t="n"/>
    </row>
    <row r="707">
      <c r="G707" s="106" t="n"/>
      <c r="H707" s="107" t="n"/>
      <c r="I707" s="107" t="n"/>
      <c r="J707" s="107" t="n"/>
      <c r="K707" s="107" t="n"/>
    </row>
    <row r="708">
      <c r="G708" s="106" t="n"/>
      <c r="H708" s="107" t="n"/>
      <c r="I708" s="107" t="n"/>
      <c r="J708" s="107" t="n"/>
      <c r="K708" s="107" t="n"/>
    </row>
    <row r="709">
      <c r="G709" s="106" t="n"/>
      <c r="H709" s="107" t="n"/>
      <c r="I709" s="107" t="n"/>
      <c r="J709" s="107" t="n"/>
      <c r="K709" s="107" t="n"/>
    </row>
    <row r="710">
      <c r="G710" s="106" t="n"/>
      <c r="H710" s="107" t="n"/>
      <c r="I710" s="107" t="n"/>
      <c r="J710" s="107" t="n"/>
      <c r="K710" s="107" t="n"/>
    </row>
    <row r="711">
      <c r="G711" s="106" t="n"/>
      <c r="H711" s="107" t="n"/>
      <c r="I711" s="107" t="n"/>
      <c r="J711" s="107" t="n"/>
      <c r="K711" s="107" t="n"/>
    </row>
    <row r="712">
      <c r="G712" s="106" t="n"/>
      <c r="H712" s="107" t="n"/>
      <c r="I712" s="107" t="n"/>
      <c r="J712" s="107" t="n"/>
      <c r="K712" s="107" t="n"/>
    </row>
    <row r="713">
      <c r="G713" s="106" t="n"/>
      <c r="H713" s="107" t="n"/>
      <c r="I713" s="107" t="n"/>
      <c r="J713" s="107" t="n"/>
      <c r="K713" s="107" t="n"/>
    </row>
    <row r="714">
      <c r="G714" s="106" t="n"/>
      <c r="H714" s="107" t="n"/>
      <c r="I714" s="107" t="n"/>
      <c r="J714" s="107" t="n"/>
      <c r="K714" s="107" t="n"/>
    </row>
    <row r="715">
      <c r="G715" s="106" t="n"/>
      <c r="H715" s="107" t="n"/>
      <c r="I715" s="107" t="n"/>
      <c r="J715" s="107" t="n"/>
      <c r="K715" s="107" t="n"/>
    </row>
    <row r="716">
      <c r="G716" s="106" t="n"/>
      <c r="H716" s="107" t="n"/>
      <c r="I716" s="107" t="n"/>
      <c r="J716" s="107" t="n"/>
      <c r="K716" s="107" t="n"/>
    </row>
    <row r="717">
      <c r="G717" s="106" t="n"/>
      <c r="H717" s="107" t="n"/>
      <c r="I717" s="107" t="n"/>
      <c r="J717" s="107" t="n"/>
      <c r="K717" s="107" t="n"/>
    </row>
    <row r="718">
      <c r="G718" s="106" t="n"/>
      <c r="H718" s="107" t="n"/>
      <c r="I718" s="107" t="n"/>
      <c r="J718" s="107" t="n"/>
      <c r="K718" s="107" t="n"/>
    </row>
    <row r="719">
      <c r="G719" s="106" t="n"/>
      <c r="H719" s="107" t="n"/>
      <c r="I719" s="107" t="n"/>
      <c r="J719" s="107" t="n"/>
      <c r="K719" s="107" t="n"/>
    </row>
    <row r="720">
      <c r="G720" s="106" t="n"/>
      <c r="H720" s="107" t="n"/>
      <c r="I720" s="107" t="n"/>
      <c r="J720" s="107" t="n"/>
      <c r="K720" s="107" t="n"/>
    </row>
    <row r="721">
      <c r="G721" s="106" t="n"/>
      <c r="H721" s="107" t="n"/>
      <c r="I721" s="107" t="n"/>
      <c r="J721" s="107" t="n"/>
      <c r="K721" s="107" t="n"/>
    </row>
    <row r="722">
      <c r="G722" s="106" t="n"/>
      <c r="H722" s="107" t="n"/>
      <c r="I722" s="107" t="n"/>
      <c r="J722" s="107" t="n"/>
      <c r="K722" s="107" t="n"/>
    </row>
    <row r="723">
      <c r="G723" s="106" t="n"/>
      <c r="H723" s="107" t="n"/>
      <c r="I723" s="107" t="n"/>
      <c r="J723" s="107" t="n"/>
      <c r="K723" s="107" t="n"/>
    </row>
    <row r="724">
      <c r="G724" s="106" t="n"/>
      <c r="H724" s="107" t="n"/>
      <c r="I724" s="107" t="n"/>
      <c r="J724" s="107" t="n"/>
      <c r="K724" s="107" t="n"/>
    </row>
    <row r="725">
      <c r="G725" s="106" t="n"/>
      <c r="H725" s="107" t="n"/>
      <c r="I725" s="107" t="n"/>
      <c r="J725" s="107" t="n"/>
      <c r="K725" s="107" t="n"/>
    </row>
    <row r="726">
      <c r="G726" s="106" t="n"/>
      <c r="H726" s="107" t="n"/>
      <c r="I726" s="107" t="n"/>
      <c r="J726" s="107" t="n"/>
      <c r="K726" s="107" t="n"/>
    </row>
    <row r="727">
      <c r="G727" s="106" t="n"/>
      <c r="H727" s="107" t="n"/>
      <c r="I727" s="107" t="n"/>
      <c r="J727" s="107" t="n"/>
      <c r="K727" s="107" t="n"/>
    </row>
    <row r="728">
      <c r="G728" s="106" t="n"/>
      <c r="H728" s="107" t="n"/>
      <c r="I728" s="107" t="n"/>
      <c r="J728" s="107" t="n"/>
      <c r="K728" s="107" t="n"/>
    </row>
    <row r="729">
      <c r="G729" s="106" t="n"/>
      <c r="H729" s="107" t="n"/>
      <c r="I729" s="107" t="n"/>
      <c r="J729" s="107" t="n"/>
      <c r="K729" s="107" t="n"/>
    </row>
    <row r="730">
      <c r="G730" s="106" t="n"/>
      <c r="H730" s="107" t="n"/>
      <c r="I730" s="107" t="n"/>
      <c r="J730" s="107" t="n"/>
      <c r="K730" s="107" t="n"/>
    </row>
    <row r="731">
      <c r="G731" s="106" t="n"/>
      <c r="H731" s="107" t="n"/>
      <c r="I731" s="107" t="n"/>
      <c r="J731" s="107" t="n"/>
      <c r="K731" s="107" t="n"/>
    </row>
    <row r="732">
      <c r="G732" s="106" t="n"/>
      <c r="H732" s="107" t="n"/>
      <c r="I732" s="107" t="n"/>
      <c r="J732" s="107" t="n"/>
      <c r="K732" s="107" t="n"/>
    </row>
    <row r="733">
      <c r="G733" s="106" t="n"/>
      <c r="H733" s="107" t="n"/>
      <c r="I733" s="107" t="n"/>
      <c r="J733" s="107" t="n"/>
      <c r="K733" s="107" t="n"/>
    </row>
    <row r="734">
      <c r="G734" s="106" t="n"/>
      <c r="H734" s="107" t="n"/>
      <c r="I734" s="107" t="n"/>
      <c r="J734" s="107" t="n"/>
      <c r="K734" s="107" t="n"/>
    </row>
    <row r="735">
      <c r="G735" s="106" t="n"/>
      <c r="H735" s="107" t="n"/>
      <c r="I735" s="107" t="n"/>
      <c r="J735" s="107" t="n"/>
      <c r="K735" s="107" t="n"/>
    </row>
    <row r="736">
      <c r="G736" s="106" t="n"/>
      <c r="H736" s="107" t="n"/>
      <c r="I736" s="107" t="n"/>
      <c r="J736" s="107" t="n"/>
      <c r="K736" s="107" t="n"/>
    </row>
    <row r="737">
      <c r="G737" s="106" t="n"/>
      <c r="H737" s="107" t="n"/>
      <c r="I737" s="107" t="n"/>
      <c r="J737" s="107" t="n"/>
      <c r="K737" s="107" t="n"/>
    </row>
    <row r="738">
      <c r="G738" s="106" t="n"/>
      <c r="H738" s="107" t="n"/>
      <c r="I738" s="107" t="n"/>
      <c r="J738" s="107" t="n"/>
      <c r="K738" s="107" t="n"/>
    </row>
    <row r="739">
      <c r="G739" s="106" t="n"/>
      <c r="H739" s="107" t="n"/>
      <c r="I739" s="107" t="n"/>
      <c r="J739" s="107" t="n"/>
      <c r="K739" s="107" t="n"/>
    </row>
    <row r="740">
      <c r="G740" s="106" t="n"/>
      <c r="H740" s="107" t="n"/>
      <c r="I740" s="107" t="n"/>
      <c r="J740" s="107" t="n"/>
      <c r="K740" s="107" t="n"/>
    </row>
    <row r="741">
      <c r="G741" s="106" t="n"/>
      <c r="H741" s="107" t="n"/>
      <c r="I741" s="107" t="n"/>
      <c r="J741" s="107" t="n"/>
      <c r="K741" s="107" t="n"/>
    </row>
    <row r="742">
      <c r="G742" s="106" t="n"/>
      <c r="H742" s="107" t="n"/>
      <c r="I742" s="107" t="n"/>
      <c r="J742" s="107" t="n"/>
      <c r="K742" s="107" t="n"/>
    </row>
    <row r="743">
      <c r="G743" s="106" t="n"/>
      <c r="H743" s="107" t="n"/>
      <c r="I743" s="107" t="n"/>
      <c r="J743" s="107" t="n"/>
      <c r="K743" s="107" t="n"/>
    </row>
    <row r="744">
      <c r="G744" s="106" t="n"/>
      <c r="H744" s="107" t="n"/>
      <c r="I744" s="107" t="n"/>
      <c r="J744" s="107" t="n"/>
      <c r="K744" s="107" t="n"/>
    </row>
    <row r="745">
      <c r="G745" s="106" t="n"/>
      <c r="H745" s="107" t="n"/>
      <c r="I745" s="107" t="n"/>
      <c r="J745" s="107" t="n"/>
      <c r="K745" s="107" t="n"/>
    </row>
    <row r="746">
      <c r="G746" s="106" t="n"/>
      <c r="H746" s="107" t="n"/>
      <c r="I746" s="107" t="n"/>
      <c r="J746" s="107" t="n"/>
      <c r="K746" s="107" t="n"/>
    </row>
    <row r="747">
      <c r="G747" s="106" t="n"/>
      <c r="H747" s="107" t="n"/>
      <c r="I747" s="107" t="n"/>
      <c r="J747" s="107" t="n"/>
      <c r="K747" s="107" t="n"/>
    </row>
    <row r="748">
      <c r="G748" s="106" t="n"/>
      <c r="H748" s="107" t="n"/>
      <c r="I748" s="107" t="n"/>
      <c r="J748" s="107" t="n"/>
      <c r="K748" s="107" t="n"/>
    </row>
    <row r="749">
      <c r="G749" s="106" t="n"/>
      <c r="H749" s="107" t="n"/>
      <c r="I749" s="107" t="n"/>
      <c r="J749" s="107" t="n"/>
      <c r="K749" s="107" t="n"/>
    </row>
    <row r="750">
      <c r="G750" s="106" t="n"/>
      <c r="H750" s="107" t="n"/>
      <c r="I750" s="107" t="n"/>
      <c r="J750" s="107" t="n"/>
      <c r="K750" s="107" t="n"/>
    </row>
    <row r="751">
      <c r="G751" s="106" t="n"/>
      <c r="H751" s="107" t="n"/>
      <c r="I751" s="107" t="n"/>
      <c r="J751" s="107" t="n"/>
      <c r="K751" s="107" t="n"/>
    </row>
    <row r="752">
      <c r="G752" s="106" t="n"/>
      <c r="H752" s="107" t="n"/>
      <c r="I752" s="107" t="n"/>
      <c r="J752" s="107" t="n"/>
      <c r="K752" s="107" t="n"/>
    </row>
    <row r="753">
      <c r="G753" s="106" t="n"/>
      <c r="H753" s="107" t="n"/>
      <c r="I753" s="107" t="n"/>
      <c r="J753" s="107" t="n"/>
      <c r="K753" s="107" t="n"/>
    </row>
    <row r="754">
      <c r="G754" s="106" t="n"/>
      <c r="H754" s="107" t="n"/>
      <c r="I754" s="107" t="n"/>
      <c r="J754" s="107" t="n"/>
      <c r="K754" s="107" t="n"/>
    </row>
    <row r="755">
      <c r="G755" s="106" t="n"/>
      <c r="H755" s="107" t="n"/>
      <c r="I755" s="107" t="n"/>
      <c r="J755" s="107" t="n"/>
      <c r="K755" s="107" t="n"/>
    </row>
    <row r="756">
      <c r="G756" s="106" t="n"/>
      <c r="H756" s="107" t="n"/>
      <c r="I756" s="107" t="n"/>
      <c r="J756" s="107" t="n"/>
      <c r="K756" s="107" t="n"/>
    </row>
    <row r="757">
      <c r="G757" s="106" t="n"/>
      <c r="H757" s="107" t="n"/>
      <c r="I757" s="107" t="n"/>
      <c r="J757" s="107" t="n"/>
      <c r="K757" s="107" t="n"/>
    </row>
    <row r="758">
      <c r="G758" s="106" t="n"/>
      <c r="H758" s="107" t="n"/>
      <c r="I758" s="107" t="n"/>
      <c r="J758" s="107" t="n"/>
      <c r="K758" s="107" t="n"/>
    </row>
    <row r="759">
      <c r="G759" s="106" t="n"/>
      <c r="H759" s="107" t="n"/>
      <c r="I759" s="107" t="n"/>
      <c r="J759" s="107" t="n"/>
      <c r="K759" s="107" t="n"/>
    </row>
    <row r="760">
      <c r="G760" s="106" t="n"/>
      <c r="H760" s="107" t="n"/>
      <c r="I760" s="107" t="n"/>
      <c r="J760" s="107" t="n"/>
      <c r="K760" s="107" t="n"/>
    </row>
    <row r="761">
      <c r="G761" s="106" t="n"/>
      <c r="H761" s="107" t="n"/>
      <c r="I761" s="107" t="n"/>
      <c r="J761" s="107" t="n"/>
      <c r="K761" s="107" t="n"/>
    </row>
    <row r="762">
      <c r="G762" s="106" t="n"/>
      <c r="H762" s="107" t="n"/>
      <c r="I762" s="107" t="n"/>
      <c r="J762" s="107" t="n"/>
      <c r="K762" s="107" t="n"/>
    </row>
    <row r="763">
      <c r="G763" s="106" t="n"/>
      <c r="H763" s="107" t="n"/>
      <c r="I763" s="107" t="n"/>
      <c r="J763" s="107" t="n"/>
      <c r="K763" s="107" t="n"/>
    </row>
    <row r="764">
      <c r="G764" s="106" t="n"/>
      <c r="H764" s="107" t="n"/>
      <c r="I764" s="107" t="n"/>
      <c r="J764" s="107" t="n"/>
      <c r="K764" s="107" t="n"/>
    </row>
    <row r="765">
      <c r="G765" s="106" t="n"/>
      <c r="H765" s="107" t="n"/>
      <c r="I765" s="107" t="n"/>
      <c r="J765" s="107" t="n"/>
      <c r="K765" s="107" t="n"/>
    </row>
    <row r="766">
      <c r="G766" s="106" t="n"/>
      <c r="H766" s="107" t="n"/>
      <c r="I766" s="107" t="n"/>
      <c r="J766" s="107" t="n"/>
      <c r="K766" s="107" t="n"/>
    </row>
    <row r="767">
      <c r="G767" s="106" t="n"/>
      <c r="H767" s="107" t="n"/>
      <c r="I767" s="107" t="n"/>
      <c r="J767" s="107" t="n"/>
      <c r="K767" s="107" t="n"/>
    </row>
    <row r="768">
      <c r="G768" s="106" t="n"/>
      <c r="H768" s="107" t="n"/>
      <c r="I768" s="107" t="n"/>
      <c r="J768" s="107" t="n"/>
      <c r="K768" s="107" t="n"/>
    </row>
    <row r="769">
      <c r="G769" s="106" t="n"/>
      <c r="H769" s="107" t="n"/>
      <c r="I769" s="107" t="n"/>
      <c r="J769" s="107" t="n"/>
      <c r="K769" s="107" t="n"/>
    </row>
    <row r="770">
      <c r="G770" s="106" t="n"/>
      <c r="H770" s="107" t="n"/>
      <c r="I770" s="107" t="n"/>
      <c r="J770" s="107" t="n"/>
      <c r="K770" s="107" t="n"/>
    </row>
    <row r="771">
      <c r="G771" s="106" t="n"/>
      <c r="H771" s="107" t="n"/>
      <c r="I771" s="107" t="n"/>
      <c r="J771" s="107" t="n"/>
      <c r="K771" s="107" t="n"/>
    </row>
    <row r="772">
      <c r="G772" s="106" t="n"/>
      <c r="H772" s="107" t="n"/>
      <c r="I772" s="107" t="n"/>
      <c r="J772" s="107" t="n"/>
      <c r="K772" s="107" t="n"/>
    </row>
    <row r="773">
      <c r="G773" s="106" t="n"/>
      <c r="H773" s="107" t="n"/>
      <c r="I773" s="107" t="n"/>
      <c r="J773" s="107" t="n"/>
      <c r="K773" s="107" t="n"/>
    </row>
    <row r="774">
      <c r="G774" s="106" t="n"/>
      <c r="H774" s="107" t="n"/>
      <c r="I774" s="107" t="n"/>
      <c r="J774" s="107" t="n"/>
      <c r="K774" s="107" t="n"/>
    </row>
    <row r="775">
      <c r="G775" s="106" t="n"/>
      <c r="H775" s="107" t="n"/>
      <c r="I775" s="107" t="n"/>
      <c r="J775" s="107" t="n"/>
      <c r="K775" s="107" t="n"/>
    </row>
    <row r="776">
      <c r="G776" s="106" t="n"/>
      <c r="H776" s="107" t="n"/>
      <c r="I776" s="107" t="n"/>
      <c r="J776" s="107" t="n"/>
      <c r="K776" s="107" t="n"/>
    </row>
    <row r="777">
      <c r="G777" s="106" t="n"/>
      <c r="H777" s="107" t="n"/>
      <c r="I777" s="107" t="n"/>
      <c r="J777" s="107" t="n"/>
      <c r="K777" s="107" t="n"/>
    </row>
    <row r="778">
      <c r="G778" s="106" t="n"/>
      <c r="H778" s="107" t="n"/>
      <c r="I778" s="107" t="n"/>
      <c r="J778" s="107" t="n"/>
      <c r="K778" s="107" t="n"/>
    </row>
    <row r="779">
      <c r="G779" s="106" t="n"/>
      <c r="H779" s="107" t="n"/>
      <c r="I779" s="107" t="n"/>
      <c r="J779" s="107" t="n"/>
      <c r="K779" s="107" t="n"/>
    </row>
    <row r="780">
      <c r="G780" s="106" t="n"/>
      <c r="H780" s="107" t="n"/>
      <c r="I780" s="107" t="n"/>
      <c r="J780" s="107" t="n"/>
      <c r="K780" s="107" t="n"/>
    </row>
    <row r="781">
      <c r="G781" s="106" t="n"/>
      <c r="H781" s="107" t="n"/>
      <c r="I781" s="107" t="n"/>
      <c r="J781" s="107" t="n"/>
      <c r="K781" s="107" t="n"/>
    </row>
    <row r="782">
      <c r="G782" s="106" t="n"/>
      <c r="H782" s="107" t="n"/>
      <c r="I782" s="107" t="n"/>
      <c r="J782" s="107" t="n"/>
      <c r="K782" s="107" t="n"/>
    </row>
    <row r="783">
      <c r="G783" s="106" t="n"/>
      <c r="H783" s="107" t="n"/>
      <c r="I783" s="107" t="n"/>
      <c r="J783" s="107" t="n"/>
      <c r="K783" s="107" t="n"/>
    </row>
    <row r="784">
      <c r="G784" s="106" t="n"/>
      <c r="H784" s="107" t="n"/>
      <c r="I784" s="107" t="n"/>
      <c r="J784" s="107" t="n"/>
      <c r="K784" s="107" t="n"/>
    </row>
    <row r="785">
      <c r="G785" s="106" t="n"/>
      <c r="H785" s="107" t="n"/>
      <c r="I785" s="107" t="n"/>
      <c r="J785" s="107" t="n"/>
      <c r="K785" s="107" t="n"/>
    </row>
    <row r="786">
      <c r="G786" s="106" t="n"/>
      <c r="H786" s="107" t="n"/>
      <c r="I786" s="107" t="n"/>
      <c r="J786" s="107" t="n"/>
      <c r="K786" s="107" t="n"/>
    </row>
    <row r="787">
      <c r="G787" s="106" t="n"/>
      <c r="H787" s="107" t="n"/>
      <c r="I787" s="107" t="n"/>
      <c r="J787" s="107" t="n"/>
      <c r="K787" s="107" t="n"/>
    </row>
    <row r="788">
      <c r="G788" s="106" t="n"/>
      <c r="H788" s="107" t="n"/>
      <c r="I788" s="107" t="n"/>
      <c r="J788" s="107" t="n"/>
      <c r="K788" s="107" t="n"/>
    </row>
    <row r="789">
      <c r="G789" s="106" t="n"/>
      <c r="H789" s="107" t="n"/>
      <c r="I789" s="107" t="n"/>
      <c r="J789" s="107" t="n"/>
      <c r="K789" s="107" t="n"/>
    </row>
    <row r="790">
      <c r="G790" s="106" t="n"/>
      <c r="H790" s="107" t="n"/>
      <c r="I790" s="107" t="n"/>
      <c r="J790" s="107" t="n"/>
      <c r="K790" s="107" t="n"/>
    </row>
    <row r="791">
      <c r="G791" s="106" t="n"/>
      <c r="H791" s="107" t="n"/>
      <c r="I791" s="107" t="n"/>
      <c r="J791" s="107" t="n"/>
      <c r="K791" s="107" t="n"/>
    </row>
    <row r="792">
      <c r="G792" s="106" t="n"/>
      <c r="H792" s="107" t="n"/>
      <c r="I792" s="107" t="n"/>
      <c r="J792" s="107" t="n"/>
      <c r="K792" s="107" t="n"/>
    </row>
    <row r="793">
      <c r="G793" s="106" t="n"/>
      <c r="H793" s="107" t="n"/>
      <c r="I793" s="107" t="n"/>
      <c r="J793" s="107" t="n"/>
      <c r="K793" s="107" t="n"/>
    </row>
    <row r="794">
      <c r="G794" s="106" t="n"/>
      <c r="H794" s="107" t="n"/>
      <c r="I794" s="107" t="n"/>
      <c r="J794" s="107" t="n"/>
      <c r="K794" s="107" t="n"/>
    </row>
    <row r="795">
      <c r="G795" s="106" t="n"/>
      <c r="H795" s="107" t="n"/>
      <c r="I795" s="107" t="n"/>
      <c r="J795" s="107" t="n"/>
      <c r="K795" s="107" t="n"/>
    </row>
    <row r="796">
      <c r="G796" s="106" t="n"/>
      <c r="H796" s="107" t="n"/>
      <c r="I796" s="107" t="n"/>
      <c r="J796" s="107" t="n"/>
      <c r="K796" s="107" t="n"/>
    </row>
    <row r="797">
      <c r="G797" s="106" t="n"/>
      <c r="H797" s="107" t="n"/>
      <c r="I797" s="107" t="n"/>
      <c r="J797" s="107" t="n"/>
      <c r="K797" s="107" t="n"/>
    </row>
    <row r="798">
      <c r="G798" s="106" t="n"/>
      <c r="H798" s="107" t="n"/>
      <c r="I798" s="107" t="n"/>
      <c r="J798" s="107" t="n"/>
      <c r="K798" s="107" t="n"/>
    </row>
    <row r="799">
      <c r="G799" s="106" t="n"/>
      <c r="H799" s="107" t="n"/>
      <c r="I799" s="107" t="n"/>
      <c r="J799" s="107" t="n"/>
      <c r="K799" s="107" t="n"/>
    </row>
    <row r="800">
      <c r="G800" s="106" t="n"/>
      <c r="H800" s="107" t="n"/>
      <c r="I800" s="107" t="n"/>
      <c r="J800" s="107" t="n"/>
      <c r="K800" s="107" t="n"/>
    </row>
    <row r="801">
      <c r="G801" s="106" t="n"/>
      <c r="H801" s="107" t="n"/>
      <c r="I801" s="107" t="n"/>
      <c r="J801" s="107" t="n"/>
      <c r="K801" s="107" t="n"/>
    </row>
    <row r="802">
      <c r="G802" s="106" t="n"/>
      <c r="H802" s="107" t="n"/>
      <c r="I802" s="107" t="n"/>
      <c r="J802" s="107" t="n"/>
      <c r="K802" s="107" t="n"/>
    </row>
    <row r="803">
      <c r="G803" s="106" t="n"/>
      <c r="H803" s="107" t="n"/>
      <c r="I803" s="107" t="n"/>
      <c r="J803" s="107" t="n"/>
      <c r="K803" s="107" t="n"/>
    </row>
    <row r="804">
      <c r="G804" s="106" t="n"/>
      <c r="H804" s="107" t="n"/>
      <c r="I804" s="107" t="n"/>
      <c r="J804" s="107" t="n"/>
      <c r="K804" s="107" t="n"/>
    </row>
    <row r="805">
      <c r="G805" s="106" t="n"/>
      <c r="H805" s="107" t="n"/>
      <c r="I805" s="107" t="n"/>
      <c r="J805" s="107" t="n"/>
      <c r="K805" s="107" t="n"/>
    </row>
    <row r="806">
      <c r="G806" s="106" t="n"/>
      <c r="H806" s="107" t="n"/>
      <c r="I806" s="107" t="n"/>
      <c r="J806" s="107" t="n"/>
      <c r="K806" s="107" t="n"/>
    </row>
    <row r="807">
      <c r="G807" s="106" t="n"/>
      <c r="H807" s="107" t="n"/>
      <c r="I807" s="107" t="n"/>
      <c r="J807" s="107" t="n"/>
      <c r="K807" s="107" t="n"/>
    </row>
    <row r="808">
      <c r="G808" s="106" t="n"/>
      <c r="H808" s="107" t="n"/>
      <c r="I808" s="107" t="n"/>
      <c r="J808" s="107" t="n"/>
      <c r="K808" s="107" t="n"/>
    </row>
    <row r="809">
      <c r="G809" s="106" t="n"/>
      <c r="H809" s="107" t="n"/>
      <c r="I809" s="107" t="n"/>
      <c r="J809" s="107" t="n"/>
      <c r="K809" s="107" t="n"/>
    </row>
    <row r="810">
      <c r="G810" s="106" t="n"/>
      <c r="H810" s="107" t="n"/>
      <c r="I810" s="107" t="n"/>
      <c r="J810" s="107" t="n"/>
      <c r="K810" s="107" t="n"/>
    </row>
    <row r="811">
      <c r="G811" s="106" t="n"/>
      <c r="H811" s="107" t="n"/>
      <c r="I811" s="107" t="n"/>
      <c r="J811" s="107" t="n"/>
      <c r="K811" s="107" t="n"/>
    </row>
    <row r="812">
      <c r="G812" s="106" t="n"/>
      <c r="H812" s="107" t="n"/>
      <c r="I812" s="107" t="n"/>
      <c r="J812" s="107" t="n"/>
      <c r="K812" s="107" t="n"/>
    </row>
    <row r="813">
      <c r="G813" s="106" t="n"/>
      <c r="H813" s="107" t="n"/>
      <c r="I813" s="107" t="n"/>
      <c r="J813" s="107" t="n"/>
      <c r="K813" s="107" t="n"/>
    </row>
    <row r="814">
      <c r="G814" s="106" t="n"/>
      <c r="H814" s="107" t="n"/>
      <c r="I814" s="107" t="n"/>
      <c r="J814" s="107" t="n"/>
      <c r="K814" s="107" t="n"/>
    </row>
    <row r="815">
      <c r="G815" s="106" t="n"/>
      <c r="H815" s="107" t="n"/>
      <c r="I815" s="107" t="n"/>
      <c r="J815" s="107" t="n"/>
      <c r="K815" s="107" t="n"/>
    </row>
    <row r="816">
      <c r="G816" s="106" t="n"/>
      <c r="H816" s="107" t="n"/>
      <c r="I816" s="107" t="n"/>
      <c r="J816" s="107" t="n"/>
      <c r="K816" s="107" t="n"/>
    </row>
    <row r="817">
      <c r="G817" s="106" t="n"/>
      <c r="H817" s="107" t="n"/>
      <c r="I817" s="107" t="n"/>
      <c r="J817" s="107" t="n"/>
      <c r="K817" s="107" t="n"/>
    </row>
    <row r="818">
      <c r="G818" s="106" t="n"/>
      <c r="H818" s="107" t="n"/>
      <c r="I818" s="107" t="n"/>
      <c r="J818" s="107" t="n"/>
      <c r="K818" s="107" t="n"/>
    </row>
    <row r="819">
      <c r="G819" s="106" t="n"/>
      <c r="H819" s="107" t="n"/>
      <c r="I819" s="107" t="n"/>
      <c r="J819" s="107" t="n"/>
      <c r="K819" s="107" t="n"/>
    </row>
    <row r="820">
      <c r="G820" s="106" t="n"/>
      <c r="H820" s="107" t="n"/>
      <c r="I820" s="107" t="n"/>
      <c r="J820" s="107" t="n"/>
      <c r="K820" s="107" t="n"/>
    </row>
    <row r="821">
      <c r="G821" s="106" t="n"/>
      <c r="H821" s="107" t="n"/>
      <c r="I821" s="107" t="n"/>
      <c r="J821" s="107" t="n"/>
      <c r="K821" s="107" t="n"/>
    </row>
    <row r="822">
      <c r="G822" s="106" t="n"/>
      <c r="H822" s="107" t="n"/>
      <c r="I822" s="107" t="n"/>
      <c r="J822" s="107" t="n"/>
      <c r="K822" s="107" t="n"/>
    </row>
    <row r="823">
      <c r="G823" s="106" t="n"/>
      <c r="H823" s="107" t="n"/>
      <c r="I823" s="107" t="n"/>
      <c r="J823" s="107" t="n"/>
      <c r="K823" s="107" t="n"/>
    </row>
    <row r="824">
      <c r="G824" s="106" t="n"/>
      <c r="H824" s="107" t="n"/>
      <c r="I824" s="107" t="n"/>
      <c r="J824" s="107" t="n"/>
      <c r="K824" s="107" t="n"/>
    </row>
    <row r="825">
      <c r="G825" s="106" t="n"/>
      <c r="H825" s="107" t="n"/>
      <c r="I825" s="107" t="n"/>
      <c r="J825" s="107" t="n"/>
      <c r="K825" s="107" t="n"/>
    </row>
    <row r="826">
      <c r="G826" s="106" t="n"/>
      <c r="H826" s="107" t="n"/>
      <c r="I826" s="107" t="n"/>
      <c r="J826" s="107" t="n"/>
      <c r="K826" s="107" t="n"/>
    </row>
    <row r="827">
      <c r="G827" s="106" t="n"/>
      <c r="H827" s="107" t="n"/>
      <c r="I827" s="107" t="n"/>
      <c r="J827" s="107" t="n"/>
      <c r="K827" s="107" t="n"/>
    </row>
    <row r="828">
      <c r="G828" s="106" t="n"/>
      <c r="H828" s="107" t="n"/>
      <c r="I828" s="107" t="n"/>
      <c r="J828" s="107" t="n"/>
      <c r="K828" s="107" t="n"/>
    </row>
    <row r="829">
      <c r="G829" s="106" t="n"/>
      <c r="H829" s="107" t="n"/>
      <c r="I829" s="107" t="n"/>
      <c r="J829" s="107" t="n"/>
      <c r="K829" s="107" t="n"/>
    </row>
    <row r="830">
      <c r="G830" s="106" t="n"/>
      <c r="H830" s="107" t="n"/>
      <c r="I830" s="107" t="n"/>
      <c r="J830" s="107" t="n"/>
      <c r="K830" s="107" t="n"/>
    </row>
    <row r="831">
      <c r="G831" s="106" t="n"/>
      <c r="H831" s="107" t="n"/>
      <c r="I831" s="107" t="n"/>
      <c r="J831" s="107" t="n"/>
      <c r="K831" s="107" t="n"/>
    </row>
    <row r="832">
      <c r="G832" s="106" t="n"/>
      <c r="H832" s="107" t="n"/>
      <c r="I832" s="107" t="n"/>
      <c r="J832" s="107" t="n"/>
      <c r="K832" s="107" t="n"/>
    </row>
    <row r="833">
      <c r="G833" s="106" t="n"/>
      <c r="H833" s="107" t="n"/>
      <c r="I833" s="107" t="n"/>
      <c r="J833" s="107" t="n"/>
      <c r="K833" s="107" t="n"/>
    </row>
    <row r="834">
      <c r="G834" s="106" t="n"/>
      <c r="H834" s="107" t="n"/>
      <c r="I834" s="107" t="n"/>
      <c r="J834" s="107" t="n"/>
      <c r="K834" s="107" t="n"/>
    </row>
    <row r="835">
      <c r="G835" s="106" t="n"/>
      <c r="H835" s="107" t="n"/>
      <c r="I835" s="107" t="n"/>
      <c r="J835" s="107" t="n"/>
      <c r="K835" s="107" t="n"/>
    </row>
    <row r="836">
      <c r="G836" s="106" t="n"/>
      <c r="H836" s="107" t="n"/>
      <c r="I836" s="107" t="n"/>
      <c r="J836" s="107" t="n"/>
      <c r="K836" s="107" t="n"/>
    </row>
    <row r="837">
      <c r="G837" s="106" t="n"/>
      <c r="H837" s="107" t="n"/>
      <c r="I837" s="107" t="n"/>
      <c r="J837" s="107" t="n"/>
      <c r="K837" s="107" t="n"/>
    </row>
    <row r="838">
      <c r="G838" s="106" t="n"/>
      <c r="H838" s="107" t="n"/>
      <c r="I838" s="107" t="n"/>
      <c r="J838" s="107" t="n"/>
      <c r="K838" s="107" t="n"/>
    </row>
    <row r="839">
      <c r="G839" s="106" t="n"/>
      <c r="H839" s="107" t="n"/>
      <c r="I839" s="107" t="n"/>
      <c r="J839" s="107" t="n"/>
      <c r="K839" s="107" t="n"/>
    </row>
    <row r="840">
      <c r="G840" s="106" t="n"/>
      <c r="H840" s="107" t="n"/>
      <c r="I840" s="107" t="n"/>
      <c r="J840" s="107" t="n"/>
      <c r="K840" s="107" t="n"/>
    </row>
    <row r="841">
      <c r="G841" s="106" t="n"/>
      <c r="H841" s="107" t="n"/>
      <c r="I841" s="107" t="n"/>
      <c r="J841" s="107" t="n"/>
      <c r="K841" s="107" t="n"/>
    </row>
    <row r="842">
      <c r="G842" s="106" t="n"/>
      <c r="H842" s="107" t="n"/>
      <c r="I842" s="107" t="n"/>
      <c r="J842" s="107" t="n"/>
      <c r="K842" s="107" t="n"/>
    </row>
    <row r="843">
      <c r="G843" s="106" t="n"/>
      <c r="H843" s="107" t="n"/>
      <c r="I843" s="107" t="n"/>
      <c r="J843" s="107" t="n"/>
      <c r="K843" s="107" t="n"/>
    </row>
    <row r="844">
      <c r="G844" s="106" t="n"/>
      <c r="H844" s="107" t="n"/>
      <c r="I844" s="107" t="n"/>
      <c r="J844" s="107" t="n"/>
      <c r="K844" s="107" t="n"/>
    </row>
    <row r="845">
      <c r="G845" s="106" t="n"/>
      <c r="H845" s="107" t="n"/>
      <c r="I845" s="107" t="n"/>
      <c r="J845" s="107" t="n"/>
      <c r="K845" s="107" t="n"/>
    </row>
    <row r="846">
      <c r="G846" s="106" t="n"/>
      <c r="H846" s="107" t="n"/>
      <c r="I846" s="107" t="n"/>
      <c r="J846" s="107" t="n"/>
      <c r="K846" s="107" t="n"/>
    </row>
    <row r="847">
      <c r="G847" s="106" t="n"/>
      <c r="H847" s="107" t="n"/>
      <c r="I847" s="107" t="n"/>
      <c r="J847" s="107" t="n"/>
      <c r="K847" s="107" t="n"/>
    </row>
    <row r="848">
      <c r="G848" s="106" t="n"/>
      <c r="H848" s="107" t="n"/>
      <c r="I848" s="107" t="n"/>
      <c r="J848" s="107" t="n"/>
      <c r="K848" s="107" t="n"/>
    </row>
    <row r="849">
      <c r="G849" s="106" t="n"/>
      <c r="H849" s="107" t="n"/>
      <c r="I849" s="107" t="n"/>
      <c r="J849" s="107" t="n"/>
      <c r="K849" s="107" t="n"/>
    </row>
    <row r="850">
      <c r="G850" s="106" t="n"/>
      <c r="H850" s="107" t="n"/>
      <c r="I850" s="107" t="n"/>
      <c r="J850" s="107" t="n"/>
      <c r="K850" s="107" t="n"/>
    </row>
    <row r="851">
      <c r="G851" s="106" t="n"/>
      <c r="H851" s="107" t="n"/>
      <c r="I851" s="107" t="n"/>
      <c r="J851" s="107" t="n"/>
      <c r="K851" s="107" t="n"/>
    </row>
    <row r="852">
      <c r="G852" s="106" t="n"/>
      <c r="H852" s="107" t="n"/>
      <c r="I852" s="107" t="n"/>
      <c r="J852" s="107" t="n"/>
      <c r="K852" s="107" t="n"/>
    </row>
    <row r="853">
      <c r="G853" s="106" t="n"/>
      <c r="H853" s="107" t="n"/>
      <c r="I853" s="107" t="n"/>
      <c r="J853" s="107" t="n"/>
      <c r="K853" s="107" t="n"/>
    </row>
    <row r="854">
      <c r="G854" s="106" t="n"/>
      <c r="H854" s="107" t="n"/>
      <c r="I854" s="107" t="n"/>
      <c r="J854" s="107" t="n"/>
      <c r="K854" s="107" t="n"/>
    </row>
    <row r="855">
      <c r="G855" s="106" t="n"/>
      <c r="H855" s="107" t="n"/>
      <c r="I855" s="107" t="n"/>
      <c r="J855" s="107" t="n"/>
      <c r="K855" s="107" t="n"/>
    </row>
    <row r="856">
      <c r="G856" s="106" t="n"/>
      <c r="H856" s="107" t="n"/>
      <c r="I856" s="107" t="n"/>
      <c r="J856" s="107" t="n"/>
      <c r="K856" s="107" t="n"/>
    </row>
    <row r="857">
      <c r="G857" s="106" t="n"/>
      <c r="H857" s="107" t="n"/>
      <c r="I857" s="107" t="n"/>
      <c r="J857" s="107" t="n"/>
      <c r="K857" s="107" t="n"/>
    </row>
    <row r="858">
      <c r="G858" s="106" t="n"/>
      <c r="H858" s="107" t="n"/>
      <c r="I858" s="107" t="n"/>
      <c r="J858" s="107" t="n"/>
      <c r="K858" s="107" t="n"/>
    </row>
    <row r="859">
      <c r="G859" s="106" t="n"/>
      <c r="H859" s="107" t="n"/>
      <c r="I859" s="107" t="n"/>
      <c r="J859" s="107" t="n"/>
      <c r="K859" s="107" t="n"/>
    </row>
    <row r="860">
      <c r="G860" s="106" t="n"/>
      <c r="H860" s="107" t="n"/>
      <c r="I860" s="107" t="n"/>
      <c r="J860" s="107" t="n"/>
      <c r="K860" s="107" t="n"/>
    </row>
    <row r="861">
      <c r="G861" s="106" t="n"/>
      <c r="H861" s="107" t="n"/>
      <c r="I861" s="107" t="n"/>
      <c r="J861" s="107" t="n"/>
      <c r="K861" s="107" t="n"/>
    </row>
    <row r="862">
      <c r="G862" s="106" t="n"/>
      <c r="H862" s="107" t="n"/>
      <c r="I862" s="107" t="n"/>
      <c r="J862" s="107" t="n"/>
      <c r="K862" s="107" t="n"/>
    </row>
    <row r="863">
      <c r="G863" s="106" t="n"/>
      <c r="H863" s="107" t="n"/>
      <c r="I863" s="107" t="n"/>
      <c r="J863" s="107" t="n"/>
      <c r="K863" s="107" t="n"/>
    </row>
    <row r="864">
      <c r="G864" s="106" t="n"/>
      <c r="H864" s="107" t="n"/>
      <c r="I864" s="107" t="n"/>
      <c r="J864" s="107" t="n"/>
      <c r="K864" s="107" t="n"/>
    </row>
    <row r="865">
      <c r="G865" s="106" t="n"/>
      <c r="H865" s="107" t="n"/>
      <c r="I865" s="107" t="n"/>
      <c r="J865" s="107" t="n"/>
      <c r="K865" s="107" t="n"/>
    </row>
    <row r="866">
      <c r="G866" s="106" t="n"/>
      <c r="H866" s="107" t="n"/>
      <c r="I866" s="107" t="n"/>
      <c r="J866" s="107" t="n"/>
      <c r="K866" s="107" t="n"/>
    </row>
    <row r="867">
      <c r="G867" s="106" t="n"/>
      <c r="H867" s="107" t="n"/>
      <c r="I867" s="107" t="n"/>
      <c r="J867" s="107" t="n"/>
      <c r="K867" s="107" t="n"/>
    </row>
    <row r="868">
      <c r="G868" s="106" t="n"/>
      <c r="H868" s="107" t="n"/>
      <c r="I868" s="107" t="n"/>
      <c r="J868" s="107" t="n"/>
      <c r="K868" s="107" t="n"/>
    </row>
    <row r="869">
      <c r="G869" s="106" t="n"/>
      <c r="H869" s="107" t="n"/>
      <c r="I869" s="107" t="n"/>
      <c r="J869" s="107" t="n"/>
      <c r="K869" s="107" t="n"/>
    </row>
    <row r="870">
      <c r="G870" s="106" t="n"/>
      <c r="H870" s="107" t="n"/>
      <c r="I870" s="107" t="n"/>
      <c r="J870" s="107" t="n"/>
      <c r="K870" s="107" t="n"/>
    </row>
    <row r="871">
      <c r="G871" s="106" t="n"/>
      <c r="H871" s="107" t="n"/>
      <c r="I871" s="107" t="n"/>
      <c r="J871" s="107" t="n"/>
      <c r="K871" s="107" t="n"/>
    </row>
    <row r="872">
      <c r="G872" s="106" t="n"/>
      <c r="H872" s="107" t="n"/>
      <c r="I872" s="107" t="n"/>
      <c r="J872" s="107" t="n"/>
      <c r="K872" s="107" t="n"/>
    </row>
    <row r="873">
      <c r="G873" s="106" t="n"/>
      <c r="H873" s="107" t="n"/>
      <c r="I873" s="107" t="n"/>
      <c r="J873" s="107" t="n"/>
      <c r="K873" s="107" t="n"/>
    </row>
    <row r="874">
      <c r="G874" s="106" t="n"/>
      <c r="H874" s="107" t="n"/>
      <c r="I874" s="107" t="n"/>
      <c r="J874" s="107" t="n"/>
      <c r="K874" s="107" t="n"/>
    </row>
    <row r="875">
      <c r="G875" s="106" t="n"/>
      <c r="H875" s="107" t="n"/>
      <c r="I875" s="107" t="n"/>
      <c r="J875" s="107" t="n"/>
      <c r="K875" s="107" t="n"/>
    </row>
    <row r="876">
      <c r="G876" s="106" t="n"/>
      <c r="H876" s="107" t="n"/>
      <c r="I876" s="107" t="n"/>
      <c r="J876" s="107" t="n"/>
      <c r="K876" s="107" t="n"/>
    </row>
    <row r="877">
      <c r="G877" s="106" t="n"/>
      <c r="H877" s="107" t="n"/>
      <c r="I877" s="107" t="n"/>
      <c r="J877" s="107" t="n"/>
      <c r="K877" s="107" t="n"/>
    </row>
    <row r="878">
      <c r="G878" s="106" t="n"/>
      <c r="H878" s="107" t="n"/>
      <c r="I878" s="107" t="n"/>
      <c r="J878" s="107" t="n"/>
      <c r="K878" s="107" t="n"/>
    </row>
    <row r="879">
      <c r="G879" s="106" t="n"/>
      <c r="H879" s="107" t="n"/>
      <c r="I879" s="107" t="n"/>
      <c r="J879" s="107" t="n"/>
      <c r="K879" s="107" t="n"/>
    </row>
    <row r="880">
      <c r="G880" s="106" t="n"/>
      <c r="H880" s="107" t="n"/>
      <c r="I880" s="107" t="n"/>
      <c r="J880" s="107" t="n"/>
      <c r="K880" s="107" t="n"/>
    </row>
    <row r="881">
      <c r="G881" s="106" t="n"/>
      <c r="H881" s="107" t="n"/>
      <c r="I881" s="107" t="n"/>
      <c r="J881" s="107" t="n"/>
      <c r="K881" s="107" t="n"/>
    </row>
    <row r="882">
      <c r="G882" s="106" t="n"/>
      <c r="H882" s="107" t="n"/>
      <c r="I882" s="107" t="n"/>
      <c r="J882" s="107" t="n"/>
      <c r="K882" s="107" t="n"/>
    </row>
    <row r="883">
      <c r="G883" s="106" t="n"/>
      <c r="H883" s="107" t="n"/>
      <c r="I883" s="107" t="n"/>
      <c r="J883" s="107" t="n"/>
      <c r="K883" s="107" t="n"/>
    </row>
    <row r="884">
      <c r="G884" s="106" t="n"/>
      <c r="H884" s="107" t="n"/>
      <c r="I884" s="107" t="n"/>
      <c r="J884" s="107" t="n"/>
      <c r="K884" s="107" t="n"/>
    </row>
    <row r="885">
      <c r="G885" s="106" t="n"/>
      <c r="H885" s="107" t="n"/>
      <c r="I885" s="107" t="n"/>
      <c r="J885" s="107" t="n"/>
      <c r="K885" s="107" t="n"/>
    </row>
    <row r="886">
      <c r="G886" s="106" t="n"/>
      <c r="H886" s="107" t="n"/>
      <c r="I886" s="107" t="n"/>
      <c r="J886" s="107" t="n"/>
      <c r="K886" s="107" t="n"/>
    </row>
    <row r="887">
      <c r="G887" s="106" t="n"/>
      <c r="H887" s="107" t="n"/>
      <c r="I887" s="107" t="n"/>
      <c r="J887" s="107" t="n"/>
      <c r="K887" s="107" t="n"/>
    </row>
    <row r="888">
      <c r="G888" s="106" t="n"/>
      <c r="H888" s="107" t="n"/>
      <c r="I888" s="107" t="n"/>
      <c r="J888" s="107" t="n"/>
      <c r="K888" s="107" t="n"/>
    </row>
    <row r="889">
      <c r="G889" s="106" t="n"/>
      <c r="H889" s="107" t="n"/>
      <c r="I889" s="107" t="n"/>
      <c r="J889" s="107" t="n"/>
      <c r="K889" s="107" t="n"/>
    </row>
    <row r="890">
      <c r="G890" s="106" t="n"/>
      <c r="H890" s="107" t="n"/>
      <c r="I890" s="107" t="n"/>
      <c r="J890" s="107" t="n"/>
      <c r="K890" s="107" t="n"/>
    </row>
    <row r="891">
      <c r="G891" s="106" t="n"/>
      <c r="H891" s="107" t="n"/>
      <c r="I891" s="107" t="n"/>
      <c r="J891" s="107" t="n"/>
      <c r="K891" s="107" t="n"/>
    </row>
    <row r="892">
      <c r="G892" s="106" t="n"/>
      <c r="H892" s="107" t="n"/>
      <c r="I892" s="107" t="n"/>
      <c r="J892" s="107" t="n"/>
      <c r="K892" s="107" t="n"/>
    </row>
    <row r="893">
      <c r="G893" s="106" t="n"/>
      <c r="H893" s="107" t="n"/>
      <c r="I893" s="107" t="n"/>
      <c r="J893" s="107" t="n"/>
      <c r="K893" s="107" t="n"/>
    </row>
    <row r="894">
      <c r="G894" s="106" t="n"/>
      <c r="H894" s="107" t="n"/>
      <c r="I894" s="107" t="n"/>
      <c r="J894" s="107" t="n"/>
      <c r="K894" s="107" t="n"/>
    </row>
    <row r="895">
      <c r="G895" s="106" t="n"/>
      <c r="H895" s="107" t="n"/>
      <c r="I895" s="107" t="n"/>
      <c r="J895" s="107" t="n"/>
      <c r="K895" s="107" t="n"/>
    </row>
    <row r="896">
      <c r="G896" s="106" t="n"/>
      <c r="H896" s="107" t="n"/>
      <c r="I896" s="107" t="n"/>
      <c r="J896" s="107" t="n"/>
      <c r="K896" s="107" t="n"/>
    </row>
    <row r="897">
      <c r="G897" s="106" t="n"/>
      <c r="H897" s="107" t="n"/>
      <c r="I897" s="107" t="n"/>
      <c r="J897" s="107" t="n"/>
      <c r="K897" s="107" t="n"/>
    </row>
    <row r="898">
      <c r="G898" s="106" t="n"/>
      <c r="H898" s="107" t="n"/>
      <c r="I898" s="107" t="n"/>
      <c r="J898" s="107" t="n"/>
      <c r="K898" s="107" t="n"/>
    </row>
    <row r="899">
      <c r="G899" s="106" t="n"/>
      <c r="H899" s="107" t="n"/>
      <c r="I899" s="107" t="n"/>
      <c r="J899" s="107" t="n"/>
      <c r="K899" s="107" t="n"/>
    </row>
    <row r="900">
      <c r="G900" s="106" t="n"/>
      <c r="H900" s="107" t="n"/>
      <c r="I900" s="107" t="n"/>
      <c r="J900" s="107" t="n"/>
      <c r="K900" s="107" t="n"/>
    </row>
    <row r="901">
      <c r="G901" s="106" t="n"/>
      <c r="H901" s="107" t="n"/>
      <c r="I901" s="107" t="n"/>
      <c r="J901" s="107" t="n"/>
      <c r="K901" s="107" t="n"/>
    </row>
    <row r="902">
      <c r="G902" s="106" t="n"/>
      <c r="H902" s="107" t="n"/>
      <c r="I902" s="107" t="n"/>
      <c r="J902" s="107" t="n"/>
      <c r="K902" s="107" t="n"/>
    </row>
    <row r="903">
      <c r="G903" s="106" t="n"/>
      <c r="H903" s="107" t="n"/>
      <c r="I903" s="107" t="n"/>
      <c r="J903" s="107" t="n"/>
      <c r="K903" s="107" t="n"/>
    </row>
    <row r="904">
      <c r="G904" s="106" t="n"/>
      <c r="H904" s="107" t="n"/>
      <c r="I904" s="107" t="n"/>
      <c r="J904" s="107" t="n"/>
      <c r="K904" s="107" t="n"/>
    </row>
    <row r="905">
      <c r="G905" s="106" t="n"/>
      <c r="H905" s="107" t="n"/>
      <c r="I905" s="107" t="n"/>
      <c r="J905" s="107" t="n"/>
      <c r="K905" s="107" t="n"/>
    </row>
    <row r="906">
      <c r="G906" s="106" t="n"/>
      <c r="H906" s="107" t="n"/>
      <c r="I906" s="107" t="n"/>
      <c r="J906" s="107" t="n"/>
      <c r="K906" s="107" t="n"/>
    </row>
    <row r="907">
      <c r="G907" s="106" t="n"/>
      <c r="H907" s="107" t="n"/>
      <c r="I907" s="107" t="n"/>
      <c r="J907" s="107" t="n"/>
      <c r="K907" s="107" t="n"/>
    </row>
    <row r="908">
      <c r="G908" s="106" t="n"/>
      <c r="H908" s="107" t="n"/>
      <c r="I908" s="107" t="n"/>
      <c r="J908" s="107" t="n"/>
      <c r="K908" s="107" t="n"/>
    </row>
    <row r="909">
      <c r="G909" s="106" t="n"/>
      <c r="H909" s="107" t="n"/>
      <c r="I909" s="107" t="n"/>
      <c r="J909" s="107" t="n"/>
      <c r="K909" s="107" t="n"/>
    </row>
    <row r="910">
      <c r="G910" s="106" t="n"/>
      <c r="H910" s="107" t="n"/>
      <c r="I910" s="107" t="n"/>
      <c r="J910" s="107" t="n"/>
      <c r="K910" s="107" t="n"/>
    </row>
    <row r="911">
      <c r="G911" s="106" t="n"/>
      <c r="H911" s="107" t="n"/>
      <c r="I911" s="107" t="n"/>
      <c r="J911" s="107" t="n"/>
      <c r="K911" s="107" t="n"/>
    </row>
    <row r="912">
      <c r="G912" s="106" t="n"/>
      <c r="H912" s="107" t="n"/>
      <c r="I912" s="107" t="n"/>
      <c r="J912" s="107" t="n"/>
      <c r="K912" s="107" t="n"/>
    </row>
    <row r="913">
      <c r="G913" s="106" t="n"/>
      <c r="H913" s="107" t="n"/>
      <c r="I913" s="107" t="n"/>
      <c r="J913" s="107" t="n"/>
      <c r="K913" s="107" t="n"/>
    </row>
    <row r="914">
      <c r="G914" s="106" t="n"/>
      <c r="H914" s="107" t="n"/>
      <c r="I914" s="107" t="n"/>
      <c r="J914" s="107" t="n"/>
      <c r="K914" s="107" t="n"/>
    </row>
    <row r="915">
      <c r="G915" s="106" t="n"/>
      <c r="H915" s="107" t="n"/>
      <c r="I915" s="107" t="n"/>
      <c r="J915" s="107" t="n"/>
      <c r="K915" s="107" t="n"/>
    </row>
    <row r="916">
      <c r="G916" s="106" t="n"/>
      <c r="H916" s="107" t="n"/>
      <c r="I916" s="107" t="n"/>
      <c r="J916" s="107" t="n"/>
      <c r="K916" s="107" t="n"/>
    </row>
    <row r="917">
      <c r="G917" s="106" t="n"/>
      <c r="H917" s="107" t="n"/>
      <c r="I917" s="107" t="n"/>
      <c r="J917" s="107" t="n"/>
      <c r="K917" s="107" t="n"/>
    </row>
    <row r="918">
      <c r="G918" s="106" t="n"/>
      <c r="H918" s="107" t="n"/>
      <c r="I918" s="107" t="n"/>
      <c r="J918" s="107" t="n"/>
      <c r="K918" s="107" t="n"/>
    </row>
    <row r="919">
      <c r="G919" s="106" t="n"/>
      <c r="H919" s="107" t="n"/>
      <c r="I919" s="107" t="n"/>
      <c r="J919" s="107" t="n"/>
      <c r="K919" s="107" t="n"/>
    </row>
    <row r="920">
      <c r="G920" s="106" t="n"/>
      <c r="H920" s="107" t="n"/>
      <c r="I920" s="107" t="n"/>
      <c r="J920" s="107" t="n"/>
      <c r="K920" s="107" t="n"/>
    </row>
    <row r="921">
      <c r="G921" s="106" t="n"/>
      <c r="H921" s="107" t="n"/>
      <c r="I921" s="107" t="n"/>
      <c r="J921" s="107" t="n"/>
      <c r="K921" s="107" t="n"/>
    </row>
    <row r="922">
      <c r="G922" s="106" t="n"/>
      <c r="H922" s="107" t="n"/>
      <c r="I922" s="107" t="n"/>
      <c r="J922" s="107" t="n"/>
      <c r="K922" s="107" t="n"/>
    </row>
    <row r="923">
      <c r="G923" s="106" t="n"/>
      <c r="H923" s="107" t="n"/>
      <c r="I923" s="107" t="n"/>
      <c r="J923" s="107" t="n"/>
      <c r="K923" s="107" t="n"/>
    </row>
    <row r="924">
      <c r="G924" s="106" t="n"/>
      <c r="H924" s="107" t="n"/>
      <c r="I924" s="107" t="n"/>
      <c r="J924" s="107" t="n"/>
      <c r="K924" s="107" t="n"/>
    </row>
    <row r="925">
      <c r="G925" s="106" t="n"/>
      <c r="H925" s="107" t="n"/>
      <c r="I925" s="107" t="n"/>
      <c r="J925" s="107" t="n"/>
      <c r="K925" s="107" t="n"/>
    </row>
    <row r="926">
      <c r="G926" s="106" t="n"/>
      <c r="H926" s="107" t="n"/>
      <c r="I926" s="107" t="n"/>
      <c r="J926" s="107" t="n"/>
      <c r="K926" s="107" t="n"/>
    </row>
    <row r="927">
      <c r="G927" s="106" t="n"/>
      <c r="H927" s="107" t="n"/>
      <c r="I927" s="107" t="n"/>
      <c r="J927" s="107" t="n"/>
      <c r="K927" s="107" t="n"/>
    </row>
    <row r="928">
      <c r="G928" s="106" t="n"/>
      <c r="H928" s="107" t="n"/>
      <c r="I928" s="107" t="n"/>
      <c r="J928" s="107" t="n"/>
      <c r="K928" s="107" t="n"/>
    </row>
    <row r="929">
      <c r="G929" s="106" t="n"/>
      <c r="H929" s="107" t="n"/>
      <c r="I929" s="107" t="n"/>
      <c r="J929" s="107" t="n"/>
      <c r="K929" s="107" t="n"/>
    </row>
    <row r="930">
      <c r="G930" s="106" t="n"/>
      <c r="H930" s="107" t="n"/>
      <c r="I930" s="107" t="n"/>
      <c r="J930" s="107" t="n"/>
      <c r="K930" s="107" t="n"/>
    </row>
    <row r="931">
      <c r="G931" s="106" t="n"/>
      <c r="H931" s="107" t="n"/>
      <c r="I931" s="107" t="n"/>
      <c r="J931" s="107" t="n"/>
      <c r="K931" s="107" t="n"/>
    </row>
    <row r="932">
      <c r="G932" s="106" t="n"/>
      <c r="H932" s="107" t="n"/>
      <c r="I932" s="107" t="n"/>
      <c r="J932" s="107" t="n"/>
      <c r="K932" s="107" t="n"/>
    </row>
    <row r="933">
      <c r="G933" s="106" t="n"/>
      <c r="H933" s="107" t="n"/>
      <c r="I933" s="107" t="n"/>
      <c r="J933" s="107" t="n"/>
      <c r="K933" s="107" t="n"/>
    </row>
    <row r="934">
      <c r="G934" s="106" t="n"/>
      <c r="H934" s="107" t="n"/>
      <c r="I934" s="107" t="n"/>
      <c r="J934" s="107" t="n"/>
      <c r="K934" s="107" t="n"/>
    </row>
    <row r="935">
      <c r="G935" s="106" t="n"/>
      <c r="H935" s="107" t="n"/>
      <c r="I935" s="107" t="n"/>
      <c r="J935" s="107" t="n"/>
      <c r="K935" s="107" t="n"/>
    </row>
    <row r="936">
      <c r="G936" s="106" t="n"/>
      <c r="H936" s="107" t="n"/>
      <c r="I936" s="107" t="n"/>
      <c r="J936" s="107" t="n"/>
      <c r="K936" s="107" t="n"/>
    </row>
    <row r="937">
      <c r="G937" s="106" t="n"/>
      <c r="H937" s="107" t="n"/>
      <c r="I937" s="107" t="n"/>
      <c r="J937" s="107" t="n"/>
      <c r="K937" s="107" t="n"/>
    </row>
    <row r="938">
      <c r="G938" s="106" t="n"/>
      <c r="H938" s="107" t="n"/>
      <c r="I938" s="107" t="n"/>
      <c r="J938" s="107" t="n"/>
      <c r="K938" s="107" t="n"/>
    </row>
    <row r="939">
      <c r="G939" s="106" t="n"/>
      <c r="H939" s="107" t="n"/>
      <c r="I939" s="107" t="n"/>
      <c r="J939" s="107" t="n"/>
      <c r="K939" s="107" t="n"/>
    </row>
    <row r="940">
      <c r="G940" s="106" t="n"/>
      <c r="H940" s="107" t="n"/>
      <c r="I940" s="107" t="n"/>
      <c r="J940" s="107" t="n"/>
      <c r="K940" s="107" t="n"/>
    </row>
    <row r="941">
      <c r="G941" s="106" t="n"/>
      <c r="H941" s="107" t="n"/>
      <c r="I941" s="107" t="n"/>
      <c r="J941" s="107" t="n"/>
      <c r="K941" s="107" t="n"/>
    </row>
    <row r="942">
      <c r="G942" s="106" t="n"/>
      <c r="H942" s="107" t="n"/>
      <c r="I942" s="107" t="n"/>
      <c r="J942" s="107" t="n"/>
      <c r="K942" s="107" t="n"/>
    </row>
    <row r="943">
      <c r="G943" s="106" t="n"/>
      <c r="H943" s="107" t="n"/>
      <c r="I943" s="107" t="n"/>
      <c r="J943" s="107" t="n"/>
      <c r="K943" s="107" t="n"/>
    </row>
    <row r="944">
      <c r="G944" s="106" t="n"/>
      <c r="H944" s="107" t="n"/>
      <c r="I944" s="107" t="n"/>
      <c r="J944" s="107" t="n"/>
      <c r="K944" s="107" t="n"/>
    </row>
    <row r="945">
      <c r="G945" s="106" t="n"/>
      <c r="H945" s="107" t="n"/>
      <c r="I945" s="107" t="n"/>
      <c r="J945" s="107" t="n"/>
      <c r="K945" s="107" t="n"/>
    </row>
    <row r="946">
      <c r="G946" s="106" t="n"/>
      <c r="H946" s="107" t="n"/>
      <c r="I946" s="107" t="n"/>
      <c r="J946" s="107" t="n"/>
      <c r="K946" s="107" t="n"/>
    </row>
    <row r="947">
      <c r="G947" s="106" t="n"/>
      <c r="H947" s="107" t="n"/>
      <c r="I947" s="107" t="n"/>
      <c r="J947" s="107" t="n"/>
      <c r="K947" s="107" t="n"/>
    </row>
    <row r="948">
      <c r="G948" s="106" t="n"/>
      <c r="H948" s="107" t="n"/>
      <c r="I948" s="107" t="n"/>
      <c r="J948" s="107" t="n"/>
      <c r="K948" s="107" t="n"/>
    </row>
    <row r="949">
      <c r="G949" s="106" t="n"/>
      <c r="H949" s="107" t="n"/>
      <c r="I949" s="107" t="n"/>
      <c r="J949" s="107" t="n"/>
      <c r="K949" s="107" t="n"/>
    </row>
    <row r="950">
      <c r="G950" s="106" t="n"/>
      <c r="H950" s="107" t="n"/>
      <c r="I950" s="107" t="n"/>
      <c r="J950" s="107" t="n"/>
      <c r="K950" s="107" t="n"/>
    </row>
    <row r="951">
      <c r="G951" s="106" t="n"/>
      <c r="H951" s="107" t="n"/>
      <c r="I951" s="107" t="n"/>
      <c r="J951" s="107" t="n"/>
      <c r="K951" s="107" t="n"/>
    </row>
    <row r="952">
      <c r="G952" s="106" t="n"/>
      <c r="H952" s="107" t="n"/>
      <c r="I952" s="107" t="n"/>
      <c r="J952" s="107" t="n"/>
      <c r="K952" s="107" t="n"/>
    </row>
    <row r="953">
      <c r="G953" s="106" t="n"/>
      <c r="H953" s="107" t="n"/>
      <c r="I953" s="107" t="n"/>
      <c r="J953" s="107" t="n"/>
      <c r="K953" s="107" t="n"/>
    </row>
    <row r="954">
      <c r="G954" s="106" t="n"/>
      <c r="H954" s="107" t="n"/>
      <c r="I954" s="107" t="n"/>
      <c r="J954" s="107" t="n"/>
      <c r="K954" s="107" t="n"/>
    </row>
    <row r="955">
      <c r="G955" s="106" t="n"/>
      <c r="H955" s="107" t="n"/>
      <c r="I955" s="107" t="n"/>
      <c r="J955" s="107" t="n"/>
      <c r="K955" s="107" t="n"/>
    </row>
    <row r="956">
      <c r="G956" s="106" t="n"/>
      <c r="H956" s="107" t="n"/>
      <c r="I956" s="107" t="n"/>
      <c r="J956" s="107" t="n"/>
      <c r="K956" s="107" t="n"/>
    </row>
    <row r="957">
      <c r="G957" s="106" t="n"/>
      <c r="H957" s="107" t="n"/>
      <c r="I957" s="107" t="n"/>
      <c r="J957" s="107" t="n"/>
      <c r="K957" s="107" t="n"/>
    </row>
    <row r="958">
      <c r="G958" s="106" t="n"/>
      <c r="H958" s="107" t="n"/>
      <c r="I958" s="107" t="n"/>
      <c r="J958" s="107" t="n"/>
      <c r="K958" s="107" t="n"/>
    </row>
    <row r="959">
      <c r="G959" s="106" t="n"/>
      <c r="H959" s="107" t="n"/>
      <c r="I959" s="107" t="n"/>
      <c r="J959" s="107" t="n"/>
      <c r="K959" s="107" t="n"/>
    </row>
    <row r="960">
      <c r="G960" s="106" t="n"/>
      <c r="H960" s="107" t="n"/>
      <c r="I960" s="107" t="n"/>
      <c r="J960" s="107" t="n"/>
      <c r="K960" s="107" t="n"/>
    </row>
    <row r="961">
      <c r="G961" s="106" t="n"/>
      <c r="H961" s="107" t="n"/>
      <c r="I961" s="107" t="n"/>
      <c r="J961" s="107" t="n"/>
      <c r="K961" s="107" t="n"/>
    </row>
    <row r="962">
      <c r="G962" s="106" t="n"/>
      <c r="H962" s="107" t="n"/>
      <c r="I962" s="107" t="n"/>
      <c r="J962" s="107" t="n"/>
      <c r="K962" s="107" t="n"/>
    </row>
    <row r="963">
      <c r="G963" s="106" t="n"/>
      <c r="H963" s="107" t="n"/>
      <c r="I963" s="107" t="n"/>
      <c r="J963" s="107" t="n"/>
      <c r="K963" s="107" t="n"/>
    </row>
    <row r="964">
      <c r="G964" s="106" t="n"/>
      <c r="H964" s="107" t="n"/>
      <c r="I964" s="107" t="n"/>
      <c r="J964" s="107" t="n"/>
      <c r="K964" s="107" t="n"/>
    </row>
    <row r="965">
      <c r="G965" s="106" t="n"/>
      <c r="H965" s="107" t="n"/>
      <c r="I965" s="107" t="n"/>
      <c r="J965" s="107" t="n"/>
      <c r="K965" s="107" t="n"/>
    </row>
    <row r="966">
      <c r="G966" s="106" t="n"/>
      <c r="H966" s="107" t="n"/>
      <c r="I966" s="107" t="n"/>
      <c r="J966" s="107" t="n"/>
      <c r="K966" s="107" t="n"/>
    </row>
    <row r="967">
      <c r="G967" s="106" t="n"/>
      <c r="H967" s="107" t="n"/>
      <c r="I967" s="107" t="n"/>
      <c r="J967" s="107" t="n"/>
      <c r="K967" s="107" t="n"/>
    </row>
    <row r="968">
      <c r="G968" s="106" t="n"/>
      <c r="H968" s="107" t="n"/>
      <c r="I968" s="107" t="n"/>
      <c r="J968" s="107" t="n"/>
      <c r="K968" s="107" t="n"/>
    </row>
  </sheetData>
  <hyperlinks>
    <hyperlink xmlns:r="http://schemas.openxmlformats.org/officeDocument/2006/relationships" ref="B1" location="gid=544801439" r:id="rId1"/>
    <hyperlink xmlns:r="http://schemas.openxmlformats.org/officeDocument/2006/relationships" ref="B3"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3"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2" r:id="rId37"/>
    <hyperlink xmlns:r="http://schemas.openxmlformats.org/officeDocument/2006/relationships" ref="B44" r:id="rId38"/>
    <hyperlink xmlns:r="http://schemas.openxmlformats.org/officeDocument/2006/relationships" ref="B45" r:id="rId39"/>
    <hyperlink xmlns:r="http://schemas.openxmlformats.org/officeDocument/2006/relationships" ref="B46" r:id="rId40"/>
    <hyperlink xmlns:r="http://schemas.openxmlformats.org/officeDocument/2006/relationships" ref="B47" r:id="rId41"/>
    <hyperlink xmlns:r="http://schemas.openxmlformats.org/officeDocument/2006/relationships" ref="B48" r:id="rId42"/>
    <hyperlink xmlns:r="http://schemas.openxmlformats.org/officeDocument/2006/relationships" ref="B49" r:id="rId43"/>
    <hyperlink xmlns:r="http://schemas.openxmlformats.org/officeDocument/2006/relationships" ref="B50" r:id="rId44"/>
    <hyperlink xmlns:r="http://schemas.openxmlformats.org/officeDocument/2006/relationships" ref="B51" r:id="rId45"/>
    <hyperlink xmlns:r="http://schemas.openxmlformats.org/officeDocument/2006/relationships" ref="B52" r:id="rId46"/>
    <hyperlink xmlns:r="http://schemas.openxmlformats.org/officeDocument/2006/relationships" ref="B54" r:id="rId47"/>
    <hyperlink xmlns:r="http://schemas.openxmlformats.org/officeDocument/2006/relationships" ref="B56" r:id="rId48"/>
    <hyperlink xmlns:r="http://schemas.openxmlformats.org/officeDocument/2006/relationships" ref="B57" r:id="rId49"/>
    <hyperlink xmlns:r="http://schemas.openxmlformats.org/officeDocument/2006/relationships" ref="B58" r:id="rId50"/>
    <hyperlink xmlns:r="http://schemas.openxmlformats.org/officeDocument/2006/relationships" ref="B59" r:id="rId51"/>
    <hyperlink xmlns:r="http://schemas.openxmlformats.org/officeDocument/2006/relationships" ref="B60" r:id="rId52"/>
    <hyperlink xmlns:r="http://schemas.openxmlformats.org/officeDocument/2006/relationships" ref="B61" r:id="rId53"/>
    <hyperlink xmlns:r="http://schemas.openxmlformats.org/officeDocument/2006/relationships" ref="B62" r:id="rId54"/>
    <hyperlink xmlns:r="http://schemas.openxmlformats.org/officeDocument/2006/relationships" ref="B63" r:id="rId55"/>
    <hyperlink xmlns:r="http://schemas.openxmlformats.org/officeDocument/2006/relationships" ref="B64" r:id="rId56"/>
    <hyperlink xmlns:r="http://schemas.openxmlformats.org/officeDocument/2006/relationships" ref="B65" r:id="rId57"/>
    <hyperlink xmlns:r="http://schemas.openxmlformats.org/officeDocument/2006/relationships" ref="B66" r:id="rId58"/>
    <hyperlink xmlns:r="http://schemas.openxmlformats.org/officeDocument/2006/relationships" ref="B67" r:id="rId59"/>
    <hyperlink xmlns:r="http://schemas.openxmlformats.org/officeDocument/2006/relationships" ref="B68" r:id="rId60"/>
    <hyperlink xmlns:r="http://schemas.openxmlformats.org/officeDocument/2006/relationships" ref="B69" r:id="rId61"/>
    <hyperlink xmlns:r="http://schemas.openxmlformats.org/officeDocument/2006/relationships" ref="B70" r:id="rId62"/>
    <hyperlink xmlns:r="http://schemas.openxmlformats.org/officeDocument/2006/relationships" ref="B71" r:id="rId63"/>
    <hyperlink xmlns:r="http://schemas.openxmlformats.org/officeDocument/2006/relationships" ref="B72" r:id="rId64"/>
    <hyperlink xmlns:r="http://schemas.openxmlformats.org/officeDocument/2006/relationships" ref="B73" r:id="rId65"/>
    <hyperlink xmlns:r="http://schemas.openxmlformats.org/officeDocument/2006/relationships" ref="B74" r:id="rId66"/>
    <hyperlink xmlns:r="http://schemas.openxmlformats.org/officeDocument/2006/relationships" ref="B75" r:id="rId67"/>
    <hyperlink xmlns:r="http://schemas.openxmlformats.org/officeDocument/2006/relationships" ref="B76" r:id="rId68"/>
    <hyperlink xmlns:r="http://schemas.openxmlformats.org/officeDocument/2006/relationships" ref="B77" r:id="rId69"/>
    <hyperlink xmlns:r="http://schemas.openxmlformats.org/officeDocument/2006/relationships" ref="B78" r:id="rId70"/>
    <hyperlink xmlns:r="http://schemas.openxmlformats.org/officeDocument/2006/relationships" ref="B79" r:id="rId71"/>
    <hyperlink xmlns:r="http://schemas.openxmlformats.org/officeDocument/2006/relationships" ref="B80" r:id="rId72"/>
    <hyperlink xmlns:r="http://schemas.openxmlformats.org/officeDocument/2006/relationships" ref="B81" r:id="rId73"/>
    <hyperlink xmlns:r="http://schemas.openxmlformats.org/officeDocument/2006/relationships" ref="B82" r:id="rId74"/>
    <hyperlink xmlns:r="http://schemas.openxmlformats.org/officeDocument/2006/relationships" ref="B83" r:id="rId75"/>
    <hyperlink xmlns:r="http://schemas.openxmlformats.org/officeDocument/2006/relationships" ref="B84" r:id="rId76"/>
    <hyperlink xmlns:r="http://schemas.openxmlformats.org/officeDocument/2006/relationships" ref="B85" r:id="rId77"/>
    <hyperlink xmlns:r="http://schemas.openxmlformats.org/officeDocument/2006/relationships" ref="B86" r:id="rId78"/>
    <hyperlink xmlns:r="http://schemas.openxmlformats.org/officeDocument/2006/relationships" ref="B87" r:id="rId79"/>
    <hyperlink xmlns:r="http://schemas.openxmlformats.org/officeDocument/2006/relationships" ref="B88" r:id="rId80"/>
    <hyperlink xmlns:r="http://schemas.openxmlformats.org/officeDocument/2006/relationships" ref="B89" r:id="rId81"/>
    <hyperlink xmlns:r="http://schemas.openxmlformats.org/officeDocument/2006/relationships" ref="B90" r:id="rId82"/>
    <hyperlink xmlns:r="http://schemas.openxmlformats.org/officeDocument/2006/relationships" ref="B91" r:id="rId83"/>
    <hyperlink xmlns:r="http://schemas.openxmlformats.org/officeDocument/2006/relationships" ref="B92" r:id="rId84"/>
    <hyperlink xmlns:r="http://schemas.openxmlformats.org/officeDocument/2006/relationships" ref="B93" r:id="rId85"/>
    <hyperlink xmlns:r="http://schemas.openxmlformats.org/officeDocument/2006/relationships" ref="B94" r:id="rId86"/>
    <hyperlink xmlns:r="http://schemas.openxmlformats.org/officeDocument/2006/relationships" ref="B95" r:id="rId87"/>
    <hyperlink xmlns:r="http://schemas.openxmlformats.org/officeDocument/2006/relationships" ref="B96" r:id="rId88"/>
    <hyperlink xmlns:r="http://schemas.openxmlformats.org/officeDocument/2006/relationships" ref="B97" r:id="rId89"/>
    <hyperlink xmlns:r="http://schemas.openxmlformats.org/officeDocument/2006/relationships" ref="B98" r:id="rId90"/>
    <hyperlink xmlns:r="http://schemas.openxmlformats.org/officeDocument/2006/relationships" ref="B99" r:id="rId91"/>
    <hyperlink xmlns:r="http://schemas.openxmlformats.org/officeDocument/2006/relationships" ref="B100" r:id="rId92"/>
    <hyperlink xmlns:r="http://schemas.openxmlformats.org/officeDocument/2006/relationships" ref="B101" r:id="rId93"/>
    <hyperlink xmlns:r="http://schemas.openxmlformats.org/officeDocument/2006/relationships" ref="B102" r:id="rId94"/>
    <hyperlink xmlns:r="http://schemas.openxmlformats.org/officeDocument/2006/relationships" ref="B103" r:id="rId95"/>
    <hyperlink xmlns:r="http://schemas.openxmlformats.org/officeDocument/2006/relationships" ref="B104" r:id="rId96"/>
    <hyperlink xmlns:r="http://schemas.openxmlformats.org/officeDocument/2006/relationships" ref="D104" r:id="rId97"/>
    <hyperlink xmlns:r="http://schemas.openxmlformats.org/officeDocument/2006/relationships" ref="B105" r:id="rId98"/>
    <hyperlink xmlns:r="http://schemas.openxmlformats.org/officeDocument/2006/relationships" ref="B106" r:id="rId99"/>
    <hyperlink xmlns:r="http://schemas.openxmlformats.org/officeDocument/2006/relationships" ref="B107" r:id="rId100"/>
    <hyperlink xmlns:r="http://schemas.openxmlformats.org/officeDocument/2006/relationships" ref="B108" r:id="rId101"/>
    <hyperlink xmlns:r="http://schemas.openxmlformats.org/officeDocument/2006/relationships" ref="B109" r:id="rId102"/>
    <hyperlink xmlns:r="http://schemas.openxmlformats.org/officeDocument/2006/relationships" ref="B110" r:id="rId103"/>
    <hyperlink xmlns:r="http://schemas.openxmlformats.org/officeDocument/2006/relationships" ref="B112" r:id="rId104"/>
    <hyperlink xmlns:r="http://schemas.openxmlformats.org/officeDocument/2006/relationships" ref="B114" r:id="rId105"/>
    <hyperlink xmlns:r="http://schemas.openxmlformats.org/officeDocument/2006/relationships" ref="B115" r:id="rId106"/>
    <hyperlink xmlns:r="http://schemas.openxmlformats.org/officeDocument/2006/relationships" ref="B116" r:id="rId107"/>
    <hyperlink xmlns:r="http://schemas.openxmlformats.org/officeDocument/2006/relationships" ref="B117" r:id="rId108"/>
    <hyperlink xmlns:r="http://schemas.openxmlformats.org/officeDocument/2006/relationships" ref="B118" r:id="rId109"/>
    <hyperlink xmlns:r="http://schemas.openxmlformats.org/officeDocument/2006/relationships" ref="B119" r:id="rId110"/>
    <hyperlink xmlns:r="http://schemas.openxmlformats.org/officeDocument/2006/relationships" ref="B120" r:id="rId111"/>
    <hyperlink xmlns:r="http://schemas.openxmlformats.org/officeDocument/2006/relationships" ref="B121" r:id="rId112"/>
    <hyperlink xmlns:r="http://schemas.openxmlformats.org/officeDocument/2006/relationships" ref="B122" r:id="rId113"/>
    <hyperlink xmlns:r="http://schemas.openxmlformats.org/officeDocument/2006/relationships" ref="B294" r:id="rId114"/>
    <hyperlink xmlns:r="http://schemas.openxmlformats.org/officeDocument/2006/relationships" ref="B296" r:id="rId115"/>
    <hyperlink xmlns:r="http://schemas.openxmlformats.org/officeDocument/2006/relationships" ref="B297" r:id="rId116"/>
    <hyperlink xmlns:r="http://schemas.openxmlformats.org/officeDocument/2006/relationships" ref="B298" r:id="rId117"/>
    <hyperlink xmlns:r="http://schemas.openxmlformats.org/officeDocument/2006/relationships" ref="B300" r:id="rId118"/>
    <hyperlink xmlns:r="http://schemas.openxmlformats.org/officeDocument/2006/relationships" ref="B302" r:id="rId119"/>
    <hyperlink xmlns:r="http://schemas.openxmlformats.org/officeDocument/2006/relationships" ref="B303" r:id="rId120"/>
    <hyperlink xmlns:r="http://schemas.openxmlformats.org/officeDocument/2006/relationships" ref="B304" r:id="rId121"/>
    <hyperlink xmlns:r="http://schemas.openxmlformats.org/officeDocument/2006/relationships" ref="B305" r:id="rId122"/>
    <hyperlink xmlns:r="http://schemas.openxmlformats.org/officeDocument/2006/relationships" ref="B306" r:id="rId123"/>
    <hyperlink xmlns:r="http://schemas.openxmlformats.org/officeDocument/2006/relationships" ref="B307" r:id="rId124"/>
    <hyperlink xmlns:r="http://schemas.openxmlformats.org/officeDocument/2006/relationships" ref="B308" r:id="rId125"/>
    <hyperlink xmlns:r="http://schemas.openxmlformats.org/officeDocument/2006/relationships" ref="B309" location="element1" r:id="rId126"/>
    <hyperlink xmlns:r="http://schemas.openxmlformats.org/officeDocument/2006/relationships" ref="B310" r:id="rId127"/>
    <hyperlink xmlns:r="http://schemas.openxmlformats.org/officeDocument/2006/relationships" ref="B311" r:id="rId128"/>
    <hyperlink xmlns:r="http://schemas.openxmlformats.org/officeDocument/2006/relationships" ref="B312" r:id="rId129"/>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P70"/>
  <sheetViews>
    <sheetView workbookViewId="0">
      <selection activeCell="A1" sqref="A1"/>
    </sheetView>
  </sheetViews>
  <sheetFormatPr baseColWidth="8" defaultColWidth="12.63" defaultRowHeight="15.75" customHeight="1"/>
  <cols>
    <col width="17.88" customWidth="1" style="185" min="1" max="3"/>
    <col width="14.5" customWidth="1" style="185" min="4" max="4"/>
    <col width="13.75" customWidth="1" style="185" min="5" max="6"/>
    <col width="30.88" customWidth="1" style="185" min="8" max="8"/>
  </cols>
  <sheetData>
    <row r="1">
      <c r="A1" s="57" t="inlineStr">
        <is>
          <t>企画・構成案</t>
        </is>
      </c>
      <c r="B1" s="111" t="inlineStr">
        <is>
          <t xml:space="preserve">https://docs.google.com/spreadsheets/d/1A7nVr68wbvQ343ZcGUKU08fka4D8L4z6g86TbwgMtE8/edit?usp=sharing			</t>
        </is>
      </c>
      <c r="C1" s="112" t="n"/>
      <c r="D1" s="112" t="n"/>
      <c r="E1" s="112" t="n"/>
      <c r="F1" s="112" t="n"/>
      <c r="G1" s="112" t="n"/>
      <c r="H1" s="112" t="n"/>
      <c r="I1" s="59" t="n"/>
      <c r="J1" s="59" t="n"/>
      <c r="K1" s="59" t="n"/>
      <c r="L1" s="59" t="n"/>
      <c r="M1" s="59" t="n"/>
      <c r="N1" s="59" t="n"/>
      <c r="O1" s="59" t="n"/>
    </row>
    <row r="2">
      <c r="A2" s="63" t="inlineStr">
        <is>
          <t>MBTI</t>
        </is>
      </c>
      <c r="B2" s="63" t="inlineStr">
        <is>
          <t>DYM UP記事</t>
        </is>
      </c>
      <c r="C2" s="63" t="inlineStr">
        <is>
          <t>カテゴリ</t>
        </is>
      </c>
      <c r="D2" s="63" t="inlineStr">
        <is>
          <t>キーワード</t>
        </is>
      </c>
      <c r="E2" s="63" t="inlineStr">
        <is>
          <t>URL</t>
        </is>
      </c>
      <c r="F2" s="63" t="inlineStr">
        <is>
          <t>月間検索数</t>
        </is>
      </c>
      <c r="G2" s="63" t="inlineStr">
        <is>
          <t>競合性</t>
        </is>
      </c>
      <c r="H2" s="63" t="inlineStr">
        <is>
          <t>備考・インサイト</t>
        </is>
      </c>
      <c r="I2" s="59" t="n"/>
      <c r="J2" s="59" t="n"/>
      <c r="K2" s="59" t="n"/>
      <c r="L2" s="59" t="n"/>
      <c r="M2" s="59" t="n"/>
      <c r="N2" s="59" t="n"/>
      <c r="O2" s="59" t="n"/>
    </row>
    <row r="3">
      <c r="A3" s="113" t="inlineStr">
        <is>
          <t>INTP</t>
        </is>
      </c>
      <c r="B3" s="114" t="inlineStr">
        <is>
          <t>https://dym.asia/media/recruiting/intp/</t>
        </is>
      </c>
      <c r="C3" s="115" t="inlineStr">
        <is>
          <t>ビッグワード</t>
        </is>
      </c>
      <c r="D3" s="123" t="inlineStr">
        <is>
          <t>intp</t>
        </is>
      </c>
      <c r="E3" s="116" t="n"/>
      <c r="F3" s="116" t="n">
        <v>246000</v>
      </c>
      <c r="G3" s="123" t="n">
        <v>0</v>
      </c>
      <c r="H3" s="123" t="inlineStr">
        <is>
          <t>最も一般的な検索</t>
        </is>
      </c>
      <c r="I3" s="59" t="n"/>
      <c r="J3" s="59" t="n"/>
      <c r="K3" s="59" t="n"/>
      <c r="L3" s="59" t="n"/>
      <c r="M3" s="59" t="n"/>
      <c r="N3" s="59" t="n"/>
    </row>
    <row r="4">
      <c r="C4" s="117" t="inlineStr">
        <is>
          <t>相性・恋愛</t>
        </is>
      </c>
      <c r="D4" s="123" t="inlineStr">
        <is>
          <t>intp 相性</t>
        </is>
      </c>
      <c r="E4" s="53" t="inlineStr">
        <is>
          <t>intp 相性</t>
        </is>
      </c>
      <c r="F4" s="116" t="n">
        <v>40500</v>
      </c>
      <c r="G4" s="123" t="n">
        <v>0</v>
      </c>
      <c r="H4" s="123" t="inlineStr">
        <is>
          <t>全体で2番目に多い関心事</t>
        </is>
      </c>
      <c r="I4" s="59" t="n"/>
      <c r="J4" s="59" t="n"/>
      <c r="K4" s="59" t="n"/>
      <c r="L4" s="59" t="n"/>
      <c r="M4" s="59" t="n"/>
      <c r="N4" s="59" t="n"/>
    </row>
    <row r="5">
      <c r="C5" s="117" t="inlineStr">
        <is>
          <t>性格・特徴</t>
        </is>
      </c>
      <c r="D5" s="123" t="inlineStr">
        <is>
          <t>intp 性格</t>
        </is>
      </c>
      <c r="E5" s="53" t="inlineStr">
        <is>
          <t>intp 性格</t>
        </is>
      </c>
      <c r="F5" s="116" t="n">
        <v>33100</v>
      </c>
      <c r="G5" s="123" t="n">
        <v>1</v>
      </c>
      <c r="H5" s="123" t="n"/>
      <c r="I5" s="59" t="n"/>
      <c r="J5" s="59" t="n"/>
      <c r="K5" s="59" t="n"/>
      <c r="L5" s="59" t="n"/>
      <c r="M5" s="59" t="n"/>
      <c r="N5" s="59" t="n"/>
    </row>
    <row r="6">
      <c r="C6" s="117" t="inlineStr">
        <is>
          <t>サブタイプ</t>
        </is>
      </c>
      <c r="D6" s="123" t="inlineStr">
        <is>
          <t>intp-t</t>
        </is>
      </c>
      <c r="E6" s="53" t="inlineStr">
        <is>
          <t>intp-t</t>
        </is>
      </c>
      <c r="F6" s="116" t="n">
        <v>14800</v>
      </c>
      <c r="G6" s="123" t="n">
        <v>0</v>
      </c>
      <c r="H6" s="123" t="inlineStr">
        <is>
          <t>慎重型への関心</t>
        </is>
      </c>
      <c r="I6" s="59" t="n"/>
      <c r="J6" s="59" t="n"/>
      <c r="K6" s="59" t="n"/>
      <c r="L6" s="59" t="n"/>
      <c r="M6" s="59" t="n"/>
      <c r="N6" s="59" t="n"/>
    </row>
    <row r="7">
      <c r="C7" s="117" t="inlineStr">
        <is>
          <t>サブタイプ</t>
        </is>
      </c>
      <c r="D7" s="123" t="inlineStr">
        <is>
          <t>intp-a</t>
        </is>
      </c>
      <c r="E7" s="53" t="inlineStr">
        <is>
          <t>intp-a</t>
        </is>
      </c>
      <c r="F7" s="116" t="n">
        <v>9900</v>
      </c>
      <c r="G7" s="123" t="n">
        <v>0</v>
      </c>
      <c r="H7" s="123" t="inlineStr">
        <is>
          <t>自己主張型への関心</t>
        </is>
      </c>
      <c r="I7" s="59" t="n"/>
      <c r="J7" s="59" t="n"/>
      <c r="K7" s="59" t="n"/>
      <c r="L7" s="59" t="n"/>
      <c r="M7" s="59" t="n"/>
      <c r="N7" s="59" t="n"/>
    </row>
    <row r="8">
      <c r="C8" s="117" t="inlineStr">
        <is>
          <t>性格・特徴</t>
        </is>
      </c>
      <c r="D8" s="123" t="inlineStr">
        <is>
          <t>intp 特徴</t>
        </is>
      </c>
      <c r="E8" s="116" t="n"/>
      <c r="F8" s="116" t="n">
        <v>8100</v>
      </c>
      <c r="G8" s="123" t="n">
        <v>0</v>
      </c>
      <c r="H8" s="123" t="n"/>
      <c r="I8" s="59" t="n"/>
      <c r="J8" s="59" t="n"/>
      <c r="K8" s="59" t="n"/>
      <c r="L8" s="59" t="n"/>
      <c r="M8" s="59" t="n"/>
      <c r="N8" s="59" t="n"/>
    </row>
    <row r="9">
      <c r="C9" s="117" t="inlineStr">
        <is>
          <t>性格・特徴</t>
        </is>
      </c>
      <c r="D9" s="123" t="inlineStr">
        <is>
          <t>intp あるある</t>
        </is>
      </c>
      <c r="E9" s="116" t="n"/>
      <c r="F9" s="116" t="n">
        <v>6600</v>
      </c>
      <c r="G9" s="123" t="n">
        <v>0</v>
      </c>
      <c r="H9" s="123" t="inlineStr">
        <is>
          <t>共感を求める検索</t>
        </is>
      </c>
      <c r="I9" s="59" t="n"/>
      <c r="J9" s="59" t="n"/>
      <c r="K9" s="59" t="n"/>
      <c r="L9" s="59" t="n"/>
      <c r="M9" s="59" t="n"/>
      <c r="N9" s="59" t="n"/>
    </row>
    <row r="10">
      <c r="C10" s="117" t="inlineStr">
        <is>
          <t>属性</t>
        </is>
      </c>
      <c r="D10" s="123" t="inlineStr">
        <is>
          <t>intp 女</t>
        </is>
      </c>
      <c r="E10" s="116" t="n"/>
      <c r="F10" s="116" t="n">
        <v>5400</v>
      </c>
      <c r="G10" s="123" t="n">
        <v>0</v>
      </c>
      <c r="H10" s="123" t="inlineStr">
        <is>
          <t>女性INTPの特徴など</t>
        </is>
      </c>
      <c r="I10" s="59" t="n"/>
      <c r="J10" s="59" t="n"/>
      <c r="K10" s="59" t="n"/>
      <c r="L10" s="59" t="n"/>
      <c r="M10" s="59" t="n"/>
      <c r="N10" s="59" t="n"/>
    </row>
    <row r="11">
      <c r="C11" s="117" t="inlineStr">
        <is>
          <t>相性・恋愛</t>
        </is>
      </c>
      <c r="D11" s="123" t="inlineStr">
        <is>
          <t>intp 恋愛</t>
        </is>
      </c>
      <c r="E11" s="116" t="n"/>
      <c r="F11" s="116" t="n">
        <v>4400</v>
      </c>
      <c r="G11" s="123" t="n">
        <v>0</v>
      </c>
      <c r="H11" s="123" t="n"/>
      <c r="I11" s="59" t="n"/>
      <c r="J11" s="59" t="n"/>
      <c r="K11" s="59" t="n"/>
      <c r="L11" s="59" t="n"/>
      <c r="M11" s="59" t="n"/>
      <c r="N11" s="59" t="n"/>
    </row>
    <row r="12">
      <c r="C12" s="117" t="inlineStr">
        <is>
          <t>比較</t>
        </is>
      </c>
      <c r="D12" s="123" t="inlineStr">
        <is>
          <t>intp infp</t>
        </is>
      </c>
      <c r="E12" s="116" t="n"/>
      <c r="F12" s="116" t="n">
        <v>2400</v>
      </c>
      <c r="G12" s="123" t="n">
        <v>0</v>
      </c>
      <c r="H12" s="123" t="inlineStr">
        <is>
          <t>よく似たタイプとの比較</t>
        </is>
      </c>
      <c r="I12" s="59" t="n"/>
      <c r="J12" s="59" t="n"/>
      <c r="K12" s="59" t="n"/>
      <c r="L12" s="59" t="n"/>
      <c r="M12" s="59" t="n"/>
      <c r="N12" s="59" t="n"/>
      <c r="P12" s="118" t="n"/>
    </row>
    <row r="13">
      <c r="C13" s="117" t="inlineStr">
        <is>
          <t>ネガティブ</t>
        </is>
      </c>
      <c r="D13" s="123" t="inlineStr">
        <is>
          <t>intp 性格悪い</t>
        </is>
      </c>
      <c r="E13" s="116" t="n"/>
      <c r="F13" s="116" t="n">
        <v>1900</v>
      </c>
      <c r="G13" s="123" t="n">
        <v>0</v>
      </c>
      <c r="H13" s="123" t="inlineStr">
        <is>
          <t>対人関係の懸念</t>
        </is>
      </c>
      <c r="I13" s="59" t="n"/>
      <c r="J13" s="59" t="n"/>
      <c r="K13" s="59" t="n"/>
      <c r="L13" s="59" t="n"/>
      <c r="M13" s="59" t="n"/>
      <c r="N13" s="59" t="n"/>
    </row>
    <row r="14">
      <c r="C14" s="117" t="inlineStr">
        <is>
          <t>仕事</t>
        </is>
      </c>
      <c r="D14" s="123" t="inlineStr">
        <is>
          <t>intp 職業</t>
        </is>
      </c>
      <c r="E14" s="53" t="inlineStr">
        <is>
          <t>intp 職業</t>
        </is>
      </c>
      <c r="F14" s="116" t="n">
        <v>1000</v>
      </c>
      <c r="G14" s="123" t="n">
        <v>12</v>
      </c>
      <c r="H14" s="123" t="inlineStr">
        <is>
          <t>適職探し（競合性高め）</t>
        </is>
      </c>
      <c r="I14" s="59" t="n"/>
      <c r="J14" s="59" t="n"/>
      <c r="K14" s="59" t="n"/>
      <c r="L14" s="59" t="n"/>
      <c r="M14" s="59" t="n"/>
      <c r="N14" s="59" t="n"/>
    </row>
    <row r="15">
      <c r="C15" s="117" t="inlineStr">
        <is>
          <t>仕事</t>
        </is>
      </c>
      <c r="D15" s="123" t="inlineStr">
        <is>
          <t>intp 向いてる仕事</t>
        </is>
      </c>
      <c r="E15" s="53" t="inlineStr">
        <is>
          <t>intp-t 向いてる仕事</t>
        </is>
      </c>
      <c r="F15" s="123" t="n">
        <v>880</v>
      </c>
      <c r="G15" s="123" t="n">
        <v>29</v>
      </c>
      <c r="H15" s="123" t="inlineStr">
        <is>
          <t>具体的な職種の模索</t>
        </is>
      </c>
      <c r="I15" s="59" t="n"/>
      <c r="J15" s="59" t="n"/>
      <c r="K15" s="59" t="n"/>
      <c r="L15" s="59" t="n"/>
      <c r="M15" s="59" t="n"/>
      <c r="N15" s="59" t="n"/>
    </row>
    <row r="16">
      <c r="C16" s="117" t="inlineStr">
        <is>
          <t>ネガティブ</t>
        </is>
      </c>
      <c r="D16" s="123" t="inlineStr">
        <is>
          <t>intp 社会不適合</t>
        </is>
      </c>
      <c r="E16" s="123" t="n"/>
      <c r="F16" s="123" t="n">
        <v>880</v>
      </c>
      <c r="G16" s="123" t="n">
        <v>0</v>
      </c>
      <c r="H16" s="123" t="inlineStr">
        <is>
          <t>社会生活への悩み</t>
        </is>
      </c>
      <c r="I16" s="59" t="n"/>
      <c r="J16" s="59" t="n"/>
      <c r="K16" s="59" t="n"/>
      <c r="L16" s="59" t="n"/>
      <c r="M16" s="59" t="n"/>
      <c r="N16" s="59" t="n"/>
    </row>
    <row r="17">
      <c r="A17" s="119" t="inlineStr">
        <is>
          <t>ISFJ</t>
        </is>
      </c>
      <c r="B17" s="120" t="inlineStr">
        <is>
          <t>https://dym.asia/media/recruiting/infj/</t>
        </is>
      </c>
      <c r="C17" s="121" t="inlineStr">
        <is>
          <t>ビッグワード</t>
        </is>
      </c>
      <c r="D17" s="123" t="inlineStr">
        <is>
          <t>isfj</t>
        </is>
      </c>
      <c r="E17" s="116" t="n"/>
      <c r="F17" s="116" t="n">
        <v>246000</v>
      </c>
      <c r="G17" s="123" t="n">
        <v>0</v>
      </c>
      <c r="H17" s="123" t="inlineStr">
        <is>
          <t>最も基本的な検索</t>
        </is>
      </c>
      <c r="I17" s="59" t="n"/>
      <c r="J17" s="59" t="n"/>
      <c r="K17" s="59" t="n"/>
      <c r="L17" s="59" t="n"/>
      <c r="M17" s="59" t="n"/>
      <c r="N17" s="59" t="n"/>
    </row>
    <row r="18">
      <c r="C18" s="122" t="inlineStr">
        <is>
          <t>相性・恋愛</t>
        </is>
      </c>
      <c r="D18" s="123" t="inlineStr">
        <is>
          <t>isfj 相性</t>
        </is>
      </c>
      <c r="E18" s="53" t="inlineStr">
        <is>
          <t>isfj 相性</t>
        </is>
      </c>
      <c r="F18" s="116" t="n">
        <v>40500</v>
      </c>
      <c r="G18" s="123" t="n">
        <v>0</v>
      </c>
      <c r="H18" s="123" t="inlineStr">
        <is>
          <t>人間関係への関心が非常に高い</t>
        </is>
      </c>
      <c r="I18" s="59" t="n"/>
      <c r="J18" s="59" t="n"/>
      <c r="K18" s="59" t="n"/>
      <c r="L18" s="59" t="n"/>
      <c r="M18" s="59" t="n"/>
      <c r="N18" s="59" t="n"/>
    </row>
    <row r="19">
      <c r="C19" s="122" t="inlineStr">
        <is>
          <t>性格・特徴</t>
        </is>
      </c>
      <c r="D19" s="123" t="inlineStr">
        <is>
          <t>isfj 性格</t>
        </is>
      </c>
      <c r="E19" s="53" t="inlineStr">
        <is>
          <t>isfj 性格</t>
        </is>
      </c>
      <c r="F19" s="116" t="n">
        <v>27100</v>
      </c>
      <c r="G19" s="123" t="n">
        <v>0</v>
      </c>
      <c r="H19" s="123" t="n"/>
      <c r="I19" s="59" t="n"/>
      <c r="J19" s="59" t="n"/>
      <c r="K19" s="59" t="n"/>
      <c r="L19" s="59" t="n"/>
      <c r="M19" s="59" t="n"/>
      <c r="N19" s="59" t="n"/>
    </row>
    <row r="20">
      <c r="C20" s="122" t="inlineStr">
        <is>
          <t>サブタイプ</t>
        </is>
      </c>
      <c r="D20" s="123" t="inlineStr">
        <is>
          <t>isfj-t</t>
        </is>
      </c>
      <c r="E20" s="53" t="inlineStr">
        <is>
          <t>isfp-t</t>
        </is>
      </c>
      <c r="F20" s="116" t="n">
        <v>14800</v>
      </c>
      <c r="G20" s="123" t="n">
        <v>0</v>
      </c>
      <c r="H20" s="123" t="inlineStr">
        <is>
          <t>慎重型（Turbulent）への関心</t>
        </is>
      </c>
      <c r="I20" s="59" t="n"/>
      <c r="J20" s="59" t="n"/>
      <c r="K20" s="59" t="n"/>
      <c r="L20" s="59" t="n"/>
      <c r="M20" s="59" t="n"/>
      <c r="N20" s="59" t="n"/>
    </row>
    <row r="21">
      <c r="C21" s="122" t="inlineStr">
        <is>
          <t>性格・特徴</t>
        </is>
      </c>
      <c r="D21" s="123" t="inlineStr">
        <is>
          <t>isfj 特徴</t>
        </is>
      </c>
      <c r="E21" s="53" t="inlineStr">
        <is>
          <t>isfj 特徴</t>
        </is>
      </c>
      <c r="F21" s="116" t="n">
        <v>5400</v>
      </c>
      <c r="G21" s="123" t="n">
        <v>0</v>
      </c>
      <c r="H21" s="123" t="n"/>
      <c r="I21" s="59" t="n"/>
      <c r="J21" s="59" t="n"/>
      <c r="K21" s="59" t="n"/>
      <c r="L21" s="59" t="n"/>
      <c r="M21" s="59" t="n"/>
      <c r="N21" s="59" t="n"/>
    </row>
    <row r="22">
      <c r="C22" s="122" t="inlineStr">
        <is>
          <t>性格・特徴</t>
        </is>
      </c>
      <c r="D22" s="123" t="inlineStr">
        <is>
          <t>isfj あるある</t>
        </is>
      </c>
      <c r="E22" s="116" t="n"/>
      <c r="F22" s="116" t="n">
        <v>5400</v>
      </c>
      <c r="G22" s="123" t="n">
        <v>0</v>
      </c>
      <c r="H22" s="123" t="inlineStr">
        <is>
          <t>共感を求める検索</t>
        </is>
      </c>
      <c r="I22" s="59" t="n"/>
      <c r="J22" s="59" t="n"/>
      <c r="K22" s="59" t="n"/>
      <c r="L22" s="59" t="n"/>
      <c r="M22" s="59" t="n"/>
      <c r="N22" s="59" t="n"/>
    </row>
    <row r="23">
      <c r="C23" s="122" t="inlineStr">
        <is>
          <t>サブタイプ</t>
        </is>
      </c>
      <c r="D23" s="123" t="inlineStr">
        <is>
          <t>isfj-a</t>
        </is>
      </c>
      <c r="E23" s="116" t="n"/>
      <c r="F23" s="116" t="n">
        <v>4400</v>
      </c>
      <c r="G23" s="123" t="n">
        <v>0</v>
      </c>
      <c r="H23" s="123" t="inlineStr">
        <is>
          <t>自己主張型（Assertive）</t>
        </is>
      </c>
      <c r="I23" s="59" t="n"/>
      <c r="J23" s="59" t="n"/>
      <c r="M23" s="59" t="n"/>
      <c r="N23" s="59" t="n"/>
    </row>
    <row r="24">
      <c r="C24" s="122" t="inlineStr">
        <is>
          <t>相性・恋愛</t>
        </is>
      </c>
      <c r="D24" s="123" t="inlineStr">
        <is>
          <t>isfj 恋愛</t>
        </is>
      </c>
      <c r="E24" s="116" t="n"/>
      <c r="F24" s="116" t="n">
        <v>2900</v>
      </c>
      <c r="G24" s="123" t="n">
        <v>0</v>
      </c>
      <c r="H24" s="123" t="n"/>
      <c r="I24" s="59" t="n"/>
    </row>
    <row r="25">
      <c r="C25" s="122" t="inlineStr">
        <is>
          <t>ネガティブ</t>
        </is>
      </c>
      <c r="D25" s="123" t="inlineStr">
        <is>
          <t>isfj 相性悪い</t>
        </is>
      </c>
      <c r="E25" s="53" t="inlineStr">
        <is>
          <t>isfj 相性悪い</t>
        </is>
      </c>
      <c r="F25" s="116" t="n">
        <v>2400</v>
      </c>
      <c r="G25" s="123" t="n">
        <v>0</v>
      </c>
      <c r="H25" s="123" t="inlineStr">
        <is>
          <t>関係悪化を避けるための検索</t>
        </is>
      </c>
      <c r="I25" s="59" t="n"/>
    </row>
    <row r="26">
      <c r="C26" s="122" t="inlineStr">
        <is>
          <t>比較</t>
        </is>
      </c>
      <c r="D26" s="123" t="inlineStr">
        <is>
          <t>isfj enfp</t>
        </is>
      </c>
      <c r="E26" s="116" t="n"/>
      <c r="F26" s="116" t="n">
        <v>2400</v>
      </c>
      <c r="G26" s="123" t="n">
        <v>0</v>
      </c>
      <c r="H26" s="123" t="inlineStr">
        <is>
          <t>特定のタイプとの相性</t>
        </is>
      </c>
      <c r="I26" s="59" t="n"/>
    </row>
    <row r="27">
      <c r="C27" s="122" t="inlineStr">
        <is>
          <t>仕事</t>
        </is>
      </c>
      <c r="D27" s="123" t="inlineStr">
        <is>
          <t>isfj 向いてる仕事</t>
        </is>
      </c>
      <c r="E27" s="53" t="inlineStr">
        <is>
          <t>isfj 向いてる仕事</t>
        </is>
      </c>
      <c r="F27" s="116" t="n">
        <v>1900</v>
      </c>
      <c r="G27" s="123" t="n">
        <v>26</v>
      </c>
      <c r="H27" s="123" t="inlineStr">
        <is>
          <t>競合性あり。適職探し</t>
        </is>
      </c>
    </row>
    <row r="28">
      <c r="C28" s="122" t="inlineStr">
        <is>
          <t>有名人</t>
        </is>
      </c>
      <c r="D28" s="123" t="inlineStr">
        <is>
          <t>isfj 有名人</t>
        </is>
      </c>
      <c r="E28" s="116" t="n"/>
      <c r="F28" s="116" t="n">
        <v>1900</v>
      </c>
      <c r="G28" s="123" t="n">
        <v>0</v>
      </c>
      <c r="H28" s="123" t="n"/>
    </row>
    <row r="29">
      <c r="C29" s="122" t="inlineStr">
        <is>
          <t>比較</t>
        </is>
      </c>
      <c r="D29" s="123" t="inlineStr">
        <is>
          <t>isfj infp</t>
        </is>
      </c>
      <c r="E29" s="116" t="n"/>
      <c r="F29" s="116" t="n">
        <v>1600</v>
      </c>
      <c r="G29" s="123" t="n">
        <v>0</v>
      </c>
      <c r="H29" s="123" t="inlineStr">
        <is>
          <t>よく比較されるタイプ</t>
        </is>
      </c>
    </row>
    <row r="30">
      <c r="C30" s="122" t="inlineStr">
        <is>
          <t>仕事</t>
        </is>
      </c>
      <c r="D30" s="123" t="inlineStr">
        <is>
          <t>isfj 職業</t>
        </is>
      </c>
      <c r="E30" s="123" t="n"/>
      <c r="F30" s="123" t="n">
        <v>880</v>
      </c>
      <c r="G30" s="123" t="n">
        <v>10</v>
      </c>
      <c r="H30" s="123" t="inlineStr">
        <is>
          <t>具体的な職種の模索</t>
        </is>
      </c>
    </row>
    <row r="31">
      <c r="C31" s="122" t="inlineStr">
        <is>
          <t>仕事</t>
        </is>
      </c>
      <c r="D31" s="123" t="inlineStr">
        <is>
          <t>isfj 仕事</t>
        </is>
      </c>
      <c r="E31" s="123" t="n"/>
      <c r="F31" s="123" t="n">
        <v>880</v>
      </c>
      <c r="G31" s="123" t="n">
        <v>15</v>
      </c>
      <c r="H31" s="123" t="inlineStr">
        <is>
          <t>仕事全般の悩み</t>
        </is>
      </c>
    </row>
    <row r="32">
      <c r="C32" s="122" t="inlineStr">
        <is>
          <t>仕事</t>
        </is>
      </c>
      <c r="D32" s="123" t="inlineStr">
        <is>
          <t>isfj 仕事 おすすめ</t>
        </is>
      </c>
      <c r="E32" s="123" t="n"/>
      <c r="F32" s="123" t="n">
        <v>90</v>
      </c>
      <c r="G32" s="123" t="n">
        <v>48</v>
      </c>
      <c r="H32" s="123" t="inlineStr">
        <is>
          <t>競合性高。具体的な提案を求める</t>
        </is>
      </c>
    </row>
    <row r="33">
      <c r="C33" s="122" t="inlineStr">
        <is>
          <t>マネタイズ</t>
        </is>
      </c>
      <c r="D33" s="123" t="inlineStr">
        <is>
          <t>isfj 転職</t>
        </is>
      </c>
      <c r="E33" s="123" t="n"/>
      <c r="F33" s="123" t="n">
        <v>40</v>
      </c>
      <c r="G33" s="123" t="n">
        <v>81</v>
      </c>
      <c r="H33" s="123" t="inlineStr">
        <is>
          <t>超高競合。検索数は少ないが収益性が高い</t>
        </is>
      </c>
    </row>
    <row r="34">
      <c r="C34" s="122" t="inlineStr">
        <is>
          <t>マネタイズ</t>
        </is>
      </c>
      <c r="D34" s="123" t="inlineStr">
        <is>
          <t>isfj 適職診断</t>
        </is>
      </c>
      <c r="E34" s="123" t="n"/>
      <c r="F34" s="123" t="n">
        <v>10</v>
      </c>
      <c r="G34" s="123" t="n">
        <v>71</v>
      </c>
      <c r="H34" s="123" t="inlineStr">
        <is>
          <t>高競合。診断ツールへの誘導</t>
        </is>
      </c>
    </row>
    <row r="35">
      <c r="A35" s="124" t="inlineStr">
        <is>
          <t>ISFP</t>
        </is>
      </c>
      <c r="B35" s="125" t="inlineStr">
        <is>
          <t>https://dym.asia/media/recruiting/isfp/</t>
        </is>
      </c>
      <c r="C35" s="126" t="inlineStr">
        <is>
          <t>ビッグワード</t>
        </is>
      </c>
      <c r="D35" s="123" t="inlineStr">
        <is>
          <t>isfp</t>
        </is>
      </c>
      <c r="E35" s="116" t="n"/>
      <c r="F35" s="127" t="n">
        <v>368000</v>
      </c>
      <c r="G35" s="131" t="n">
        <v>0</v>
      </c>
      <c r="H35" s="103" t="inlineStr">
        <is>
          <t>圧倒的な検索数。基本検索。</t>
        </is>
      </c>
    </row>
    <row r="36">
      <c r="C36" s="129" t="inlineStr">
        <is>
          <t>相性・恋愛</t>
        </is>
      </c>
      <c r="D36" s="123" t="inlineStr">
        <is>
          <t>isfp 相性</t>
        </is>
      </c>
      <c r="E36" s="53" t="inlineStr">
        <is>
          <t>isfp 相性</t>
        </is>
      </c>
      <c r="F36" s="127" t="n">
        <v>74000</v>
      </c>
      <c r="G36" s="131" t="n">
        <v>0</v>
      </c>
      <c r="H36" s="103" t="inlineStr">
        <is>
          <t>関心度が非常に高い。</t>
        </is>
      </c>
    </row>
    <row r="37">
      <c r="C37" s="129" t="inlineStr">
        <is>
          <t>性格・特徴</t>
        </is>
      </c>
      <c r="D37" s="123" t="inlineStr">
        <is>
          <t>isfp 性格</t>
        </is>
      </c>
      <c r="E37" s="53" t="inlineStr">
        <is>
          <t>isfp 性格</t>
        </is>
      </c>
      <c r="F37" s="127" t="n">
        <v>49500</v>
      </c>
      <c r="G37" s="131" t="n">
        <v>1</v>
      </c>
      <c r="H37" s="103" t="inlineStr">
        <is>
          <t>性格への関心が高い。</t>
        </is>
      </c>
    </row>
    <row r="38">
      <c r="C38" s="129" t="inlineStr">
        <is>
          <t>サブタイプ</t>
        </is>
      </c>
      <c r="D38" s="123" t="inlineStr">
        <is>
          <t>isfp-t</t>
        </is>
      </c>
      <c r="E38" s="53" t="inlineStr">
        <is>
          <t>isfp-t</t>
        </is>
      </c>
      <c r="F38" s="127" t="n">
        <v>33100</v>
      </c>
      <c r="G38" s="131" t="n">
        <v>0</v>
      </c>
      <c r="H38" s="103" t="inlineStr">
        <is>
          <t>慎重型(Turbulent)への関心。</t>
        </is>
      </c>
    </row>
    <row r="39">
      <c r="C39" s="129" t="inlineStr">
        <is>
          <t>共感・あるある</t>
        </is>
      </c>
      <c r="D39" s="123" t="inlineStr">
        <is>
          <t>isfp あるある</t>
        </is>
      </c>
      <c r="E39" s="53" t="inlineStr">
        <is>
          <t>isfp あるある</t>
        </is>
      </c>
      <c r="F39" s="127" t="n">
        <v>14800</v>
      </c>
      <c r="G39" s="131" t="n">
        <v>0</v>
      </c>
      <c r="H39" s="103" t="inlineStr">
        <is>
          <t>共感を求める検索。</t>
        </is>
      </c>
    </row>
    <row r="40">
      <c r="C40" s="129" t="inlineStr">
        <is>
          <t>性格・特徴</t>
        </is>
      </c>
      <c r="D40" s="123" t="inlineStr">
        <is>
          <t>isfp 特徴</t>
        </is>
      </c>
      <c r="E40" s="116" t="n"/>
      <c r="F40" s="127" t="n">
        <v>12100</v>
      </c>
      <c r="G40" s="131" t="n">
        <v>0</v>
      </c>
      <c r="H40" s="103" t="inlineStr">
        <is>
          <t>客観的な特徴を知りたい。</t>
        </is>
      </c>
    </row>
    <row r="41">
      <c r="C41" s="129" t="inlineStr">
        <is>
          <t>相性・恋愛</t>
        </is>
      </c>
      <c r="D41" s="123" t="inlineStr">
        <is>
          <t>isfp 相性一覧</t>
        </is>
      </c>
      <c r="E41" s="116" t="n"/>
      <c r="F41" s="127" t="n">
        <v>9900</v>
      </c>
      <c r="G41" s="131" t="n">
        <v>0</v>
      </c>
      <c r="H41" s="103" t="inlineStr">
        <is>
          <t>網羅的な情報を求めている。</t>
        </is>
      </c>
    </row>
    <row r="42">
      <c r="C42" s="129" t="inlineStr">
        <is>
          <t>サブタイプ</t>
        </is>
      </c>
      <c r="D42" s="123" t="inlineStr">
        <is>
          <t>isfp-a</t>
        </is>
      </c>
      <c r="E42" s="53" t="inlineStr">
        <is>
          <t>isfp a</t>
        </is>
      </c>
      <c r="F42" s="127" t="n">
        <v>8100</v>
      </c>
      <c r="G42" s="131" t="n">
        <v>0</v>
      </c>
      <c r="H42" s="103" t="inlineStr">
        <is>
          <t>自己主張型(Assertive)。</t>
        </is>
      </c>
    </row>
    <row r="43">
      <c r="C43" s="129" t="inlineStr">
        <is>
          <t>相性・恋愛</t>
        </is>
      </c>
      <c r="D43" s="123" t="inlineStr">
        <is>
          <t>isfp 恋愛</t>
        </is>
      </c>
      <c r="E43" s="116" t="n"/>
      <c r="F43" s="127" t="n">
        <v>6600</v>
      </c>
      <c r="G43" s="131" t="n">
        <v>0</v>
      </c>
      <c r="H43" s="103" t="inlineStr">
        <is>
          <t>恋愛傾向や攻略法。</t>
        </is>
      </c>
    </row>
    <row r="44">
      <c r="C44" s="129" t="inlineStr">
        <is>
          <t>サブタイプ</t>
        </is>
      </c>
      <c r="D44" s="123" t="inlineStr">
        <is>
          <t>isfp-t 相性</t>
        </is>
      </c>
      <c r="E44" s="116" t="n"/>
      <c r="F44" s="127" t="n">
        <v>5400</v>
      </c>
      <c r="G44" s="131" t="n">
        <v>0</v>
      </c>
      <c r="H44" s="103" t="inlineStr">
        <is>
          <t>T型の相性悩み。</t>
        </is>
      </c>
    </row>
    <row r="45">
      <c r="C45" s="129" t="inlineStr">
        <is>
          <t>属性</t>
        </is>
      </c>
      <c r="D45" s="123" t="inlineStr">
        <is>
          <t>isfp 女性</t>
        </is>
      </c>
      <c r="E45" s="116" t="n"/>
      <c r="F45" s="127" t="n">
        <v>4400</v>
      </c>
      <c r="G45" s="131" t="n">
        <v>0</v>
      </c>
      <c r="H45" s="103" t="inlineStr">
        <is>
          <t>女性ISFPの特徴など。</t>
        </is>
      </c>
    </row>
    <row r="46">
      <c r="C46" s="129" t="inlineStr">
        <is>
          <t>比較・相性</t>
        </is>
      </c>
      <c r="D46" s="123" t="inlineStr">
        <is>
          <t>isfp enfp</t>
        </is>
      </c>
      <c r="E46" s="116" t="n"/>
      <c r="F46" s="127" t="n">
        <v>4400</v>
      </c>
      <c r="G46" s="131" t="n">
        <v>0</v>
      </c>
      <c r="H46" s="103" t="inlineStr">
        <is>
          <t>特定の相手との相性。</t>
        </is>
      </c>
    </row>
    <row r="47">
      <c r="C47" s="129" t="inlineStr">
        <is>
          <t>ネガティブ</t>
        </is>
      </c>
      <c r="D47" s="123" t="inlineStr">
        <is>
          <t>isfp 相性悪い</t>
        </is>
      </c>
      <c r="E47" s="116" t="n"/>
      <c r="F47" s="127" t="n">
        <v>2900</v>
      </c>
      <c r="G47" s="131" t="n">
        <v>0</v>
      </c>
      <c r="H47" s="103" t="inlineStr">
        <is>
          <t>関係性の懸念。</t>
        </is>
      </c>
    </row>
    <row r="48">
      <c r="C48" s="129" t="inlineStr">
        <is>
          <t>仕事・適職</t>
        </is>
      </c>
      <c r="D48" s="123" t="inlineStr">
        <is>
          <t>isfp 向いてる仕事)</t>
        </is>
      </c>
      <c r="E48" s="53" t="inlineStr">
        <is>
          <t>isfp 向いてる仕事</t>
        </is>
      </c>
      <c r="F48" s="127" t="n">
        <v>2900</v>
      </c>
      <c r="G48" s="131" t="n">
        <v>42</v>
      </c>
      <c r="H48" s="103" t="inlineStr">
        <is>
          <t>競合高め。適職探し。</t>
        </is>
      </c>
    </row>
    <row r="49">
      <c r="C49" s="129" t="inlineStr">
        <is>
          <t>仕事・適職</t>
        </is>
      </c>
      <c r="D49" s="123" t="inlineStr">
        <is>
          <t>isfp 仕事</t>
        </is>
      </c>
      <c r="E49" s="116" t="n"/>
      <c r="F49" s="127" t="n">
        <v>1900</v>
      </c>
      <c r="G49" s="131" t="n">
        <v>22</v>
      </c>
      <c r="H49" s="103" t="inlineStr">
        <is>
          <t>仕事全般の悩み。競合あり。</t>
        </is>
      </c>
    </row>
    <row r="50">
      <c r="C50" s="129" t="inlineStr">
        <is>
          <t>仕事・適職</t>
        </is>
      </c>
      <c r="D50" s="123" t="inlineStr">
        <is>
          <t>isfp 職業</t>
        </is>
      </c>
      <c r="E50" s="116" t="n"/>
      <c r="F50" s="127" t="n">
        <v>1900</v>
      </c>
      <c r="G50" s="131" t="n">
        <v>22</v>
      </c>
      <c r="H50" s="103" t="inlineStr">
        <is>
          <t>具体的な職種名。</t>
        </is>
      </c>
    </row>
    <row r="51">
      <c r="C51" s="129" t="inlineStr">
        <is>
          <t>仕事・適職</t>
        </is>
      </c>
      <c r="D51" s="123" t="inlineStr">
        <is>
          <t>isfp 適職</t>
        </is>
      </c>
      <c r="E51" s="123" t="n"/>
      <c r="F51" s="131" t="n">
        <v>880</v>
      </c>
      <c r="G51" s="131" t="n">
        <v>33</v>
      </c>
      <c r="H51" s="103" t="inlineStr">
        <is>
          <t>適職診断など。</t>
        </is>
      </c>
    </row>
    <row r="52">
      <c r="C52" s="129" t="inlineStr">
        <is>
          <t>マネタイズ</t>
        </is>
      </c>
      <c r="D52" s="123" t="inlineStr">
        <is>
          <t>isfp 転職</t>
        </is>
      </c>
      <c r="E52" s="123" t="n"/>
      <c r="F52" s="131" t="n">
        <v>70</v>
      </c>
      <c r="G52" s="131" t="n">
        <v>75</v>
      </c>
      <c r="H52" s="103" t="inlineStr">
        <is>
          <t>検索数は少ないが超高競合・収益性大。</t>
        </is>
      </c>
    </row>
    <row r="53">
      <c r="A53" s="124" t="inlineStr">
        <is>
          <t>ESFP</t>
        </is>
      </c>
      <c r="B53" s="130" t="inlineStr">
        <is>
          <t>https://dym.asia/media/recruiting/esfp/</t>
        </is>
      </c>
      <c r="C53" s="126" t="inlineStr">
        <is>
          <t>ビッグワード</t>
        </is>
      </c>
      <c r="D53" s="123" t="inlineStr">
        <is>
          <t>esfp</t>
        </is>
      </c>
      <c r="E53" s="116" t="n"/>
      <c r="F53" s="127" t="n">
        <v>201000</v>
      </c>
      <c r="G53" s="131" t="n">
        <v>0</v>
      </c>
      <c r="H53" s="103" t="inlineStr">
        <is>
          <t>基本検索。ボリュームは大。</t>
        </is>
      </c>
    </row>
    <row r="54">
      <c r="C54" s="129" t="inlineStr">
        <is>
          <t>相性・恋愛</t>
        </is>
      </c>
      <c r="D54" s="123" t="inlineStr">
        <is>
          <t>esfp 相性</t>
        </is>
      </c>
      <c r="E54" s="53" t="inlineStr">
        <is>
          <t>esfp 相性</t>
        </is>
      </c>
      <c r="F54" s="127" t="n">
        <v>40500</v>
      </c>
      <c r="G54" s="131" t="n">
        <v>0</v>
      </c>
      <c r="H54" s="103" t="inlineStr">
        <is>
          <t>最大の関心事。人間関係重視。</t>
        </is>
      </c>
    </row>
    <row r="55">
      <c r="C55" s="129" t="inlineStr">
        <is>
          <t>性格・特徴</t>
        </is>
      </c>
      <c r="D55" s="123" t="inlineStr">
        <is>
          <t>esfp 性格</t>
        </is>
      </c>
      <c r="E55" s="53" t="inlineStr">
        <is>
          <t>enfp 性格</t>
        </is>
      </c>
      <c r="F55" s="127" t="n">
        <v>18100</v>
      </c>
      <c r="G55" s="131" t="n">
        <v>1</v>
      </c>
      <c r="H55" s="55" t="n"/>
    </row>
    <row r="56">
      <c r="C56" s="129" t="inlineStr">
        <is>
          <t>サブタイプ</t>
        </is>
      </c>
      <c r="D56" s="123" t="inlineStr">
        <is>
          <t>esfp-t</t>
        </is>
      </c>
      <c r="E56" s="53" t="inlineStr">
        <is>
          <t>esfp-t</t>
        </is>
      </c>
      <c r="F56" s="127" t="n">
        <v>12100</v>
      </c>
      <c r="G56" s="131" t="n">
        <v>0</v>
      </c>
      <c r="H56" s="103" t="inlineStr">
        <is>
          <t>慎重型(Turbulent)への関心。</t>
        </is>
      </c>
    </row>
    <row r="57">
      <c r="C57" s="129" t="inlineStr">
        <is>
          <t>サブタイプ</t>
        </is>
      </c>
      <c r="D57" s="123" t="inlineStr">
        <is>
          <t>esfp-a</t>
        </is>
      </c>
      <c r="E57" s="53" t="inlineStr">
        <is>
          <t>enfp-a</t>
        </is>
      </c>
      <c r="F57" s="127" t="n">
        <v>6600</v>
      </c>
      <c r="G57" s="131" t="n">
        <v>0</v>
      </c>
      <c r="H57" s="103" t="inlineStr">
        <is>
          <t>自己主張型(Assertive)。</t>
        </is>
      </c>
    </row>
    <row r="58">
      <c r="C58" s="129" t="inlineStr">
        <is>
          <t>性格・特徴</t>
        </is>
      </c>
      <c r="D58" s="123" t="inlineStr">
        <is>
          <t>esfp 特徴</t>
        </is>
      </c>
      <c r="E58" s="116" t="n"/>
      <c r="F58" s="127" t="n">
        <v>6600</v>
      </c>
      <c r="G58" s="131" t="n">
        <v>0</v>
      </c>
      <c r="H58" s="55" t="n"/>
    </row>
    <row r="59">
      <c r="C59" s="129" t="inlineStr">
        <is>
          <t>相性・恋愛</t>
        </is>
      </c>
      <c r="D59" s="123" t="inlineStr">
        <is>
          <t>esfp 恋愛</t>
        </is>
      </c>
      <c r="E59" s="116" t="n"/>
      <c r="F59" s="127" t="n">
        <v>2900</v>
      </c>
      <c r="G59" s="131" t="n">
        <v>0</v>
      </c>
      <c r="H59" s="103" t="inlineStr">
        <is>
          <t>恋愛攻略法など。</t>
        </is>
      </c>
    </row>
    <row r="60">
      <c r="C60" s="129" t="inlineStr">
        <is>
          <t>ネガティブ</t>
        </is>
      </c>
      <c r="D60" s="123" t="inlineStr">
        <is>
          <t>esfp 相性悪い</t>
        </is>
      </c>
      <c r="E60" s="53" t="inlineStr">
        <is>
          <t>esfp 相性悪い</t>
        </is>
      </c>
      <c r="F60" s="127" t="n">
        <v>2900</v>
      </c>
      <c r="G60" s="131" t="n">
        <v>0</v>
      </c>
      <c r="H60" s="103" t="inlineStr">
        <is>
          <t>人間関係のトラブルを懸念。</t>
        </is>
      </c>
    </row>
    <row r="61">
      <c r="C61" s="129" t="inlineStr">
        <is>
          <t>共感</t>
        </is>
      </c>
      <c r="D61" s="123" t="inlineStr">
        <is>
          <t>esfp あるある</t>
        </is>
      </c>
      <c r="E61" s="116" t="n"/>
      <c r="F61" s="127" t="n">
        <v>2900</v>
      </c>
      <c r="G61" s="131" t="n">
        <v>0</v>
      </c>
      <c r="H61" s="103" t="inlineStr">
        <is>
          <t>共感を求める。他タイプよりやや少なめ。</t>
        </is>
      </c>
    </row>
    <row r="62">
      <c r="C62" s="129" t="inlineStr">
        <is>
          <t>比較</t>
        </is>
      </c>
      <c r="D62" s="123" t="inlineStr">
        <is>
          <t>esfp infp</t>
        </is>
      </c>
      <c r="E62" s="116" t="n"/>
      <c r="F62" s="127" t="n">
        <v>1900</v>
      </c>
      <c r="G62" s="131" t="n">
        <v>0</v>
      </c>
      <c r="H62" s="103" t="inlineStr">
        <is>
          <t>特定のタイプとの相性。</t>
        </is>
      </c>
    </row>
    <row r="63">
      <c r="C63" s="129" t="inlineStr">
        <is>
          <t>ネガティブ</t>
        </is>
      </c>
      <c r="D63" s="123" t="inlineStr">
        <is>
          <t>esfp 性格悪い</t>
        </is>
      </c>
      <c r="E63" s="116" t="n"/>
      <c r="F63" s="127" t="n">
        <v>1900</v>
      </c>
      <c r="G63" s="131" t="n">
        <v>0</v>
      </c>
      <c r="H63" s="103" t="inlineStr">
        <is>
          <t>周囲からの評価を気にしている。</t>
        </is>
      </c>
    </row>
    <row r="64">
      <c r="C64" s="129" t="inlineStr">
        <is>
          <t>相性・恋愛</t>
        </is>
      </c>
      <c r="D64" s="123" t="inlineStr">
        <is>
          <t>esfp 相性一覧</t>
        </is>
      </c>
      <c r="E64" s="116" t="n"/>
      <c r="F64" s="127" t="n">
        <v>1600</v>
      </c>
      <c r="G64" s="131" t="n">
        <v>0</v>
      </c>
      <c r="H64" s="103" t="inlineStr">
        <is>
          <t>幅広い交友関係への関心。</t>
        </is>
      </c>
    </row>
    <row r="65">
      <c r="C65" s="129" t="inlineStr">
        <is>
          <t>仕事</t>
        </is>
      </c>
      <c r="D65" s="123" t="inlineStr">
        <is>
          <t>esfp 職業</t>
        </is>
      </c>
      <c r="E65" s="123" t="n"/>
      <c r="F65" s="131" t="n">
        <v>720</v>
      </c>
      <c r="G65" s="131" t="n">
        <v>13</v>
      </c>
      <c r="H65" s="103" t="inlineStr">
        <is>
          <t>具体的な職種探し。</t>
        </is>
      </c>
    </row>
    <row r="66">
      <c r="C66" s="129" t="inlineStr">
        <is>
          <t>仕事</t>
        </is>
      </c>
      <c r="D66" s="123" t="inlineStr">
        <is>
          <t>esfp 仕事</t>
        </is>
      </c>
      <c r="E66" s="53" t="inlineStr">
        <is>
          <t>esfp 仕事</t>
        </is>
      </c>
      <c r="F66" s="131" t="n">
        <v>590</v>
      </c>
      <c r="G66" s="131" t="n">
        <v>23</v>
      </c>
      <c r="H66" s="103" t="inlineStr">
        <is>
          <t>競合性あり。仕事の悩み。</t>
        </is>
      </c>
    </row>
    <row r="67">
      <c r="C67" s="129" t="inlineStr">
        <is>
          <t>属性</t>
        </is>
      </c>
      <c r="D67" s="123" t="inlineStr">
        <is>
          <t>esfp 男</t>
        </is>
      </c>
      <c r="E67" s="123" t="n"/>
      <c r="F67" s="131" t="n">
        <v>590</v>
      </c>
      <c r="G67" s="131" t="n">
        <v>0</v>
      </c>
      <c r="H67" s="103" t="inlineStr">
        <is>
          <t>男性ESFPの特徴。</t>
        </is>
      </c>
    </row>
    <row r="68">
      <c r="C68" s="129" t="inlineStr">
        <is>
          <t>仕事</t>
        </is>
      </c>
      <c r="D68" s="123" t="inlineStr">
        <is>
          <t>esfp 適職</t>
        </is>
      </c>
      <c r="E68" s="123" t="n"/>
      <c r="F68" s="131" t="n">
        <v>170</v>
      </c>
      <c r="G68" s="131" t="n">
        <v>25</v>
      </c>
      <c r="H68" s="103" t="inlineStr">
        <is>
          <t>自分に合う仕事探し。</t>
        </is>
      </c>
    </row>
    <row r="69">
      <c r="C69" s="129" t="inlineStr">
        <is>
          <t>マネタイズ</t>
        </is>
      </c>
      <c r="D69" s="123" t="inlineStr">
        <is>
          <t>esfp 適正(職)</t>
        </is>
      </c>
      <c r="E69" s="123" t="n"/>
      <c r="F69" s="131" t="n">
        <v>10</v>
      </c>
      <c r="G69" s="131" t="n">
        <v>73</v>
      </c>
      <c r="H69" s="103" t="inlineStr">
        <is>
          <t>検索数は極少だが超高競合。</t>
        </is>
      </c>
    </row>
    <row r="70">
      <c r="A70" s="132" t="n"/>
      <c r="B70" s="133" t="n"/>
    </row>
  </sheetData>
  <mergeCells count="8">
    <mergeCell ref="A17:A34"/>
    <mergeCell ref="A35:A52"/>
    <mergeCell ref="B53:B69"/>
    <mergeCell ref="A53:A69"/>
    <mergeCell ref="B17:B34"/>
    <mergeCell ref="B3:B16"/>
    <mergeCell ref="A3:A16"/>
    <mergeCell ref="B35:B52"/>
  </mergeCells>
  <hyperlinks>
    <hyperlink xmlns:r="http://schemas.openxmlformats.org/officeDocument/2006/relationships" ref="B1" r:id="rId1"/>
    <hyperlink xmlns:r="http://schemas.openxmlformats.org/officeDocument/2006/relationships" ref="B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14" r:id="rId7"/>
    <hyperlink xmlns:r="http://schemas.openxmlformats.org/officeDocument/2006/relationships" ref="E15" r:id="rId8"/>
    <hyperlink xmlns:r="http://schemas.openxmlformats.org/officeDocument/2006/relationships" ref="B17" r:id="rId9"/>
    <hyperlink xmlns:r="http://schemas.openxmlformats.org/officeDocument/2006/relationships" ref="E18" r:id="rId10"/>
    <hyperlink xmlns:r="http://schemas.openxmlformats.org/officeDocument/2006/relationships" ref="E19" r:id="rId11"/>
    <hyperlink xmlns:r="http://schemas.openxmlformats.org/officeDocument/2006/relationships" ref="E20" r:id="rId12"/>
    <hyperlink xmlns:r="http://schemas.openxmlformats.org/officeDocument/2006/relationships" ref="E21" r:id="rId13"/>
    <hyperlink xmlns:r="http://schemas.openxmlformats.org/officeDocument/2006/relationships" ref="E25" r:id="rId14"/>
    <hyperlink xmlns:r="http://schemas.openxmlformats.org/officeDocument/2006/relationships" ref="E27" r:id="rId15"/>
    <hyperlink xmlns:r="http://schemas.openxmlformats.org/officeDocument/2006/relationships" ref="B35" r:id="rId16"/>
    <hyperlink xmlns:r="http://schemas.openxmlformats.org/officeDocument/2006/relationships" ref="E36" r:id="rId17"/>
    <hyperlink xmlns:r="http://schemas.openxmlformats.org/officeDocument/2006/relationships" ref="E37" r:id="rId18"/>
    <hyperlink xmlns:r="http://schemas.openxmlformats.org/officeDocument/2006/relationships" ref="E38" r:id="rId19"/>
    <hyperlink xmlns:r="http://schemas.openxmlformats.org/officeDocument/2006/relationships" ref="E39" r:id="rId20"/>
    <hyperlink xmlns:r="http://schemas.openxmlformats.org/officeDocument/2006/relationships" ref="E42" r:id="rId21"/>
    <hyperlink xmlns:r="http://schemas.openxmlformats.org/officeDocument/2006/relationships" ref="E48" r:id="rId22"/>
    <hyperlink xmlns:r="http://schemas.openxmlformats.org/officeDocument/2006/relationships" ref="B53" r:id="rId23"/>
    <hyperlink xmlns:r="http://schemas.openxmlformats.org/officeDocument/2006/relationships" ref="E54" r:id="rId24"/>
    <hyperlink xmlns:r="http://schemas.openxmlformats.org/officeDocument/2006/relationships" ref="E55" r:id="rId25"/>
    <hyperlink xmlns:r="http://schemas.openxmlformats.org/officeDocument/2006/relationships" ref="E56" r:id="rId26"/>
    <hyperlink xmlns:r="http://schemas.openxmlformats.org/officeDocument/2006/relationships" ref="E57" r:id="rId27"/>
    <hyperlink xmlns:r="http://schemas.openxmlformats.org/officeDocument/2006/relationships" ref="E60" r:id="rId28"/>
    <hyperlink xmlns:r="http://schemas.openxmlformats.org/officeDocument/2006/relationships" ref="E66" r:id="rId29"/>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898"/>
  <sheetViews>
    <sheetView workbookViewId="0">
      <selection activeCell="A1" sqref="A1"/>
    </sheetView>
  </sheetViews>
  <sheetFormatPr baseColWidth="8" defaultColWidth="12.63" defaultRowHeight="15.75" customHeight="1"/>
  <cols>
    <col width="30" customWidth="1" style="185" min="2" max="2"/>
    <col width="18.25" customWidth="1" style="185" min="4" max="4"/>
    <col width="31.38" customWidth="1" style="185" min="5" max="5"/>
    <col width="42.5" customWidth="1" style="185" min="6" max="6"/>
    <col width="18.25" customWidth="1" style="185" min="11" max="11"/>
  </cols>
  <sheetData>
    <row r="1">
      <c r="A1" s="134" t="inlineStr">
        <is>
          <t>タイトル</t>
        </is>
      </c>
      <c r="B1" s="135" t="inlineStr">
        <is>
          <t>〇〇〇〇（MBTIタイプ）とは？性格の特徴と向いている業界/仕事を解説</t>
        </is>
      </c>
      <c r="C1" s="136" t="n"/>
      <c r="D1" s="136" t="n"/>
      <c r="E1" s="136" t="n"/>
      <c r="F1" s="136" t="n"/>
      <c r="G1" s="136" t="n"/>
      <c r="H1" s="136" t="n"/>
      <c r="I1" s="136" t="n"/>
      <c r="J1" s="138" t="inlineStr">
        <is>
          <t>総文字数 9,500字</t>
        </is>
      </c>
      <c r="K1" s="138" t="n"/>
      <c r="L1" s="138" t="n"/>
      <c r="M1" s="139" t="n"/>
      <c r="N1" s="139" t="n"/>
      <c r="O1" s="139" t="n"/>
      <c r="P1" s="139" t="n"/>
      <c r="Q1" s="139" t="n"/>
      <c r="R1" s="139" t="n"/>
      <c r="S1" s="139" t="n"/>
      <c r="T1" s="139" t="n"/>
      <c r="U1" s="139" t="n"/>
      <c r="V1" s="139" t="n"/>
      <c r="W1" s="139" t="n"/>
      <c r="X1" s="139" t="n"/>
      <c r="Y1" s="139" t="n"/>
      <c r="Z1" s="139" t="n"/>
      <c r="AA1" s="140" t="n"/>
    </row>
    <row r="2">
      <c r="A2" s="141" t="inlineStr">
        <is>
          <t>KW</t>
        </is>
      </c>
      <c r="B2" s="188" t="inlineStr">
        <is>
          <t>導入／見出し</t>
        </is>
      </c>
      <c r="C2" s="189" t="n"/>
      <c r="D2" s="189" t="n"/>
      <c r="E2" s="190" t="n"/>
      <c r="F2" s="146" t="inlineStr">
        <is>
          <t>概要</t>
        </is>
      </c>
      <c r="G2" s="146" t="inlineStr">
        <is>
          <t>参考URL①</t>
        </is>
      </c>
      <c r="H2" s="146" t="inlineStr">
        <is>
          <t>参考URL②</t>
        </is>
      </c>
      <c r="I2" s="146" t="inlineStr">
        <is>
          <t>参考URL③</t>
        </is>
      </c>
      <c r="J2" s="146" t="inlineStr">
        <is>
          <t>想定文字数</t>
        </is>
      </c>
      <c r="K2" s="146" t="inlineStr">
        <is>
          <t>メモ①</t>
        </is>
      </c>
      <c r="L2" s="146" t="inlineStr">
        <is>
          <t>メモ②</t>
        </is>
      </c>
      <c r="M2" s="139" t="n"/>
      <c r="N2" s="139" t="n"/>
      <c r="O2" s="139" t="n"/>
      <c r="P2" s="139" t="n"/>
      <c r="Q2" s="139" t="n"/>
      <c r="R2" s="139" t="n"/>
      <c r="S2" s="139" t="n"/>
      <c r="T2" s="139" t="n"/>
      <c r="U2" s="139" t="n"/>
      <c r="V2" s="139" t="n"/>
      <c r="W2" s="139" t="n"/>
      <c r="X2" s="139" t="n"/>
      <c r="Y2" s="139" t="n"/>
      <c r="Z2" s="139" t="n"/>
      <c r="AA2" s="140" t="n"/>
    </row>
    <row r="3">
      <c r="A3" s="191" t="inlineStr">
        <is>
          <t>〇〇〇〇（MBTIタイプ）
向いてる仕事
仕事</t>
        </is>
      </c>
      <c r="B3" s="192" t="inlineStr">
        <is>
          <t>導入文</t>
        </is>
      </c>
      <c r="C3" s="193" t="n"/>
      <c r="D3" s="169" t="inlineStr">
        <is>
          <t>MBTIは、思考や行動の傾向から人の性格を16タイプに分類する指標です。
特に仕事やキャリアの分野では、「どんな環境で力を発揮しやすいか」「どんな働き方が合うか」を考える手がかりとして注目されています。
ここから先では、MBTI各タイプの特徴をもとに、向いている仕事や働き方を見ていきます。</t>
        </is>
      </c>
      <c r="E3" s="189" t="n"/>
      <c r="F3" s="193" t="n"/>
      <c r="G3" s="151" t="inlineStr">
        <is>
          <t>https://www.mbti.or.jp/what/</t>
        </is>
      </c>
      <c r="H3" s="153" t="n"/>
      <c r="I3" s="153" t="n"/>
      <c r="J3" s="153" t="inlineStr">
        <is>
          <t>200〜400字</t>
        </is>
      </c>
      <c r="K3" s="153" t="n"/>
      <c r="L3" s="153" t="n"/>
      <c r="M3" s="139" t="n"/>
      <c r="N3" s="139" t="n"/>
      <c r="O3" s="139" t="n"/>
      <c r="P3" s="139" t="n"/>
      <c r="Q3" s="139" t="n"/>
      <c r="R3" s="139" t="n"/>
      <c r="S3" s="139" t="n"/>
      <c r="T3" s="139" t="n"/>
      <c r="U3" s="139" t="n"/>
      <c r="V3" s="139" t="n"/>
      <c r="W3" s="139" t="n"/>
      <c r="X3" s="139" t="n"/>
      <c r="Y3" s="139" t="n"/>
      <c r="Z3" s="139" t="n"/>
      <c r="AA3" s="140" t="n"/>
    </row>
    <row r="4">
      <c r="A4" s="194" t="n"/>
      <c r="B4" s="192" t="inlineStr">
        <is>
          <t>見出し1</t>
        </is>
      </c>
      <c r="C4" s="195" t="n"/>
      <c r="D4" s="196" t="inlineStr">
        <is>
          <t>〇〇〇〇とは？性格の特徴と強み・弱み</t>
        </is>
      </c>
      <c r="E4" s="193" t="n"/>
      <c r="F4" s="169" t="inlineStr">
        <is>
          <t>そのMBTIタイプの定義（4つの指標組合せ）から説明し、性格の特徴・行動傾向を整理。さらに強み・弱みを箇条書きで示し、読者がすぐ理解できるようにまとめる。</t>
        </is>
      </c>
      <c r="G4" s="197" t="inlineStr">
        <is>
          <t>https://uzuz.jp/service/career-support/column/article-3434-author-uzuz38/</t>
        </is>
      </c>
      <c r="H4" s="198" t="inlineStr">
        <is>
          <t>https://www.best-shingaku.net/s-matome/skill/c001284.php</t>
        </is>
      </c>
      <c r="I4" s="199" t="n"/>
      <c r="J4" s="153" t="inlineStr">
        <is>
          <t>700〜900字</t>
        </is>
      </c>
      <c r="K4" s="153" t="inlineStr">
        <is>
          <t>〇〇〇〇＝MBTIタイプ</t>
        </is>
      </c>
      <c r="L4" s="153" t="inlineStr">
        <is>
          <t>既存記事の概要</t>
        </is>
      </c>
      <c r="M4" s="139" t="n"/>
      <c r="N4" s="139" t="n"/>
      <c r="O4" s="139" t="n"/>
      <c r="P4" s="139" t="n"/>
      <c r="Q4" s="139" t="n"/>
      <c r="R4" s="139" t="n"/>
      <c r="S4" s="139" t="n"/>
      <c r="T4" s="139" t="n"/>
      <c r="U4" s="139" t="n"/>
      <c r="V4" s="139" t="n"/>
      <c r="W4" s="139" t="n"/>
      <c r="X4" s="139" t="n"/>
      <c r="Y4" s="139" t="n"/>
      <c r="Z4" s="139" t="n"/>
      <c r="AA4" s="140" t="n"/>
    </row>
    <row r="5" ht="51" customHeight="1" s="185">
      <c r="A5" s="194" t="n"/>
      <c r="B5" s="200" t="n"/>
      <c r="C5" s="201" t="n"/>
      <c r="D5" s="165" t="inlineStr">
        <is>
          <t>小見出し例</t>
        </is>
      </c>
      <c r="E5" s="153" t="inlineStr">
        <is>
          <t>・〇〇〇〇の性格の特徴
　・ＡかＴ（概要は軽く説明）
・〇〇〇〇の強み
・〇〇〇〇の弱み</t>
        </is>
      </c>
      <c r="F5" s="202" t="n"/>
      <c r="G5" s="202" t="n"/>
      <c r="H5" s="202" t="n"/>
      <c r="I5" s="202" t="n"/>
      <c r="J5" s="202" t="n"/>
      <c r="K5" s="202" t="n"/>
      <c r="L5" s="202" t="n"/>
      <c r="M5" s="139" t="n"/>
      <c r="N5" s="139" t="n"/>
      <c r="O5" s="139" t="n"/>
      <c r="P5" s="139" t="n"/>
      <c r="Q5" s="139" t="n"/>
      <c r="R5" s="139" t="n"/>
      <c r="S5" s="139" t="n"/>
      <c r="T5" s="139" t="n"/>
      <c r="U5" s="139" t="n"/>
      <c r="V5" s="139" t="n"/>
      <c r="W5" s="139" t="n"/>
      <c r="X5" s="139" t="n"/>
      <c r="Y5" s="139" t="n"/>
      <c r="Z5" s="139" t="n"/>
      <c r="AA5" s="140" t="n"/>
    </row>
    <row r="6">
      <c r="A6" s="194" t="n"/>
      <c r="B6" s="192" t="inlineStr">
        <is>
          <t>見出し2</t>
        </is>
      </c>
      <c r="C6" s="195" t="n"/>
      <c r="D6" s="203" t="inlineStr">
        <is>
          <t>〇〇〇〇を「仕事の3軸」で整理</t>
        </is>
      </c>
      <c r="E6" s="193" t="n"/>
      <c r="F6" s="169" t="inlineStr">
        <is>
          <t>・対人関与の量
・変化・裁量の大きさ
・評価・成果のスピード
という3つの軸で、そのタイプの仕事傾向を整理する。
読者が「どんな働き方や職場が合うか」をつかみやすくする内容にする。</t>
        </is>
      </c>
      <c r="G6" s="197" t="inlineStr">
        <is>
          <t>https://www.themuse.com/advice/best-jobs-for-personality-types?utm_source=chatgpt.com</t>
        </is>
      </c>
      <c r="H6" s="199" t="n"/>
      <c r="I6" s="199" t="n"/>
      <c r="J6" s="153" t="inlineStr">
        <is>
          <t>1,400〜1,600字</t>
        </is>
      </c>
      <c r="K6" s="153" t="inlineStr">
        <is>
          <t>〇〇〇〇＝MBTIタイプ</t>
        </is>
      </c>
      <c r="L6" s="153" t="n"/>
      <c r="M6" s="139" t="n"/>
      <c r="N6" s="139" t="n"/>
      <c r="O6" s="139" t="n"/>
      <c r="P6" s="139" t="n"/>
      <c r="Q6" s="139" t="n"/>
      <c r="R6" s="139" t="n"/>
      <c r="S6" s="139" t="n"/>
      <c r="T6" s="139" t="n"/>
      <c r="U6" s="139" t="n"/>
      <c r="V6" s="139" t="n"/>
      <c r="W6" s="139" t="n"/>
      <c r="X6" s="139" t="n"/>
      <c r="Y6" s="139" t="n"/>
      <c r="Z6" s="139" t="n"/>
      <c r="AA6" s="140" t="n"/>
    </row>
    <row r="7" ht="68.25" customHeight="1" s="185">
      <c r="A7" s="194" t="n"/>
      <c r="B7" s="200" t="n"/>
      <c r="C7" s="201" t="n"/>
      <c r="D7" s="165" t="inlineStr">
        <is>
          <t>小見出し例</t>
        </is>
      </c>
      <c r="E7" s="169" t="inlineStr">
        <is>
          <t>１対人関与の量（多い／普通／少ない）
２変化・裁量の大きさ（大／中／小）
３評価・成果のスピード（早／普通／遅）</t>
        </is>
      </c>
      <c r="F7" s="202" t="n"/>
      <c r="G7" s="202" t="n"/>
      <c r="H7" s="202" t="n"/>
      <c r="I7" s="202" t="n"/>
      <c r="J7" s="202" t="n"/>
      <c r="K7" s="202" t="n"/>
      <c r="L7" s="202" t="n"/>
      <c r="M7" s="139" t="n"/>
      <c r="N7" s="139" t="n"/>
      <c r="O7" s="139" t="n"/>
      <c r="P7" s="139" t="n"/>
      <c r="Q7" s="139" t="n"/>
      <c r="R7" s="139" t="n"/>
      <c r="S7" s="139" t="n"/>
      <c r="T7" s="139" t="n"/>
      <c r="U7" s="139" t="n"/>
      <c r="V7" s="139" t="n"/>
      <c r="W7" s="139" t="n"/>
      <c r="X7" s="139" t="n"/>
      <c r="Y7" s="139" t="n"/>
      <c r="Z7" s="139" t="n"/>
      <c r="AA7" s="140" t="n"/>
    </row>
    <row r="8">
      <c r="A8" s="194" t="n"/>
      <c r="B8" s="204" t="inlineStr">
        <is>
          <t>見出し3</t>
        </is>
      </c>
      <c r="C8" s="195" t="n"/>
      <c r="D8" s="203" t="inlineStr">
        <is>
          <t>仕事の3軸から見る、〇〇〇〇の向いてる業界</t>
        </is>
      </c>
      <c r="E8" s="193" t="n"/>
      <c r="F8" s="169" t="inlineStr">
        <is>
          <t>「仕事の3軸」で整理した傾向をもとに、向いている業界例を並べる。
それぞれの業界ごとに、なぜ向いているのか理由を1〜2文で解説する。</t>
        </is>
      </c>
      <c r="G8" s="205" t="inlineStr">
        <is>
          <t>https://uzuz.jp/service/career-support/column/article-3434-author-uzuz38/</t>
        </is>
      </c>
      <c r="H8" s="198" t="inlineStr">
        <is>
          <t>https://www.best-shingaku.net/s-matome/skill/c001284.php</t>
        </is>
      </c>
      <c r="I8" s="153" t="n"/>
      <c r="J8" s="153" t="inlineStr">
        <is>
          <t>1,000〜1,200字</t>
        </is>
      </c>
      <c r="K8" s="153" t="inlineStr">
        <is>
          <t>〇〇〇〇＝MBTIタイプ</t>
        </is>
      </c>
      <c r="L8" s="153" t="n"/>
      <c r="M8" s="139" t="n"/>
      <c r="N8" s="139" t="n"/>
      <c r="O8" s="139" t="n"/>
      <c r="P8" s="139" t="n"/>
      <c r="Q8" s="139" t="n"/>
      <c r="R8" s="139" t="n"/>
      <c r="S8" s="139" t="n"/>
      <c r="T8" s="139" t="n"/>
      <c r="U8" s="139" t="n"/>
      <c r="V8" s="139" t="n"/>
      <c r="W8" s="139" t="n"/>
      <c r="X8" s="139" t="n"/>
      <c r="Y8" s="139" t="n"/>
      <c r="Z8" s="139" t="n"/>
      <c r="AA8" s="140" t="n"/>
    </row>
    <row r="9">
      <c r="A9" s="194" t="n"/>
      <c r="B9" s="200" t="n"/>
      <c r="C9" s="201" t="n"/>
      <c r="D9" s="165" t="inlineStr">
        <is>
          <t>小見出し例</t>
        </is>
      </c>
      <c r="E9" s="169" t="inlineStr">
        <is>
          <t>・〇〇〇〇に向いてる業界の特徴
・〇〇〇〇に向いてる業界例
・なぜこれらの仕事が〇〇〇〇に向いているのか</t>
        </is>
      </c>
      <c r="F9" s="202" t="n"/>
      <c r="G9" s="202" t="n"/>
      <c r="H9" s="202" t="n"/>
      <c r="I9" s="202" t="n"/>
      <c r="J9" s="202" t="n"/>
      <c r="K9" s="202" t="n"/>
      <c r="L9" s="202" t="n"/>
      <c r="M9" s="139" t="n"/>
      <c r="N9" s="139" t="n"/>
      <c r="O9" s="139" t="n"/>
      <c r="P9" s="139" t="n"/>
      <c r="Q9" s="139" t="n"/>
      <c r="R9" s="139" t="n"/>
      <c r="S9" s="139" t="n"/>
      <c r="T9" s="139" t="n"/>
      <c r="U9" s="139" t="n"/>
      <c r="V9" s="139" t="n"/>
      <c r="W9" s="139" t="n"/>
      <c r="X9" s="139" t="n"/>
      <c r="Y9" s="139" t="n"/>
      <c r="Z9" s="139" t="n"/>
      <c r="AA9" s="140" t="n"/>
    </row>
    <row r="10">
      <c r="A10" s="194" t="n"/>
      <c r="B10" s="204" t="inlineStr">
        <is>
          <t>見出し4</t>
        </is>
      </c>
      <c r="C10" s="195" t="n"/>
      <c r="D10" s="203" t="inlineStr">
        <is>
          <t>〇〇〇〇が向いてない業界</t>
        </is>
      </c>
      <c r="E10" s="193" t="n"/>
      <c r="F10" s="169" t="inlineStr">
        <is>
          <t>見出し3とは逆に、そのタイプが不得手・苦手とされやすい業界を例示。
向いていない理由を短めに。</t>
        </is>
      </c>
      <c r="G10" s="197" t="inlineStr">
        <is>
          <t>https://workwork.jp/article/2025/04/22/mbti-16type/?utm_source=chatgpt.com</t>
        </is>
      </c>
      <c r="H10" s="198" t="inlineStr">
        <is>
          <t>https://newmarke.boo.jp/mbti/?utm_source=chatgpt.com#toc15</t>
        </is>
      </c>
      <c r="I10" s="199" t="n"/>
      <c r="J10" s="153" t="inlineStr">
        <is>
          <t>600〜700字</t>
        </is>
      </c>
      <c r="K10" s="153" t="inlineStr">
        <is>
          <t>〇〇〇〇＝MBTIタイプ</t>
        </is>
      </c>
      <c r="L10" s="153" t="n"/>
      <c r="M10" s="139" t="n"/>
      <c r="N10" s="139" t="n"/>
      <c r="O10" s="139" t="n"/>
      <c r="P10" s="139" t="n"/>
      <c r="Q10" s="139" t="n"/>
      <c r="R10" s="139" t="n"/>
      <c r="S10" s="139" t="n"/>
      <c r="T10" s="139" t="n"/>
      <c r="U10" s="139" t="n"/>
      <c r="V10" s="139" t="n"/>
      <c r="W10" s="139" t="n"/>
      <c r="X10" s="139" t="n"/>
      <c r="Y10" s="139" t="n"/>
      <c r="Z10" s="139" t="n"/>
      <c r="AA10" s="140" t="n"/>
    </row>
    <row r="11">
      <c r="A11" s="194" t="n"/>
      <c r="B11" s="200" t="n"/>
      <c r="C11" s="201" t="n"/>
      <c r="D11" s="165" t="inlineStr">
        <is>
          <t>小見出し例</t>
        </is>
      </c>
      <c r="E11" s="169" t="inlineStr">
        <is>
          <t>・〇〇〇〇が苦手としやすい業界
・〇〇〇〇が合わない職業界例</t>
        </is>
      </c>
      <c r="F11" s="202" t="n"/>
      <c r="G11" s="202" t="n"/>
      <c r="H11" s="202" t="n"/>
      <c r="I11" s="202" t="n"/>
      <c r="J11" s="202" t="n"/>
      <c r="K11" s="202" t="n"/>
      <c r="L11" s="202" t="n"/>
      <c r="M11" s="139" t="n"/>
      <c r="N11" s="139" t="n"/>
      <c r="O11" s="139" t="n"/>
      <c r="P11" s="139" t="n"/>
      <c r="Q11" s="139" t="n"/>
      <c r="R11" s="139" t="n"/>
      <c r="S11" s="139" t="n"/>
      <c r="T11" s="139" t="n"/>
      <c r="U11" s="139" t="n"/>
      <c r="V11" s="139" t="n"/>
      <c r="W11" s="139" t="n"/>
      <c r="X11" s="139" t="n"/>
      <c r="Y11" s="139" t="n"/>
      <c r="Z11" s="139" t="n"/>
      <c r="AA11" s="140" t="n"/>
    </row>
    <row r="12">
      <c r="A12" s="194" t="n"/>
      <c r="B12" s="204" t="inlineStr">
        <is>
          <t>見出し5</t>
        </is>
      </c>
      <c r="C12" s="195" t="n"/>
      <c r="D12" s="203" t="inlineStr">
        <is>
          <t>仕事の3軸から見る、〇〇〇〇の向いてる仕事</t>
        </is>
      </c>
      <c r="E12" s="193" t="n"/>
      <c r="F12" s="169" t="inlineStr">
        <is>
          <t>「仕事の3軸」で整理した〇〇〇〇の傾向をもとに、向いている仕事の特徴や共通点を整理する。
そのうえで、向いている仕事を「〇〇〇な仕事」といった形で3つほど抽象的に分類し、各分類に当てはまる具体的な職種例を紹介する。
あわせて、なぜこれらの仕事が〇〇〇〇に向いているのかを、1〜2文で解説する。</t>
        </is>
      </c>
      <c r="G12" s="205" t="inlineStr">
        <is>
          <t>https://uzuz.jp/service/career-support/column/article-3434-author-uzuz38/</t>
        </is>
      </c>
      <c r="H12" s="198" t="inlineStr">
        <is>
          <t>https://www.best-shingaku.net/s-matome/skill/c001284.php</t>
        </is>
      </c>
      <c r="I12" s="153" t="n"/>
      <c r="J12" s="153" t="inlineStr">
        <is>
          <t>1,200〜1,400字</t>
        </is>
      </c>
      <c r="K12" s="153" t="inlineStr">
        <is>
          <t>〇〇〇〇＝MBTIタイプ</t>
        </is>
      </c>
      <c r="L12" s="153" t="n"/>
      <c r="M12" s="139" t="n"/>
      <c r="N12" s="139" t="n"/>
      <c r="O12" s="139" t="n"/>
      <c r="P12" s="139" t="n"/>
      <c r="Q12" s="139" t="n"/>
      <c r="R12" s="139" t="n"/>
      <c r="S12" s="139" t="n"/>
      <c r="T12" s="139" t="n"/>
      <c r="U12" s="139" t="n"/>
      <c r="V12" s="139" t="n"/>
      <c r="W12" s="139" t="n"/>
      <c r="X12" s="139" t="n"/>
      <c r="Y12" s="139" t="n"/>
      <c r="Z12" s="139" t="n"/>
      <c r="AA12" s="140" t="n"/>
    </row>
    <row r="13" ht="107.25" customHeight="1" s="185">
      <c r="A13" s="194" t="n"/>
      <c r="B13" s="200" t="n"/>
      <c r="C13" s="201" t="n"/>
      <c r="D13" s="165" t="inlineStr">
        <is>
          <t>小見出し例</t>
        </is>
      </c>
      <c r="E13" s="169" t="inlineStr">
        <is>
          <t>・〇〇〇〇に向いてる仕事の特徴、共通点
・〇〇〇〇に向いてる職種例
・なぜこれらの仕事が〇〇〇〇に向いているのか</t>
        </is>
      </c>
      <c r="F13" s="202" t="n"/>
      <c r="G13" s="202" t="n"/>
      <c r="H13" s="202" t="n"/>
      <c r="I13" s="202" t="n"/>
      <c r="J13" s="202" t="n"/>
      <c r="K13" s="202" t="n"/>
      <c r="L13" s="202" t="n"/>
      <c r="M13" s="139" t="n"/>
      <c r="N13" s="139" t="n"/>
      <c r="O13" s="139" t="n"/>
      <c r="P13" s="139" t="n"/>
      <c r="Q13" s="139" t="n"/>
      <c r="R13" s="139" t="n"/>
      <c r="S13" s="139" t="n"/>
      <c r="T13" s="139" t="n"/>
      <c r="U13" s="139" t="n"/>
      <c r="V13" s="139" t="n"/>
      <c r="W13" s="139" t="n"/>
      <c r="X13" s="139" t="n"/>
      <c r="Y13" s="139" t="n"/>
      <c r="Z13" s="139" t="n"/>
      <c r="AA13" s="140" t="n"/>
    </row>
    <row r="14">
      <c r="A14" s="194" t="n"/>
      <c r="B14" s="204" t="inlineStr">
        <is>
          <t>見出し6</t>
        </is>
      </c>
      <c r="C14" s="195" t="n"/>
      <c r="D14" s="203" t="inlineStr">
        <is>
          <t>〇〇〇〇が向いてない仕事</t>
        </is>
      </c>
      <c r="E14" s="193" t="n"/>
      <c r="F14" s="169" t="inlineStr">
        <is>
          <t>見出し5とは逆に、そのタイプが不得手・苦手とされやすい仕事を例示。
向いていない理由を短めに。</t>
        </is>
      </c>
      <c r="G14" s="197" t="inlineStr">
        <is>
          <t>https://workwork.jp/article/2025/04/22/mbti-16type/?utm_source=chatgpt.com</t>
        </is>
      </c>
      <c r="H14" s="198" t="inlineStr">
        <is>
          <t>https://newmarke.boo.jp/mbti/?utm_source=chatgpt.com#toc15</t>
        </is>
      </c>
      <c r="I14" s="199" t="n"/>
      <c r="J14" s="153" t="inlineStr">
        <is>
          <t>700〜800字</t>
        </is>
      </c>
      <c r="K14" s="153" t="inlineStr">
        <is>
          <t>〇〇〇〇＝MBTIタイプ</t>
        </is>
      </c>
      <c r="L14" s="153" t="n"/>
      <c r="M14" s="173" t="n"/>
      <c r="N14" s="139" t="n"/>
      <c r="O14" s="139" t="n"/>
      <c r="P14" s="139" t="n"/>
      <c r="Q14" s="139" t="n"/>
      <c r="R14" s="139" t="n"/>
      <c r="S14" s="139" t="n"/>
      <c r="T14" s="139" t="n"/>
      <c r="U14" s="139" t="n"/>
      <c r="V14" s="139" t="n"/>
      <c r="W14" s="139" t="n"/>
      <c r="X14" s="139" t="n"/>
      <c r="Y14" s="139" t="n"/>
      <c r="Z14" s="139" t="n"/>
      <c r="AA14" s="140" t="n"/>
    </row>
    <row r="15">
      <c r="A15" s="194" t="n"/>
      <c r="B15" s="200" t="n"/>
      <c r="C15" s="201" t="n"/>
      <c r="D15" s="165" t="inlineStr">
        <is>
          <t>小見出し例</t>
        </is>
      </c>
      <c r="E15" s="169" t="inlineStr">
        <is>
          <t>・〇〇〇〇が苦手としやすい仕事の特徴
・〇〇〇〇が合わない職種例</t>
        </is>
      </c>
      <c r="F15" s="202" t="n"/>
      <c r="G15" s="202" t="n"/>
      <c r="H15" s="202" t="n"/>
      <c r="I15" s="202" t="n"/>
      <c r="J15" s="202" t="n"/>
      <c r="K15" s="202" t="n"/>
      <c r="L15" s="202" t="n"/>
      <c r="M15" s="173" t="n"/>
      <c r="N15" s="139" t="n"/>
      <c r="O15" s="139" t="n"/>
      <c r="P15" s="139" t="n"/>
      <c r="Q15" s="139" t="n"/>
      <c r="R15" s="139" t="n"/>
      <c r="S15" s="139" t="n"/>
      <c r="T15" s="139" t="n"/>
      <c r="U15" s="139" t="n"/>
      <c r="V15" s="139" t="n"/>
      <c r="W15" s="139" t="n"/>
      <c r="X15" s="139" t="n"/>
      <c r="Y15" s="139" t="n"/>
      <c r="Z15" s="139" t="n"/>
      <c r="AA15" s="140" t="n"/>
    </row>
    <row r="16">
      <c r="A16" s="194" t="n"/>
      <c r="B16" s="204" t="inlineStr">
        <is>
          <t>見出し7</t>
        </is>
      </c>
      <c r="C16" s="195" t="n"/>
      <c r="D16" s="206" t="inlineStr">
        <is>
          <t>〇〇〇〇と仕事で相性が良いタイプ</t>
        </is>
      </c>
      <c r="E16" s="193" t="n"/>
      <c r="F16" s="169" t="inlineStr">
        <is>
          <t>〇〇〇〇が仕事において相性が良いとされる上司やパートナーのタイプを例示。
〇〇〇〇の特性を踏まえ、どのような考え方や関わり方を持つ相手と組むことで、強みを発揮しやすくなるのかを簡潔に解説する。</t>
        </is>
      </c>
      <c r="G16" s="197" t="inlineStr">
        <is>
          <t>https://per-sonal.co.jp/personalfile/media/job-suitability-diagnosis/esfp-compatibility/</t>
        </is>
      </c>
      <c r="H16" s="198" t="inlineStr">
        <is>
          <t>https://gaten.info/media/esfp/</t>
        </is>
      </c>
      <c r="I16" s="199" t="n"/>
      <c r="J16" s="153" t="inlineStr">
        <is>
          <t>900〜1,200字</t>
        </is>
      </c>
      <c r="K16" s="153" t="inlineStr">
        <is>
          <t>〇〇〇〇＝MBTIタイプ</t>
        </is>
      </c>
      <c r="L16" s="153" t="n"/>
      <c r="M16" s="173" t="n"/>
      <c r="N16" s="139" t="n"/>
      <c r="O16" s="139" t="n"/>
      <c r="P16" s="139" t="n"/>
      <c r="Q16" s="139" t="n"/>
      <c r="R16" s="139" t="n"/>
      <c r="S16" s="139" t="n"/>
      <c r="T16" s="139" t="n"/>
      <c r="U16" s="139" t="n"/>
      <c r="V16" s="139" t="n"/>
      <c r="W16" s="139" t="n"/>
      <c r="X16" s="139" t="n"/>
      <c r="Y16" s="139" t="n"/>
      <c r="Z16" s="139" t="n"/>
      <c r="AA16" s="140" t="n"/>
    </row>
    <row r="17" ht="57.75" customHeight="1" s="185">
      <c r="A17" s="194" t="n"/>
      <c r="B17" s="200" t="n"/>
      <c r="C17" s="201" t="n"/>
      <c r="D17" s="165" t="inlineStr">
        <is>
          <t>小見出し例</t>
        </is>
      </c>
      <c r="E17" s="169" t="inlineStr">
        <is>
          <t>・〇〇〇〇と相性が良い上司のタイプ
・〇〇〇〇と相性が良い仕事のパートナー</t>
        </is>
      </c>
      <c r="F17" s="202" t="n"/>
      <c r="G17" s="202" t="n"/>
      <c r="H17" s="202" t="n"/>
      <c r="I17" s="202" t="n"/>
      <c r="J17" s="202" t="n"/>
      <c r="K17" s="202" t="n"/>
      <c r="L17" s="202" t="n"/>
      <c r="M17" s="173" t="n"/>
      <c r="N17" s="139" t="n"/>
      <c r="O17" s="139" t="n"/>
      <c r="P17" s="139" t="n"/>
      <c r="Q17" s="139" t="n"/>
      <c r="R17" s="139" t="n"/>
      <c r="S17" s="139" t="n"/>
      <c r="T17" s="139" t="n"/>
      <c r="U17" s="139" t="n"/>
      <c r="V17" s="139" t="n"/>
      <c r="W17" s="139" t="n"/>
      <c r="X17" s="139" t="n"/>
      <c r="Y17" s="139" t="n"/>
      <c r="Z17" s="139" t="n"/>
      <c r="AA17" s="140" t="n"/>
    </row>
    <row r="18">
      <c r="A18" s="194" t="n"/>
      <c r="B18" s="204" t="inlineStr">
        <is>
          <t>見出し8</t>
        </is>
      </c>
      <c r="C18" s="195" t="n"/>
      <c r="D18" s="206" t="inlineStr">
        <is>
          <t>〇〇〇〇と仕事で相性が悪いタイプ</t>
        </is>
      </c>
      <c r="E18" s="193" t="n"/>
      <c r="F18" s="169" t="inlineStr">
        <is>
          <t>〇〇〇〇が仕事において相性が合わないと感じやすいタイプを例示。
〇〇〇〇の特性を踏まえ、価値観や働き方の違いから摩擦が生じやすい理由を簡潔に解説する。
あわせて、どのような点に注意すれば協働しやすくなるのかについても触れる。</t>
        </is>
      </c>
      <c r="G18" s="197" t="inlineStr">
        <is>
          <t>https://per-sonal.co.jp/personalfile/media/job-suitability-diagnosis/esfp-compatibility/</t>
        </is>
      </c>
      <c r="H18" s="198" t="inlineStr">
        <is>
          <t>https://gaten.info/media/esfp/</t>
        </is>
      </c>
      <c r="I18" s="199" t="n"/>
      <c r="J18" s="153" t="inlineStr">
        <is>
          <t>700〜900字</t>
        </is>
      </c>
      <c r="K18" s="153" t="inlineStr">
        <is>
          <t>〇〇〇〇＝MBTIタイプ</t>
        </is>
      </c>
      <c r="L18" s="153" t="n"/>
      <c r="M18" s="173" t="n"/>
      <c r="N18" s="139" t="n"/>
      <c r="O18" s="139" t="n"/>
      <c r="P18" s="139" t="n"/>
      <c r="Q18" s="139" t="n"/>
      <c r="R18" s="139" t="n"/>
      <c r="S18" s="139" t="n"/>
      <c r="T18" s="139" t="n"/>
      <c r="U18" s="139" t="n"/>
      <c r="V18" s="139" t="n"/>
      <c r="W18" s="139" t="n"/>
      <c r="X18" s="139" t="n"/>
      <c r="Y18" s="139" t="n"/>
      <c r="Z18" s="139" t="n"/>
      <c r="AA18" s="140" t="n"/>
    </row>
    <row r="19" ht="67.5" customHeight="1" s="185">
      <c r="A19" s="194" t="n"/>
      <c r="B19" s="200" t="n"/>
      <c r="C19" s="201" t="n"/>
      <c r="D19" s="165" t="inlineStr">
        <is>
          <t>小見出し例</t>
        </is>
      </c>
      <c r="E19" s="169" t="n"/>
      <c r="F19" s="202" t="n"/>
      <c r="G19" s="202" t="n"/>
      <c r="H19" s="202" t="n"/>
      <c r="I19" s="202" t="n"/>
      <c r="J19" s="202" t="n"/>
      <c r="K19" s="202" t="n"/>
      <c r="L19" s="202" t="n"/>
      <c r="M19" s="173" t="n"/>
      <c r="N19" s="139" t="n"/>
      <c r="O19" s="139" t="n"/>
      <c r="P19" s="139" t="n"/>
      <c r="Q19" s="139" t="n"/>
      <c r="R19" s="139" t="n"/>
      <c r="S19" s="139" t="n"/>
      <c r="T19" s="139" t="n"/>
      <c r="U19" s="139" t="n"/>
      <c r="V19" s="139" t="n"/>
      <c r="W19" s="139" t="n"/>
      <c r="X19" s="139" t="n"/>
      <c r="Y19" s="139" t="n"/>
      <c r="Z19" s="139" t="n"/>
      <c r="AA19" s="140" t="n"/>
    </row>
    <row r="20" ht="18" customHeight="1" s="185">
      <c r="A20" s="194" t="n"/>
      <c r="B20" s="204" t="inlineStr">
        <is>
          <t>見出し9</t>
        </is>
      </c>
      <c r="C20" s="195" t="n"/>
      <c r="D20" s="203" t="inlineStr">
        <is>
          <t>〇〇〇〇が仕事選びで気をつけたいポイント</t>
        </is>
      </c>
      <c r="E20" s="193" t="n"/>
      <c r="F20" s="169" t="inlineStr">
        <is>
          <t>各タイプが仕事選びで失敗しやすいポイントや、無理をしやすい傾向について解説します。自分に合わない環境を避け、長く働くためのヒントをまとめる。</t>
        </is>
      </c>
      <c r="G20" s="197" t="inlineStr">
        <is>
          <t>https://uzuz.jp/service/career-support/column/article-3434-author-uzuz38/</t>
        </is>
      </c>
      <c r="H20" s="199" t="n"/>
      <c r="I20" s="199" t="n"/>
      <c r="J20" s="153" t="inlineStr">
        <is>
          <t>600～800字</t>
        </is>
      </c>
      <c r="K20" s="153" t="inlineStr">
        <is>
          <t>〇〇〇〇＝MBTIタイプ</t>
        </is>
      </c>
      <c r="L20" s="153" t="n"/>
      <c r="M20" s="173" t="n"/>
      <c r="N20" s="139" t="n"/>
      <c r="O20" s="139" t="n"/>
      <c r="P20" s="139" t="n"/>
      <c r="Q20" s="139" t="n"/>
      <c r="R20" s="139" t="n"/>
      <c r="S20" s="139" t="n"/>
      <c r="T20" s="139" t="n"/>
      <c r="U20" s="139" t="n"/>
      <c r="V20" s="139" t="n"/>
      <c r="W20" s="139" t="n"/>
      <c r="X20" s="139" t="n"/>
      <c r="Y20" s="139" t="n"/>
      <c r="Z20" s="139" t="n"/>
      <c r="AA20" s="140" t="n"/>
    </row>
    <row r="21" ht="52.5" customHeight="1" s="185">
      <c r="A21" s="194" t="n"/>
      <c r="B21" s="200" t="n"/>
      <c r="C21" s="201" t="n"/>
      <c r="D21" s="165" t="inlineStr">
        <is>
          <t>小見出し例</t>
        </is>
      </c>
      <c r="E21" s="169" t="n"/>
      <c r="F21" s="202" t="n"/>
      <c r="G21" s="202" t="n"/>
      <c r="H21" s="202" t="n"/>
      <c r="I21" s="202" t="n"/>
      <c r="J21" s="202" t="n"/>
      <c r="K21" s="202" t="n"/>
      <c r="L21" s="202" t="n"/>
      <c r="M21" s="173" t="n"/>
      <c r="N21" s="139" t="n"/>
      <c r="O21" s="139" t="n"/>
      <c r="P21" s="139" t="n"/>
      <c r="Q21" s="139" t="n"/>
      <c r="R21" s="139" t="n"/>
      <c r="S21" s="139" t="n"/>
      <c r="T21" s="139" t="n"/>
      <c r="U21" s="139" t="n"/>
      <c r="V21" s="139" t="n"/>
      <c r="W21" s="139" t="n"/>
      <c r="X21" s="139" t="n"/>
      <c r="Y21" s="139" t="n"/>
      <c r="Z21" s="139" t="n"/>
      <c r="AA21" s="140" t="n"/>
    </row>
    <row r="22">
      <c r="A22" s="194" t="n"/>
      <c r="B22" s="192" t="inlineStr">
        <is>
          <t>まとめ</t>
        </is>
      </c>
      <c r="C22" s="193" t="n"/>
      <c r="D22" s="207" t="inlineStr">
        <is>
          <t>〇〇〇〇は、△△△△△△といった特徴を持つMBTIタイプです。
MBTIは性格の傾向を知るための一つの指標として捉え、仕事や働き方を考える際の参考として活用していきましょう。</t>
        </is>
      </c>
      <c r="E22" s="193" t="n"/>
      <c r="F22" s="177" t="n"/>
      <c r="G22" s="177" t="n"/>
      <c r="H22" s="153" t="n"/>
      <c r="I22" s="153" t="n"/>
      <c r="J22" s="153" t="inlineStr">
        <is>
          <t>200〜300字</t>
        </is>
      </c>
      <c r="K22" s="153" t="inlineStr">
        <is>
          <t>〇〇〇〇＝MBTIタイプ</t>
        </is>
      </c>
      <c r="L22" s="153" t="n"/>
      <c r="M22" s="173" t="n"/>
      <c r="N22" s="139" t="n"/>
      <c r="O22" s="139" t="n"/>
      <c r="P22" s="139" t="n"/>
      <c r="Q22" s="139" t="n"/>
      <c r="R22" s="139" t="n"/>
      <c r="S22" s="139" t="n"/>
      <c r="T22" s="139" t="n"/>
      <c r="U22" s="139" t="n"/>
      <c r="V22" s="139" t="n"/>
      <c r="W22" s="139" t="n"/>
      <c r="X22" s="139" t="n"/>
      <c r="Y22" s="139" t="n"/>
      <c r="Z22" s="139" t="n"/>
      <c r="AA22" s="140" t="n"/>
    </row>
    <row r="23" ht="69.75" customHeight="1" s="185">
      <c r="A23" s="194" t="n"/>
      <c r="B23" s="178" t="n"/>
      <c r="C23" s="178" t="n"/>
      <c r="D23" s="178" t="n"/>
      <c r="E23" s="178" t="n"/>
      <c r="F23" s="178" t="n"/>
      <c r="G23" s="178" t="n"/>
      <c r="H23" s="178" t="n"/>
      <c r="I23" s="178" t="n"/>
      <c r="J23" s="179" t="inlineStr">
        <is>
          <t>最低：約8,200字
最高：約10,200字</t>
        </is>
      </c>
      <c r="K23" s="202" t="n"/>
      <c r="L23" s="180" t="n"/>
      <c r="M23" s="173" t="n"/>
      <c r="N23" s="181" t="n"/>
      <c r="O23" s="139" t="n"/>
      <c r="P23" s="139" t="n"/>
      <c r="Q23" s="139" t="n"/>
      <c r="R23" s="139" t="n"/>
      <c r="S23" s="139" t="n"/>
      <c r="T23" s="139" t="n"/>
      <c r="U23" s="139" t="n"/>
      <c r="V23" s="139" t="n"/>
      <c r="W23" s="139" t="n"/>
      <c r="X23" s="139" t="n"/>
      <c r="Y23" s="139" t="n"/>
      <c r="Z23" s="139" t="n"/>
      <c r="AA23" s="140" t="n"/>
    </row>
    <row r="24">
      <c r="A24" s="202" t="n"/>
      <c r="B24" s="183" t="n"/>
      <c r="C24" s="183" t="n"/>
      <c r="D24" s="183" t="n"/>
      <c r="E24" s="183" t="n"/>
      <c r="F24" s="183" t="n"/>
      <c r="G24" s="183" t="n"/>
      <c r="H24" s="183" t="n"/>
      <c r="I24" s="183" t="n"/>
      <c r="J24" s="183" t="n"/>
      <c r="K24" s="183" t="n"/>
      <c r="L24" s="183" t="n"/>
      <c r="M24" s="139" t="n"/>
      <c r="N24" s="139" t="n"/>
      <c r="O24" s="139" t="n"/>
      <c r="P24" s="139" t="n"/>
      <c r="Q24" s="139" t="n"/>
      <c r="R24" s="139" t="n"/>
      <c r="S24" s="139" t="n"/>
      <c r="T24" s="139" t="n"/>
      <c r="U24" s="139" t="n"/>
      <c r="V24" s="139" t="n"/>
      <c r="W24" s="139" t="n"/>
      <c r="X24" s="139" t="n"/>
      <c r="Y24" s="139" t="n"/>
      <c r="Z24" s="139" t="n"/>
      <c r="AA24" s="140" t="n"/>
    </row>
    <row r="25">
      <c r="A25" s="184" t="n"/>
      <c r="B25" s="183" t="n"/>
      <c r="C25" s="183" t="n"/>
      <c r="D25" s="183" t="n"/>
      <c r="E25" s="183" t="n"/>
      <c r="F25" s="183" t="n"/>
      <c r="G25" s="183" t="n"/>
      <c r="H25" s="183" t="n"/>
      <c r="I25" s="183" t="n"/>
      <c r="J25" s="183" t="n"/>
      <c r="K25" s="183" t="n"/>
      <c r="L25" s="183" t="n"/>
      <c r="M25" s="139" t="n"/>
      <c r="N25" s="139" t="n"/>
      <c r="O25" s="139" t="n"/>
      <c r="P25" s="139" t="n"/>
      <c r="Q25" s="139" t="n"/>
      <c r="R25" s="139" t="n"/>
      <c r="S25" s="139" t="n"/>
      <c r="T25" s="139" t="n"/>
      <c r="U25" s="139" t="n"/>
      <c r="V25" s="139" t="n"/>
      <c r="W25" s="139" t="n"/>
      <c r="X25" s="139" t="n"/>
      <c r="Y25" s="139" t="n"/>
      <c r="Z25" s="139" t="n"/>
      <c r="AA25" s="140" t="n"/>
    </row>
    <row r="26">
      <c r="A26" s="183" t="n"/>
      <c r="B26" s="183" t="n"/>
      <c r="C26" s="183" t="n"/>
      <c r="D26" s="183" t="n"/>
      <c r="E26" s="183" t="n"/>
      <c r="F26" s="183" t="n"/>
      <c r="G26" s="183" t="n"/>
      <c r="H26" s="183" t="n"/>
      <c r="I26" s="183" t="n"/>
      <c r="J26" s="183" t="n"/>
      <c r="K26" s="183" t="n"/>
      <c r="L26" s="183" t="n"/>
      <c r="M26" s="183" t="n"/>
      <c r="N26" s="183" t="n"/>
      <c r="O26" s="183" t="n"/>
      <c r="P26" s="183" t="n"/>
      <c r="Q26" s="183" t="n"/>
      <c r="R26" s="183" t="n"/>
      <c r="S26" s="183" t="n"/>
      <c r="T26" s="183" t="n"/>
      <c r="U26" s="183" t="n"/>
      <c r="V26" s="183" t="n"/>
      <c r="W26" s="183" t="n"/>
      <c r="X26" s="183" t="n"/>
      <c r="Y26" s="183" t="n"/>
      <c r="Z26" s="183" t="n"/>
      <c r="AA26" s="183" t="n"/>
    </row>
    <row r="27">
      <c r="A27" s="183" t="n"/>
      <c r="B27" s="183" t="n"/>
      <c r="C27" s="183" t="n"/>
      <c r="D27" s="183" t="n"/>
      <c r="E27" s="183" t="n"/>
      <c r="F27" s="183" t="n"/>
      <c r="G27" s="183" t="n"/>
      <c r="H27" s="183" t="n"/>
      <c r="I27" s="183" t="n"/>
      <c r="J27" s="183" t="n"/>
      <c r="K27" s="183" t="n"/>
      <c r="L27" s="183" t="n"/>
      <c r="M27" s="183" t="n"/>
      <c r="N27" s="183" t="n"/>
      <c r="O27" s="183" t="n"/>
      <c r="P27" s="183" t="n"/>
      <c r="Q27" s="183" t="n"/>
      <c r="R27" s="183" t="n"/>
      <c r="S27" s="183" t="n"/>
      <c r="T27" s="183" t="n"/>
      <c r="U27" s="183" t="n"/>
      <c r="V27" s="183" t="n"/>
      <c r="W27" s="183" t="n"/>
      <c r="X27" s="183" t="n"/>
      <c r="Y27" s="183" t="n"/>
      <c r="Z27" s="183" t="n"/>
      <c r="AA27" s="183" t="n"/>
    </row>
    <row r="28">
      <c r="A28" s="183" t="n"/>
      <c r="C28" s="183" t="n"/>
      <c r="D28" s="183" t="n"/>
      <c r="E28" s="183" t="n"/>
      <c r="F28" s="183" t="n"/>
      <c r="G28" s="183" t="n"/>
      <c r="H28" s="183" t="n"/>
      <c r="I28" s="183" t="n"/>
      <c r="J28" s="183" t="n"/>
      <c r="K28" s="183" t="n"/>
      <c r="L28" s="183" t="n"/>
      <c r="M28" s="183" t="n"/>
      <c r="N28" s="183" t="n"/>
      <c r="O28" s="183" t="n"/>
      <c r="P28" s="183" t="n"/>
      <c r="Q28" s="183" t="n"/>
      <c r="R28" s="183" t="n"/>
      <c r="S28" s="183" t="n"/>
      <c r="T28" s="183" t="n"/>
      <c r="U28" s="183" t="n"/>
      <c r="V28" s="183" t="n"/>
      <c r="W28" s="183" t="n"/>
      <c r="X28" s="183" t="n"/>
      <c r="Y28" s="183" t="n"/>
      <c r="Z28" s="183" t="n"/>
      <c r="AA28" s="183" t="n"/>
    </row>
    <row r="29">
      <c r="A29" s="183" t="n"/>
      <c r="B29" s="183" t="n"/>
      <c r="C29" s="183" t="n"/>
      <c r="D29" s="183" t="n"/>
      <c r="E29" s="183" t="n"/>
      <c r="F29" s="183" t="n"/>
      <c r="G29" s="183" t="n"/>
      <c r="H29" s="183" t="n"/>
      <c r="I29" s="183" t="n"/>
      <c r="J29" s="183" t="n"/>
      <c r="K29" s="183" t="n"/>
      <c r="L29" s="183" t="n"/>
      <c r="M29" s="183" t="n"/>
      <c r="N29" s="183" t="n"/>
      <c r="O29" s="183" t="n"/>
      <c r="P29" s="183" t="n"/>
      <c r="Q29" s="183" t="n"/>
      <c r="R29" s="183" t="n"/>
      <c r="S29" s="183" t="n"/>
      <c r="T29" s="183" t="n"/>
      <c r="U29" s="183" t="n"/>
      <c r="V29" s="183" t="n"/>
      <c r="W29" s="183" t="n"/>
      <c r="X29" s="183" t="n"/>
      <c r="Y29" s="183" t="n"/>
      <c r="Z29" s="183" t="n"/>
      <c r="AA29" s="183" t="n"/>
    </row>
    <row r="30">
      <c r="A30" s="183" t="n"/>
      <c r="B30" s="183" t="n"/>
      <c r="C30" s="183" t="n"/>
      <c r="D30" s="183" t="n"/>
      <c r="E30" s="183" t="n"/>
      <c r="F30" s="183" t="n"/>
      <c r="G30" s="183" t="n"/>
      <c r="H30" s="183" t="n"/>
      <c r="I30" s="183" t="n"/>
      <c r="J30" s="183" t="n"/>
      <c r="K30" s="183" t="n"/>
      <c r="L30" s="183" t="n"/>
      <c r="M30" s="183" t="n"/>
      <c r="N30" s="183" t="n"/>
      <c r="O30" s="183" t="n"/>
      <c r="P30" s="183" t="n"/>
      <c r="Q30" s="183" t="n"/>
      <c r="R30" s="183" t="n"/>
      <c r="S30" s="183" t="n"/>
      <c r="T30" s="183" t="n"/>
      <c r="U30" s="183" t="n"/>
      <c r="V30" s="183" t="n"/>
      <c r="W30" s="183" t="n"/>
      <c r="X30" s="183" t="n"/>
      <c r="Y30" s="183" t="n"/>
      <c r="Z30" s="183" t="n"/>
      <c r="AA30" s="183" t="n"/>
    </row>
    <row r="31">
      <c r="A31" s="183" t="n"/>
      <c r="B31" s="183" t="n"/>
      <c r="C31" s="183" t="n"/>
      <c r="D31" s="183" t="n"/>
      <c r="E31" s="183" t="n"/>
      <c r="F31" s="183" t="n"/>
      <c r="G31" s="183" t="n"/>
      <c r="H31" s="183" t="n"/>
      <c r="I31" s="183" t="n"/>
      <c r="J31" s="183" t="n"/>
      <c r="K31" s="183" t="n"/>
      <c r="L31" s="183" t="n"/>
      <c r="M31" s="183" t="n"/>
      <c r="N31" s="183" t="n"/>
      <c r="O31" s="183" t="n"/>
      <c r="P31" s="183" t="n"/>
      <c r="Q31" s="183" t="n"/>
      <c r="R31" s="183" t="n"/>
      <c r="S31" s="183" t="n"/>
      <c r="T31" s="183" t="n"/>
      <c r="U31" s="183" t="n"/>
      <c r="V31" s="183" t="n"/>
      <c r="W31" s="183" t="n"/>
      <c r="X31" s="183" t="n"/>
      <c r="Y31" s="183" t="n"/>
      <c r="Z31" s="183" t="n"/>
      <c r="AA31" s="183" t="n"/>
    </row>
    <row r="32">
      <c r="A32" s="183" t="n"/>
      <c r="B32" s="183" t="n"/>
      <c r="C32" s="183" t="n"/>
      <c r="D32" s="183" t="n"/>
      <c r="E32" s="183" t="n"/>
      <c r="F32" s="183" t="n"/>
      <c r="G32" s="183" t="n"/>
      <c r="H32" s="183" t="n"/>
      <c r="I32" s="183" t="n"/>
      <c r="J32" s="183" t="n"/>
      <c r="K32" s="183" t="n"/>
      <c r="L32" s="183" t="n"/>
      <c r="M32" s="183" t="n"/>
      <c r="N32" s="183" t="n"/>
      <c r="O32" s="183" t="n"/>
      <c r="P32" s="183" t="n"/>
      <c r="Q32" s="183" t="n"/>
      <c r="R32" s="183" t="n"/>
      <c r="S32" s="183" t="n"/>
      <c r="T32" s="183" t="n"/>
      <c r="U32" s="183" t="n"/>
      <c r="V32" s="183" t="n"/>
      <c r="W32" s="183" t="n"/>
      <c r="X32" s="183" t="n"/>
      <c r="Y32" s="183" t="n"/>
      <c r="Z32" s="183" t="n"/>
      <c r="AA32" s="183" t="n"/>
    </row>
    <row r="33">
      <c r="A33" s="183" t="n"/>
      <c r="B33" s="183" t="n"/>
      <c r="C33" s="183" t="n"/>
      <c r="D33" s="183" t="n"/>
      <c r="E33" s="183" t="n"/>
      <c r="F33" s="183" t="n"/>
      <c r="G33" s="183" t="n"/>
      <c r="H33" s="183" t="n"/>
      <c r="I33" s="183" t="n"/>
      <c r="J33" s="183" t="n"/>
      <c r="K33" s="183" t="n"/>
      <c r="L33" s="183" t="n"/>
      <c r="M33" s="183" t="n"/>
      <c r="N33" s="183" t="n"/>
      <c r="O33" s="183" t="n"/>
      <c r="P33" s="183" t="n"/>
      <c r="Q33" s="183" t="n"/>
      <c r="R33" s="183" t="n"/>
      <c r="S33" s="183" t="n"/>
      <c r="T33" s="183" t="n"/>
      <c r="U33" s="183" t="n"/>
      <c r="V33" s="183" t="n"/>
      <c r="W33" s="183" t="n"/>
      <c r="X33" s="183" t="n"/>
      <c r="Y33" s="183" t="n"/>
      <c r="Z33" s="183" t="n"/>
      <c r="AA33" s="183" t="n"/>
    </row>
    <row r="34">
      <c r="A34" s="183" t="n"/>
      <c r="B34" s="183" t="n"/>
      <c r="C34" s="183" t="n"/>
      <c r="D34" s="183" t="n"/>
      <c r="E34" s="183" t="n"/>
      <c r="F34" s="183" t="n"/>
      <c r="G34" s="183" t="n"/>
      <c r="H34" s="183" t="n"/>
      <c r="I34" s="183" t="n"/>
      <c r="J34" s="183" t="n"/>
      <c r="K34" s="183" t="n"/>
      <c r="L34" s="183" t="n"/>
      <c r="M34" s="183" t="n"/>
      <c r="N34" s="183" t="n"/>
      <c r="O34" s="183" t="n"/>
      <c r="P34" s="183" t="n"/>
      <c r="Q34" s="183" t="n"/>
      <c r="R34" s="183" t="n"/>
      <c r="S34" s="183" t="n"/>
      <c r="T34" s="183" t="n"/>
      <c r="U34" s="183" t="n"/>
      <c r="V34" s="183" t="n"/>
      <c r="W34" s="183" t="n"/>
      <c r="X34" s="183" t="n"/>
      <c r="Y34" s="183" t="n"/>
      <c r="Z34" s="183" t="n"/>
      <c r="AA34" s="183" t="n"/>
    </row>
    <row r="35">
      <c r="A35" s="183" t="n"/>
      <c r="B35" s="183" t="n"/>
      <c r="C35" s="183" t="n"/>
      <c r="D35" s="183" t="n"/>
      <c r="E35" s="183" t="n"/>
      <c r="F35" s="183" t="n"/>
      <c r="G35" s="183" t="n"/>
      <c r="H35" s="183" t="n"/>
      <c r="I35" s="183" t="n"/>
      <c r="J35" s="183" t="n"/>
      <c r="K35" s="183" t="n"/>
      <c r="L35" s="183" t="n"/>
      <c r="M35" s="183" t="n"/>
      <c r="N35" s="183" t="n"/>
      <c r="O35" s="183" t="n"/>
      <c r="P35" s="183" t="n"/>
      <c r="Q35" s="183" t="n"/>
      <c r="R35" s="183" t="n"/>
      <c r="S35" s="183" t="n"/>
      <c r="T35" s="183" t="n"/>
      <c r="U35" s="183" t="n"/>
      <c r="V35" s="183" t="n"/>
      <c r="W35" s="183" t="n"/>
      <c r="X35" s="183" t="n"/>
      <c r="Y35" s="183" t="n"/>
      <c r="Z35" s="183" t="n"/>
      <c r="AA35" s="183" t="n"/>
    </row>
    <row r="36">
      <c r="A36" s="183" t="n"/>
      <c r="B36" s="183" t="n"/>
      <c r="C36" s="183" t="n"/>
      <c r="D36" s="183" t="n"/>
      <c r="E36" s="183" t="n"/>
      <c r="F36" s="183" t="n"/>
      <c r="G36" s="183" t="n"/>
      <c r="H36" s="183" t="n"/>
      <c r="I36" s="183" t="n"/>
      <c r="J36" s="183" t="n"/>
      <c r="K36" s="183" t="n"/>
      <c r="L36" s="183" t="n"/>
      <c r="M36" s="183" t="n"/>
      <c r="N36" s="183" t="n"/>
      <c r="O36" s="183" t="n"/>
      <c r="P36" s="183" t="n"/>
      <c r="Q36" s="183" t="n"/>
      <c r="R36" s="183" t="n"/>
      <c r="S36" s="183" t="n"/>
      <c r="T36" s="183" t="n"/>
      <c r="U36" s="183" t="n"/>
      <c r="V36" s="183" t="n"/>
      <c r="W36" s="183" t="n"/>
      <c r="X36" s="183" t="n"/>
      <c r="Y36" s="183" t="n"/>
      <c r="Z36" s="183" t="n"/>
      <c r="AA36" s="183" t="n"/>
    </row>
    <row r="37">
      <c r="A37" s="183" t="n"/>
      <c r="B37" s="183" t="n"/>
      <c r="C37" s="183" t="n"/>
      <c r="D37" s="183" t="n"/>
      <c r="E37" s="183" t="n"/>
      <c r="F37" s="183" t="n"/>
      <c r="G37" s="183" t="n"/>
      <c r="H37" s="183" t="n"/>
      <c r="I37" s="183" t="n"/>
      <c r="J37" s="183" t="n"/>
      <c r="K37" s="183" t="n"/>
      <c r="L37" s="183" t="n"/>
      <c r="M37" s="183" t="n"/>
      <c r="N37" s="183" t="n"/>
      <c r="O37" s="183" t="n"/>
      <c r="P37" s="183" t="n"/>
      <c r="Q37" s="183" t="n"/>
      <c r="R37" s="183" t="n"/>
      <c r="S37" s="183" t="n"/>
      <c r="T37" s="183" t="n"/>
      <c r="U37" s="183" t="n"/>
      <c r="V37" s="183" t="n"/>
      <c r="W37" s="183" t="n"/>
      <c r="X37" s="183" t="n"/>
      <c r="Y37" s="183" t="n"/>
      <c r="Z37" s="183" t="n"/>
      <c r="AA37" s="183" t="n"/>
    </row>
    <row r="38">
      <c r="A38" s="183" t="n"/>
      <c r="B38" s="183" t="n"/>
      <c r="C38" s="183" t="n"/>
      <c r="D38" s="183" t="n"/>
      <c r="E38" s="183" t="n"/>
      <c r="F38" s="183" t="n"/>
      <c r="G38" s="183" t="n"/>
      <c r="H38" s="183" t="n"/>
      <c r="I38" s="183" t="n"/>
      <c r="J38" s="183" t="n"/>
      <c r="K38" s="183" t="n"/>
      <c r="L38" s="183" t="n"/>
      <c r="M38" s="183" t="n"/>
      <c r="N38" s="183" t="n"/>
      <c r="O38" s="183" t="n"/>
      <c r="P38" s="183" t="n"/>
      <c r="Q38" s="183" t="n"/>
      <c r="R38" s="183" t="n"/>
      <c r="S38" s="183" t="n"/>
      <c r="T38" s="183" t="n"/>
      <c r="U38" s="183" t="n"/>
      <c r="V38" s="183" t="n"/>
      <c r="W38" s="183" t="n"/>
      <c r="X38" s="183" t="n"/>
      <c r="Y38" s="183" t="n"/>
      <c r="Z38" s="183" t="n"/>
      <c r="AA38" s="183" t="n"/>
    </row>
    <row r="39">
      <c r="A39" s="183" t="n"/>
      <c r="B39" s="183" t="n"/>
      <c r="C39" s="183" t="n"/>
      <c r="D39" s="183" t="n"/>
      <c r="E39" s="183" t="n"/>
      <c r="F39" s="183" t="n"/>
      <c r="G39" s="183" t="n"/>
      <c r="H39" s="183" t="n"/>
      <c r="I39" s="183" t="n"/>
      <c r="J39" s="183" t="n"/>
      <c r="K39" s="183" t="n"/>
      <c r="L39" s="183" t="n"/>
      <c r="M39" s="183" t="n"/>
      <c r="N39" s="183" t="n"/>
      <c r="O39" s="183" t="n"/>
      <c r="P39" s="183" t="n"/>
      <c r="Q39" s="183" t="n"/>
      <c r="R39" s="183" t="n"/>
      <c r="S39" s="183" t="n"/>
      <c r="T39" s="183" t="n"/>
      <c r="U39" s="183" t="n"/>
      <c r="V39" s="183" t="n"/>
      <c r="W39" s="183" t="n"/>
      <c r="X39" s="183" t="n"/>
      <c r="Y39" s="183" t="n"/>
      <c r="Z39" s="183" t="n"/>
      <c r="AA39" s="183" t="n"/>
    </row>
    <row r="40">
      <c r="A40" s="183" t="n"/>
      <c r="B40" s="183" t="n"/>
      <c r="C40" s="183" t="n"/>
      <c r="D40" s="183" t="n"/>
      <c r="E40" s="183" t="n"/>
      <c r="F40" s="183" t="n"/>
      <c r="G40" s="183" t="n"/>
      <c r="H40" s="183" t="n"/>
      <c r="I40" s="183" t="n"/>
      <c r="J40" s="183" t="n"/>
      <c r="K40" s="183" t="n"/>
      <c r="L40" s="183" t="n"/>
      <c r="M40" s="183" t="n"/>
      <c r="N40" s="183" t="n"/>
      <c r="O40" s="183" t="n"/>
      <c r="P40" s="183" t="n"/>
      <c r="Q40" s="183" t="n"/>
      <c r="R40" s="183" t="n"/>
      <c r="S40" s="183" t="n"/>
      <c r="T40" s="183" t="n"/>
      <c r="U40" s="183" t="n"/>
      <c r="V40" s="183" t="n"/>
      <c r="W40" s="183" t="n"/>
      <c r="X40" s="183" t="n"/>
      <c r="Y40" s="183" t="n"/>
      <c r="Z40" s="183" t="n"/>
      <c r="AA40" s="183" t="n"/>
    </row>
    <row r="41">
      <c r="A41" s="183" t="n"/>
      <c r="B41" s="183" t="n"/>
      <c r="C41" s="183" t="n"/>
      <c r="D41" s="183" t="n"/>
      <c r="E41" s="183" t="n"/>
      <c r="F41" s="183" t="n"/>
      <c r="G41" s="183" t="n"/>
      <c r="H41" s="183" t="n"/>
      <c r="I41" s="183" t="n"/>
      <c r="J41" s="183" t="n"/>
      <c r="K41" s="183" t="n"/>
      <c r="L41" s="183" t="n"/>
      <c r="M41" s="183" t="n"/>
      <c r="N41" s="183" t="n"/>
      <c r="O41" s="183" t="n"/>
      <c r="P41" s="183" t="n"/>
      <c r="Q41" s="183" t="n"/>
      <c r="R41" s="183" t="n"/>
      <c r="S41" s="183" t="n"/>
      <c r="T41" s="183" t="n"/>
      <c r="U41" s="183" t="n"/>
      <c r="V41" s="183" t="n"/>
      <c r="W41" s="183" t="n"/>
      <c r="X41" s="183" t="n"/>
      <c r="Y41" s="183" t="n"/>
      <c r="Z41" s="183" t="n"/>
      <c r="AA41" s="183" t="n"/>
    </row>
    <row r="42">
      <c r="A42" s="183" t="n"/>
      <c r="B42" s="183" t="n"/>
      <c r="C42" s="183" t="n"/>
      <c r="D42" s="183" t="n"/>
      <c r="E42" s="183" t="n"/>
      <c r="F42" s="183" t="n"/>
      <c r="G42" s="183" t="n"/>
      <c r="H42" s="183" t="n"/>
      <c r="I42" s="183" t="n"/>
      <c r="J42" s="183" t="n"/>
      <c r="K42" s="183" t="n"/>
      <c r="L42" s="183" t="n"/>
      <c r="M42" s="183" t="n"/>
      <c r="N42" s="183" t="n"/>
      <c r="O42" s="183" t="n"/>
      <c r="P42" s="183" t="n"/>
      <c r="Q42" s="183" t="n"/>
      <c r="R42" s="183" t="n"/>
      <c r="S42" s="183" t="n"/>
      <c r="T42" s="183" t="n"/>
      <c r="U42" s="183" t="n"/>
      <c r="V42" s="183" t="n"/>
      <c r="W42" s="183" t="n"/>
      <c r="X42" s="183" t="n"/>
      <c r="Y42" s="183" t="n"/>
      <c r="Z42" s="183" t="n"/>
      <c r="AA42" s="183" t="n"/>
    </row>
    <row r="43">
      <c r="A43" s="183" t="n"/>
      <c r="B43" s="183" t="n"/>
      <c r="C43" s="183" t="n"/>
      <c r="D43" s="183" t="n"/>
      <c r="E43" s="183" t="n"/>
      <c r="F43" s="183" t="n"/>
      <c r="G43" s="183" t="n"/>
      <c r="H43" s="183" t="n"/>
      <c r="I43" s="183" t="n"/>
      <c r="J43" s="183" t="n"/>
      <c r="K43" s="183" t="n"/>
      <c r="L43" s="183" t="n"/>
      <c r="M43" s="183" t="n"/>
      <c r="N43" s="183" t="n"/>
      <c r="O43" s="183" t="n"/>
      <c r="P43" s="183" t="n"/>
      <c r="Q43" s="183" t="n"/>
      <c r="R43" s="183" t="n"/>
      <c r="S43" s="183" t="n"/>
      <c r="T43" s="183" t="n"/>
      <c r="U43" s="183" t="n"/>
      <c r="V43" s="183" t="n"/>
      <c r="W43" s="183" t="n"/>
      <c r="X43" s="183" t="n"/>
      <c r="Y43" s="183" t="n"/>
      <c r="Z43" s="183" t="n"/>
      <c r="AA43" s="183" t="n"/>
    </row>
    <row r="44">
      <c r="A44" s="183" t="n"/>
      <c r="B44" s="183" t="n"/>
      <c r="C44" s="183" t="n"/>
      <c r="D44" s="183" t="n"/>
      <c r="E44" s="183" t="n"/>
      <c r="F44" s="183" t="n"/>
      <c r="G44" s="183" t="n"/>
      <c r="H44" s="183" t="n"/>
      <c r="I44" s="183" t="n"/>
      <c r="J44" s="183" t="n"/>
      <c r="K44" s="183" t="n"/>
      <c r="L44" s="183" t="n"/>
      <c r="M44" s="183" t="n"/>
      <c r="N44" s="183" t="n"/>
      <c r="O44" s="183" t="n"/>
      <c r="P44" s="183" t="n"/>
      <c r="Q44" s="183" t="n"/>
      <c r="R44" s="183" t="n"/>
      <c r="S44" s="183" t="n"/>
      <c r="T44" s="183" t="n"/>
      <c r="U44" s="183" t="n"/>
      <c r="V44" s="183" t="n"/>
      <c r="W44" s="183" t="n"/>
      <c r="X44" s="183" t="n"/>
      <c r="Y44" s="183" t="n"/>
      <c r="Z44" s="183" t="n"/>
      <c r="AA44" s="183" t="n"/>
    </row>
    <row r="45">
      <c r="A45" s="183" t="n"/>
      <c r="B45" s="183" t="n"/>
      <c r="C45" s="183" t="n"/>
      <c r="D45" s="183" t="n"/>
      <c r="E45" s="183" t="n"/>
      <c r="F45" s="183" t="n"/>
      <c r="G45" s="183" t="n"/>
      <c r="H45" s="183" t="n"/>
      <c r="I45" s="183" t="n"/>
      <c r="J45" s="183" t="n"/>
      <c r="K45" s="183" t="n"/>
      <c r="L45" s="183" t="n"/>
      <c r="M45" s="183" t="n"/>
      <c r="N45" s="183" t="n"/>
      <c r="O45" s="183" t="n"/>
      <c r="P45" s="183" t="n"/>
      <c r="Q45" s="183" t="n"/>
      <c r="R45" s="183" t="n"/>
      <c r="S45" s="183" t="n"/>
      <c r="T45" s="183" t="n"/>
      <c r="U45" s="183" t="n"/>
      <c r="V45" s="183" t="n"/>
      <c r="W45" s="183" t="n"/>
      <c r="X45" s="183" t="n"/>
      <c r="Y45" s="183" t="n"/>
      <c r="Z45" s="183" t="n"/>
      <c r="AA45" s="183" t="n"/>
    </row>
    <row r="46">
      <c r="A46" s="183" t="n"/>
      <c r="B46" s="183" t="n"/>
      <c r="C46" s="183" t="n"/>
      <c r="D46" s="183" t="n"/>
      <c r="E46" s="183" t="n"/>
      <c r="F46" s="183" t="n"/>
      <c r="G46" s="183" t="n"/>
      <c r="H46" s="183" t="n"/>
      <c r="I46" s="183" t="n"/>
      <c r="J46" s="183" t="n"/>
      <c r="K46" s="183" t="n"/>
      <c r="L46" s="183" t="n"/>
      <c r="M46" s="183" t="n"/>
      <c r="N46" s="183" t="n"/>
      <c r="O46" s="183" t="n"/>
      <c r="P46" s="183" t="n"/>
      <c r="Q46" s="183" t="n"/>
      <c r="R46" s="183" t="n"/>
      <c r="S46" s="183" t="n"/>
      <c r="T46" s="183" t="n"/>
      <c r="U46" s="183" t="n"/>
      <c r="V46" s="183" t="n"/>
      <c r="W46" s="183" t="n"/>
      <c r="X46" s="183" t="n"/>
      <c r="Y46" s="183" t="n"/>
      <c r="Z46" s="183" t="n"/>
      <c r="AA46" s="183" t="n"/>
    </row>
    <row r="47">
      <c r="A47" s="183" t="n"/>
      <c r="B47" s="183" t="n"/>
      <c r="C47" s="183" t="n"/>
      <c r="D47" s="183" t="n"/>
      <c r="E47" s="183" t="n"/>
      <c r="F47" s="183" t="n"/>
      <c r="G47" s="183" t="n"/>
      <c r="H47" s="183" t="n"/>
      <c r="I47" s="183" t="n"/>
      <c r="J47" s="183" t="n"/>
      <c r="K47" s="183" t="n"/>
      <c r="L47" s="183" t="n"/>
      <c r="M47" s="183" t="n"/>
      <c r="N47" s="183" t="n"/>
      <c r="O47" s="183" t="n"/>
      <c r="P47" s="183" t="n"/>
      <c r="Q47" s="183" t="n"/>
      <c r="R47" s="183" t="n"/>
      <c r="S47" s="183" t="n"/>
      <c r="T47" s="183" t="n"/>
      <c r="U47" s="183" t="n"/>
      <c r="V47" s="183" t="n"/>
      <c r="W47" s="183" t="n"/>
      <c r="X47" s="183" t="n"/>
      <c r="Y47" s="183" t="n"/>
      <c r="Z47" s="183" t="n"/>
      <c r="AA47" s="183" t="n"/>
    </row>
    <row r="48">
      <c r="A48" s="183" t="n"/>
      <c r="B48" s="183" t="n"/>
      <c r="C48" s="183" t="n"/>
      <c r="D48" s="183" t="n"/>
      <c r="E48" s="183" t="n"/>
      <c r="F48" s="183" t="n"/>
      <c r="G48" s="183" t="n"/>
      <c r="H48" s="183" t="n"/>
      <c r="I48" s="183" t="n"/>
      <c r="J48" s="183" t="n"/>
      <c r="K48" s="183" t="n"/>
      <c r="L48" s="183" t="n"/>
      <c r="M48" s="183" t="n"/>
      <c r="N48" s="183" t="n"/>
      <c r="O48" s="183" t="n"/>
      <c r="P48" s="183" t="n"/>
      <c r="Q48" s="183" t="n"/>
      <c r="R48" s="183" t="n"/>
      <c r="S48" s="183" t="n"/>
      <c r="T48" s="183" t="n"/>
      <c r="U48" s="183" t="n"/>
      <c r="V48" s="183" t="n"/>
      <c r="W48" s="183" t="n"/>
      <c r="X48" s="183" t="n"/>
      <c r="Y48" s="183" t="n"/>
      <c r="Z48" s="183" t="n"/>
      <c r="AA48" s="183" t="n"/>
    </row>
    <row r="49">
      <c r="A49" s="183" t="n"/>
      <c r="B49" s="183" t="n"/>
      <c r="C49" s="183" t="n"/>
      <c r="D49" s="183" t="n"/>
      <c r="E49" s="183" t="n"/>
      <c r="F49" s="183" t="n"/>
      <c r="G49" s="183" t="n"/>
      <c r="H49" s="183" t="n"/>
      <c r="I49" s="183" t="n"/>
      <c r="J49" s="183" t="n"/>
      <c r="K49" s="183" t="n"/>
      <c r="L49" s="183" t="n"/>
      <c r="M49" s="183" t="n"/>
      <c r="N49" s="183" t="n"/>
      <c r="O49" s="183" t="n"/>
      <c r="P49" s="183" t="n"/>
      <c r="Q49" s="183" t="n"/>
      <c r="R49" s="183" t="n"/>
      <c r="S49" s="183" t="n"/>
      <c r="T49" s="183" t="n"/>
      <c r="U49" s="183" t="n"/>
      <c r="V49" s="183" t="n"/>
      <c r="W49" s="183" t="n"/>
      <c r="X49" s="183" t="n"/>
      <c r="Y49" s="183" t="n"/>
      <c r="Z49" s="183" t="n"/>
      <c r="AA49" s="183" t="n"/>
    </row>
    <row r="50">
      <c r="A50" s="183" t="n"/>
      <c r="B50" s="183" t="n"/>
      <c r="C50" s="183" t="n"/>
      <c r="D50" s="183" t="n"/>
      <c r="E50" s="183" t="n"/>
      <c r="F50" s="183" t="n"/>
      <c r="G50" s="183" t="n"/>
      <c r="H50" s="183" t="n"/>
      <c r="I50" s="183" t="n"/>
      <c r="J50" s="183" t="n"/>
      <c r="K50" s="183" t="n"/>
      <c r="L50" s="183" t="n"/>
      <c r="M50" s="183" t="n"/>
      <c r="N50" s="183" t="n"/>
      <c r="O50" s="183" t="n"/>
      <c r="P50" s="183" t="n"/>
      <c r="Q50" s="183" t="n"/>
      <c r="R50" s="183" t="n"/>
      <c r="S50" s="183" t="n"/>
      <c r="T50" s="183" t="n"/>
      <c r="U50" s="183" t="n"/>
      <c r="V50" s="183" t="n"/>
      <c r="W50" s="183" t="n"/>
      <c r="X50" s="183" t="n"/>
      <c r="Y50" s="183" t="n"/>
      <c r="Z50" s="183" t="n"/>
      <c r="AA50" s="183" t="n"/>
    </row>
    <row r="51">
      <c r="A51" s="183" t="n"/>
      <c r="B51" s="183" t="n"/>
      <c r="C51" s="183" t="n"/>
      <c r="D51" s="183" t="n"/>
      <c r="E51" s="183" t="n"/>
      <c r="F51" s="183" t="n"/>
      <c r="G51" s="183" t="n"/>
      <c r="H51" s="183" t="n"/>
      <c r="I51" s="183" t="n"/>
      <c r="J51" s="183" t="n"/>
      <c r="K51" s="183" t="n"/>
      <c r="L51" s="183" t="n"/>
      <c r="M51" s="183" t="n"/>
      <c r="N51" s="183" t="n"/>
      <c r="O51" s="183" t="n"/>
      <c r="P51" s="183" t="n"/>
      <c r="Q51" s="183" t="n"/>
      <c r="R51" s="183" t="n"/>
      <c r="S51" s="183" t="n"/>
      <c r="T51" s="183" t="n"/>
      <c r="U51" s="183" t="n"/>
      <c r="V51" s="183" t="n"/>
      <c r="W51" s="183" t="n"/>
      <c r="X51" s="183" t="n"/>
      <c r="Y51" s="183" t="n"/>
      <c r="Z51" s="183" t="n"/>
      <c r="AA51" s="183" t="n"/>
    </row>
    <row r="52">
      <c r="A52" s="183" t="n"/>
      <c r="B52" s="183" t="n"/>
      <c r="C52" s="183" t="n"/>
      <c r="D52" s="183" t="n"/>
      <c r="E52" s="183" t="n"/>
      <c r="F52" s="183" t="n"/>
      <c r="G52" s="183" t="n"/>
      <c r="H52" s="183" t="n"/>
      <c r="I52" s="183" t="n"/>
      <c r="J52" s="183" t="n"/>
      <c r="K52" s="183" t="n"/>
      <c r="L52" s="183" t="n"/>
      <c r="M52" s="183" t="n"/>
      <c r="N52" s="183" t="n"/>
      <c r="O52" s="183" t="n"/>
      <c r="P52" s="183" t="n"/>
      <c r="Q52" s="183" t="n"/>
      <c r="R52" s="183" t="n"/>
      <c r="S52" s="183" t="n"/>
      <c r="T52" s="183" t="n"/>
      <c r="U52" s="183" t="n"/>
      <c r="V52" s="183" t="n"/>
      <c r="W52" s="183" t="n"/>
      <c r="X52" s="183" t="n"/>
      <c r="Y52" s="183" t="n"/>
      <c r="Z52" s="183" t="n"/>
      <c r="AA52" s="183" t="n"/>
    </row>
    <row r="53">
      <c r="A53" s="183" t="n"/>
      <c r="B53" s="183" t="n"/>
      <c r="C53" s="183" t="n"/>
      <c r="D53" s="183" t="n"/>
      <c r="E53" s="183" t="n"/>
      <c r="F53" s="183" t="n"/>
      <c r="G53" s="183" t="n"/>
      <c r="H53" s="183" t="n"/>
      <c r="I53" s="183" t="n"/>
      <c r="J53" s="183" t="n"/>
      <c r="K53" s="183" t="n"/>
      <c r="L53" s="183" t="n"/>
      <c r="M53" s="183" t="n"/>
      <c r="N53" s="183" t="n"/>
      <c r="O53" s="183" t="n"/>
      <c r="P53" s="183" t="n"/>
      <c r="Q53" s="183" t="n"/>
      <c r="R53" s="183" t="n"/>
      <c r="S53" s="183" t="n"/>
      <c r="T53" s="183" t="n"/>
      <c r="U53" s="183" t="n"/>
      <c r="V53" s="183" t="n"/>
      <c r="W53" s="183" t="n"/>
      <c r="X53" s="183" t="n"/>
      <c r="Y53" s="183" t="n"/>
      <c r="Z53" s="183" t="n"/>
      <c r="AA53" s="183" t="n"/>
    </row>
    <row r="54">
      <c r="A54" s="183" t="n"/>
      <c r="B54" s="183" t="n"/>
      <c r="C54" s="183" t="n"/>
      <c r="D54" s="183" t="n"/>
      <c r="E54" s="183" t="n"/>
      <c r="F54" s="183" t="n"/>
      <c r="G54" s="183" t="n"/>
      <c r="H54" s="183" t="n"/>
      <c r="I54" s="183" t="n"/>
      <c r="J54" s="183" t="n"/>
      <c r="K54" s="183" t="n"/>
      <c r="L54" s="183" t="n"/>
      <c r="M54" s="183" t="n"/>
      <c r="N54" s="183" t="n"/>
      <c r="O54" s="183" t="n"/>
      <c r="P54" s="183" t="n"/>
      <c r="Q54" s="183" t="n"/>
      <c r="R54" s="183" t="n"/>
      <c r="S54" s="183" t="n"/>
      <c r="T54" s="183" t="n"/>
      <c r="U54" s="183" t="n"/>
      <c r="V54" s="183" t="n"/>
      <c r="W54" s="183" t="n"/>
      <c r="X54" s="183" t="n"/>
      <c r="Y54" s="183" t="n"/>
      <c r="Z54" s="183" t="n"/>
      <c r="AA54" s="183" t="n"/>
    </row>
    <row r="55">
      <c r="A55" s="183" t="n"/>
      <c r="B55" s="183" t="n"/>
      <c r="C55" s="183" t="n"/>
      <c r="D55" s="183" t="n"/>
      <c r="E55" s="183" t="n"/>
      <c r="F55" s="183" t="n"/>
      <c r="G55" s="183" t="n"/>
      <c r="H55" s="183" t="n"/>
      <c r="I55" s="183" t="n"/>
      <c r="J55" s="183" t="n"/>
      <c r="K55" s="183" t="n"/>
      <c r="L55" s="183" t="n"/>
      <c r="M55" s="183" t="n"/>
      <c r="N55" s="183" t="n"/>
      <c r="O55" s="183" t="n"/>
      <c r="P55" s="183" t="n"/>
      <c r="Q55" s="183" t="n"/>
      <c r="R55" s="183" t="n"/>
      <c r="S55" s="183" t="n"/>
      <c r="T55" s="183" t="n"/>
      <c r="U55" s="183" t="n"/>
      <c r="V55" s="183" t="n"/>
      <c r="W55" s="183" t="n"/>
      <c r="X55" s="183" t="n"/>
      <c r="Y55" s="183" t="n"/>
      <c r="Z55" s="183" t="n"/>
      <c r="AA55" s="183" t="n"/>
    </row>
    <row r="56">
      <c r="A56" s="183" t="n"/>
      <c r="B56" s="183" t="n"/>
      <c r="C56" s="183" t="n"/>
      <c r="D56" s="183" t="n"/>
      <c r="E56" s="183" t="n"/>
      <c r="F56" s="183" t="n"/>
      <c r="G56" s="183" t="n"/>
      <c r="H56" s="183" t="n"/>
      <c r="I56" s="183" t="n"/>
      <c r="J56" s="183" t="n"/>
      <c r="K56" s="183" t="n"/>
      <c r="L56" s="183" t="n"/>
      <c r="M56" s="183" t="n"/>
      <c r="N56" s="183" t="n"/>
      <c r="O56" s="183" t="n"/>
      <c r="P56" s="183" t="n"/>
      <c r="Q56" s="183" t="n"/>
      <c r="R56" s="183" t="n"/>
      <c r="S56" s="183" t="n"/>
      <c r="T56" s="183" t="n"/>
      <c r="U56" s="183" t="n"/>
      <c r="V56" s="183" t="n"/>
      <c r="W56" s="183" t="n"/>
      <c r="X56" s="183" t="n"/>
      <c r="Y56" s="183" t="n"/>
      <c r="Z56" s="183" t="n"/>
      <c r="AA56" s="183" t="n"/>
    </row>
    <row r="57">
      <c r="A57" s="183" t="n"/>
      <c r="B57" s="183" t="n"/>
      <c r="C57" s="183" t="n"/>
      <c r="D57" s="183" t="n"/>
      <c r="E57" s="183" t="n"/>
      <c r="F57" s="183" t="n"/>
      <c r="G57" s="183" t="n"/>
      <c r="H57" s="183" t="n"/>
      <c r="I57" s="183" t="n"/>
      <c r="J57" s="183" t="n"/>
      <c r="K57" s="183" t="n"/>
      <c r="L57" s="183" t="n"/>
      <c r="M57" s="183" t="n"/>
      <c r="N57" s="183" t="n"/>
      <c r="O57" s="183" t="n"/>
      <c r="P57" s="183" t="n"/>
      <c r="Q57" s="183" t="n"/>
      <c r="R57" s="183" t="n"/>
      <c r="S57" s="183" t="n"/>
      <c r="T57" s="183" t="n"/>
      <c r="U57" s="183" t="n"/>
      <c r="V57" s="183" t="n"/>
      <c r="W57" s="183" t="n"/>
      <c r="X57" s="183" t="n"/>
      <c r="Y57" s="183" t="n"/>
      <c r="Z57" s="183" t="n"/>
      <c r="AA57" s="183" t="n"/>
    </row>
    <row r="58">
      <c r="A58" s="183" t="n"/>
      <c r="B58" s="183" t="n"/>
      <c r="C58" s="183" t="n"/>
      <c r="D58" s="183" t="n"/>
      <c r="E58" s="183" t="n"/>
      <c r="F58" s="183" t="n"/>
      <c r="G58" s="183" t="n"/>
      <c r="H58" s="183" t="n"/>
      <c r="I58" s="183" t="n"/>
      <c r="J58" s="183" t="n"/>
      <c r="K58" s="183" t="n"/>
      <c r="L58" s="183" t="n"/>
      <c r="M58" s="183" t="n"/>
      <c r="N58" s="183" t="n"/>
      <c r="O58" s="183" t="n"/>
      <c r="P58" s="183" t="n"/>
      <c r="Q58" s="183" t="n"/>
      <c r="R58" s="183" t="n"/>
      <c r="S58" s="183" t="n"/>
      <c r="T58" s="183" t="n"/>
      <c r="U58" s="183" t="n"/>
      <c r="V58" s="183" t="n"/>
      <c r="W58" s="183" t="n"/>
      <c r="X58" s="183" t="n"/>
      <c r="Y58" s="183" t="n"/>
      <c r="Z58" s="183" t="n"/>
      <c r="AA58" s="183" t="n"/>
    </row>
    <row r="59">
      <c r="A59" s="183" t="n"/>
      <c r="B59" s="183" t="n"/>
      <c r="C59" s="183" t="n"/>
      <c r="D59" s="183" t="n"/>
      <c r="E59" s="183" t="n"/>
      <c r="F59" s="183" t="n"/>
      <c r="G59" s="183" t="n"/>
      <c r="H59" s="183" t="n"/>
      <c r="I59" s="183" t="n"/>
      <c r="J59" s="183" t="n"/>
      <c r="K59" s="183" t="n"/>
      <c r="L59" s="183" t="n"/>
      <c r="M59" s="183" t="n"/>
      <c r="N59" s="183" t="n"/>
      <c r="O59" s="183" t="n"/>
      <c r="P59" s="183" t="n"/>
      <c r="Q59" s="183" t="n"/>
      <c r="R59" s="183" t="n"/>
      <c r="S59" s="183" t="n"/>
      <c r="T59" s="183" t="n"/>
      <c r="U59" s="183" t="n"/>
      <c r="V59" s="183" t="n"/>
      <c r="W59" s="183" t="n"/>
      <c r="X59" s="183" t="n"/>
      <c r="Y59" s="183" t="n"/>
      <c r="Z59" s="183" t="n"/>
      <c r="AA59" s="183" t="n"/>
    </row>
    <row r="60">
      <c r="A60" s="183" t="n"/>
      <c r="B60" s="183" t="n"/>
      <c r="C60" s="183" t="n"/>
      <c r="D60" s="183" t="n"/>
      <c r="E60" s="183" t="n"/>
      <c r="F60" s="183" t="n"/>
      <c r="G60" s="183" t="n"/>
      <c r="H60" s="183" t="n"/>
      <c r="I60" s="183" t="n"/>
      <c r="J60" s="183" t="n"/>
      <c r="K60" s="183" t="n"/>
      <c r="L60" s="183" t="n"/>
      <c r="M60" s="183" t="n"/>
      <c r="N60" s="183" t="n"/>
      <c r="O60" s="183" t="n"/>
      <c r="P60" s="183" t="n"/>
      <c r="Q60" s="183" t="n"/>
      <c r="R60" s="183" t="n"/>
      <c r="S60" s="183" t="n"/>
      <c r="T60" s="183" t="n"/>
      <c r="U60" s="183" t="n"/>
      <c r="V60" s="183" t="n"/>
      <c r="W60" s="183" t="n"/>
      <c r="X60" s="183" t="n"/>
      <c r="Y60" s="183" t="n"/>
      <c r="Z60" s="183" t="n"/>
      <c r="AA60" s="183" t="n"/>
    </row>
    <row r="61">
      <c r="A61" s="183" t="n"/>
      <c r="B61" s="183" t="n"/>
      <c r="C61" s="183" t="n"/>
      <c r="D61" s="183" t="n"/>
      <c r="E61" s="183" t="n"/>
      <c r="F61" s="183" t="n"/>
      <c r="G61" s="183" t="n"/>
      <c r="H61" s="183" t="n"/>
      <c r="I61" s="183" t="n"/>
      <c r="J61" s="183" t="n"/>
      <c r="K61" s="183" t="n"/>
      <c r="L61" s="183" t="n"/>
      <c r="M61" s="183" t="n"/>
      <c r="N61" s="183" t="n"/>
      <c r="O61" s="183" t="n"/>
      <c r="P61" s="183" t="n"/>
      <c r="Q61" s="183" t="n"/>
      <c r="R61" s="183" t="n"/>
      <c r="S61" s="183" t="n"/>
      <c r="T61" s="183" t="n"/>
      <c r="U61" s="183" t="n"/>
      <c r="V61" s="183" t="n"/>
      <c r="W61" s="183" t="n"/>
      <c r="X61" s="183" t="n"/>
      <c r="Y61" s="183" t="n"/>
      <c r="Z61" s="183" t="n"/>
      <c r="AA61" s="183" t="n"/>
    </row>
    <row r="62">
      <c r="A62" s="183" t="n"/>
      <c r="B62" s="183" t="n"/>
      <c r="C62" s="183" t="n"/>
      <c r="D62" s="183" t="n"/>
      <c r="E62" s="183" t="n"/>
      <c r="F62" s="183" t="n"/>
      <c r="G62" s="183" t="n"/>
      <c r="H62" s="183" t="n"/>
      <c r="I62" s="183" t="n"/>
      <c r="J62" s="183" t="n"/>
      <c r="K62" s="183" t="n"/>
      <c r="L62" s="183" t="n"/>
      <c r="M62" s="183" t="n"/>
      <c r="N62" s="183" t="n"/>
      <c r="O62" s="183" t="n"/>
      <c r="P62" s="183" t="n"/>
      <c r="Q62" s="183" t="n"/>
      <c r="R62" s="183" t="n"/>
      <c r="S62" s="183" t="n"/>
      <c r="T62" s="183" t="n"/>
      <c r="U62" s="183" t="n"/>
      <c r="V62" s="183" t="n"/>
      <c r="W62" s="183" t="n"/>
      <c r="X62" s="183" t="n"/>
      <c r="Y62" s="183" t="n"/>
      <c r="Z62" s="183" t="n"/>
      <c r="AA62" s="183" t="n"/>
    </row>
    <row r="63">
      <c r="A63" s="183" t="n"/>
      <c r="B63" s="183" t="n"/>
      <c r="C63" s="183" t="n"/>
      <c r="D63" s="183" t="n"/>
      <c r="E63" s="183" t="n"/>
      <c r="F63" s="183" t="n"/>
      <c r="G63" s="183" t="n"/>
      <c r="H63" s="183" t="n"/>
      <c r="I63" s="183" t="n"/>
      <c r="J63" s="183" t="n"/>
      <c r="K63" s="183" t="n"/>
      <c r="L63" s="183" t="n"/>
      <c r="M63" s="183" t="n"/>
      <c r="N63" s="183" t="n"/>
      <c r="O63" s="183" t="n"/>
      <c r="P63" s="183" t="n"/>
      <c r="Q63" s="183" t="n"/>
      <c r="R63" s="183" t="n"/>
      <c r="S63" s="183" t="n"/>
      <c r="T63" s="183" t="n"/>
      <c r="U63" s="183" t="n"/>
      <c r="V63" s="183" t="n"/>
      <c r="W63" s="183" t="n"/>
      <c r="X63" s="183" t="n"/>
      <c r="Y63" s="183" t="n"/>
      <c r="Z63" s="183" t="n"/>
      <c r="AA63" s="183" t="n"/>
    </row>
    <row r="64">
      <c r="A64" s="183" t="n"/>
      <c r="B64" s="183" t="n"/>
      <c r="C64" s="183" t="n"/>
      <c r="D64" s="183" t="n"/>
      <c r="E64" s="183" t="n"/>
      <c r="F64" s="183" t="n"/>
      <c r="G64" s="183" t="n"/>
      <c r="H64" s="183" t="n"/>
      <c r="I64" s="183" t="n"/>
      <c r="J64" s="183" t="n"/>
      <c r="K64" s="183" t="n"/>
      <c r="L64" s="183" t="n"/>
      <c r="M64" s="183" t="n"/>
      <c r="N64" s="183" t="n"/>
      <c r="O64" s="183" t="n"/>
      <c r="P64" s="183" t="n"/>
      <c r="Q64" s="183" t="n"/>
      <c r="R64" s="183" t="n"/>
      <c r="S64" s="183" t="n"/>
      <c r="T64" s="183" t="n"/>
      <c r="U64" s="183" t="n"/>
      <c r="V64" s="183" t="n"/>
      <c r="W64" s="183" t="n"/>
      <c r="X64" s="183" t="n"/>
      <c r="Y64" s="183" t="n"/>
      <c r="Z64" s="183" t="n"/>
      <c r="AA64" s="183" t="n"/>
    </row>
    <row r="65">
      <c r="A65" s="183" t="n"/>
      <c r="B65" s="183" t="n"/>
      <c r="C65" s="183" t="n"/>
      <c r="D65" s="183" t="n"/>
      <c r="E65" s="183" t="n"/>
      <c r="F65" s="183" t="n"/>
      <c r="G65" s="183" t="n"/>
      <c r="H65" s="183" t="n"/>
      <c r="I65" s="183" t="n"/>
      <c r="J65" s="183" t="n"/>
      <c r="K65" s="183" t="n"/>
      <c r="L65" s="183" t="n"/>
      <c r="M65" s="183" t="n"/>
      <c r="N65" s="183" t="n"/>
      <c r="O65" s="183" t="n"/>
      <c r="P65" s="183" t="n"/>
      <c r="Q65" s="183" t="n"/>
      <c r="R65" s="183" t="n"/>
      <c r="S65" s="183" t="n"/>
      <c r="T65" s="183" t="n"/>
      <c r="U65" s="183" t="n"/>
      <c r="V65" s="183" t="n"/>
      <c r="W65" s="183" t="n"/>
      <c r="X65" s="183" t="n"/>
      <c r="Y65" s="183" t="n"/>
      <c r="Z65" s="183" t="n"/>
      <c r="AA65" s="183" t="n"/>
    </row>
    <row r="66">
      <c r="A66" s="183" t="n"/>
      <c r="B66" s="183" t="n"/>
      <c r="C66" s="183" t="n"/>
      <c r="D66" s="183" t="n"/>
      <c r="E66" s="183" t="n"/>
      <c r="F66" s="183" t="n"/>
      <c r="G66" s="183" t="n"/>
      <c r="H66" s="183" t="n"/>
      <c r="I66" s="183" t="n"/>
      <c r="J66" s="183" t="n"/>
      <c r="K66" s="183" t="n"/>
      <c r="L66" s="183" t="n"/>
      <c r="M66" s="183" t="n"/>
      <c r="N66" s="183" t="n"/>
      <c r="O66" s="183" t="n"/>
      <c r="P66" s="183" t="n"/>
      <c r="Q66" s="183" t="n"/>
      <c r="R66" s="183" t="n"/>
      <c r="S66" s="183" t="n"/>
      <c r="T66" s="183" t="n"/>
      <c r="U66" s="183" t="n"/>
      <c r="V66" s="183" t="n"/>
      <c r="W66" s="183" t="n"/>
      <c r="X66" s="183" t="n"/>
      <c r="Y66" s="183" t="n"/>
      <c r="Z66" s="183" t="n"/>
      <c r="AA66" s="183" t="n"/>
    </row>
    <row r="67">
      <c r="A67" s="183" t="n"/>
      <c r="B67" s="183" t="n"/>
      <c r="C67" s="183" t="n"/>
      <c r="D67" s="183" t="n"/>
      <c r="E67" s="183" t="n"/>
      <c r="F67" s="183" t="n"/>
      <c r="G67" s="183" t="n"/>
      <c r="H67" s="183" t="n"/>
      <c r="I67" s="183" t="n"/>
      <c r="J67" s="183" t="n"/>
      <c r="K67" s="183" t="n"/>
      <c r="L67" s="183" t="n"/>
      <c r="M67" s="183" t="n"/>
      <c r="N67" s="183" t="n"/>
      <c r="O67" s="183" t="n"/>
      <c r="P67" s="183" t="n"/>
      <c r="Q67" s="183" t="n"/>
      <c r="R67" s="183" t="n"/>
      <c r="S67" s="183" t="n"/>
      <c r="T67" s="183" t="n"/>
      <c r="U67" s="183" t="n"/>
      <c r="V67" s="183" t="n"/>
      <c r="W67" s="183" t="n"/>
      <c r="X67" s="183" t="n"/>
      <c r="Y67" s="183" t="n"/>
      <c r="Z67" s="183" t="n"/>
      <c r="AA67" s="183" t="n"/>
    </row>
    <row r="68">
      <c r="A68" s="183" t="n"/>
      <c r="B68" s="183" t="n"/>
      <c r="C68" s="183" t="n"/>
      <c r="D68" s="183" t="n"/>
      <c r="E68" s="183" t="n"/>
      <c r="F68" s="183" t="n"/>
      <c r="G68" s="183" t="n"/>
      <c r="H68" s="183" t="n"/>
      <c r="I68" s="183" t="n"/>
      <c r="J68" s="183" t="n"/>
      <c r="K68" s="183" t="n"/>
      <c r="L68" s="183" t="n"/>
      <c r="M68" s="183" t="n"/>
      <c r="N68" s="183" t="n"/>
      <c r="O68" s="183" t="n"/>
      <c r="P68" s="183" t="n"/>
      <c r="Q68" s="183" t="n"/>
      <c r="R68" s="183" t="n"/>
      <c r="S68" s="183" t="n"/>
      <c r="T68" s="183" t="n"/>
      <c r="U68" s="183" t="n"/>
      <c r="V68" s="183" t="n"/>
      <c r="W68" s="183" t="n"/>
      <c r="X68" s="183" t="n"/>
      <c r="Y68" s="183" t="n"/>
      <c r="Z68" s="183" t="n"/>
      <c r="AA68" s="183" t="n"/>
    </row>
    <row r="69">
      <c r="A69" s="183" t="n"/>
      <c r="B69" s="183" t="n"/>
      <c r="C69" s="183" t="n"/>
      <c r="D69" s="183" t="n"/>
      <c r="E69" s="183" t="n"/>
      <c r="F69" s="183" t="n"/>
      <c r="G69" s="183" t="n"/>
      <c r="H69" s="183" t="n"/>
      <c r="I69" s="183" t="n"/>
      <c r="J69" s="183" t="n"/>
      <c r="K69" s="183" t="n"/>
      <c r="L69" s="183" t="n"/>
      <c r="M69" s="183" t="n"/>
      <c r="N69" s="183" t="n"/>
      <c r="O69" s="183" t="n"/>
      <c r="P69" s="183" t="n"/>
      <c r="Q69" s="183" t="n"/>
      <c r="R69" s="183" t="n"/>
      <c r="S69" s="183" t="n"/>
      <c r="T69" s="183" t="n"/>
      <c r="U69" s="183" t="n"/>
      <c r="V69" s="183" t="n"/>
      <c r="W69" s="183" t="n"/>
      <c r="X69" s="183" t="n"/>
      <c r="Y69" s="183" t="n"/>
      <c r="Z69" s="183" t="n"/>
      <c r="AA69" s="183" t="n"/>
    </row>
    <row r="70">
      <c r="A70" s="183" t="n"/>
      <c r="B70" s="183" t="n"/>
      <c r="C70" s="183" t="n"/>
      <c r="D70" s="183" t="n"/>
      <c r="E70" s="183" t="n"/>
      <c r="F70" s="183" t="n"/>
      <c r="G70" s="183" t="n"/>
      <c r="H70" s="183" t="n"/>
      <c r="I70" s="183" t="n"/>
      <c r="J70" s="183" t="n"/>
      <c r="K70" s="183" t="n"/>
      <c r="L70" s="183" t="n"/>
      <c r="M70" s="183" t="n"/>
      <c r="N70" s="183" t="n"/>
      <c r="O70" s="183" t="n"/>
      <c r="P70" s="183" t="n"/>
      <c r="Q70" s="183" t="n"/>
      <c r="R70" s="183" t="n"/>
      <c r="S70" s="183" t="n"/>
      <c r="T70" s="183" t="n"/>
      <c r="U70" s="183" t="n"/>
      <c r="V70" s="183" t="n"/>
      <c r="W70" s="183" t="n"/>
      <c r="X70" s="183" t="n"/>
      <c r="Y70" s="183" t="n"/>
      <c r="Z70" s="183" t="n"/>
      <c r="AA70" s="183" t="n"/>
    </row>
    <row r="71">
      <c r="A71" s="183" t="n"/>
      <c r="B71" s="183" t="n"/>
      <c r="C71" s="183" t="n"/>
      <c r="D71" s="183" t="n"/>
      <c r="E71" s="183" t="n"/>
      <c r="F71" s="183" t="n"/>
      <c r="G71" s="183" t="n"/>
      <c r="H71" s="183" t="n"/>
      <c r="I71" s="183" t="n"/>
      <c r="J71" s="183" t="n"/>
      <c r="K71" s="183" t="n"/>
      <c r="L71" s="183" t="n"/>
      <c r="M71" s="183" t="n"/>
      <c r="N71" s="183" t="n"/>
      <c r="O71" s="183" t="n"/>
      <c r="P71" s="183" t="n"/>
      <c r="Q71" s="183" t="n"/>
      <c r="R71" s="183" t="n"/>
      <c r="S71" s="183" t="n"/>
      <c r="T71" s="183" t="n"/>
      <c r="U71" s="183" t="n"/>
      <c r="V71" s="183" t="n"/>
      <c r="W71" s="183" t="n"/>
      <c r="X71" s="183" t="n"/>
      <c r="Y71" s="183" t="n"/>
      <c r="Z71" s="183" t="n"/>
      <c r="AA71" s="183" t="n"/>
    </row>
    <row r="72">
      <c r="A72" s="183" t="n"/>
      <c r="B72" s="183" t="n"/>
      <c r="C72" s="183" t="n"/>
      <c r="D72" s="183" t="n"/>
      <c r="E72" s="183" t="n"/>
      <c r="F72" s="183" t="n"/>
      <c r="G72" s="183" t="n"/>
      <c r="H72" s="183" t="n"/>
      <c r="I72" s="183" t="n"/>
      <c r="J72" s="183" t="n"/>
      <c r="K72" s="183" t="n"/>
      <c r="L72" s="183" t="n"/>
      <c r="M72" s="183" t="n"/>
      <c r="N72" s="183" t="n"/>
      <c r="O72" s="183" t="n"/>
      <c r="P72" s="183" t="n"/>
      <c r="Q72" s="183" t="n"/>
      <c r="R72" s="183" t="n"/>
      <c r="S72" s="183" t="n"/>
      <c r="T72" s="183" t="n"/>
      <c r="U72" s="183" t="n"/>
      <c r="V72" s="183" t="n"/>
      <c r="W72" s="183" t="n"/>
      <c r="X72" s="183" t="n"/>
      <c r="Y72" s="183" t="n"/>
      <c r="Z72" s="183" t="n"/>
      <c r="AA72" s="183" t="n"/>
    </row>
    <row r="73">
      <c r="A73" s="183" t="n"/>
      <c r="B73" s="183" t="n"/>
      <c r="C73" s="183" t="n"/>
      <c r="D73" s="183" t="n"/>
      <c r="E73" s="183" t="n"/>
      <c r="F73" s="183" t="n"/>
      <c r="G73" s="183" t="n"/>
      <c r="H73" s="183" t="n"/>
      <c r="I73" s="183" t="n"/>
      <c r="J73" s="183" t="n"/>
      <c r="K73" s="183" t="n"/>
      <c r="L73" s="183" t="n"/>
      <c r="M73" s="183" t="n"/>
      <c r="N73" s="183" t="n"/>
      <c r="O73" s="183" t="n"/>
      <c r="P73" s="183" t="n"/>
      <c r="Q73" s="183" t="n"/>
      <c r="R73" s="183" t="n"/>
      <c r="S73" s="183" t="n"/>
      <c r="T73" s="183" t="n"/>
      <c r="U73" s="183" t="n"/>
      <c r="V73" s="183" t="n"/>
      <c r="W73" s="183" t="n"/>
      <c r="X73" s="183" t="n"/>
      <c r="Y73" s="183" t="n"/>
      <c r="Z73" s="183" t="n"/>
      <c r="AA73" s="183" t="n"/>
    </row>
    <row r="74">
      <c r="A74" s="183" t="n"/>
      <c r="B74" s="183" t="n"/>
      <c r="C74" s="183" t="n"/>
      <c r="D74" s="183" t="n"/>
      <c r="E74" s="183" t="n"/>
      <c r="F74" s="183" t="n"/>
      <c r="G74" s="183" t="n"/>
      <c r="H74" s="183" t="n"/>
      <c r="I74" s="183" t="n"/>
      <c r="J74" s="183" t="n"/>
      <c r="K74" s="183" t="n"/>
      <c r="L74" s="183" t="n"/>
      <c r="M74" s="183" t="n"/>
      <c r="N74" s="183" t="n"/>
      <c r="O74" s="183" t="n"/>
      <c r="P74" s="183" t="n"/>
      <c r="Q74" s="183" t="n"/>
      <c r="R74" s="183" t="n"/>
      <c r="S74" s="183" t="n"/>
      <c r="T74" s="183" t="n"/>
      <c r="U74" s="183" t="n"/>
      <c r="V74" s="183" t="n"/>
      <c r="W74" s="183" t="n"/>
      <c r="X74" s="183" t="n"/>
      <c r="Y74" s="183" t="n"/>
      <c r="Z74" s="183" t="n"/>
      <c r="AA74" s="183" t="n"/>
    </row>
    <row r="75">
      <c r="A75" s="183" t="n"/>
      <c r="B75" s="183" t="n"/>
      <c r="C75" s="183" t="n"/>
      <c r="D75" s="183" t="n"/>
      <c r="E75" s="183" t="n"/>
      <c r="F75" s="183" t="n"/>
      <c r="G75" s="183" t="n"/>
      <c r="H75" s="183" t="n"/>
      <c r="I75" s="183" t="n"/>
      <c r="J75" s="183" t="n"/>
      <c r="K75" s="183" t="n"/>
      <c r="L75" s="183" t="n"/>
      <c r="M75" s="183" t="n"/>
      <c r="N75" s="183" t="n"/>
      <c r="O75" s="183" t="n"/>
      <c r="P75" s="183" t="n"/>
      <c r="Q75" s="183" t="n"/>
      <c r="R75" s="183" t="n"/>
      <c r="S75" s="183" t="n"/>
      <c r="T75" s="183" t="n"/>
      <c r="U75" s="183" t="n"/>
      <c r="V75" s="183" t="n"/>
      <c r="W75" s="183" t="n"/>
      <c r="X75" s="183" t="n"/>
      <c r="Y75" s="183" t="n"/>
      <c r="Z75" s="183" t="n"/>
      <c r="AA75" s="183" t="n"/>
    </row>
    <row r="76">
      <c r="A76" s="183" t="n"/>
      <c r="B76" s="183" t="n"/>
      <c r="C76" s="183" t="n"/>
      <c r="D76" s="183" t="n"/>
      <c r="E76" s="183" t="n"/>
      <c r="F76" s="183" t="n"/>
      <c r="G76" s="183" t="n"/>
      <c r="H76" s="183" t="n"/>
      <c r="I76" s="183" t="n"/>
      <c r="J76" s="183" t="n"/>
      <c r="K76" s="183" t="n"/>
      <c r="L76" s="183" t="n"/>
      <c r="M76" s="183" t="n"/>
      <c r="N76" s="183" t="n"/>
      <c r="O76" s="183" t="n"/>
      <c r="P76" s="183" t="n"/>
      <c r="Q76" s="183" t="n"/>
      <c r="R76" s="183" t="n"/>
      <c r="S76" s="183" t="n"/>
      <c r="T76" s="183" t="n"/>
      <c r="U76" s="183" t="n"/>
      <c r="V76" s="183" t="n"/>
      <c r="W76" s="183" t="n"/>
      <c r="X76" s="183" t="n"/>
      <c r="Y76" s="183" t="n"/>
      <c r="Z76" s="183" t="n"/>
      <c r="AA76" s="183" t="n"/>
    </row>
    <row r="77">
      <c r="A77" s="183" t="n"/>
      <c r="B77" s="183" t="n"/>
      <c r="C77" s="183" t="n"/>
      <c r="D77" s="183" t="n"/>
      <c r="E77" s="183" t="n"/>
      <c r="F77" s="183" t="n"/>
      <c r="G77" s="183" t="n"/>
      <c r="H77" s="183" t="n"/>
      <c r="I77" s="183" t="n"/>
      <c r="J77" s="183" t="n"/>
      <c r="K77" s="183" t="n"/>
      <c r="L77" s="183" t="n"/>
      <c r="M77" s="183" t="n"/>
      <c r="N77" s="183" t="n"/>
      <c r="O77" s="183" t="n"/>
      <c r="P77" s="183" t="n"/>
      <c r="Q77" s="183" t="n"/>
      <c r="R77" s="183" t="n"/>
      <c r="S77" s="183" t="n"/>
      <c r="T77" s="183" t="n"/>
      <c r="U77" s="183" t="n"/>
      <c r="V77" s="183" t="n"/>
      <c r="W77" s="183" t="n"/>
      <c r="X77" s="183" t="n"/>
      <c r="Y77" s="183" t="n"/>
      <c r="Z77" s="183" t="n"/>
      <c r="AA77" s="183" t="n"/>
    </row>
    <row r="78">
      <c r="A78" s="183" t="n"/>
      <c r="B78" s="183" t="n"/>
      <c r="C78" s="183" t="n"/>
      <c r="D78" s="183" t="n"/>
      <c r="E78" s="183" t="n"/>
      <c r="F78" s="183" t="n"/>
      <c r="G78" s="183" t="n"/>
      <c r="H78" s="183" t="n"/>
      <c r="I78" s="183" t="n"/>
      <c r="J78" s="183" t="n"/>
      <c r="K78" s="183" t="n"/>
      <c r="L78" s="183" t="n"/>
      <c r="M78" s="183" t="n"/>
      <c r="N78" s="183" t="n"/>
      <c r="O78" s="183" t="n"/>
      <c r="P78" s="183" t="n"/>
      <c r="Q78" s="183" t="n"/>
      <c r="R78" s="183" t="n"/>
      <c r="S78" s="183" t="n"/>
      <c r="T78" s="183" t="n"/>
      <c r="U78" s="183" t="n"/>
      <c r="V78" s="183" t="n"/>
      <c r="W78" s="183" t="n"/>
      <c r="X78" s="183" t="n"/>
      <c r="Y78" s="183" t="n"/>
      <c r="Z78" s="183" t="n"/>
      <c r="AA78" s="183" t="n"/>
    </row>
    <row r="79">
      <c r="A79" s="183" t="n"/>
      <c r="B79" s="183" t="n"/>
      <c r="C79" s="183" t="n"/>
      <c r="D79" s="183" t="n"/>
      <c r="E79" s="183" t="n"/>
      <c r="F79" s="183" t="n"/>
      <c r="G79" s="183" t="n"/>
      <c r="H79" s="183" t="n"/>
      <c r="I79" s="183" t="n"/>
      <c r="J79" s="183" t="n"/>
      <c r="K79" s="183" t="n"/>
      <c r="L79" s="183" t="n"/>
      <c r="M79" s="183" t="n"/>
      <c r="N79" s="183" t="n"/>
      <c r="O79" s="183" t="n"/>
      <c r="P79" s="183" t="n"/>
      <c r="Q79" s="183" t="n"/>
      <c r="R79" s="183" t="n"/>
      <c r="S79" s="183" t="n"/>
      <c r="T79" s="183" t="n"/>
      <c r="U79" s="183" t="n"/>
      <c r="V79" s="183" t="n"/>
      <c r="W79" s="183" t="n"/>
      <c r="X79" s="183" t="n"/>
      <c r="Y79" s="183" t="n"/>
      <c r="Z79" s="183" t="n"/>
      <c r="AA79" s="183" t="n"/>
    </row>
    <row r="80">
      <c r="A80" s="183" t="n"/>
      <c r="B80" s="183" t="n"/>
      <c r="C80" s="183" t="n"/>
      <c r="D80" s="183" t="n"/>
      <c r="E80" s="183" t="n"/>
      <c r="F80" s="183" t="n"/>
      <c r="G80" s="183" t="n"/>
      <c r="H80" s="183" t="n"/>
      <c r="I80" s="183" t="n"/>
      <c r="J80" s="183" t="n"/>
      <c r="K80" s="183" t="n"/>
      <c r="L80" s="183" t="n"/>
      <c r="M80" s="183" t="n"/>
      <c r="N80" s="183" t="n"/>
      <c r="O80" s="183" t="n"/>
      <c r="P80" s="183" t="n"/>
      <c r="Q80" s="183" t="n"/>
      <c r="R80" s="183" t="n"/>
      <c r="S80" s="183" t="n"/>
      <c r="T80" s="183" t="n"/>
      <c r="U80" s="183" t="n"/>
      <c r="V80" s="183" t="n"/>
      <c r="W80" s="183" t="n"/>
      <c r="X80" s="183" t="n"/>
      <c r="Y80" s="183" t="n"/>
      <c r="Z80" s="183" t="n"/>
      <c r="AA80" s="183" t="n"/>
    </row>
    <row r="81">
      <c r="A81" s="183" t="n"/>
      <c r="B81" s="183" t="n"/>
      <c r="C81" s="183" t="n"/>
      <c r="D81" s="183" t="n"/>
      <c r="E81" s="183" t="n"/>
      <c r="F81" s="183" t="n"/>
      <c r="G81" s="183" t="n"/>
      <c r="H81" s="183" t="n"/>
      <c r="I81" s="183" t="n"/>
      <c r="J81" s="183" t="n"/>
      <c r="K81" s="183" t="n"/>
      <c r="L81" s="183" t="n"/>
      <c r="M81" s="183" t="n"/>
      <c r="N81" s="183" t="n"/>
      <c r="O81" s="183" t="n"/>
      <c r="P81" s="183" t="n"/>
      <c r="Q81" s="183" t="n"/>
      <c r="R81" s="183" t="n"/>
      <c r="S81" s="183" t="n"/>
      <c r="T81" s="183" t="n"/>
      <c r="U81" s="183" t="n"/>
      <c r="V81" s="183" t="n"/>
      <c r="W81" s="183" t="n"/>
      <c r="X81" s="183" t="n"/>
      <c r="Y81" s="183" t="n"/>
      <c r="Z81" s="183" t="n"/>
      <c r="AA81" s="183" t="n"/>
    </row>
    <row r="82">
      <c r="A82" s="183" t="n"/>
      <c r="B82" s="183" t="n"/>
      <c r="C82" s="183" t="n"/>
      <c r="D82" s="183" t="n"/>
      <c r="E82" s="183" t="n"/>
      <c r="F82" s="183" t="n"/>
      <c r="G82" s="183" t="n"/>
      <c r="H82" s="183" t="n"/>
      <c r="I82" s="183" t="n"/>
      <c r="J82" s="183" t="n"/>
      <c r="K82" s="183" t="n"/>
      <c r="L82" s="183" t="n"/>
      <c r="M82" s="183" t="n"/>
      <c r="N82" s="183" t="n"/>
      <c r="O82" s="183" t="n"/>
      <c r="P82" s="183" t="n"/>
      <c r="Q82" s="183" t="n"/>
      <c r="R82" s="183" t="n"/>
      <c r="S82" s="183" t="n"/>
      <c r="T82" s="183" t="n"/>
      <c r="U82" s="183" t="n"/>
      <c r="V82" s="183" t="n"/>
      <c r="W82" s="183" t="n"/>
      <c r="X82" s="183" t="n"/>
      <c r="Y82" s="183" t="n"/>
      <c r="Z82" s="183" t="n"/>
      <c r="AA82" s="183" t="n"/>
    </row>
    <row r="83">
      <c r="A83" s="183" t="n"/>
      <c r="B83" s="183" t="n"/>
      <c r="C83" s="183" t="n"/>
      <c r="D83" s="183" t="n"/>
      <c r="E83" s="183" t="n"/>
      <c r="F83" s="183" t="n"/>
      <c r="G83" s="183" t="n"/>
      <c r="H83" s="183" t="n"/>
      <c r="I83" s="183" t="n"/>
      <c r="J83" s="183" t="n"/>
      <c r="K83" s="183" t="n"/>
      <c r="L83" s="183" t="n"/>
      <c r="M83" s="183" t="n"/>
      <c r="N83" s="183" t="n"/>
      <c r="O83" s="183" t="n"/>
      <c r="P83" s="183" t="n"/>
      <c r="Q83" s="183" t="n"/>
      <c r="R83" s="183" t="n"/>
      <c r="S83" s="183" t="n"/>
      <c r="T83" s="183" t="n"/>
      <c r="U83" s="183" t="n"/>
      <c r="V83" s="183" t="n"/>
      <c r="W83" s="183" t="n"/>
      <c r="X83" s="183" t="n"/>
      <c r="Y83" s="183" t="n"/>
      <c r="Z83" s="183" t="n"/>
      <c r="AA83" s="183" t="n"/>
    </row>
    <row r="84">
      <c r="A84" s="183" t="n"/>
      <c r="B84" s="183" t="n"/>
      <c r="C84" s="183" t="n"/>
      <c r="D84" s="183" t="n"/>
      <c r="E84" s="183" t="n"/>
      <c r="F84" s="183" t="n"/>
      <c r="G84" s="183" t="n"/>
      <c r="H84" s="183" t="n"/>
      <c r="I84" s="183" t="n"/>
      <c r="J84" s="183" t="n"/>
      <c r="K84" s="183" t="n"/>
      <c r="L84" s="183" t="n"/>
      <c r="M84" s="183" t="n"/>
      <c r="N84" s="183" t="n"/>
      <c r="O84" s="183" t="n"/>
      <c r="P84" s="183" t="n"/>
      <c r="Q84" s="183" t="n"/>
      <c r="R84" s="183" t="n"/>
      <c r="S84" s="183" t="n"/>
      <c r="T84" s="183" t="n"/>
      <c r="U84" s="183" t="n"/>
      <c r="V84" s="183" t="n"/>
      <c r="W84" s="183" t="n"/>
      <c r="X84" s="183" t="n"/>
      <c r="Y84" s="183" t="n"/>
      <c r="Z84" s="183" t="n"/>
      <c r="AA84" s="183" t="n"/>
    </row>
    <row r="85">
      <c r="A85" s="183" t="n"/>
      <c r="B85" s="183" t="n"/>
      <c r="C85" s="183" t="n"/>
      <c r="D85" s="183" t="n"/>
      <c r="E85" s="183" t="n"/>
      <c r="F85" s="183" t="n"/>
      <c r="G85" s="183" t="n"/>
      <c r="H85" s="183" t="n"/>
      <c r="I85" s="183" t="n"/>
      <c r="J85" s="183" t="n"/>
      <c r="K85" s="183" t="n"/>
      <c r="L85" s="183" t="n"/>
      <c r="M85" s="183" t="n"/>
      <c r="N85" s="183" t="n"/>
      <c r="O85" s="183" t="n"/>
      <c r="P85" s="183" t="n"/>
      <c r="Q85" s="183" t="n"/>
      <c r="R85" s="183" t="n"/>
      <c r="S85" s="183" t="n"/>
      <c r="T85" s="183" t="n"/>
      <c r="U85" s="183" t="n"/>
      <c r="V85" s="183" t="n"/>
      <c r="W85" s="183" t="n"/>
      <c r="X85" s="183" t="n"/>
      <c r="Y85" s="183" t="n"/>
      <c r="Z85" s="183" t="n"/>
      <c r="AA85" s="183" t="n"/>
    </row>
    <row r="86">
      <c r="A86" s="183" t="n"/>
      <c r="B86" s="183" t="n"/>
      <c r="C86" s="183" t="n"/>
      <c r="D86" s="183" t="n"/>
      <c r="E86" s="183" t="n"/>
      <c r="F86" s="183" t="n"/>
      <c r="G86" s="183" t="n"/>
      <c r="H86" s="183" t="n"/>
      <c r="I86" s="183" t="n"/>
      <c r="J86" s="183" t="n"/>
      <c r="K86" s="183" t="n"/>
      <c r="L86" s="183" t="n"/>
      <c r="M86" s="183" t="n"/>
      <c r="N86" s="183" t="n"/>
      <c r="O86" s="183" t="n"/>
      <c r="P86" s="183" t="n"/>
      <c r="Q86" s="183" t="n"/>
      <c r="R86" s="183" t="n"/>
      <c r="S86" s="183" t="n"/>
      <c r="T86" s="183" t="n"/>
      <c r="U86" s="183" t="n"/>
      <c r="V86" s="183" t="n"/>
      <c r="W86" s="183" t="n"/>
      <c r="X86" s="183" t="n"/>
      <c r="Y86" s="183" t="n"/>
      <c r="Z86" s="183" t="n"/>
      <c r="AA86" s="183" t="n"/>
    </row>
    <row r="87">
      <c r="A87" s="183" t="n"/>
      <c r="B87" s="183" t="n"/>
      <c r="C87" s="183" t="n"/>
      <c r="D87" s="183" t="n"/>
      <c r="E87" s="183" t="n"/>
      <c r="F87" s="183" t="n"/>
      <c r="G87" s="183" t="n"/>
      <c r="H87" s="183" t="n"/>
      <c r="I87" s="183" t="n"/>
      <c r="J87" s="183" t="n"/>
      <c r="K87" s="183" t="n"/>
      <c r="L87" s="183" t="n"/>
      <c r="M87" s="183" t="n"/>
      <c r="N87" s="183" t="n"/>
      <c r="O87" s="183" t="n"/>
      <c r="P87" s="183" t="n"/>
      <c r="Q87" s="183" t="n"/>
      <c r="R87" s="183" t="n"/>
      <c r="S87" s="183" t="n"/>
      <c r="T87" s="183" t="n"/>
      <c r="U87" s="183" t="n"/>
      <c r="V87" s="183" t="n"/>
      <c r="W87" s="183" t="n"/>
      <c r="X87" s="183" t="n"/>
      <c r="Y87" s="183" t="n"/>
      <c r="Z87" s="183" t="n"/>
      <c r="AA87" s="183" t="n"/>
    </row>
    <row r="88">
      <c r="A88" s="183" t="n"/>
      <c r="B88" s="183" t="n"/>
      <c r="C88" s="183" t="n"/>
      <c r="D88" s="183" t="n"/>
      <c r="E88" s="183" t="n"/>
      <c r="F88" s="183" t="n"/>
      <c r="G88" s="183" t="n"/>
      <c r="H88" s="183" t="n"/>
      <c r="I88" s="183" t="n"/>
      <c r="J88" s="183" t="n"/>
      <c r="K88" s="183" t="n"/>
      <c r="L88" s="183" t="n"/>
      <c r="M88" s="183" t="n"/>
      <c r="N88" s="183" t="n"/>
      <c r="O88" s="183" t="n"/>
      <c r="P88" s="183" t="n"/>
      <c r="Q88" s="183" t="n"/>
      <c r="R88" s="183" t="n"/>
      <c r="S88" s="183" t="n"/>
      <c r="T88" s="183" t="n"/>
      <c r="U88" s="183" t="n"/>
      <c r="V88" s="183" t="n"/>
      <c r="W88" s="183" t="n"/>
      <c r="X88" s="183" t="n"/>
      <c r="Y88" s="183" t="n"/>
      <c r="Z88" s="183" t="n"/>
      <c r="AA88" s="183" t="n"/>
    </row>
    <row r="89">
      <c r="A89" s="183" t="n"/>
      <c r="B89" s="183" t="n"/>
      <c r="C89" s="183" t="n"/>
      <c r="D89" s="183" t="n"/>
      <c r="E89" s="183" t="n"/>
      <c r="F89" s="183" t="n"/>
      <c r="G89" s="183" t="n"/>
      <c r="H89" s="183" t="n"/>
      <c r="I89" s="183" t="n"/>
      <c r="J89" s="183" t="n"/>
      <c r="K89" s="183" t="n"/>
      <c r="L89" s="183" t="n"/>
      <c r="M89" s="183" t="n"/>
      <c r="N89" s="183" t="n"/>
      <c r="O89" s="183" t="n"/>
      <c r="P89" s="183" t="n"/>
      <c r="Q89" s="183" t="n"/>
      <c r="R89" s="183" t="n"/>
      <c r="S89" s="183" t="n"/>
      <c r="T89" s="183" t="n"/>
      <c r="U89" s="183" t="n"/>
      <c r="V89" s="183" t="n"/>
      <c r="W89" s="183" t="n"/>
      <c r="X89" s="183" t="n"/>
      <c r="Y89" s="183" t="n"/>
      <c r="Z89" s="183" t="n"/>
      <c r="AA89" s="183" t="n"/>
    </row>
    <row r="90">
      <c r="A90" s="183" t="n"/>
      <c r="B90" s="183" t="n"/>
      <c r="C90" s="183" t="n"/>
      <c r="D90" s="183" t="n"/>
      <c r="E90" s="183" t="n"/>
      <c r="F90" s="183" t="n"/>
      <c r="G90" s="183" t="n"/>
      <c r="H90" s="183" t="n"/>
      <c r="I90" s="183" t="n"/>
      <c r="J90" s="183" t="n"/>
      <c r="K90" s="183" t="n"/>
      <c r="L90" s="183" t="n"/>
      <c r="M90" s="183" t="n"/>
      <c r="N90" s="183" t="n"/>
      <c r="O90" s="183" t="n"/>
      <c r="P90" s="183" t="n"/>
      <c r="Q90" s="183" t="n"/>
      <c r="R90" s="183" t="n"/>
      <c r="S90" s="183" t="n"/>
      <c r="T90" s="183" t="n"/>
      <c r="U90" s="183" t="n"/>
      <c r="V90" s="183" t="n"/>
      <c r="W90" s="183" t="n"/>
      <c r="X90" s="183" t="n"/>
      <c r="Y90" s="183" t="n"/>
      <c r="Z90" s="183" t="n"/>
      <c r="AA90" s="183" t="n"/>
    </row>
    <row r="91">
      <c r="A91" s="183" t="n"/>
      <c r="B91" s="183" t="n"/>
      <c r="C91" s="183" t="n"/>
      <c r="D91" s="183" t="n"/>
      <c r="E91" s="183" t="n"/>
      <c r="F91" s="183" t="n"/>
      <c r="G91" s="183" t="n"/>
      <c r="H91" s="183" t="n"/>
      <c r="I91" s="183" t="n"/>
      <c r="J91" s="183" t="n"/>
      <c r="K91" s="183" t="n"/>
      <c r="L91" s="183" t="n"/>
      <c r="M91" s="183" t="n"/>
      <c r="N91" s="183" t="n"/>
      <c r="O91" s="183" t="n"/>
      <c r="P91" s="183" t="n"/>
      <c r="Q91" s="183" t="n"/>
      <c r="R91" s="183" t="n"/>
      <c r="S91" s="183" t="n"/>
      <c r="T91" s="183" t="n"/>
      <c r="U91" s="183" t="n"/>
      <c r="V91" s="183" t="n"/>
      <c r="W91" s="183" t="n"/>
      <c r="X91" s="183" t="n"/>
      <c r="Y91" s="183" t="n"/>
      <c r="Z91" s="183" t="n"/>
      <c r="AA91" s="183" t="n"/>
    </row>
    <row r="92">
      <c r="A92" s="183" t="n"/>
      <c r="B92" s="183" t="n"/>
      <c r="C92" s="183" t="n"/>
      <c r="D92" s="183" t="n"/>
      <c r="E92" s="183" t="n"/>
      <c r="F92" s="183" t="n"/>
      <c r="G92" s="183" t="n"/>
      <c r="H92" s="183" t="n"/>
      <c r="I92" s="183" t="n"/>
      <c r="J92" s="183" t="n"/>
      <c r="K92" s="183" t="n"/>
      <c r="L92" s="183" t="n"/>
      <c r="M92" s="183" t="n"/>
      <c r="N92" s="183" t="n"/>
      <c r="O92" s="183" t="n"/>
      <c r="P92" s="183" t="n"/>
      <c r="Q92" s="183" t="n"/>
      <c r="R92" s="183" t="n"/>
      <c r="S92" s="183" t="n"/>
      <c r="T92" s="183" t="n"/>
      <c r="U92" s="183" t="n"/>
      <c r="V92" s="183" t="n"/>
      <c r="W92" s="183" t="n"/>
      <c r="X92" s="183" t="n"/>
      <c r="Y92" s="183" t="n"/>
      <c r="Z92" s="183" t="n"/>
      <c r="AA92" s="183" t="n"/>
    </row>
    <row r="93">
      <c r="A93" s="183" t="n"/>
      <c r="B93" s="183" t="n"/>
      <c r="C93" s="183" t="n"/>
      <c r="D93" s="183" t="n"/>
      <c r="E93" s="183" t="n"/>
      <c r="F93" s="183" t="n"/>
      <c r="G93" s="183" t="n"/>
      <c r="H93" s="183" t="n"/>
      <c r="I93" s="183" t="n"/>
      <c r="J93" s="183" t="n"/>
      <c r="K93" s="183" t="n"/>
      <c r="L93" s="183" t="n"/>
      <c r="M93" s="183" t="n"/>
      <c r="N93" s="183" t="n"/>
      <c r="O93" s="183" t="n"/>
      <c r="P93" s="183" t="n"/>
      <c r="Q93" s="183" t="n"/>
      <c r="R93" s="183" t="n"/>
      <c r="S93" s="183" t="n"/>
      <c r="T93" s="183" t="n"/>
      <c r="U93" s="183" t="n"/>
      <c r="V93" s="183" t="n"/>
      <c r="W93" s="183" t="n"/>
      <c r="X93" s="183" t="n"/>
      <c r="Y93" s="183" t="n"/>
      <c r="Z93" s="183" t="n"/>
      <c r="AA93" s="183" t="n"/>
    </row>
    <row r="94">
      <c r="A94" s="183" t="n"/>
      <c r="B94" s="183" t="n"/>
      <c r="C94" s="183" t="n"/>
      <c r="D94" s="183" t="n"/>
      <c r="E94" s="183" t="n"/>
      <c r="F94" s="183" t="n"/>
      <c r="G94" s="183" t="n"/>
      <c r="H94" s="183" t="n"/>
      <c r="I94" s="183" t="n"/>
      <c r="J94" s="183" t="n"/>
      <c r="K94" s="183" t="n"/>
      <c r="L94" s="183" t="n"/>
      <c r="M94" s="183" t="n"/>
      <c r="N94" s="183" t="n"/>
      <c r="O94" s="183" t="n"/>
      <c r="P94" s="183" t="n"/>
      <c r="Q94" s="183" t="n"/>
      <c r="R94" s="183" t="n"/>
      <c r="S94" s="183" t="n"/>
      <c r="T94" s="183" t="n"/>
      <c r="U94" s="183" t="n"/>
      <c r="V94" s="183" t="n"/>
      <c r="W94" s="183" t="n"/>
      <c r="X94" s="183" t="n"/>
      <c r="Y94" s="183" t="n"/>
      <c r="Z94" s="183" t="n"/>
      <c r="AA94" s="183" t="n"/>
    </row>
    <row r="95">
      <c r="A95" s="183" t="n"/>
      <c r="B95" s="183" t="n"/>
      <c r="C95" s="183" t="n"/>
      <c r="D95" s="183" t="n"/>
      <c r="E95" s="183" t="n"/>
      <c r="F95" s="183" t="n"/>
      <c r="G95" s="183" t="n"/>
      <c r="H95" s="183" t="n"/>
      <c r="I95" s="183" t="n"/>
      <c r="J95" s="183" t="n"/>
      <c r="K95" s="183" t="n"/>
      <c r="L95" s="183" t="n"/>
      <c r="M95" s="183" t="n"/>
      <c r="N95" s="183" t="n"/>
      <c r="O95" s="183" t="n"/>
      <c r="P95" s="183" t="n"/>
      <c r="Q95" s="183" t="n"/>
      <c r="R95" s="183" t="n"/>
      <c r="S95" s="183" t="n"/>
      <c r="T95" s="183" t="n"/>
      <c r="U95" s="183" t="n"/>
      <c r="V95" s="183" t="n"/>
      <c r="W95" s="183" t="n"/>
      <c r="X95" s="183" t="n"/>
      <c r="Y95" s="183" t="n"/>
      <c r="Z95" s="183" t="n"/>
      <c r="AA95" s="183" t="n"/>
    </row>
    <row r="96">
      <c r="A96" s="183" t="n"/>
      <c r="B96" s="183" t="n"/>
      <c r="C96" s="183" t="n"/>
      <c r="D96" s="183" t="n"/>
      <c r="E96" s="183" t="n"/>
      <c r="F96" s="183" t="n"/>
      <c r="G96" s="183" t="n"/>
      <c r="H96" s="183" t="n"/>
      <c r="I96" s="183" t="n"/>
      <c r="J96" s="183" t="n"/>
      <c r="K96" s="183" t="n"/>
      <c r="L96" s="183" t="n"/>
      <c r="M96" s="183" t="n"/>
      <c r="N96" s="183" t="n"/>
      <c r="O96" s="183" t="n"/>
      <c r="P96" s="183" t="n"/>
      <c r="Q96" s="183" t="n"/>
      <c r="R96" s="183" t="n"/>
      <c r="S96" s="183" t="n"/>
      <c r="T96" s="183" t="n"/>
      <c r="U96" s="183" t="n"/>
      <c r="V96" s="183" t="n"/>
      <c r="W96" s="183" t="n"/>
      <c r="X96" s="183" t="n"/>
      <c r="Y96" s="183" t="n"/>
      <c r="Z96" s="183" t="n"/>
      <c r="AA96" s="183" t="n"/>
    </row>
    <row r="97">
      <c r="A97" s="183" t="n"/>
      <c r="B97" s="183" t="n"/>
      <c r="C97" s="183" t="n"/>
      <c r="D97" s="183" t="n"/>
      <c r="E97" s="183" t="n"/>
      <c r="F97" s="183" t="n"/>
      <c r="G97" s="183" t="n"/>
      <c r="H97" s="183" t="n"/>
      <c r="I97" s="183" t="n"/>
      <c r="J97" s="183" t="n"/>
      <c r="K97" s="183" t="n"/>
      <c r="L97" s="183" t="n"/>
      <c r="M97" s="183" t="n"/>
      <c r="N97" s="183" t="n"/>
      <c r="O97" s="183" t="n"/>
      <c r="P97" s="183" t="n"/>
      <c r="Q97" s="183" t="n"/>
      <c r="R97" s="183" t="n"/>
      <c r="S97" s="183" t="n"/>
      <c r="T97" s="183" t="n"/>
      <c r="U97" s="183" t="n"/>
      <c r="V97" s="183" t="n"/>
      <c r="W97" s="183" t="n"/>
      <c r="X97" s="183" t="n"/>
      <c r="Y97" s="183" t="n"/>
      <c r="Z97" s="183" t="n"/>
      <c r="AA97" s="183" t="n"/>
    </row>
    <row r="98">
      <c r="A98" s="183" t="n"/>
      <c r="B98" s="183" t="n"/>
      <c r="C98" s="183" t="n"/>
      <c r="D98" s="183" t="n"/>
      <c r="E98" s="183" t="n"/>
      <c r="F98" s="183" t="n"/>
      <c r="G98" s="183" t="n"/>
      <c r="H98" s="183" t="n"/>
      <c r="I98" s="183" t="n"/>
      <c r="J98" s="183" t="n"/>
      <c r="K98" s="183" t="n"/>
      <c r="L98" s="183" t="n"/>
      <c r="M98" s="183" t="n"/>
      <c r="N98" s="183" t="n"/>
      <c r="O98" s="183" t="n"/>
      <c r="P98" s="183" t="n"/>
      <c r="Q98" s="183" t="n"/>
      <c r="R98" s="183" t="n"/>
      <c r="S98" s="183" t="n"/>
      <c r="T98" s="183" t="n"/>
      <c r="U98" s="183" t="n"/>
      <c r="V98" s="183" t="n"/>
      <c r="W98" s="183" t="n"/>
      <c r="X98" s="183" t="n"/>
      <c r="Y98" s="183" t="n"/>
      <c r="Z98" s="183" t="n"/>
      <c r="AA98" s="183" t="n"/>
    </row>
    <row r="99">
      <c r="A99" s="183" t="n"/>
      <c r="B99" s="183" t="n"/>
      <c r="C99" s="183" t="n"/>
      <c r="D99" s="183" t="n"/>
      <c r="E99" s="183" t="n"/>
      <c r="F99" s="183" t="n"/>
      <c r="G99" s="183" t="n"/>
      <c r="H99" s="183" t="n"/>
      <c r="I99" s="183" t="n"/>
      <c r="J99" s="183" t="n"/>
      <c r="K99" s="183" t="n"/>
      <c r="L99" s="183" t="n"/>
      <c r="M99" s="183" t="n"/>
      <c r="N99" s="183" t="n"/>
      <c r="O99" s="183" t="n"/>
      <c r="P99" s="183" t="n"/>
      <c r="Q99" s="183" t="n"/>
      <c r="R99" s="183" t="n"/>
      <c r="S99" s="183" t="n"/>
      <c r="T99" s="183" t="n"/>
      <c r="U99" s="183" t="n"/>
      <c r="V99" s="183" t="n"/>
      <c r="W99" s="183" t="n"/>
      <c r="X99" s="183" t="n"/>
      <c r="Y99" s="183" t="n"/>
      <c r="Z99" s="183" t="n"/>
      <c r="AA99" s="183" t="n"/>
    </row>
    <row r="100">
      <c r="A100" s="183" t="n"/>
      <c r="B100" s="183" t="n"/>
      <c r="C100" s="183" t="n"/>
      <c r="D100" s="183" t="n"/>
      <c r="E100" s="183" t="n"/>
      <c r="F100" s="183" t="n"/>
      <c r="G100" s="183" t="n"/>
      <c r="H100" s="183" t="n"/>
      <c r="I100" s="183" t="n"/>
      <c r="J100" s="183" t="n"/>
      <c r="K100" s="183" t="n"/>
      <c r="L100" s="183" t="n"/>
      <c r="M100" s="183" t="n"/>
      <c r="N100" s="183" t="n"/>
      <c r="O100" s="183" t="n"/>
      <c r="P100" s="183" t="n"/>
      <c r="Q100" s="183" t="n"/>
      <c r="R100" s="183" t="n"/>
      <c r="S100" s="183" t="n"/>
      <c r="T100" s="183" t="n"/>
      <c r="U100" s="183" t="n"/>
      <c r="V100" s="183" t="n"/>
      <c r="W100" s="183" t="n"/>
      <c r="X100" s="183" t="n"/>
      <c r="Y100" s="183" t="n"/>
      <c r="Z100" s="183" t="n"/>
      <c r="AA100" s="183" t="n"/>
    </row>
    <row r="101">
      <c r="A101" s="183" t="n"/>
      <c r="B101" s="183" t="n"/>
      <c r="C101" s="183" t="n"/>
      <c r="D101" s="183" t="n"/>
      <c r="E101" s="183" t="n"/>
      <c r="F101" s="183" t="n"/>
      <c r="G101" s="183" t="n"/>
      <c r="H101" s="183" t="n"/>
      <c r="I101" s="183" t="n"/>
      <c r="J101" s="183" t="n"/>
      <c r="K101" s="183" t="n"/>
      <c r="L101" s="183" t="n"/>
      <c r="M101" s="183" t="n"/>
      <c r="N101" s="183" t="n"/>
      <c r="O101" s="183" t="n"/>
      <c r="P101" s="183" t="n"/>
      <c r="Q101" s="183" t="n"/>
      <c r="R101" s="183" t="n"/>
      <c r="S101" s="183" t="n"/>
      <c r="T101" s="183" t="n"/>
      <c r="U101" s="183" t="n"/>
      <c r="V101" s="183" t="n"/>
      <c r="W101" s="183" t="n"/>
      <c r="X101" s="183" t="n"/>
      <c r="Y101" s="183" t="n"/>
      <c r="Z101" s="183" t="n"/>
      <c r="AA101" s="183" t="n"/>
    </row>
    <row r="102">
      <c r="A102" s="183" t="n"/>
      <c r="B102" s="183" t="n"/>
      <c r="C102" s="183" t="n"/>
      <c r="D102" s="183" t="n"/>
      <c r="E102" s="183" t="n"/>
      <c r="F102" s="183" t="n"/>
      <c r="G102" s="183" t="n"/>
      <c r="H102" s="183" t="n"/>
      <c r="I102" s="183" t="n"/>
      <c r="J102" s="183" t="n"/>
      <c r="K102" s="183" t="n"/>
      <c r="L102" s="183" t="n"/>
      <c r="M102" s="183" t="n"/>
      <c r="N102" s="183" t="n"/>
      <c r="O102" s="183" t="n"/>
      <c r="P102" s="183" t="n"/>
      <c r="Q102" s="183" t="n"/>
      <c r="R102" s="183" t="n"/>
      <c r="S102" s="183" t="n"/>
      <c r="T102" s="183" t="n"/>
      <c r="U102" s="183" t="n"/>
      <c r="V102" s="183" t="n"/>
      <c r="W102" s="183" t="n"/>
      <c r="X102" s="183" t="n"/>
      <c r="Y102" s="183" t="n"/>
      <c r="Z102" s="183" t="n"/>
      <c r="AA102" s="183" t="n"/>
    </row>
    <row r="103">
      <c r="A103" s="183" t="n"/>
      <c r="B103" s="183" t="n"/>
      <c r="C103" s="183" t="n"/>
      <c r="D103" s="183" t="n"/>
      <c r="E103" s="183" t="n"/>
      <c r="F103" s="183" t="n"/>
      <c r="G103" s="183" t="n"/>
      <c r="H103" s="183" t="n"/>
      <c r="I103" s="183" t="n"/>
      <c r="J103" s="183" t="n"/>
      <c r="K103" s="183" t="n"/>
      <c r="L103" s="183" t="n"/>
      <c r="M103" s="183" t="n"/>
      <c r="N103" s="183" t="n"/>
      <c r="O103" s="183" t="n"/>
      <c r="P103" s="183" t="n"/>
      <c r="Q103" s="183" t="n"/>
      <c r="R103" s="183" t="n"/>
      <c r="S103" s="183" t="n"/>
      <c r="T103" s="183" t="n"/>
      <c r="U103" s="183" t="n"/>
      <c r="V103" s="183" t="n"/>
      <c r="W103" s="183" t="n"/>
      <c r="X103" s="183" t="n"/>
      <c r="Y103" s="183" t="n"/>
      <c r="Z103" s="183" t="n"/>
      <c r="AA103" s="183" t="n"/>
    </row>
    <row r="104">
      <c r="A104" s="183" t="n"/>
      <c r="B104" s="183" t="n"/>
      <c r="C104" s="183" t="n"/>
      <c r="D104" s="183" t="n"/>
      <c r="E104" s="183" t="n"/>
      <c r="F104" s="183" t="n"/>
      <c r="G104" s="183" t="n"/>
      <c r="H104" s="183" t="n"/>
      <c r="I104" s="183" t="n"/>
      <c r="J104" s="183" t="n"/>
      <c r="K104" s="183" t="n"/>
      <c r="L104" s="183" t="n"/>
      <c r="M104" s="183" t="n"/>
      <c r="N104" s="183" t="n"/>
      <c r="O104" s="183" t="n"/>
      <c r="P104" s="183" t="n"/>
      <c r="Q104" s="183" t="n"/>
      <c r="R104" s="183" t="n"/>
      <c r="S104" s="183" t="n"/>
      <c r="T104" s="183" t="n"/>
      <c r="U104" s="183" t="n"/>
      <c r="V104" s="183" t="n"/>
      <c r="W104" s="183" t="n"/>
      <c r="X104" s="183" t="n"/>
      <c r="Y104" s="183" t="n"/>
      <c r="Z104" s="183" t="n"/>
      <c r="AA104" s="183" t="n"/>
    </row>
    <row r="105">
      <c r="A105" s="183" t="n"/>
      <c r="B105" s="183" t="n"/>
      <c r="C105" s="183" t="n"/>
      <c r="D105" s="183" t="n"/>
      <c r="E105" s="183" t="n"/>
      <c r="F105" s="183" t="n"/>
      <c r="G105" s="183" t="n"/>
      <c r="H105" s="183" t="n"/>
      <c r="I105" s="183" t="n"/>
      <c r="J105" s="183" t="n"/>
      <c r="K105" s="183" t="n"/>
      <c r="L105" s="183" t="n"/>
      <c r="M105" s="183" t="n"/>
      <c r="N105" s="183" t="n"/>
      <c r="O105" s="183" t="n"/>
      <c r="P105" s="183" t="n"/>
      <c r="Q105" s="183" t="n"/>
      <c r="R105" s="183" t="n"/>
      <c r="S105" s="183" t="n"/>
      <c r="T105" s="183" t="n"/>
      <c r="U105" s="183" t="n"/>
      <c r="V105" s="183" t="n"/>
      <c r="W105" s="183" t="n"/>
      <c r="X105" s="183" t="n"/>
      <c r="Y105" s="183" t="n"/>
      <c r="Z105" s="183" t="n"/>
      <c r="AA105" s="183" t="n"/>
    </row>
    <row r="106">
      <c r="A106" s="183" t="n"/>
      <c r="B106" s="183" t="n"/>
      <c r="C106" s="183" t="n"/>
      <c r="D106" s="183" t="n"/>
      <c r="E106" s="183" t="n"/>
      <c r="F106" s="183" t="n"/>
      <c r="G106" s="183" t="n"/>
      <c r="H106" s="183" t="n"/>
      <c r="I106" s="183" t="n"/>
      <c r="J106" s="183" t="n"/>
      <c r="K106" s="183" t="n"/>
      <c r="L106" s="183" t="n"/>
      <c r="M106" s="183" t="n"/>
      <c r="N106" s="183" t="n"/>
      <c r="O106" s="183" t="n"/>
      <c r="P106" s="183" t="n"/>
      <c r="Q106" s="183" t="n"/>
      <c r="R106" s="183" t="n"/>
      <c r="S106" s="183" t="n"/>
      <c r="T106" s="183" t="n"/>
      <c r="U106" s="183" t="n"/>
      <c r="V106" s="183" t="n"/>
      <c r="W106" s="183" t="n"/>
      <c r="X106" s="183" t="n"/>
      <c r="Y106" s="183" t="n"/>
      <c r="Z106" s="183" t="n"/>
      <c r="AA106" s="183" t="n"/>
    </row>
    <row r="107">
      <c r="A107" s="183" t="n"/>
      <c r="B107" s="183" t="n"/>
      <c r="C107" s="183" t="n"/>
      <c r="D107" s="183" t="n"/>
      <c r="E107" s="183" t="n"/>
      <c r="F107" s="183" t="n"/>
      <c r="G107" s="183" t="n"/>
      <c r="H107" s="183" t="n"/>
      <c r="I107" s="183" t="n"/>
      <c r="J107" s="183" t="n"/>
      <c r="K107" s="183" t="n"/>
      <c r="L107" s="183" t="n"/>
      <c r="M107" s="183" t="n"/>
      <c r="N107" s="183" t="n"/>
      <c r="O107" s="183" t="n"/>
      <c r="P107" s="183" t="n"/>
      <c r="Q107" s="183" t="n"/>
      <c r="R107" s="183" t="n"/>
      <c r="S107" s="183" t="n"/>
      <c r="T107" s="183" t="n"/>
      <c r="U107" s="183" t="n"/>
      <c r="V107" s="183" t="n"/>
      <c r="W107" s="183" t="n"/>
      <c r="X107" s="183" t="n"/>
      <c r="Y107" s="183" t="n"/>
      <c r="Z107" s="183" t="n"/>
      <c r="AA107" s="183" t="n"/>
    </row>
    <row r="108">
      <c r="A108" s="183" t="n"/>
      <c r="B108" s="183" t="n"/>
      <c r="C108" s="183" t="n"/>
      <c r="D108" s="183" t="n"/>
      <c r="E108" s="183" t="n"/>
      <c r="F108" s="183" t="n"/>
      <c r="G108" s="183" t="n"/>
      <c r="H108" s="183" t="n"/>
      <c r="I108" s="183" t="n"/>
      <c r="J108" s="183" t="n"/>
      <c r="K108" s="183" t="n"/>
      <c r="L108" s="183" t="n"/>
      <c r="M108" s="183" t="n"/>
      <c r="N108" s="183" t="n"/>
      <c r="O108" s="183" t="n"/>
      <c r="P108" s="183" t="n"/>
      <c r="Q108" s="183" t="n"/>
      <c r="R108" s="183" t="n"/>
      <c r="S108" s="183" t="n"/>
      <c r="T108" s="183" t="n"/>
      <c r="U108" s="183" t="n"/>
      <c r="V108" s="183" t="n"/>
      <c r="W108" s="183" t="n"/>
      <c r="X108" s="183" t="n"/>
      <c r="Y108" s="183" t="n"/>
      <c r="Z108" s="183" t="n"/>
      <c r="AA108" s="183" t="n"/>
    </row>
    <row r="109">
      <c r="A109" s="183" t="n"/>
      <c r="B109" s="183" t="n"/>
      <c r="C109" s="183" t="n"/>
      <c r="D109" s="183" t="n"/>
      <c r="E109" s="183" t="n"/>
      <c r="F109" s="183" t="n"/>
      <c r="G109" s="183" t="n"/>
      <c r="H109" s="183" t="n"/>
      <c r="I109" s="183" t="n"/>
      <c r="J109" s="183" t="n"/>
      <c r="K109" s="183" t="n"/>
      <c r="L109" s="183" t="n"/>
      <c r="M109" s="183" t="n"/>
      <c r="N109" s="183" t="n"/>
      <c r="O109" s="183" t="n"/>
      <c r="P109" s="183" t="n"/>
      <c r="Q109" s="183" t="n"/>
      <c r="R109" s="183" t="n"/>
      <c r="S109" s="183" t="n"/>
      <c r="T109" s="183" t="n"/>
      <c r="U109" s="183" t="n"/>
      <c r="V109" s="183" t="n"/>
      <c r="W109" s="183" t="n"/>
      <c r="X109" s="183" t="n"/>
      <c r="Y109" s="183" t="n"/>
      <c r="Z109" s="183" t="n"/>
      <c r="AA109" s="183" t="n"/>
    </row>
    <row r="110">
      <c r="A110" s="183" t="n"/>
      <c r="B110" s="183" t="n"/>
      <c r="C110" s="183" t="n"/>
      <c r="D110" s="183" t="n"/>
      <c r="E110" s="183" t="n"/>
      <c r="F110" s="183" t="n"/>
      <c r="G110" s="183" t="n"/>
      <c r="H110" s="183" t="n"/>
      <c r="I110" s="183" t="n"/>
      <c r="J110" s="183" t="n"/>
      <c r="K110" s="183" t="n"/>
      <c r="L110" s="183" t="n"/>
      <c r="M110" s="183" t="n"/>
      <c r="N110" s="183" t="n"/>
      <c r="O110" s="183" t="n"/>
      <c r="P110" s="183" t="n"/>
      <c r="Q110" s="183" t="n"/>
      <c r="R110" s="183" t="n"/>
      <c r="S110" s="183" t="n"/>
      <c r="T110" s="183" t="n"/>
      <c r="U110" s="183" t="n"/>
      <c r="V110" s="183" t="n"/>
      <c r="W110" s="183" t="n"/>
      <c r="X110" s="183" t="n"/>
      <c r="Y110" s="183" t="n"/>
      <c r="Z110" s="183" t="n"/>
      <c r="AA110" s="183" t="n"/>
    </row>
    <row r="111">
      <c r="A111" s="183" t="n"/>
      <c r="B111" s="183" t="n"/>
      <c r="C111" s="183" t="n"/>
      <c r="D111" s="183" t="n"/>
      <c r="E111" s="183" t="n"/>
      <c r="F111" s="183" t="n"/>
      <c r="G111" s="183" t="n"/>
      <c r="H111" s="183" t="n"/>
      <c r="I111" s="183" t="n"/>
      <c r="J111" s="183" t="n"/>
      <c r="K111" s="183" t="n"/>
      <c r="L111" s="183" t="n"/>
      <c r="M111" s="183" t="n"/>
      <c r="N111" s="183" t="n"/>
      <c r="O111" s="183" t="n"/>
      <c r="P111" s="183" t="n"/>
      <c r="Q111" s="183" t="n"/>
      <c r="R111" s="183" t="n"/>
      <c r="S111" s="183" t="n"/>
      <c r="T111" s="183" t="n"/>
      <c r="U111" s="183" t="n"/>
      <c r="V111" s="183" t="n"/>
      <c r="W111" s="183" t="n"/>
      <c r="X111" s="183" t="n"/>
      <c r="Y111" s="183" t="n"/>
      <c r="Z111" s="183" t="n"/>
      <c r="AA111" s="183" t="n"/>
    </row>
    <row r="112">
      <c r="A112" s="183" t="n"/>
      <c r="B112" s="183" t="n"/>
      <c r="C112" s="183" t="n"/>
      <c r="D112" s="183" t="n"/>
      <c r="E112" s="183" t="n"/>
      <c r="F112" s="183" t="n"/>
      <c r="G112" s="183" t="n"/>
      <c r="H112" s="183" t="n"/>
      <c r="I112" s="183" t="n"/>
      <c r="J112" s="183" t="n"/>
      <c r="K112" s="183" t="n"/>
      <c r="L112" s="183" t="n"/>
      <c r="M112" s="183" t="n"/>
      <c r="N112" s="183" t="n"/>
      <c r="O112" s="183" t="n"/>
      <c r="P112" s="183" t="n"/>
      <c r="Q112" s="183" t="n"/>
      <c r="R112" s="183" t="n"/>
      <c r="S112" s="183" t="n"/>
      <c r="T112" s="183" t="n"/>
      <c r="U112" s="183" t="n"/>
      <c r="V112" s="183" t="n"/>
      <c r="W112" s="183" t="n"/>
      <c r="X112" s="183" t="n"/>
      <c r="Y112" s="183" t="n"/>
      <c r="Z112" s="183" t="n"/>
      <c r="AA112" s="183" t="n"/>
    </row>
    <row r="113">
      <c r="A113" s="183" t="n"/>
      <c r="B113" s="183" t="n"/>
      <c r="C113" s="183" t="n"/>
      <c r="D113" s="183" t="n"/>
      <c r="E113" s="183" t="n"/>
      <c r="F113" s="183" t="n"/>
      <c r="G113" s="183" t="n"/>
      <c r="H113" s="183" t="n"/>
      <c r="I113" s="183" t="n"/>
      <c r="J113" s="183" t="n"/>
      <c r="K113" s="183" t="n"/>
      <c r="L113" s="183" t="n"/>
      <c r="M113" s="183" t="n"/>
      <c r="N113" s="183" t="n"/>
      <c r="O113" s="183" t="n"/>
      <c r="P113" s="183" t="n"/>
      <c r="Q113" s="183" t="n"/>
      <c r="R113" s="183" t="n"/>
      <c r="S113" s="183" t="n"/>
      <c r="T113" s="183" t="n"/>
      <c r="U113" s="183" t="n"/>
      <c r="V113" s="183" t="n"/>
      <c r="W113" s="183" t="n"/>
      <c r="X113" s="183" t="n"/>
      <c r="Y113" s="183" t="n"/>
      <c r="Z113" s="183" t="n"/>
      <c r="AA113" s="183" t="n"/>
    </row>
    <row r="114">
      <c r="A114" s="183" t="n"/>
      <c r="B114" s="183" t="n"/>
      <c r="C114" s="183" t="n"/>
      <c r="D114" s="183" t="n"/>
      <c r="E114" s="183" t="n"/>
      <c r="F114" s="183" t="n"/>
      <c r="G114" s="183" t="n"/>
      <c r="H114" s="183" t="n"/>
      <c r="I114" s="183" t="n"/>
      <c r="J114" s="183" t="n"/>
      <c r="K114" s="183" t="n"/>
      <c r="L114" s="183" t="n"/>
      <c r="M114" s="183" t="n"/>
      <c r="N114" s="183" t="n"/>
      <c r="O114" s="183" t="n"/>
      <c r="P114" s="183" t="n"/>
      <c r="Q114" s="183" t="n"/>
      <c r="R114" s="183" t="n"/>
      <c r="S114" s="183" t="n"/>
      <c r="T114" s="183" t="n"/>
      <c r="U114" s="183" t="n"/>
      <c r="V114" s="183" t="n"/>
      <c r="W114" s="183" t="n"/>
      <c r="X114" s="183" t="n"/>
      <c r="Y114" s="183" t="n"/>
      <c r="Z114" s="183" t="n"/>
      <c r="AA114" s="183" t="n"/>
    </row>
    <row r="115">
      <c r="A115" s="183" t="n"/>
      <c r="B115" s="183" t="n"/>
      <c r="C115" s="183" t="n"/>
      <c r="D115" s="183" t="n"/>
      <c r="E115" s="183" t="n"/>
      <c r="F115" s="183" t="n"/>
      <c r="G115" s="183" t="n"/>
      <c r="H115" s="183" t="n"/>
      <c r="I115" s="183" t="n"/>
      <c r="J115" s="183" t="n"/>
      <c r="K115" s="183" t="n"/>
      <c r="L115" s="183" t="n"/>
      <c r="M115" s="183" t="n"/>
      <c r="N115" s="183" t="n"/>
      <c r="O115" s="183" t="n"/>
      <c r="P115" s="183" t="n"/>
      <c r="Q115" s="183" t="n"/>
      <c r="R115" s="183" t="n"/>
      <c r="S115" s="183" t="n"/>
      <c r="T115" s="183" t="n"/>
      <c r="U115" s="183" t="n"/>
      <c r="V115" s="183" t="n"/>
      <c r="W115" s="183" t="n"/>
      <c r="X115" s="183" t="n"/>
      <c r="Y115" s="183" t="n"/>
      <c r="Z115" s="183" t="n"/>
      <c r="AA115" s="183" t="n"/>
    </row>
    <row r="116">
      <c r="A116" s="183" t="n"/>
      <c r="B116" s="183" t="n"/>
      <c r="C116" s="183" t="n"/>
      <c r="D116" s="183" t="n"/>
      <c r="E116" s="183" t="n"/>
      <c r="F116" s="183" t="n"/>
      <c r="G116" s="183" t="n"/>
      <c r="H116" s="183" t="n"/>
      <c r="I116" s="183" t="n"/>
      <c r="J116" s="183" t="n"/>
      <c r="K116" s="183" t="n"/>
      <c r="L116" s="183" t="n"/>
      <c r="M116" s="183" t="n"/>
      <c r="N116" s="183" t="n"/>
      <c r="O116" s="183" t="n"/>
      <c r="P116" s="183" t="n"/>
      <c r="Q116" s="183" t="n"/>
      <c r="R116" s="183" t="n"/>
      <c r="S116" s="183" t="n"/>
      <c r="T116" s="183" t="n"/>
      <c r="U116" s="183" t="n"/>
      <c r="V116" s="183" t="n"/>
      <c r="W116" s="183" t="n"/>
      <c r="X116" s="183" t="n"/>
      <c r="Y116" s="183" t="n"/>
      <c r="Z116" s="183" t="n"/>
      <c r="AA116" s="183" t="n"/>
    </row>
    <row r="117">
      <c r="A117" s="183" t="n"/>
      <c r="B117" s="183" t="n"/>
      <c r="C117" s="183" t="n"/>
      <c r="D117" s="183" t="n"/>
      <c r="E117" s="183" t="n"/>
      <c r="F117" s="183" t="n"/>
      <c r="G117" s="183" t="n"/>
      <c r="H117" s="183" t="n"/>
      <c r="I117" s="183" t="n"/>
      <c r="J117" s="183" t="n"/>
      <c r="K117" s="183" t="n"/>
      <c r="L117" s="183" t="n"/>
      <c r="M117" s="183" t="n"/>
      <c r="N117" s="183" t="n"/>
      <c r="O117" s="183" t="n"/>
      <c r="P117" s="183" t="n"/>
      <c r="Q117" s="183" t="n"/>
      <c r="R117" s="183" t="n"/>
      <c r="S117" s="183" t="n"/>
      <c r="T117" s="183" t="n"/>
      <c r="U117" s="183" t="n"/>
      <c r="V117" s="183" t="n"/>
      <c r="W117" s="183" t="n"/>
      <c r="X117" s="183" t="n"/>
      <c r="Y117" s="183" t="n"/>
      <c r="Z117" s="183" t="n"/>
      <c r="AA117" s="183" t="n"/>
    </row>
    <row r="118">
      <c r="A118" s="183" t="n"/>
      <c r="B118" s="183" t="n"/>
      <c r="C118" s="183" t="n"/>
      <c r="D118" s="183" t="n"/>
      <c r="E118" s="183" t="n"/>
      <c r="F118" s="183" t="n"/>
      <c r="G118" s="183" t="n"/>
      <c r="H118" s="183" t="n"/>
      <c r="I118" s="183" t="n"/>
      <c r="J118" s="183" t="n"/>
      <c r="K118" s="183" t="n"/>
      <c r="L118" s="183" t="n"/>
      <c r="M118" s="183" t="n"/>
      <c r="N118" s="183" t="n"/>
      <c r="O118" s="183" t="n"/>
      <c r="P118" s="183" t="n"/>
      <c r="Q118" s="183" t="n"/>
      <c r="R118" s="183" t="n"/>
      <c r="S118" s="183" t="n"/>
      <c r="T118" s="183" t="n"/>
      <c r="U118" s="183" t="n"/>
      <c r="V118" s="183" t="n"/>
      <c r="W118" s="183" t="n"/>
      <c r="X118" s="183" t="n"/>
      <c r="Y118" s="183" t="n"/>
      <c r="Z118" s="183" t="n"/>
      <c r="AA118" s="183" t="n"/>
    </row>
    <row r="119">
      <c r="A119" s="183" t="n"/>
      <c r="B119" s="183" t="n"/>
      <c r="C119" s="183" t="n"/>
      <c r="D119" s="183" t="n"/>
      <c r="E119" s="183" t="n"/>
      <c r="F119" s="183" t="n"/>
      <c r="G119" s="183" t="n"/>
      <c r="H119" s="183" t="n"/>
      <c r="I119" s="183" t="n"/>
      <c r="J119" s="183" t="n"/>
      <c r="K119" s="183" t="n"/>
      <c r="L119" s="183" t="n"/>
      <c r="M119" s="183" t="n"/>
      <c r="N119" s="183" t="n"/>
      <c r="O119" s="183" t="n"/>
      <c r="P119" s="183" t="n"/>
      <c r="Q119" s="183" t="n"/>
      <c r="R119" s="183" t="n"/>
      <c r="S119" s="183" t="n"/>
      <c r="T119" s="183" t="n"/>
      <c r="U119" s="183" t="n"/>
      <c r="V119" s="183" t="n"/>
      <c r="W119" s="183" t="n"/>
      <c r="X119" s="183" t="n"/>
      <c r="Y119" s="183" t="n"/>
      <c r="Z119" s="183" t="n"/>
      <c r="AA119" s="183" t="n"/>
    </row>
    <row r="120">
      <c r="A120" s="183" t="n"/>
      <c r="B120" s="183" t="n"/>
      <c r="C120" s="183" t="n"/>
      <c r="D120" s="183" t="n"/>
      <c r="E120" s="183" t="n"/>
      <c r="F120" s="183" t="n"/>
      <c r="G120" s="183" t="n"/>
      <c r="H120" s="183" t="n"/>
      <c r="I120" s="183" t="n"/>
      <c r="J120" s="183" t="n"/>
      <c r="K120" s="183" t="n"/>
      <c r="L120" s="183" t="n"/>
      <c r="M120" s="183" t="n"/>
      <c r="N120" s="183" t="n"/>
      <c r="O120" s="183" t="n"/>
      <c r="P120" s="183" t="n"/>
      <c r="Q120" s="183" t="n"/>
      <c r="R120" s="183" t="n"/>
      <c r="S120" s="183" t="n"/>
      <c r="T120" s="183" t="n"/>
      <c r="U120" s="183" t="n"/>
      <c r="V120" s="183" t="n"/>
      <c r="W120" s="183" t="n"/>
      <c r="X120" s="183" t="n"/>
      <c r="Y120" s="183" t="n"/>
      <c r="Z120" s="183" t="n"/>
      <c r="AA120" s="183" t="n"/>
    </row>
    <row r="121">
      <c r="A121" s="183" t="n"/>
      <c r="B121" s="183" t="n"/>
      <c r="C121" s="183" t="n"/>
      <c r="D121" s="183" t="n"/>
      <c r="E121" s="183" t="n"/>
      <c r="F121" s="183" t="n"/>
      <c r="G121" s="183" t="n"/>
      <c r="H121" s="183" t="n"/>
      <c r="I121" s="183" t="n"/>
      <c r="J121" s="183" t="n"/>
      <c r="K121" s="183" t="n"/>
      <c r="L121" s="183" t="n"/>
      <c r="M121" s="183" t="n"/>
      <c r="N121" s="183" t="n"/>
      <c r="O121" s="183" t="n"/>
      <c r="P121" s="183" t="n"/>
      <c r="Q121" s="183" t="n"/>
      <c r="R121" s="183" t="n"/>
      <c r="S121" s="183" t="n"/>
      <c r="T121" s="183" t="n"/>
      <c r="U121" s="183" t="n"/>
      <c r="V121" s="183" t="n"/>
      <c r="W121" s="183" t="n"/>
      <c r="X121" s="183" t="n"/>
      <c r="Y121" s="183" t="n"/>
      <c r="Z121" s="183" t="n"/>
      <c r="AA121" s="183" t="n"/>
    </row>
    <row r="122">
      <c r="A122" s="183" t="n"/>
      <c r="B122" s="183" t="n"/>
      <c r="C122" s="183" t="n"/>
      <c r="D122" s="183" t="n"/>
      <c r="E122" s="183" t="n"/>
      <c r="F122" s="183" t="n"/>
      <c r="G122" s="183" t="n"/>
      <c r="H122" s="183" t="n"/>
      <c r="I122" s="183" t="n"/>
      <c r="J122" s="183" t="n"/>
      <c r="K122" s="183" t="n"/>
      <c r="L122" s="183" t="n"/>
      <c r="M122" s="183" t="n"/>
      <c r="N122" s="183" t="n"/>
      <c r="O122" s="183" t="n"/>
      <c r="P122" s="183" t="n"/>
      <c r="Q122" s="183" t="n"/>
      <c r="R122" s="183" t="n"/>
      <c r="S122" s="183" t="n"/>
      <c r="T122" s="183" t="n"/>
      <c r="U122" s="183" t="n"/>
      <c r="V122" s="183" t="n"/>
      <c r="W122" s="183" t="n"/>
      <c r="X122" s="183" t="n"/>
      <c r="Y122" s="183" t="n"/>
      <c r="Z122" s="183" t="n"/>
      <c r="AA122" s="183" t="n"/>
    </row>
    <row r="123">
      <c r="A123" s="183" t="n"/>
      <c r="B123" s="183" t="n"/>
      <c r="C123" s="183" t="n"/>
      <c r="D123" s="183" t="n"/>
      <c r="E123" s="183" t="n"/>
      <c r="F123" s="183" t="n"/>
      <c r="G123" s="183" t="n"/>
      <c r="H123" s="183" t="n"/>
      <c r="I123" s="183" t="n"/>
      <c r="J123" s="183" t="n"/>
      <c r="K123" s="183" t="n"/>
      <c r="L123" s="183" t="n"/>
      <c r="M123" s="183" t="n"/>
      <c r="N123" s="183" t="n"/>
      <c r="O123" s="183" t="n"/>
      <c r="P123" s="183" t="n"/>
      <c r="Q123" s="183" t="n"/>
      <c r="R123" s="183" t="n"/>
      <c r="S123" s="183" t="n"/>
      <c r="T123" s="183" t="n"/>
      <c r="U123" s="183" t="n"/>
      <c r="V123" s="183" t="n"/>
      <c r="W123" s="183" t="n"/>
      <c r="X123" s="183" t="n"/>
      <c r="Y123" s="183" t="n"/>
      <c r="Z123" s="183" t="n"/>
      <c r="AA123" s="183" t="n"/>
    </row>
    <row r="124">
      <c r="A124" s="183" t="n"/>
      <c r="B124" s="183" t="n"/>
      <c r="C124" s="183" t="n"/>
      <c r="D124" s="183" t="n"/>
      <c r="E124" s="183" t="n"/>
      <c r="F124" s="183" t="n"/>
      <c r="G124" s="183" t="n"/>
      <c r="H124" s="183" t="n"/>
      <c r="I124" s="183" t="n"/>
      <c r="J124" s="183" t="n"/>
      <c r="K124" s="183" t="n"/>
      <c r="L124" s="183" t="n"/>
      <c r="M124" s="183" t="n"/>
      <c r="N124" s="183" t="n"/>
      <c r="O124" s="183" t="n"/>
      <c r="P124" s="183" t="n"/>
      <c r="Q124" s="183" t="n"/>
      <c r="R124" s="183" t="n"/>
      <c r="S124" s="183" t="n"/>
      <c r="T124" s="183" t="n"/>
      <c r="U124" s="183" t="n"/>
      <c r="V124" s="183" t="n"/>
      <c r="W124" s="183" t="n"/>
      <c r="X124" s="183" t="n"/>
      <c r="Y124" s="183" t="n"/>
      <c r="Z124" s="183" t="n"/>
      <c r="AA124" s="183" t="n"/>
    </row>
    <row r="125">
      <c r="A125" s="183" t="n"/>
      <c r="B125" s="183" t="n"/>
      <c r="C125" s="183" t="n"/>
      <c r="D125" s="183" t="n"/>
      <c r="E125" s="183" t="n"/>
      <c r="F125" s="183" t="n"/>
      <c r="G125" s="183" t="n"/>
      <c r="H125" s="183" t="n"/>
      <c r="I125" s="183" t="n"/>
      <c r="J125" s="183" t="n"/>
      <c r="K125" s="183" t="n"/>
      <c r="L125" s="183" t="n"/>
      <c r="M125" s="183" t="n"/>
      <c r="N125" s="183" t="n"/>
      <c r="O125" s="183" t="n"/>
      <c r="P125" s="183" t="n"/>
      <c r="Q125" s="183" t="n"/>
      <c r="R125" s="183" t="n"/>
      <c r="S125" s="183" t="n"/>
      <c r="T125" s="183" t="n"/>
      <c r="U125" s="183" t="n"/>
      <c r="V125" s="183" t="n"/>
      <c r="W125" s="183" t="n"/>
      <c r="X125" s="183" t="n"/>
      <c r="Y125" s="183" t="n"/>
      <c r="Z125" s="183" t="n"/>
      <c r="AA125" s="183" t="n"/>
    </row>
    <row r="126">
      <c r="A126" s="183" t="n"/>
      <c r="B126" s="183" t="n"/>
      <c r="C126" s="183" t="n"/>
      <c r="D126" s="183" t="n"/>
      <c r="E126" s="183" t="n"/>
      <c r="F126" s="183" t="n"/>
      <c r="G126" s="183" t="n"/>
      <c r="H126" s="183" t="n"/>
      <c r="I126" s="183" t="n"/>
      <c r="J126" s="183" t="n"/>
      <c r="K126" s="183" t="n"/>
      <c r="L126" s="183" t="n"/>
      <c r="M126" s="183" t="n"/>
      <c r="N126" s="183" t="n"/>
      <c r="O126" s="183" t="n"/>
      <c r="P126" s="183" t="n"/>
      <c r="Q126" s="183" t="n"/>
      <c r="R126" s="183" t="n"/>
      <c r="S126" s="183" t="n"/>
      <c r="T126" s="183" t="n"/>
      <c r="U126" s="183" t="n"/>
      <c r="V126" s="183" t="n"/>
      <c r="W126" s="183" t="n"/>
      <c r="X126" s="183" t="n"/>
      <c r="Y126" s="183" t="n"/>
      <c r="Z126" s="183" t="n"/>
      <c r="AA126" s="183" t="n"/>
    </row>
    <row r="127">
      <c r="A127" s="183" t="n"/>
      <c r="B127" s="183" t="n"/>
      <c r="C127" s="183" t="n"/>
      <c r="D127" s="183" t="n"/>
      <c r="E127" s="183" t="n"/>
      <c r="F127" s="183" t="n"/>
      <c r="G127" s="183" t="n"/>
      <c r="H127" s="183" t="n"/>
      <c r="I127" s="183" t="n"/>
      <c r="J127" s="183" t="n"/>
      <c r="K127" s="183" t="n"/>
      <c r="L127" s="183" t="n"/>
      <c r="M127" s="183" t="n"/>
      <c r="N127" s="183" t="n"/>
      <c r="O127" s="183" t="n"/>
      <c r="P127" s="183" t="n"/>
      <c r="Q127" s="183" t="n"/>
      <c r="R127" s="183" t="n"/>
      <c r="S127" s="183" t="n"/>
      <c r="T127" s="183" t="n"/>
      <c r="U127" s="183" t="n"/>
      <c r="V127" s="183" t="n"/>
      <c r="W127" s="183" t="n"/>
      <c r="X127" s="183" t="n"/>
      <c r="Y127" s="183" t="n"/>
      <c r="Z127" s="183" t="n"/>
      <c r="AA127" s="183" t="n"/>
    </row>
    <row r="128">
      <c r="A128" s="183" t="n"/>
      <c r="B128" s="183" t="n"/>
      <c r="C128" s="183" t="n"/>
      <c r="D128" s="183" t="n"/>
      <c r="E128" s="183" t="n"/>
      <c r="F128" s="183" t="n"/>
      <c r="G128" s="183" t="n"/>
      <c r="H128" s="183" t="n"/>
      <c r="I128" s="183" t="n"/>
      <c r="J128" s="183" t="n"/>
      <c r="K128" s="183" t="n"/>
      <c r="L128" s="183" t="n"/>
      <c r="M128" s="183" t="n"/>
      <c r="N128" s="183" t="n"/>
      <c r="O128" s="183" t="n"/>
      <c r="P128" s="183" t="n"/>
      <c r="Q128" s="183" t="n"/>
      <c r="R128" s="183" t="n"/>
      <c r="S128" s="183" t="n"/>
      <c r="T128" s="183" t="n"/>
      <c r="U128" s="183" t="n"/>
      <c r="V128" s="183" t="n"/>
      <c r="W128" s="183" t="n"/>
      <c r="X128" s="183" t="n"/>
      <c r="Y128" s="183" t="n"/>
      <c r="Z128" s="183" t="n"/>
      <c r="AA128" s="183" t="n"/>
    </row>
    <row r="129">
      <c r="A129" s="183" t="n"/>
      <c r="B129" s="183" t="n"/>
      <c r="C129" s="183" t="n"/>
      <c r="D129" s="183" t="n"/>
      <c r="E129" s="183" t="n"/>
      <c r="F129" s="183" t="n"/>
      <c r="G129" s="183" t="n"/>
      <c r="H129" s="183" t="n"/>
      <c r="I129" s="183" t="n"/>
      <c r="J129" s="183" t="n"/>
      <c r="K129" s="183" t="n"/>
      <c r="L129" s="183" t="n"/>
      <c r="M129" s="183" t="n"/>
      <c r="N129" s="183" t="n"/>
      <c r="O129" s="183" t="n"/>
      <c r="P129" s="183" t="n"/>
      <c r="Q129" s="183" t="n"/>
      <c r="R129" s="183" t="n"/>
      <c r="S129" s="183" t="n"/>
      <c r="T129" s="183" t="n"/>
      <c r="U129" s="183" t="n"/>
      <c r="V129" s="183" t="n"/>
      <c r="W129" s="183" t="n"/>
      <c r="X129" s="183" t="n"/>
      <c r="Y129" s="183" t="n"/>
      <c r="Z129" s="183" t="n"/>
      <c r="AA129" s="183" t="n"/>
    </row>
    <row r="130">
      <c r="A130" s="183" t="n"/>
      <c r="B130" s="183" t="n"/>
      <c r="C130" s="183" t="n"/>
      <c r="D130" s="183" t="n"/>
      <c r="E130" s="183" t="n"/>
      <c r="F130" s="183" t="n"/>
      <c r="G130" s="183" t="n"/>
      <c r="H130" s="183" t="n"/>
      <c r="I130" s="183" t="n"/>
      <c r="J130" s="183" t="n"/>
      <c r="K130" s="183" t="n"/>
      <c r="L130" s="183" t="n"/>
      <c r="M130" s="183" t="n"/>
      <c r="N130" s="183" t="n"/>
      <c r="O130" s="183" t="n"/>
      <c r="P130" s="183" t="n"/>
      <c r="Q130" s="183" t="n"/>
      <c r="R130" s="183" t="n"/>
      <c r="S130" s="183" t="n"/>
      <c r="T130" s="183" t="n"/>
      <c r="U130" s="183" t="n"/>
      <c r="V130" s="183" t="n"/>
      <c r="W130" s="183" t="n"/>
      <c r="X130" s="183" t="n"/>
      <c r="Y130" s="183" t="n"/>
      <c r="Z130" s="183" t="n"/>
      <c r="AA130" s="183" t="n"/>
    </row>
    <row r="131">
      <c r="A131" s="183" t="n"/>
      <c r="B131" s="183" t="n"/>
      <c r="C131" s="183" t="n"/>
      <c r="D131" s="183" t="n"/>
      <c r="E131" s="183" t="n"/>
      <c r="F131" s="183" t="n"/>
      <c r="G131" s="183" t="n"/>
      <c r="H131" s="183" t="n"/>
      <c r="I131" s="183" t="n"/>
      <c r="J131" s="183" t="n"/>
      <c r="K131" s="183" t="n"/>
      <c r="L131" s="183" t="n"/>
      <c r="M131" s="183" t="n"/>
      <c r="N131" s="183" t="n"/>
      <c r="O131" s="183" t="n"/>
      <c r="P131" s="183" t="n"/>
      <c r="Q131" s="183" t="n"/>
      <c r="R131" s="183" t="n"/>
      <c r="S131" s="183" t="n"/>
      <c r="T131" s="183" t="n"/>
      <c r="U131" s="183" t="n"/>
      <c r="V131" s="183" t="n"/>
      <c r="W131" s="183" t="n"/>
      <c r="X131" s="183" t="n"/>
      <c r="Y131" s="183" t="n"/>
      <c r="Z131" s="183" t="n"/>
      <c r="AA131" s="183" t="n"/>
    </row>
    <row r="132">
      <c r="A132" s="183" t="n"/>
      <c r="B132" s="183" t="n"/>
      <c r="C132" s="183" t="n"/>
      <c r="D132" s="183" t="n"/>
      <c r="E132" s="183" t="n"/>
      <c r="F132" s="183" t="n"/>
      <c r="G132" s="183" t="n"/>
      <c r="H132" s="183" t="n"/>
      <c r="I132" s="183" t="n"/>
      <c r="J132" s="183" t="n"/>
      <c r="K132" s="183" t="n"/>
      <c r="L132" s="183" t="n"/>
      <c r="M132" s="183" t="n"/>
      <c r="N132" s="183" t="n"/>
      <c r="O132" s="183" t="n"/>
      <c r="P132" s="183" t="n"/>
      <c r="Q132" s="183" t="n"/>
      <c r="R132" s="183" t="n"/>
      <c r="S132" s="183" t="n"/>
      <c r="T132" s="183" t="n"/>
      <c r="U132" s="183" t="n"/>
      <c r="V132" s="183" t="n"/>
      <c r="W132" s="183" t="n"/>
      <c r="X132" s="183" t="n"/>
      <c r="Y132" s="183" t="n"/>
      <c r="Z132" s="183" t="n"/>
      <c r="AA132" s="183" t="n"/>
    </row>
    <row r="133">
      <c r="A133" s="183" t="n"/>
      <c r="B133" s="183" t="n"/>
      <c r="C133" s="183" t="n"/>
      <c r="D133" s="183" t="n"/>
      <c r="E133" s="183" t="n"/>
      <c r="F133" s="183" t="n"/>
      <c r="G133" s="183" t="n"/>
      <c r="H133" s="183" t="n"/>
      <c r="I133" s="183" t="n"/>
      <c r="J133" s="183" t="n"/>
      <c r="K133" s="183" t="n"/>
      <c r="L133" s="183" t="n"/>
      <c r="M133" s="183" t="n"/>
      <c r="N133" s="183" t="n"/>
      <c r="O133" s="183" t="n"/>
      <c r="P133" s="183" t="n"/>
      <c r="Q133" s="183" t="n"/>
      <c r="R133" s="183" t="n"/>
      <c r="S133" s="183" t="n"/>
      <c r="T133" s="183" t="n"/>
      <c r="U133" s="183" t="n"/>
      <c r="V133" s="183" t="n"/>
      <c r="W133" s="183" t="n"/>
      <c r="X133" s="183" t="n"/>
      <c r="Y133" s="183" t="n"/>
      <c r="Z133" s="183" t="n"/>
      <c r="AA133" s="183" t="n"/>
    </row>
    <row r="134">
      <c r="A134" s="183" t="n"/>
      <c r="B134" s="183" t="n"/>
      <c r="C134" s="183" t="n"/>
      <c r="D134" s="183" t="n"/>
      <c r="E134" s="183" t="n"/>
      <c r="F134" s="183" t="n"/>
      <c r="G134" s="183" t="n"/>
      <c r="H134" s="183" t="n"/>
      <c r="I134" s="183" t="n"/>
      <c r="J134" s="183" t="n"/>
      <c r="K134" s="183" t="n"/>
      <c r="L134" s="183" t="n"/>
      <c r="M134" s="183" t="n"/>
      <c r="N134" s="183" t="n"/>
      <c r="O134" s="183" t="n"/>
      <c r="P134" s="183" t="n"/>
      <c r="Q134" s="183" t="n"/>
      <c r="R134" s="183" t="n"/>
      <c r="S134" s="183" t="n"/>
      <c r="T134" s="183" t="n"/>
      <c r="U134" s="183" t="n"/>
      <c r="V134" s="183" t="n"/>
      <c r="W134" s="183" t="n"/>
      <c r="X134" s="183" t="n"/>
      <c r="Y134" s="183" t="n"/>
      <c r="Z134" s="183" t="n"/>
      <c r="AA134" s="183" t="n"/>
    </row>
    <row r="135">
      <c r="A135" s="183" t="n"/>
      <c r="B135" s="183" t="n"/>
      <c r="C135" s="183" t="n"/>
      <c r="D135" s="183" t="n"/>
      <c r="E135" s="183" t="n"/>
      <c r="F135" s="183" t="n"/>
      <c r="G135" s="183" t="n"/>
      <c r="H135" s="183" t="n"/>
      <c r="I135" s="183" t="n"/>
      <c r="J135" s="183" t="n"/>
      <c r="K135" s="183" t="n"/>
      <c r="L135" s="183" t="n"/>
      <c r="M135" s="183" t="n"/>
      <c r="N135" s="183" t="n"/>
      <c r="O135" s="183" t="n"/>
      <c r="P135" s="183" t="n"/>
      <c r="Q135" s="183" t="n"/>
      <c r="R135" s="183" t="n"/>
      <c r="S135" s="183" t="n"/>
      <c r="T135" s="183" t="n"/>
      <c r="U135" s="183" t="n"/>
      <c r="V135" s="183" t="n"/>
      <c r="W135" s="183" t="n"/>
      <c r="X135" s="183" t="n"/>
      <c r="Y135" s="183" t="n"/>
      <c r="Z135" s="183" t="n"/>
      <c r="AA135" s="183" t="n"/>
    </row>
    <row r="136">
      <c r="A136" s="183" t="n"/>
      <c r="B136" s="183" t="n"/>
      <c r="C136" s="183" t="n"/>
      <c r="D136" s="183" t="n"/>
      <c r="E136" s="183" t="n"/>
      <c r="F136" s="183" t="n"/>
      <c r="G136" s="183" t="n"/>
      <c r="H136" s="183" t="n"/>
      <c r="I136" s="183" t="n"/>
      <c r="J136" s="183" t="n"/>
      <c r="K136" s="183" t="n"/>
      <c r="L136" s="183" t="n"/>
      <c r="M136" s="183" t="n"/>
      <c r="N136" s="183" t="n"/>
      <c r="O136" s="183" t="n"/>
      <c r="P136" s="183" t="n"/>
      <c r="Q136" s="183" t="n"/>
      <c r="R136" s="183" t="n"/>
      <c r="S136" s="183" t="n"/>
      <c r="T136" s="183" t="n"/>
      <c r="U136" s="183" t="n"/>
      <c r="V136" s="183" t="n"/>
      <c r="W136" s="183" t="n"/>
      <c r="X136" s="183" t="n"/>
      <c r="Y136" s="183" t="n"/>
      <c r="Z136" s="183" t="n"/>
      <c r="AA136" s="183" t="n"/>
    </row>
    <row r="137">
      <c r="A137" s="183" t="n"/>
      <c r="B137" s="183" t="n"/>
      <c r="C137" s="183" t="n"/>
      <c r="D137" s="183" t="n"/>
      <c r="E137" s="183" t="n"/>
      <c r="F137" s="183" t="n"/>
      <c r="G137" s="183" t="n"/>
      <c r="H137" s="183" t="n"/>
      <c r="I137" s="183" t="n"/>
      <c r="J137" s="183" t="n"/>
      <c r="K137" s="183" t="n"/>
      <c r="L137" s="183" t="n"/>
      <c r="M137" s="183" t="n"/>
      <c r="N137" s="183" t="n"/>
      <c r="O137" s="183" t="n"/>
      <c r="P137" s="183" t="n"/>
      <c r="Q137" s="183" t="n"/>
      <c r="R137" s="183" t="n"/>
      <c r="S137" s="183" t="n"/>
      <c r="T137" s="183" t="n"/>
      <c r="U137" s="183" t="n"/>
      <c r="V137" s="183" t="n"/>
      <c r="W137" s="183" t="n"/>
      <c r="X137" s="183" t="n"/>
      <c r="Y137" s="183" t="n"/>
      <c r="Z137" s="183" t="n"/>
      <c r="AA137" s="183" t="n"/>
    </row>
    <row r="138">
      <c r="A138" s="183" t="n"/>
      <c r="B138" s="183" t="n"/>
      <c r="C138" s="183" t="n"/>
      <c r="D138" s="183" t="n"/>
      <c r="E138" s="183" t="n"/>
      <c r="F138" s="183" t="n"/>
      <c r="G138" s="183" t="n"/>
      <c r="H138" s="183" t="n"/>
      <c r="I138" s="183" t="n"/>
      <c r="J138" s="183" t="n"/>
      <c r="K138" s="183" t="n"/>
      <c r="L138" s="183" t="n"/>
      <c r="M138" s="183" t="n"/>
      <c r="N138" s="183" t="n"/>
      <c r="O138" s="183" t="n"/>
      <c r="P138" s="183" t="n"/>
      <c r="Q138" s="183" t="n"/>
      <c r="R138" s="183" t="n"/>
      <c r="S138" s="183" t="n"/>
      <c r="T138" s="183" t="n"/>
      <c r="U138" s="183" t="n"/>
      <c r="V138" s="183" t="n"/>
      <c r="W138" s="183" t="n"/>
      <c r="X138" s="183" t="n"/>
      <c r="Y138" s="183" t="n"/>
      <c r="Z138" s="183" t="n"/>
      <c r="AA138" s="183" t="n"/>
    </row>
    <row r="139">
      <c r="A139" s="183" t="n"/>
      <c r="B139" s="183" t="n"/>
      <c r="C139" s="183" t="n"/>
      <c r="D139" s="183" t="n"/>
      <c r="E139" s="183" t="n"/>
      <c r="F139" s="183" t="n"/>
      <c r="G139" s="183" t="n"/>
      <c r="H139" s="183" t="n"/>
      <c r="I139" s="183" t="n"/>
      <c r="J139" s="183" t="n"/>
      <c r="K139" s="183" t="n"/>
      <c r="L139" s="183" t="n"/>
      <c r="M139" s="183" t="n"/>
      <c r="N139" s="183" t="n"/>
      <c r="O139" s="183" t="n"/>
      <c r="P139" s="183" t="n"/>
      <c r="Q139" s="183" t="n"/>
      <c r="R139" s="183" t="n"/>
      <c r="S139" s="183" t="n"/>
      <c r="T139" s="183" t="n"/>
      <c r="U139" s="183" t="n"/>
      <c r="V139" s="183" t="n"/>
      <c r="W139" s="183" t="n"/>
      <c r="X139" s="183" t="n"/>
      <c r="Y139" s="183" t="n"/>
      <c r="Z139" s="183" t="n"/>
      <c r="AA139" s="183" t="n"/>
    </row>
    <row r="140">
      <c r="A140" s="183" t="n"/>
      <c r="B140" s="183" t="n"/>
      <c r="C140" s="183" t="n"/>
      <c r="D140" s="183" t="n"/>
      <c r="E140" s="183" t="n"/>
      <c r="F140" s="183" t="n"/>
      <c r="G140" s="183" t="n"/>
      <c r="H140" s="183" t="n"/>
      <c r="I140" s="183" t="n"/>
      <c r="J140" s="183" t="n"/>
      <c r="K140" s="183" t="n"/>
      <c r="L140" s="183" t="n"/>
      <c r="M140" s="183" t="n"/>
      <c r="N140" s="183" t="n"/>
      <c r="O140" s="183" t="n"/>
      <c r="P140" s="183" t="n"/>
      <c r="Q140" s="183" t="n"/>
      <c r="R140" s="183" t="n"/>
      <c r="S140" s="183" t="n"/>
      <c r="T140" s="183" t="n"/>
      <c r="U140" s="183" t="n"/>
      <c r="V140" s="183" t="n"/>
      <c r="W140" s="183" t="n"/>
      <c r="X140" s="183" t="n"/>
      <c r="Y140" s="183" t="n"/>
      <c r="Z140" s="183" t="n"/>
      <c r="AA140" s="183" t="n"/>
    </row>
    <row r="141">
      <c r="A141" s="183" t="n"/>
      <c r="B141" s="183" t="n"/>
      <c r="C141" s="183" t="n"/>
      <c r="D141" s="183" t="n"/>
      <c r="E141" s="183" t="n"/>
      <c r="F141" s="183" t="n"/>
      <c r="G141" s="183" t="n"/>
      <c r="H141" s="183" t="n"/>
      <c r="I141" s="183" t="n"/>
      <c r="J141" s="183" t="n"/>
      <c r="K141" s="183" t="n"/>
      <c r="L141" s="183" t="n"/>
      <c r="M141" s="183" t="n"/>
      <c r="N141" s="183" t="n"/>
      <c r="O141" s="183" t="n"/>
      <c r="P141" s="183" t="n"/>
      <c r="Q141" s="183" t="n"/>
      <c r="R141" s="183" t="n"/>
      <c r="S141" s="183" t="n"/>
      <c r="T141" s="183" t="n"/>
      <c r="U141" s="183" t="n"/>
      <c r="V141" s="183" t="n"/>
      <c r="W141" s="183" t="n"/>
      <c r="X141" s="183" t="n"/>
      <c r="Y141" s="183" t="n"/>
      <c r="Z141" s="183" t="n"/>
      <c r="AA141" s="183" t="n"/>
    </row>
    <row r="142">
      <c r="A142" s="183" t="n"/>
      <c r="B142" s="183" t="n"/>
      <c r="C142" s="183" t="n"/>
      <c r="D142" s="183" t="n"/>
      <c r="E142" s="183" t="n"/>
      <c r="F142" s="183" t="n"/>
      <c r="G142" s="183" t="n"/>
      <c r="H142" s="183" t="n"/>
      <c r="I142" s="183" t="n"/>
      <c r="J142" s="183" t="n"/>
      <c r="K142" s="183" t="n"/>
      <c r="L142" s="183" t="n"/>
      <c r="M142" s="183" t="n"/>
      <c r="N142" s="183" t="n"/>
      <c r="O142" s="183" t="n"/>
      <c r="P142" s="183" t="n"/>
      <c r="Q142" s="183" t="n"/>
      <c r="R142" s="183" t="n"/>
      <c r="S142" s="183" t="n"/>
      <c r="T142" s="183" t="n"/>
      <c r="U142" s="183" t="n"/>
      <c r="V142" s="183" t="n"/>
      <c r="W142" s="183" t="n"/>
      <c r="X142" s="183" t="n"/>
      <c r="Y142" s="183" t="n"/>
      <c r="Z142" s="183" t="n"/>
      <c r="AA142" s="183" t="n"/>
    </row>
    <row r="143">
      <c r="A143" s="183" t="n"/>
      <c r="B143" s="183" t="n"/>
      <c r="C143" s="183" t="n"/>
      <c r="D143" s="183" t="n"/>
      <c r="E143" s="183" t="n"/>
      <c r="F143" s="183" t="n"/>
      <c r="G143" s="183" t="n"/>
      <c r="H143" s="183" t="n"/>
      <c r="I143" s="183" t="n"/>
      <c r="J143" s="183" t="n"/>
      <c r="K143" s="183" t="n"/>
      <c r="L143" s="183" t="n"/>
      <c r="M143" s="183" t="n"/>
      <c r="N143" s="183" t="n"/>
      <c r="O143" s="183" t="n"/>
      <c r="P143" s="183" t="n"/>
      <c r="Q143" s="183" t="n"/>
      <c r="R143" s="183" t="n"/>
      <c r="S143" s="183" t="n"/>
      <c r="T143" s="183" t="n"/>
      <c r="U143" s="183" t="n"/>
      <c r="V143" s="183" t="n"/>
      <c r="W143" s="183" t="n"/>
      <c r="X143" s="183" t="n"/>
      <c r="Y143" s="183" t="n"/>
      <c r="Z143" s="183" t="n"/>
      <c r="AA143" s="183" t="n"/>
    </row>
    <row r="144">
      <c r="A144" s="183" t="n"/>
      <c r="B144" s="183" t="n"/>
      <c r="C144" s="183" t="n"/>
      <c r="D144" s="183" t="n"/>
      <c r="E144" s="183" t="n"/>
      <c r="F144" s="183" t="n"/>
      <c r="G144" s="183" t="n"/>
      <c r="H144" s="183" t="n"/>
      <c r="I144" s="183" t="n"/>
      <c r="J144" s="183" t="n"/>
      <c r="K144" s="183" t="n"/>
      <c r="L144" s="183" t="n"/>
      <c r="M144" s="183" t="n"/>
      <c r="N144" s="183" t="n"/>
      <c r="O144" s="183" t="n"/>
      <c r="P144" s="183" t="n"/>
      <c r="Q144" s="183" t="n"/>
      <c r="R144" s="183" t="n"/>
      <c r="S144" s="183" t="n"/>
      <c r="T144" s="183" t="n"/>
      <c r="U144" s="183" t="n"/>
      <c r="V144" s="183" t="n"/>
      <c r="W144" s="183" t="n"/>
      <c r="X144" s="183" t="n"/>
      <c r="Y144" s="183" t="n"/>
      <c r="Z144" s="183" t="n"/>
      <c r="AA144" s="183" t="n"/>
    </row>
    <row r="145">
      <c r="A145" s="183" t="n"/>
      <c r="B145" s="183" t="n"/>
      <c r="C145" s="183" t="n"/>
      <c r="D145" s="183" t="n"/>
      <c r="E145" s="183" t="n"/>
      <c r="F145" s="183" t="n"/>
      <c r="G145" s="183" t="n"/>
      <c r="H145" s="183" t="n"/>
      <c r="I145" s="183" t="n"/>
      <c r="J145" s="183" t="n"/>
      <c r="K145" s="183" t="n"/>
      <c r="L145" s="183" t="n"/>
      <c r="M145" s="183" t="n"/>
      <c r="N145" s="183" t="n"/>
      <c r="O145" s="183" t="n"/>
      <c r="P145" s="183" t="n"/>
      <c r="Q145" s="183" t="n"/>
      <c r="R145" s="183" t="n"/>
      <c r="S145" s="183" t="n"/>
      <c r="T145" s="183" t="n"/>
      <c r="U145" s="183" t="n"/>
      <c r="V145" s="183" t="n"/>
      <c r="W145" s="183" t="n"/>
      <c r="X145" s="183" t="n"/>
      <c r="Y145" s="183" t="n"/>
      <c r="Z145" s="183" t="n"/>
      <c r="AA145" s="183" t="n"/>
    </row>
    <row r="146">
      <c r="A146" s="183" t="n"/>
      <c r="B146" s="183" t="n"/>
      <c r="C146" s="183" t="n"/>
      <c r="D146" s="183" t="n"/>
      <c r="E146" s="183" t="n"/>
      <c r="F146" s="183" t="n"/>
      <c r="G146" s="183" t="n"/>
      <c r="H146" s="183" t="n"/>
      <c r="I146" s="183" t="n"/>
      <c r="J146" s="183" t="n"/>
      <c r="K146" s="183" t="n"/>
      <c r="L146" s="183" t="n"/>
      <c r="M146" s="183" t="n"/>
      <c r="N146" s="183" t="n"/>
      <c r="O146" s="183" t="n"/>
      <c r="P146" s="183" t="n"/>
      <c r="Q146" s="183" t="n"/>
      <c r="R146" s="183" t="n"/>
      <c r="S146" s="183" t="n"/>
      <c r="T146" s="183" t="n"/>
      <c r="U146" s="183" t="n"/>
      <c r="V146" s="183" t="n"/>
      <c r="W146" s="183" t="n"/>
      <c r="X146" s="183" t="n"/>
      <c r="Y146" s="183" t="n"/>
      <c r="Z146" s="183" t="n"/>
      <c r="AA146" s="183" t="n"/>
    </row>
    <row r="147">
      <c r="A147" s="183" t="n"/>
      <c r="B147" s="183" t="n"/>
      <c r="C147" s="183" t="n"/>
      <c r="D147" s="183" t="n"/>
      <c r="E147" s="183" t="n"/>
      <c r="F147" s="183" t="n"/>
      <c r="G147" s="183" t="n"/>
      <c r="H147" s="183" t="n"/>
      <c r="I147" s="183" t="n"/>
      <c r="J147" s="183" t="n"/>
      <c r="K147" s="183" t="n"/>
      <c r="L147" s="183" t="n"/>
      <c r="M147" s="183" t="n"/>
      <c r="N147" s="183" t="n"/>
      <c r="O147" s="183" t="n"/>
      <c r="P147" s="183" t="n"/>
      <c r="Q147" s="183" t="n"/>
      <c r="R147" s="183" t="n"/>
      <c r="S147" s="183" t="n"/>
      <c r="T147" s="183" t="n"/>
      <c r="U147" s="183" t="n"/>
      <c r="V147" s="183" t="n"/>
      <c r="W147" s="183" t="n"/>
      <c r="X147" s="183" t="n"/>
      <c r="Y147" s="183" t="n"/>
      <c r="Z147" s="183" t="n"/>
      <c r="AA147" s="183" t="n"/>
    </row>
    <row r="148">
      <c r="A148" s="183" t="n"/>
      <c r="B148" s="183" t="n"/>
      <c r="C148" s="183" t="n"/>
      <c r="D148" s="183" t="n"/>
      <c r="E148" s="183" t="n"/>
      <c r="F148" s="183" t="n"/>
      <c r="G148" s="183" t="n"/>
      <c r="H148" s="183" t="n"/>
      <c r="I148" s="183" t="n"/>
      <c r="J148" s="183" t="n"/>
      <c r="K148" s="183" t="n"/>
      <c r="L148" s="183" t="n"/>
      <c r="M148" s="183" t="n"/>
      <c r="N148" s="183" t="n"/>
      <c r="O148" s="183" t="n"/>
      <c r="P148" s="183" t="n"/>
      <c r="Q148" s="183" t="n"/>
      <c r="R148" s="183" t="n"/>
      <c r="S148" s="183" t="n"/>
      <c r="T148" s="183" t="n"/>
      <c r="U148" s="183" t="n"/>
      <c r="V148" s="183" t="n"/>
      <c r="W148" s="183" t="n"/>
      <c r="X148" s="183" t="n"/>
      <c r="Y148" s="183" t="n"/>
      <c r="Z148" s="183" t="n"/>
      <c r="AA148" s="183" t="n"/>
    </row>
    <row r="149">
      <c r="A149" s="183" t="n"/>
      <c r="B149" s="183" t="n"/>
      <c r="C149" s="183" t="n"/>
      <c r="D149" s="183" t="n"/>
      <c r="E149" s="183" t="n"/>
      <c r="F149" s="183" t="n"/>
      <c r="G149" s="183" t="n"/>
      <c r="H149" s="183" t="n"/>
      <c r="I149" s="183" t="n"/>
      <c r="J149" s="183" t="n"/>
      <c r="K149" s="183" t="n"/>
      <c r="L149" s="183" t="n"/>
      <c r="M149" s="183" t="n"/>
      <c r="N149" s="183" t="n"/>
      <c r="O149" s="183" t="n"/>
      <c r="P149" s="183" t="n"/>
      <c r="Q149" s="183" t="n"/>
      <c r="R149" s="183" t="n"/>
      <c r="S149" s="183" t="n"/>
      <c r="T149" s="183" t="n"/>
      <c r="U149" s="183" t="n"/>
      <c r="V149" s="183" t="n"/>
      <c r="W149" s="183" t="n"/>
      <c r="X149" s="183" t="n"/>
      <c r="Y149" s="183" t="n"/>
      <c r="Z149" s="183" t="n"/>
      <c r="AA149" s="183" t="n"/>
    </row>
    <row r="150">
      <c r="A150" s="183" t="n"/>
      <c r="B150" s="183" t="n"/>
      <c r="C150" s="183" t="n"/>
      <c r="D150" s="183" t="n"/>
      <c r="E150" s="183" t="n"/>
      <c r="F150" s="183" t="n"/>
      <c r="G150" s="183" t="n"/>
      <c r="H150" s="183" t="n"/>
      <c r="I150" s="183" t="n"/>
      <c r="J150" s="183" t="n"/>
      <c r="K150" s="183" t="n"/>
      <c r="L150" s="183" t="n"/>
      <c r="M150" s="183" t="n"/>
      <c r="N150" s="183" t="n"/>
      <c r="O150" s="183" t="n"/>
      <c r="P150" s="183" t="n"/>
      <c r="Q150" s="183" t="n"/>
      <c r="R150" s="183" t="n"/>
      <c r="S150" s="183" t="n"/>
      <c r="T150" s="183" t="n"/>
      <c r="U150" s="183" t="n"/>
      <c r="V150" s="183" t="n"/>
      <c r="W150" s="183" t="n"/>
      <c r="X150" s="183" t="n"/>
      <c r="Y150" s="183" t="n"/>
      <c r="Z150" s="183" t="n"/>
      <c r="AA150" s="183" t="n"/>
    </row>
    <row r="151">
      <c r="A151" s="183" t="n"/>
      <c r="B151" s="183" t="n"/>
      <c r="C151" s="183" t="n"/>
      <c r="D151" s="183" t="n"/>
      <c r="E151" s="183" t="n"/>
      <c r="F151" s="183" t="n"/>
      <c r="G151" s="183" t="n"/>
      <c r="H151" s="183" t="n"/>
      <c r="I151" s="183" t="n"/>
      <c r="J151" s="183" t="n"/>
      <c r="K151" s="183" t="n"/>
      <c r="L151" s="183" t="n"/>
      <c r="M151" s="183" t="n"/>
      <c r="N151" s="183" t="n"/>
      <c r="O151" s="183" t="n"/>
      <c r="P151" s="183" t="n"/>
      <c r="Q151" s="183" t="n"/>
      <c r="R151" s="183" t="n"/>
      <c r="S151" s="183" t="n"/>
      <c r="T151" s="183" t="n"/>
      <c r="U151" s="183" t="n"/>
      <c r="V151" s="183" t="n"/>
      <c r="W151" s="183" t="n"/>
      <c r="X151" s="183" t="n"/>
      <c r="Y151" s="183" t="n"/>
      <c r="Z151" s="183" t="n"/>
      <c r="AA151" s="183" t="n"/>
    </row>
    <row r="152">
      <c r="A152" s="183" t="n"/>
      <c r="B152" s="183" t="n"/>
      <c r="C152" s="183" t="n"/>
      <c r="D152" s="183" t="n"/>
      <c r="E152" s="183" t="n"/>
      <c r="F152" s="183" t="n"/>
      <c r="G152" s="183" t="n"/>
      <c r="H152" s="183" t="n"/>
      <c r="I152" s="183" t="n"/>
      <c r="J152" s="183" t="n"/>
      <c r="K152" s="183" t="n"/>
      <c r="L152" s="183" t="n"/>
      <c r="M152" s="183" t="n"/>
      <c r="N152" s="183" t="n"/>
      <c r="O152" s="183" t="n"/>
      <c r="P152" s="183" t="n"/>
      <c r="Q152" s="183" t="n"/>
      <c r="R152" s="183" t="n"/>
      <c r="S152" s="183" t="n"/>
      <c r="T152" s="183" t="n"/>
      <c r="U152" s="183" t="n"/>
      <c r="V152" s="183" t="n"/>
      <c r="W152" s="183" t="n"/>
      <c r="X152" s="183" t="n"/>
      <c r="Y152" s="183" t="n"/>
      <c r="Z152" s="183" t="n"/>
      <c r="AA152" s="183" t="n"/>
    </row>
    <row r="153">
      <c r="A153" s="183" t="n"/>
      <c r="B153" s="183" t="n"/>
      <c r="C153" s="183" t="n"/>
      <c r="D153" s="183" t="n"/>
      <c r="E153" s="183" t="n"/>
      <c r="F153" s="183" t="n"/>
      <c r="G153" s="183" t="n"/>
      <c r="H153" s="183" t="n"/>
      <c r="I153" s="183" t="n"/>
      <c r="J153" s="183" t="n"/>
      <c r="K153" s="183" t="n"/>
      <c r="L153" s="183" t="n"/>
      <c r="M153" s="183" t="n"/>
      <c r="N153" s="183" t="n"/>
      <c r="O153" s="183" t="n"/>
      <c r="P153" s="183" t="n"/>
      <c r="Q153" s="183" t="n"/>
      <c r="R153" s="183" t="n"/>
      <c r="S153" s="183" t="n"/>
      <c r="T153" s="183" t="n"/>
      <c r="U153" s="183" t="n"/>
      <c r="V153" s="183" t="n"/>
      <c r="W153" s="183" t="n"/>
      <c r="X153" s="183" t="n"/>
      <c r="Y153" s="183" t="n"/>
      <c r="Z153" s="183" t="n"/>
      <c r="AA153" s="183" t="n"/>
    </row>
    <row r="154">
      <c r="A154" s="183" t="n"/>
      <c r="B154" s="183" t="n"/>
      <c r="C154" s="183" t="n"/>
      <c r="D154" s="183" t="n"/>
      <c r="E154" s="183" t="n"/>
      <c r="F154" s="183" t="n"/>
      <c r="G154" s="183" t="n"/>
      <c r="H154" s="183" t="n"/>
      <c r="I154" s="183" t="n"/>
      <c r="J154" s="183" t="n"/>
      <c r="K154" s="183" t="n"/>
      <c r="L154" s="183" t="n"/>
      <c r="M154" s="183" t="n"/>
      <c r="N154" s="183" t="n"/>
      <c r="O154" s="183" t="n"/>
      <c r="P154" s="183" t="n"/>
      <c r="Q154" s="183" t="n"/>
      <c r="R154" s="183" t="n"/>
      <c r="S154" s="183" t="n"/>
      <c r="T154" s="183" t="n"/>
      <c r="U154" s="183" t="n"/>
      <c r="V154" s="183" t="n"/>
      <c r="W154" s="183" t="n"/>
      <c r="X154" s="183" t="n"/>
      <c r="Y154" s="183" t="n"/>
      <c r="Z154" s="183" t="n"/>
      <c r="AA154" s="183" t="n"/>
    </row>
    <row r="155">
      <c r="A155" s="183" t="n"/>
      <c r="B155" s="183" t="n"/>
      <c r="C155" s="183" t="n"/>
      <c r="D155" s="183" t="n"/>
      <c r="E155" s="183" t="n"/>
      <c r="F155" s="183" t="n"/>
      <c r="G155" s="183" t="n"/>
      <c r="H155" s="183" t="n"/>
      <c r="I155" s="183" t="n"/>
      <c r="J155" s="183" t="n"/>
      <c r="K155" s="183" t="n"/>
      <c r="L155" s="183" t="n"/>
      <c r="M155" s="183" t="n"/>
      <c r="N155" s="183" t="n"/>
      <c r="O155" s="183" t="n"/>
      <c r="P155" s="183" t="n"/>
      <c r="Q155" s="183" t="n"/>
      <c r="R155" s="183" t="n"/>
      <c r="S155" s="183" t="n"/>
      <c r="T155" s="183" t="n"/>
      <c r="U155" s="183" t="n"/>
      <c r="V155" s="183" t="n"/>
      <c r="W155" s="183" t="n"/>
      <c r="X155" s="183" t="n"/>
      <c r="Y155" s="183" t="n"/>
      <c r="Z155" s="183" t="n"/>
      <c r="AA155" s="183" t="n"/>
    </row>
    <row r="156">
      <c r="A156" s="183" t="n"/>
      <c r="B156" s="183" t="n"/>
      <c r="C156" s="183" t="n"/>
      <c r="D156" s="183" t="n"/>
      <c r="E156" s="183" t="n"/>
      <c r="F156" s="183" t="n"/>
      <c r="G156" s="183" t="n"/>
      <c r="H156" s="183" t="n"/>
      <c r="I156" s="183" t="n"/>
      <c r="J156" s="183" t="n"/>
      <c r="K156" s="183" t="n"/>
      <c r="L156" s="183" t="n"/>
      <c r="M156" s="183" t="n"/>
      <c r="N156" s="183" t="n"/>
      <c r="O156" s="183" t="n"/>
      <c r="P156" s="183" t="n"/>
      <c r="Q156" s="183" t="n"/>
      <c r="R156" s="183" t="n"/>
      <c r="S156" s="183" t="n"/>
      <c r="T156" s="183" t="n"/>
      <c r="U156" s="183" t="n"/>
      <c r="V156" s="183" t="n"/>
      <c r="W156" s="183" t="n"/>
      <c r="X156" s="183" t="n"/>
      <c r="Y156" s="183" t="n"/>
      <c r="Z156" s="183" t="n"/>
      <c r="AA156" s="183" t="n"/>
    </row>
    <row r="157">
      <c r="A157" s="183" t="n"/>
      <c r="B157" s="183" t="n"/>
      <c r="C157" s="183" t="n"/>
      <c r="D157" s="183" t="n"/>
      <c r="E157" s="183" t="n"/>
      <c r="F157" s="183" t="n"/>
      <c r="G157" s="183" t="n"/>
      <c r="H157" s="183" t="n"/>
      <c r="I157" s="183" t="n"/>
      <c r="J157" s="183" t="n"/>
      <c r="K157" s="183" t="n"/>
      <c r="L157" s="183" t="n"/>
      <c r="M157" s="183" t="n"/>
      <c r="N157" s="183" t="n"/>
      <c r="O157" s="183" t="n"/>
      <c r="P157" s="183" t="n"/>
      <c r="Q157" s="183" t="n"/>
      <c r="R157" s="183" t="n"/>
      <c r="S157" s="183" t="n"/>
      <c r="T157" s="183" t="n"/>
      <c r="U157" s="183" t="n"/>
      <c r="V157" s="183" t="n"/>
      <c r="W157" s="183" t="n"/>
      <c r="X157" s="183" t="n"/>
      <c r="Y157" s="183" t="n"/>
      <c r="Z157" s="183" t="n"/>
      <c r="AA157" s="183" t="n"/>
    </row>
    <row r="158">
      <c r="A158" s="183" t="n"/>
      <c r="B158" s="183" t="n"/>
      <c r="C158" s="183" t="n"/>
      <c r="D158" s="183" t="n"/>
      <c r="E158" s="183" t="n"/>
      <c r="F158" s="183" t="n"/>
      <c r="G158" s="183" t="n"/>
      <c r="H158" s="183" t="n"/>
      <c r="I158" s="183" t="n"/>
      <c r="J158" s="183" t="n"/>
      <c r="K158" s="183" t="n"/>
      <c r="L158" s="183" t="n"/>
      <c r="M158" s="183" t="n"/>
      <c r="N158" s="183" t="n"/>
      <c r="O158" s="183" t="n"/>
      <c r="P158" s="183" t="n"/>
      <c r="Q158" s="183" t="n"/>
      <c r="R158" s="183" t="n"/>
      <c r="S158" s="183" t="n"/>
      <c r="T158" s="183" t="n"/>
      <c r="U158" s="183" t="n"/>
      <c r="V158" s="183" t="n"/>
      <c r="W158" s="183" t="n"/>
      <c r="X158" s="183" t="n"/>
      <c r="Y158" s="183" t="n"/>
      <c r="Z158" s="183" t="n"/>
      <c r="AA158" s="183" t="n"/>
    </row>
    <row r="159">
      <c r="A159" s="183" t="n"/>
      <c r="B159" s="183" t="n"/>
      <c r="C159" s="183" t="n"/>
      <c r="D159" s="183" t="n"/>
      <c r="E159" s="183" t="n"/>
      <c r="F159" s="183" t="n"/>
      <c r="G159" s="183" t="n"/>
      <c r="H159" s="183" t="n"/>
      <c r="I159" s="183" t="n"/>
      <c r="J159" s="183" t="n"/>
      <c r="K159" s="183" t="n"/>
      <c r="L159" s="183" t="n"/>
      <c r="M159" s="183" t="n"/>
      <c r="N159" s="183" t="n"/>
      <c r="O159" s="183" t="n"/>
      <c r="P159" s="183" t="n"/>
      <c r="Q159" s="183" t="n"/>
      <c r="R159" s="183" t="n"/>
      <c r="S159" s="183" t="n"/>
      <c r="T159" s="183" t="n"/>
      <c r="U159" s="183" t="n"/>
      <c r="V159" s="183" t="n"/>
      <c r="W159" s="183" t="n"/>
      <c r="X159" s="183" t="n"/>
      <c r="Y159" s="183" t="n"/>
      <c r="Z159" s="183" t="n"/>
      <c r="AA159" s="183" t="n"/>
    </row>
    <row r="160">
      <c r="A160" s="183" t="n"/>
      <c r="B160" s="183" t="n"/>
      <c r="C160" s="183" t="n"/>
      <c r="D160" s="183" t="n"/>
      <c r="E160" s="183" t="n"/>
      <c r="F160" s="183" t="n"/>
      <c r="G160" s="183" t="n"/>
      <c r="H160" s="183" t="n"/>
      <c r="I160" s="183" t="n"/>
      <c r="J160" s="183" t="n"/>
      <c r="K160" s="183" t="n"/>
      <c r="L160" s="183" t="n"/>
      <c r="M160" s="183" t="n"/>
      <c r="N160" s="183" t="n"/>
      <c r="O160" s="183" t="n"/>
      <c r="P160" s="183" t="n"/>
      <c r="Q160" s="183" t="n"/>
      <c r="R160" s="183" t="n"/>
      <c r="S160" s="183" t="n"/>
      <c r="T160" s="183" t="n"/>
      <c r="U160" s="183" t="n"/>
      <c r="V160" s="183" t="n"/>
      <c r="W160" s="183" t="n"/>
      <c r="X160" s="183" t="n"/>
      <c r="Y160" s="183" t="n"/>
      <c r="Z160" s="183" t="n"/>
      <c r="AA160" s="183" t="n"/>
    </row>
    <row r="161">
      <c r="A161" s="183" t="n"/>
      <c r="B161" s="183" t="n"/>
      <c r="C161" s="183" t="n"/>
      <c r="D161" s="183" t="n"/>
      <c r="E161" s="183" t="n"/>
      <c r="F161" s="183" t="n"/>
      <c r="G161" s="183" t="n"/>
      <c r="H161" s="183" t="n"/>
      <c r="I161" s="183" t="n"/>
      <c r="J161" s="183" t="n"/>
      <c r="K161" s="183" t="n"/>
      <c r="L161" s="183" t="n"/>
      <c r="M161" s="183" t="n"/>
      <c r="N161" s="183" t="n"/>
      <c r="O161" s="183" t="n"/>
      <c r="P161" s="183" t="n"/>
      <c r="Q161" s="183" t="n"/>
      <c r="R161" s="183" t="n"/>
      <c r="S161" s="183" t="n"/>
      <c r="T161" s="183" t="n"/>
      <c r="U161" s="183" t="n"/>
      <c r="V161" s="183" t="n"/>
      <c r="W161" s="183" t="n"/>
      <c r="X161" s="183" t="n"/>
      <c r="Y161" s="183" t="n"/>
      <c r="Z161" s="183" t="n"/>
      <c r="AA161" s="183" t="n"/>
    </row>
    <row r="162">
      <c r="A162" s="183" t="n"/>
      <c r="B162" s="183" t="n"/>
      <c r="C162" s="183" t="n"/>
      <c r="D162" s="183" t="n"/>
      <c r="E162" s="183" t="n"/>
      <c r="F162" s="183" t="n"/>
      <c r="G162" s="183" t="n"/>
      <c r="H162" s="183" t="n"/>
      <c r="I162" s="183" t="n"/>
      <c r="J162" s="183" t="n"/>
      <c r="K162" s="183" t="n"/>
      <c r="L162" s="183" t="n"/>
      <c r="M162" s="183" t="n"/>
      <c r="N162" s="183" t="n"/>
      <c r="O162" s="183" t="n"/>
      <c r="P162" s="183" t="n"/>
      <c r="Q162" s="183" t="n"/>
      <c r="R162" s="183" t="n"/>
      <c r="S162" s="183" t="n"/>
      <c r="T162" s="183" t="n"/>
      <c r="U162" s="183" t="n"/>
      <c r="V162" s="183" t="n"/>
      <c r="W162" s="183" t="n"/>
      <c r="X162" s="183" t="n"/>
      <c r="Y162" s="183" t="n"/>
      <c r="Z162" s="183" t="n"/>
      <c r="AA162" s="183" t="n"/>
    </row>
    <row r="163">
      <c r="A163" s="183" t="n"/>
      <c r="B163" s="183" t="n"/>
      <c r="C163" s="183" t="n"/>
      <c r="D163" s="183" t="n"/>
      <c r="E163" s="183" t="n"/>
      <c r="F163" s="183" t="n"/>
      <c r="G163" s="183" t="n"/>
      <c r="H163" s="183" t="n"/>
      <c r="I163" s="183" t="n"/>
      <c r="J163" s="183" t="n"/>
      <c r="K163" s="183" t="n"/>
      <c r="L163" s="183" t="n"/>
      <c r="M163" s="183" t="n"/>
      <c r="N163" s="183" t="n"/>
      <c r="O163" s="183" t="n"/>
      <c r="P163" s="183" t="n"/>
      <c r="Q163" s="183" t="n"/>
      <c r="R163" s="183" t="n"/>
      <c r="S163" s="183" t="n"/>
      <c r="T163" s="183" t="n"/>
      <c r="U163" s="183" t="n"/>
      <c r="V163" s="183" t="n"/>
      <c r="W163" s="183" t="n"/>
      <c r="X163" s="183" t="n"/>
      <c r="Y163" s="183" t="n"/>
      <c r="Z163" s="183" t="n"/>
      <c r="AA163" s="183" t="n"/>
    </row>
    <row r="164">
      <c r="A164" s="183" t="n"/>
      <c r="B164" s="183" t="n"/>
      <c r="C164" s="183" t="n"/>
      <c r="D164" s="183" t="n"/>
      <c r="E164" s="183" t="n"/>
      <c r="F164" s="183" t="n"/>
      <c r="G164" s="183" t="n"/>
      <c r="H164" s="183" t="n"/>
      <c r="I164" s="183" t="n"/>
      <c r="J164" s="183" t="n"/>
      <c r="K164" s="183" t="n"/>
      <c r="L164" s="183" t="n"/>
      <c r="M164" s="183" t="n"/>
      <c r="N164" s="183" t="n"/>
      <c r="O164" s="183" t="n"/>
      <c r="P164" s="183" t="n"/>
      <c r="Q164" s="183" t="n"/>
      <c r="R164" s="183" t="n"/>
      <c r="S164" s="183" t="n"/>
      <c r="T164" s="183" t="n"/>
      <c r="U164" s="183" t="n"/>
      <c r="V164" s="183" t="n"/>
      <c r="W164" s="183" t="n"/>
      <c r="X164" s="183" t="n"/>
      <c r="Y164" s="183" t="n"/>
      <c r="Z164" s="183" t="n"/>
      <c r="AA164" s="183" t="n"/>
    </row>
    <row r="165">
      <c r="A165" s="183" t="n"/>
      <c r="B165" s="183" t="n"/>
      <c r="C165" s="183" t="n"/>
      <c r="D165" s="183" t="n"/>
      <c r="E165" s="183" t="n"/>
      <c r="F165" s="183" t="n"/>
      <c r="G165" s="183" t="n"/>
      <c r="H165" s="183" t="n"/>
      <c r="I165" s="183" t="n"/>
      <c r="J165" s="183" t="n"/>
      <c r="K165" s="183" t="n"/>
      <c r="L165" s="183" t="n"/>
      <c r="M165" s="183" t="n"/>
      <c r="N165" s="183" t="n"/>
      <c r="O165" s="183" t="n"/>
      <c r="P165" s="183" t="n"/>
      <c r="Q165" s="183" t="n"/>
      <c r="R165" s="183" t="n"/>
      <c r="S165" s="183" t="n"/>
      <c r="T165" s="183" t="n"/>
      <c r="U165" s="183" t="n"/>
      <c r="V165" s="183" t="n"/>
      <c r="W165" s="183" t="n"/>
      <c r="X165" s="183" t="n"/>
      <c r="Y165" s="183" t="n"/>
      <c r="Z165" s="183" t="n"/>
      <c r="AA165" s="183" t="n"/>
    </row>
    <row r="166">
      <c r="A166" s="183" t="n"/>
      <c r="B166" s="183" t="n"/>
      <c r="C166" s="183" t="n"/>
      <c r="D166" s="183" t="n"/>
      <c r="E166" s="183" t="n"/>
      <c r="F166" s="183" t="n"/>
      <c r="G166" s="183" t="n"/>
      <c r="H166" s="183" t="n"/>
      <c r="I166" s="183" t="n"/>
      <c r="J166" s="183" t="n"/>
      <c r="K166" s="183" t="n"/>
      <c r="L166" s="183" t="n"/>
      <c r="M166" s="183" t="n"/>
      <c r="N166" s="183" t="n"/>
      <c r="O166" s="183" t="n"/>
      <c r="P166" s="183" t="n"/>
      <c r="Q166" s="183" t="n"/>
      <c r="R166" s="183" t="n"/>
      <c r="S166" s="183" t="n"/>
      <c r="T166" s="183" t="n"/>
      <c r="U166" s="183" t="n"/>
      <c r="V166" s="183" t="n"/>
      <c r="W166" s="183" t="n"/>
      <c r="X166" s="183" t="n"/>
      <c r="Y166" s="183" t="n"/>
      <c r="Z166" s="183" t="n"/>
      <c r="AA166" s="183" t="n"/>
    </row>
    <row r="167">
      <c r="A167" s="183" t="n"/>
      <c r="B167" s="183" t="n"/>
      <c r="C167" s="183" t="n"/>
      <c r="D167" s="183" t="n"/>
      <c r="E167" s="183" t="n"/>
      <c r="F167" s="183" t="n"/>
      <c r="G167" s="183" t="n"/>
      <c r="H167" s="183" t="n"/>
      <c r="I167" s="183" t="n"/>
      <c r="J167" s="183" t="n"/>
      <c r="K167" s="183" t="n"/>
      <c r="L167" s="183" t="n"/>
      <c r="M167" s="183" t="n"/>
      <c r="N167" s="183" t="n"/>
      <c r="O167" s="183" t="n"/>
      <c r="P167" s="183" t="n"/>
      <c r="Q167" s="183" t="n"/>
      <c r="R167" s="183" t="n"/>
      <c r="S167" s="183" t="n"/>
      <c r="T167" s="183" t="n"/>
      <c r="U167" s="183" t="n"/>
      <c r="V167" s="183" t="n"/>
      <c r="W167" s="183" t="n"/>
      <c r="X167" s="183" t="n"/>
      <c r="Y167" s="183" t="n"/>
      <c r="Z167" s="183" t="n"/>
      <c r="AA167" s="183" t="n"/>
    </row>
    <row r="168">
      <c r="A168" s="183" t="n"/>
      <c r="B168" s="183" t="n"/>
      <c r="C168" s="183" t="n"/>
      <c r="D168" s="183" t="n"/>
      <c r="E168" s="183" t="n"/>
      <c r="F168" s="183" t="n"/>
      <c r="G168" s="183" t="n"/>
      <c r="H168" s="183" t="n"/>
      <c r="I168" s="183" t="n"/>
      <c r="J168" s="183" t="n"/>
      <c r="K168" s="183" t="n"/>
      <c r="L168" s="183" t="n"/>
      <c r="M168" s="183" t="n"/>
      <c r="N168" s="183" t="n"/>
      <c r="O168" s="183" t="n"/>
      <c r="P168" s="183" t="n"/>
      <c r="Q168" s="183" t="n"/>
      <c r="R168" s="183" t="n"/>
      <c r="S168" s="183" t="n"/>
      <c r="T168" s="183" t="n"/>
      <c r="U168" s="183" t="n"/>
      <c r="V168" s="183" t="n"/>
      <c r="W168" s="183" t="n"/>
      <c r="X168" s="183" t="n"/>
      <c r="Y168" s="183" t="n"/>
      <c r="Z168" s="183" t="n"/>
      <c r="AA168" s="183" t="n"/>
    </row>
    <row r="169">
      <c r="A169" s="183" t="n"/>
      <c r="B169" s="183" t="n"/>
      <c r="C169" s="183" t="n"/>
      <c r="D169" s="183" t="n"/>
      <c r="E169" s="183" t="n"/>
      <c r="F169" s="183" t="n"/>
      <c r="G169" s="183" t="n"/>
      <c r="H169" s="183" t="n"/>
      <c r="I169" s="183" t="n"/>
      <c r="J169" s="183" t="n"/>
      <c r="K169" s="183" t="n"/>
      <c r="L169" s="183" t="n"/>
      <c r="M169" s="183" t="n"/>
      <c r="N169" s="183" t="n"/>
      <c r="O169" s="183" t="n"/>
      <c r="P169" s="183" t="n"/>
      <c r="Q169" s="183" t="n"/>
      <c r="R169" s="183" t="n"/>
      <c r="S169" s="183" t="n"/>
      <c r="T169" s="183" t="n"/>
      <c r="U169" s="183" t="n"/>
      <c r="V169" s="183" t="n"/>
      <c r="W169" s="183" t="n"/>
      <c r="X169" s="183" t="n"/>
      <c r="Y169" s="183" t="n"/>
      <c r="Z169" s="183" t="n"/>
      <c r="AA169" s="183" t="n"/>
    </row>
    <row r="170">
      <c r="A170" s="183" t="n"/>
      <c r="B170" s="183" t="n"/>
      <c r="C170" s="183" t="n"/>
      <c r="D170" s="183" t="n"/>
      <c r="E170" s="183" t="n"/>
      <c r="F170" s="183" t="n"/>
      <c r="G170" s="183" t="n"/>
      <c r="H170" s="183" t="n"/>
      <c r="I170" s="183" t="n"/>
      <c r="J170" s="183" t="n"/>
      <c r="K170" s="183" t="n"/>
      <c r="L170" s="183" t="n"/>
      <c r="M170" s="183" t="n"/>
      <c r="N170" s="183" t="n"/>
      <c r="O170" s="183" t="n"/>
      <c r="P170" s="183" t="n"/>
      <c r="Q170" s="183" t="n"/>
      <c r="R170" s="183" t="n"/>
      <c r="S170" s="183" t="n"/>
      <c r="T170" s="183" t="n"/>
      <c r="U170" s="183" t="n"/>
      <c r="V170" s="183" t="n"/>
      <c r="W170" s="183" t="n"/>
      <c r="X170" s="183" t="n"/>
      <c r="Y170" s="183" t="n"/>
      <c r="Z170" s="183" t="n"/>
      <c r="AA170" s="183" t="n"/>
    </row>
    <row r="171">
      <c r="A171" s="183" t="n"/>
      <c r="B171" s="183" t="n"/>
      <c r="C171" s="183" t="n"/>
      <c r="D171" s="183" t="n"/>
      <c r="E171" s="183" t="n"/>
      <c r="F171" s="183" t="n"/>
      <c r="G171" s="183" t="n"/>
      <c r="H171" s="183" t="n"/>
      <c r="I171" s="183" t="n"/>
      <c r="J171" s="183" t="n"/>
      <c r="K171" s="183" t="n"/>
      <c r="L171" s="183" t="n"/>
      <c r="M171" s="183" t="n"/>
      <c r="N171" s="183" t="n"/>
      <c r="O171" s="183" t="n"/>
      <c r="P171" s="183" t="n"/>
      <c r="Q171" s="183" t="n"/>
      <c r="R171" s="183" t="n"/>
      <c r="S171" s="183" t="n"/>
      <c r="T171" s="183" t="n"/>
      <c r="U171" s="183" t="n"/>
      <c r="V171" s="183" t="n"/>
      <c r="W171" s="183" t="n"/>
      <c r="X171" s="183" t="n"/>
      <c r="Y171" s="183" t="n"/>
      <c r="Z171" s="183" t="n"/>
      <c r="AA171" s="183" t="n"/>
    </row>
    <row r="172">
      <c r="A172" s="183" t="n"/>
      <c r="B172" s="183" t="n"/>
      <c r="C172" s="183" t="n"/>
      <c r="D172" s="183" t="n"/>
      <c r="E172" s="183" t="n"/>
      <c r="F172" s="183" t="n"/>
      <c r="G172" s="183" t="n"/>
      <c r="H172" s="183" t="n"/>
      <c r="I172" s="183" t="n"/>
      <c r="J172" s="183" t="n"/>
      <c r="K172" s="183" t="n"/>
      <c r="L172" s="183" t="n"/>
      <c r="M172" s="183" t="n"/>
      <c r="N172" s="183" t="n"/>
      <c r="O172" s="183" t="n"/>
      <c r="P172" s="183" t="n"/>
      <c r="Q172" s="183" t="n"/>
      <c r="R172" s="183" t="n"/>
      <c r="S172" s="183" t="n"/>
      <c r="T172" s="183" t="n"/>
      <c r="U172" s="183" t="n"/>
      <c r="V172" s="183" t="n"/>
      <c r="W172" s="183" t="n"/>
      <c r="X172" s="183" t="n"/>
      <c r="Y172" s="183" t="n"/>
      <c r="Z172" s="183" t="n"/>
      <c r="AA172" s="183" t="n"/>
    </row>
    <row r="173">
      <c r="A173" s="183" t="n"/>
      <c r="B173" s="183" t="n"/>
      <c r="C173" s="183" t="n"/>
      <c r="D173" s="183" t="n"/>
      <c r="E173" s="183" t="n"/>
      <c r="F173" s="183" t="n"/>
      <c r="G173" s="183" t="n"/>
      <c r="H173" s="183" t="n"/>
      <c r="I173" s="183" t="n"/>
      <c r="J173" s="183" t="n"/>
      <c r="K173" s="183" t="n"/>
      <c r="L173" s="183" t="n"/>
      <c r="M173" s="183" t="n"/>
      <c r="N173" s="183" t="n"/>
      <c r="O173" s="183" t="n"/>
      <c r="P173" s="183" t="n"/>
      <c r="Q173" s="183" t="n"/>
      <c r="R173" s="183" t="n"/>
      <c r="S173" s="183" t="n"/>
      <c r="T173" s="183" t="n"/>
      <c r="U173" s="183" t="n"/>
      <c r="V173" s="183" t="n"/>
      <c r="W173" s="183" t="n"/>
      <c r="X173" s="183" t="n"/>
      <c r="Y173" s="183" t="n"/>
      <c r="Z173" s="183" t="n"/>
      <c r="AA173" s="183" t="n"/>
    </row>
    <row r="174">
      <c r="A174" s="183" t="n"/>
      <c r="B174" s="183" t="n"/>
      <c r="C174" s="183" t="n"/>
      <c r="D174" s="183" t="n"/>
      <c r="E174" s="183" t="n"/>
      <c r="F174" s="183" t="n"/>
      <c r="G174" s="183" t="n"/>
      <c r="H174" s="183" t="n"/>
      <c r="I174" s="183" t="n"/>
      <c r="J174" s="183" t="n"/>
      <c r="K174" s="183" t="n"/>
      <c r="L174" s="183" t="n"/>
      <c r="M174" s="183" t="n"/>
      <c r="N174" s="183" t="n"/>
      <c r="O174" s="183" t="n"/>
      <c r="P174" s="183" t="n"/>
      <c r="Q174" s="183" t="n"/>
      <c r="R174" s="183" t="n"/>
      <c r="S174" s="183" t="n"/>
      <c r="T174" s="183" t="n"/>
      <c r="U174" s="183" t="n"/>
      <c r="V174" s="183" t="n"/>
      <c r="W174" s="183" t="n"/>
      <c r="X174" s="183" t="n"/>
      <c r="Y174" s="183" t="n"/>
      <c r="Z174" s="183" t="n"/>
      <c r="AA174" s="183" t="n"/>
    </row>
    <row r="175">
      <c r="A175" s="183" t="n"/>
      <c r="B175" s="183" t="n"/>
      <c r="C175" s="183" t="n"/>
      <c r="D175" s="183" t="n"/>
      <c r="E175" s="183" t="n"/>
      <c r="F175" s="183" t="n"/>
      <c r="G175" s="183" t="n"/>
      <c r="H175" s="183" t="n"/>
      <c r="I175" s="183" t="n"/>
      <c r="J175" s="183" t="n"/>
      <c r="K175" s="183" t="n"/>
      <c r="L175" s="183" t="n"/>
      <c r="M175" s="183" t="n"/>
      <c r="N175" s="183" t="n"/>
      <c r="O175" s="183" t="n"/>
      <c r="P175" s="183" t="n"/>
      <c r="Q175" s="183" t="n"/>
      <c r="R175" s="183" t="n"/>
      <c r="S175" s="183" t="n"/>
      <c r="T175" s="183" t="n"/>
      <c r="U175" s="183" t="n"/>
      <c r="V175" s="183" t="n"/>
      <c r="W175" s="183" t="n"/>
      <c r="X175" s="183" t="n"/>
      <c r="Y175" s="183" t="n"/>
      <c r="Z175" s="183" t="n"/>
      <c r="AA175" s="183" t="n"/>
    </row>
    <row r="176">
      <c r="A176" s="183" t="n"/>
      <c r="B176" s="183" t="n"/>
      <c r="C176" s="183" t="n"/>
      <c r="D176" s="183" t="n"/>
      <c r="E176" s="183" t="n"/>
      <c r="F176" s="183" t="n"/>
      <c r="G176" s="183" t="n"/>
      <c r="H176" s="183" t="n"/>
      <c r="I176" s="183" t="n"/>
      <c r="J176" s="183" t="n"/>
      <c r="K176" s="183" t="n"/>
      <c r="L176" s="183" t="n"/>
      <c r="M176" s="183" t="n"/>
      <c r="N176" s="183" t="n"/>
      <c r="O176" s="183" t="n"/>
      <c r="P176" s="183" t="n"/>
      <c r="Q176" s="183" t="n"/>
      <c r="R176" s="183" t="n"/>
      <c r="S176" s="183" t="n"/>
      <c r="T176" s="183" t="n"/>
      <c r="U176" s="183" t="n"/>
      <c r="V176" s="183" t="n"/>
      <c r="W176" s="183" t="n"/>
      <c r="X176" s="183" t="n"/>
      <c r="Y176" s="183" t="n"/>
      <c r="Z176" s="183" t="n"/>
      <c r="AA176" s="183" t="n"/>
    </row>
    <row r="177">
      <c r="A177" s="183" t="n"/>
      <c r="B177" s="183" t="n"/>
      <c r="C177" s="183" t="n"/>
      <c r="D177" s="183" t="n"/>
      <c r="E177" s="183" t="n"/>
      <c r="F177" s="183" t="n"/>
      <c r="G177" s="183" t="n"/>
      <c r="H177" s="183" t="n"/>
      <c r="I177" s="183" t="n"/>
      <c r="J177" s="183" t="n"/>
      <c r="K177" s="183" t="n"/>
      <c r="L177" s="183" t="n"/>
      <c r="M177" s="183" t="n"/>
      <c r="N177" s="183" t="n"/>
      <c r="O177" s="183" t="n"/>
      <c r="P177" s="183" t="n"/>
      <c r="Q177" s="183" t="n"/>
      <c r="R177" s="183" t="n"/>
      <c r="S177" s="183" t="n"/>
      <c r="T177" s="183" t="n"/>
      <c r="U177" s="183" t="n"/>
      <c r="V177" s="183" t="n"/>
      <c r="W177" s="183" t="n"/>
      <c r="X177" s="183" t="n"/>
      <c r="Y177" s="183" t="n"/>
      <c r="Z177" s="183" t="n"/>
      <c r="AA177" s="183" t="n"/>
    </row>
    <row r="178">
      <c r="A178" s="183" t="n"/>
      <c r="B178" s="183" t="n"/>
      <c r="C178" s="183" t="n"/>
      <c r="D178" s="183" t="n"/>
      <c r="E178" s="183" t="n"/>
      <c r="F178" s="183" t="n"/>
      <c r="G178" s="183" t="n"/>
      <c r="H178" s="183" t="n"/>
      <c r="I178" s="183" t="n"/>
      <c r="J178" s="183" t="n"/>
      <c r="K178" s="183" t="n"/>
      <c r="L178" s="183" t="n"/>
      <c r="M178" s="183" t="n"/>
      <c r="N178" s="183" t="n"/>
      <c r="O178" s="183" t="n"/>
      <c r="P178" s="183" t="n"/>
      <c r="Q178" s="183" t="n"/>
      <c r="R178" s="183" t="n"/>
      <c r="S178" s="183" t="n"/>
      <c r="T178" s="183" t="n"/>
      <c r="U178" s="183" t="n"/>
      <c r="V178" s="183" t="n"/>
      <c r="W178" s="183" t="n"/>
      <c r="X178" s="183" t="n"/>
      <c r="Y178" s="183" t="n"/>
      <c r="Z178" s="183" t="n"/>
      <c r="AA178" s="183" t="n"/>
    </row>
    <row r="179">
      <c r="A179" s="183" t="n"/>
      <c r="B179" s="183" t="n"/>
      <c r="C179" s="183" t="n"/>
      <c r="D179" s="183" t="n"/>
      <c r="E179" s="183" t="n"/>
      <c r="F179" s="183" t="n"/>
      <c r="G179" s="183" t="n"/>
      <c r="H179" s="183" t="n"/>
      <c r="I179" s="183" t="n"/>
      <c r="J179" s="183" t="n"/>
      <c r="K179" s="183" t="n"/>
      <c r="L179" s="183" t="n"/>
      <c r="M179" s="183" t="n"/>
      <c r="N179" s="183" t="n"/>
      <c r="O179" s="183" t="n"/>
      <c r="P179" s="183" t="n"/>
      <c r="Q179" s="183" t="n"/>
      <c r="R179" s="183" t="n"/>
      <c r="S179" s="183" t="n"/>
      <c r="T179" s="183" t="n"/>
      <c r="U179" s="183" t="n"/>
      <c r="V179" s="183" t="n"/>
      <c r="W179" s="183" t="n"/>
      <c r="X179" s="183" t="n"/>
      <c r="Y179" s="183" t="n"/>
      <c r="Z179" s="183" t="n"/>
      <c r="AA179" s="183" t="n"/>
    </row>
    <row r="180">
      <c r="A180" s="183" t="n"/>
      <c r="B180" s="183" t="n"/>
      <c r="C180" s="183" t="n"/>
      <c r="D180" s="183" t="n"/>
      <c r="E180" s="183" t="n"/>
      <c r="F180" s="183" t="n"/>
      <c r="G180" s="183" t="n"/>
      <c r="H180" s="183" t="n"/>
      <c r="I180" s="183" t="n"/>
      <c r="J180" s="183" t="n"/>
      <c r="K180" s="183" t="n"/>
      <c r="L180" s="183" t="n"/>
      <c r="M180" s="183" t="n"/>
      <c r="N180" s="183" t="n"/>
      <c r="O180" s="183" t="n"/>
      <c r="P180" s="183" t="n"/>
      <c r="Q180" s="183" t="n"/>
      <c r="R180" s="183" t="n"/>
      <c r="S180" s="183" t="n"/>
      <c r="T180" s="183" t="n"/>
      <c r="U180" s="183" t="n"/>
      <c r="V180" s="183" t="n"/>
      <c r="W180" s="183" t="n"/>
      <c r="X180" s="183" t="n"/>
      <c r="Y180" s="183" t="n"/>
      <c r="Z180" s="183" t="n"/>
      <c r="AA180" s="183" t="n"/>
    </row>
    <row r="181">
      <c r="A181" s="183" t="n"/>
      <c r="B181" s="183" t="n"/>
      <c r="C181" s="183" t="n"/>
      <c r="D181" s="183" t="n"/>
      <c r="E181" s="183" t="n"/>
      <c r="F181" s="183" t="n"/>
      <c r="G181" s="183" t="n"/>
      <c r="H181" s="183" t="n"/>
      <c r="I181" s="183" t="n"/>
      <c r="J181" s="183" t="n"/>
      <c r="K181" s="183" t="n"/>
      <c r="L181" s="183" t="n"/>
      <c r="M181" s="183" t="n"/>
      <c r="N181" s="183" t="n"/>
      <c r="O181" s="183" t="n"/>
      <c r="P181" s="183" t="n"/>
      <c r="Q181" s="183" t="n"/>
      <c r="R181" s="183" t="n"/>
      <c r="S181" s="183" t="n"/>
      <c r="T181" s="183" t="n"/>
      <c r="U181" s="183" t="n"/>
      <c r="V181" s="183" t="n"/>
      <c r="W181" s="183" t="n"/>
      <c r="X181" s="183" t="n"/>
      <c r="Y181" s="183" t="n"/>
      <c r="Z181" s="183" t="n"/>
      <c r="AA181" s="183" t="n"/>
    </row>
    <row r="182">
      <c r="A182" s="183" t="n"/>
      <c r="B182" s="183" t="n"/>
      <c r="C182" s="183" t="n"/>
      <c r="D182" s="183" t="n"/>
      <c r="E182" s="183" t="n"/>
      <c r="F182" s="183" t="n"/>
      <c r="G182" s="183" t="n"/>
      <c r="H182" s="183" t="n"/>
      <c r="I182" s="183" t="n"/>
      <c r="J182" s="183" t="n"/>
      <c r="K182" s="183" t="n"/>
      <c r="L182" s="183" t="n"/>
      <c r="M182" s="183" t="n"/>
      <c r="N182" s="183" t="n"/>
      <c r="O182" s="183" t="n"/>
      <c r="P182" s="183" t="n"/>
      <c r="Q182" s="183" t="n"/>
      <c r="R182" s="183" t="n"/>
      <c r="S182" s="183" t="n"/>
      <c r="T182" s="183" t="n"/>
      <c r="U182" s="183" t="n"/>
      <c r="V182" s="183" t="n"/>
      <c r="W182" s="183" t="n"/>
      <c r="X182" s="183" t="n"/>
      <c r="Y182" s="183" t="n"/>
      <c r="Z182" s="183" t="n"/>
      <c r="AA182" s="183" t="n"/>
    </row>
    <row r="183">
      <c r="A183" s="183" t="n"/>
      <c r="B183" s="183" t="n"/>
      <c r="C183" s="183" t="n"/>
      <c r="D183" s="183" t="n"/>
      <c r="E183" s="183" t="n"/>
      <c r="F183" s="183" t="n"/>
      <c r="G183" s="183" t="n"/>
      <c r="H183" s="183" t="n"/>
      <c r="I183" s="183" t="n"/>
      <c r="J183" s="183" t="n"/>
      <c r="K183" s="183" t="n"/>
      <c r="L183" s="183" t="n"/>
      <c r="M183" s="183" t="n"/>
      <c r="N183" s="183" t="n"/>
      <c r="O183" s="183" t="n"/>
      <c r="P183" s="183" t="n"/>
      <c r="Q183" s="183" t="n"/>
      <c r="R183" s="183" t="n"/>
      <c r="S183" s="183" t="n"/>
      <c r="T183" s="183" t="n"/>
      <c r="U183" s="183" t="n"/>
      <c r="V183" s="183" t="n"/>
      <c r="W183" s="183" t="n"/>
      <c r="X183" s="183" t="n"/>
      <c r="Y183" s="183" t="n"/>
      <c r="Z183" s="183" t="n"/>
      <c r="AA183" s="183" t="n"/>
    </row>
    <row r="184">
      <c r="A184" s="183" t="n"/>
      <c r="B184" s="183" t="n"/>
      <c r="C184" s="183" t="n"/>
      <c r="D184" s="183" t="n"/>
      <c r="E184" s="183" t="n"/>
      <c r="F184" s="183" t="n"/>
      <c r="G184" s="183" t="n"/>
      <c r="H184" s="183" t="n"/>
      <c r="I184" s="183" t="n"/>
      <c r="J184" s="183" t="n"/>
      <c r="K184" s="183" t="n"/>
      <c r="L184" s="183" t="n"/>
      <c r="M184" s="183" t="n"/>
      <c r="N184" s="183" t="n"/>
      <c r="O184" s="183" t="n"/>
      <c r="P184" s="183" t="n"/>
      <c r="Q184" s="183" t="n"/>
      <c r="R184" s="183" t="n"/>
      <c r="S184" s="183" t="n"/>
      <c r="T184" s="183" t="n"/>
      <c r="U184" s="183" t="n"/>
      <c r="V184" s="183" t="n"/>
      <c r="W184" s="183" t="n"/>
      <c r="X184" s="183" t="n"/>
      <c r="Y184" s="183" t="n"/>
      <c r="Z184" s="183" t="n"/>
      <c r="AA184" s="183" t="n"/>
    </row>
    <row r="185">
      <c r="A185" s="183" t="n"/>
      <c r="B185" s="183" t="n"/>
      <c r="C185" s="183" t="n"/>
      <c r="D185" s="183" t="n"/>
      <c r="E185" s="183" t="n"/>
      <c r="F185" s="183" t="n"/>
      <c r="G185" s="183" t="n"/>
      <c r="H185" s="183" t="n"/>
      <c r="I185" s="183" t="n"/>
      <c r="J185" s="183" t="n"/>
      <c r="K185" s="183" t="n"/>
      <c r="L185" s="183" t="n"/>
      <c r="M185" s="183" t="n"/>
      <c r="N185" s="183" t="n"/>
      <c r="O185" s="183" t="n"/>
      <c r="P185" s="183" t="n"/>
      <c r="Q185" s="183" t="n"/>
      <c r="R185" s="183" t="n"/>
      <c r="S185" s="183" t="n"/>
      <c r="T185" s="183" t="n"/>
      <c r="U185" s="183" t="n"/>
      <c r="V185" s="183" t="n"/>
      <c r="W185" s="183" t="n"/>
      <c r="X185" s="183" t="n"/>
      <c r="Y185" s="183" t="n"/>
      <c r="Z185" s="183" t="n"/>
      <c r="AA185" s="183" t="n"/>
    </row>
    <row r="186">
      <c r="A186" s="183" t="n"/>
      <c r="B186" s="183" t="n"/>
      <c r="C186" s="183" t="n"/>
      <c r="D186" s="183" t="n"/>
      <c r="E186" s="183" t="n"/>
      <c r="F186" s="183" t="n"/>
      <c r="G186" s="183" t="n"/>
      <c r="H186" s="183" t="n"/>
      <c r="I186" s="183" t="n"/>
      <c r="J186" s="183" t="n"/>
      <c r="K186" s="183" t="n"/>
      <c r="L186" s="183" t="n"/>
      <c r="M186" s="183" t="n"/>
      <c r="N186" s="183" t="n"/>
      <c r="O186" s="183" t="n"/>
      <c r="P186" s="183" t="n"/>
      <c r="Q186" s="183" t="n"/>
      <c r="R186" s="183" t="n"/>
      <c r="S186" s="183" t="n"/>
      <c r="T186" s="183" t="n"/>
      <c r="U186" s="183" t="n"/>
      <c r="V186" s="183" t="n"/>
      <c r="W186" s="183" t="n"/>
      <c r="X186" s="183" t="n"/>
      <c r="Y186" s="183" t="n"/>
      <c r="Z186" s="183" t="n"/>
      <c r="AA186" s="183" t="n"/>
    </row>
    <row r="187">
      <c r="A187" s="183" t="n"/>
      <c r="B187" s="183" t="n"/>
      <c r="C187" s="183" t="n"/>
      <c r="D187" s="183" t="n"/>
      <c r="E187" s="183" t="n"/>
      <c r="F187" s="183" t="n"/>
      <c r="G187" s="183" t="n"/>
      <c r="H187" s="183" t="n"/>
      <c r="I187" s="183" t="n"/>
      <c r="J187" s="183" t="n"/>
      <c r="K187" s="183" t="n"/>
      <c r="L187" s="183" t="n"/>
      <c r="M187" s="183" t="n"/>
      <c r="N187" s="183" t="n"/>
      <c r="O187" s="183" t="n"/>
      <c r="P187" s="183" t="n"/>
      <c r="Q187" s="183" t="n"/>
      <c r="R187" s="183" t="n"/>
      <c r="S187" s="183" t="n"/>
      <c r="T187" s="183" t="n"/>
      <c r="U187" s="183" t="n"/>
      <c r="V187" s="183" t="n"/>
      <c r="W187" s="183" t="n"/>
      <c r="X187" s="183" t="n"/>
      <c r="Y187" s="183" t="n"/>
      <c r="Z187" s="183" t="n"/>
      <c r="AA187" s="183" t="n"/>
    </row>
    <row r="188">
      <c r="A188" s="183" t="n"/>
      <c r="B188" s="183" t="n"/>
      <c r="C188" s="183" t="n"/>
      <c r="D188" s="183" t="n"/>
      <c r="E188" s="183" t="n"/>
      <c r="F188" s="183" t="n"/>
      <c r="G188" s="183" t="n"/>
      <c r="H188" s="183" t="n"/>
      <c r="I188" s="183" t="n"/>
      <c r="J188" s="183" t="n"/>
      <c r="K188" s="183" t="n"/>
      <c r="L188" s="183" t="n"/>
      <c r="M188" s="183" t="n"/>
      <c r="N188" s="183" t="n"/>
      <c r="O188" s="183" t="n"/>
      <c r="P188" s="183" t="n"/>
      <c r="Q188" s="183" t="n"/>
      <c r="R188" s="183" t="n"/>
      <c r="S188" s="183" t="n"/>
      <c r="T188" s="183" t="n"/>
      <c r="U188" s="183" t="n"/>
      <c r="V188" s="183" t="n"/>
      <c r="W188" s="183" t="n"/>
      <c r="X188" s="183" t="n"/>
      <c r="Y188" s="183" t="n"/>
      <c r="Z188" s="183" t="n"/>
      <c r="AA188" s="183" t="n"/>
    </row>
    <row r="189">
      <c r="A189" s="183" t="n"/>
      <c r="B189" s="183" t="n"/>
      <c r="C189" s="183" t="n"/>
      <c r="D189" s="183" t="n"/>
      <c r="E189" s="183" t="n"/>
      <c r="F189" s="183" t="n"/>
      <c r="G189" s="183" t="n"/>
      <c r="H189" s="183" t="n"/>
      <c r="I189" s="183" t="n"/>
      <c r="J189" s="183" t="n"/>
      <c r="K189" s="183" t="n"/>
      <c r="L189" s="183" t="n"/>
      <c r="M189" s="183" t="n"/>
      <c r="N189" s="183" t="n"/>
      <c r="O189" s="183" t="n"/>
      <c r="P189" s="183" t="n"/>
      <c r="Q189" s="183" t="n"/>
      <c r="R189" s="183" t="n"/>
      <c r="S189" s="183" t="n"/>
      <c r="T189" s="183" t="n"/>
      <c r="U189" s="183" t="n"/>
      <c r="V189" s="183" t="n"/>
      <c r="W189" s="183" t="n"/>
      <c r="X189" s="183" t="n"/>
      <c r="Y189" s="183" t="n"/>
      <c r="Z189" s="183" t="n"/>
      <c r="AA189" s="183" t="n"/>
    </row>
    <row r="190">
      <c r="A190" s="183" t="n"/>
      <c r="B190" s="183" t="n"/>
      <c r="C190" s="183" t="n"/>
      <c r="D190" s="183" t="n"/>
      <c r="E190" s="183" t="n"/>
      <c r="F190" s="183" t="n"/>
      <c r="G190" s="183" t="n"/>
      <c r="H190" s="183" t="n"/>
      <c r="I190" s="183" t="n"/>
      <c r="J190" s="183" t="n"/>
      <c r="K190" s="183" t="n"/>
      <c r="L190" s="183" t="n"/>
      <c r="M190" s="183" t="n"/>
      <c r="N190" s="183" t="n"/>
      <c r="O190" s="183" t="n"/>
      <c r="P190" s="183" t="n"/>
      <c r="Q190" s="183" t="n"/>
      <c r="R190" s="183" t="n"/>
      <c r="S190" s="183" t="n"/>
      <c r="T190" s="183" t="n"/>
      <c r="U190" s="183" t="n"/>
      <c r="V190" s="183" t="n"/>
      <c r="W190" s="183" t="n"/>
      <c r="X190" s="183" t="n"/>
      <c r="Y190" s="183" t="n"/>
      <c r="Z190" s="183" t="n"/>
      <c r="AA190" s="183" t="n"/>
    </row>
    <row r="191">
      <c r="A191" s="183" t="n"/>
      <c r="B191" s="183" t="n"/>
      <c r="C191" s="183" t="n"/>
      <c r="D191" s="183" t="n"/>
      <c r="E191" s="183" t="n"/>
      <c r="F191" s="183" t="n"/>
      <c r="G191" s="183" t="n"/>
      <c r="H191" s="183" t="n"/>
      <c r="I191" s="183" t="n"/>
      <c r="J191" s="183" t="n"/>
      <c r="K191" s="183" t="n"/>
      <c r="L191" s="183" t="n"/>
      <c r="M191" s="183" t="n"/>
      <c r="N191" s="183" t="n"/>
      <c r="O191" s="183" t="n"/>
      <c r="P191" s="183" t="n"/>
      <c r="Q191" s="183" t="n"/>
      <c r="R191" s="183" t="n"/>
      <c r="S191" s="183" t="n"/>
      <c r="T191" s="183" t="n"/>
      <c r="U191" s="183" t="n"/>
      <c r="V191" s="183" t="n"/>
      <c r="W191" s="183" t="n"/>
      <c r="X191" s="183" t="n"/>
      <c r="Y191" s="183" t="n"/>
      <c r="Z191" s="183" t="n"/>
      <c r="AA191" s="183" t="n"/>
    </row>
    <row r="192">
      <c r="A192" s="183" t="n"/>
      <c r="B192" s="183" t="n"/>
      <c r="C192" s="183" t="n"/>
      <c r="D192" s="183" t="n"/>
      <c r="E192" s="183" t="n"/>
      <c r="F192" s="183" t="n"/>
      <c r="G192" s="183" t="n"/>
      <c r="H192" s="183" t="n"/>
      <c r="I192" s="183" t="n"/>
      <c r="J192" s="183" t="n"/>
      <c r="K192" s="183" t="n"/>
      <c r="L192" s="183" t="n"/>
      <c r="M192" s="183" t="n"/>
      <c r="N192" s="183" t="n"/>
      <c r="O192" s="183" t="n"/>
      <c r="P192" s="183" t="n"/>
      <c r="Q192" s="183" t="n"/>
      <c r="R192" s="183" t="n"/>
      <c r="S192" s="183" t="n"/>
      <c r="T192" s="183" t="n"/>
      <c r="U192" s="183" t="n"/>
      <c r="V192" s="183" t="n"/>
      <c r="W192" s="183" t="n"/>
      <c r="X192" s="183" t="n"/>
      <c r="Y192" s="183" t="n"/>
      <c r="Z192" s="183" t="n"/>
      <c r="AA192" s="183" t="n"/>
    </row>
    <row r="193">
      <c r="A193" s="183" t="n"/>
      <c r="B193" s="183" t="n"/>
      <c r="C193" s="183" t="n"/>
      <c r="D193" s="183" t="n"/>
      <c r="E193" s="183" t="n"/>
      <c r="F193" s="183" t="n"/>
      <c r="G193" s="183" t="n"/>
      <c r="H193" s="183" t="n"/>
      <c r="I193" s="183" t="n"/>
      <c r="J193" s="183" t="n"/>
      <c r="K193" s="183" t="n"/>
      <c r="L193" s="183" t="n"/>
      <c r="M193" s="183" t="n"/>
      <c r="N193" s="183" t="n"/>
      <c r="O193" s="183" t="n"/>
      <c r="P193" s="183" t="n"/>
      <c r="Q193" s="183" t="n"/>
      <c r="R193" s="183" t="n"/>
      <c r="S193" s="183" t="n"/>
      <c r="T193" s="183" t="n"/>
      <c r="U193" s="183" t="n"/>
      <c r="V193" s="183" t="n"/>
      <c r="W193" s="183" t="n"/>
      <c r="X193" s="183" t="n"/>
      <c r="Y193" s="183" t="n"/>
      <c r="Z193" s="183" t="n"/>
      <c r="AA193" s="183" t="n"/>
    </row>
    <row r="194">
      <c r="A194" s="183" t="n"/>
      <c r="B194" s="183" t="n"/>
      <c r="C194" s="183" t="n"/>
      <c r="D194" s="183" t="n"/>
      <c r="E194" s="183" t="n"/>
      <c r="F194" s="183" t="n"/>
      <c r="G194" s="183" t="n"/>
      <c r="H194" s="183" t="n"/>
      <c r="I194" s="183" t="n"/>
      <c r="J194" s="183" t="n"/>
      <c r="K194" s="183" t="n"/>
      <c r="L194" s="183" t="n"/>
      <c r="M194" s="183" t="n"/>
      <c r="N194" s="183" t="n"/>
      <c r="O194" s="183" t="n"/>
      <c r="P194" s="183" t="n"/>
      <c r="Q194" s="183" t="n"/>
      <c r="R194" s="183" t="n"/>
      <c r="S194" s="183" t="n"/>
      <c r="T194" s="183" t="n"/>
      <c r="U194" s="183" t="n"/>
      <c r="V194" s="183" t="n"/>
      <c r="W194" s="183" t="n"/>
      <c r="X194" s="183" t="n"/>
      <c r="Y194" s="183" t="n"/>
      <c r="Z194" s="183" t="n"/>
      <c r="AA194" s="183" t="n"/>
    </row>
    <row r="195">
      <c r="A195" s="183" t="n"/>
      <c r="B195" s="183" t="n"/>
      <c r="C195" s="183" t="n"/>
      <c r="D195" s="183" t="n"/>
      <c r="E195" s="183" t="n"/>
      <c r="F195" s="183" t="n"/>
      <c r="G195" s="183" t="n"/>
      <c r="H195" s="183" t="n"/>
      <c r="I195" s="183" t="n"/>
      <c r="J195" s="183" t="n"/>
      <c r="K195" s="183" t="n"/>
      <c r="L195" s="183" t="n"/>
      <c r="M195" s="183" t="n"/>
      <c r="N195" s="183" t="n"/>
      <c r="O195" s="183" t="n"/>
      <c r="P195" s="183" t="n"/>
      <c r="Q195" s="183" t="n"/>
      <c r="R195" s="183" t="n"/>
      <c r="S195" s="183" t="n"/>
      <c r="T195" s="183" t="n"/>
      <c r="U195" s="183" t="n"/>
      <c r="V195" s="183" t="n"/>
      <c r="W195" s="183" t="n"/>
      <c r="X195" s="183" t="n"/>
      <c r="Y195" s="183" t="n"/>
      <c r="Z195" s="183" t="n"/>
      <c r="AA195" s="183" t="n"/>
    </row>
    <row r="196">
      <c r="A196" s="183" t="n"/>
      <c r="B196" s="183" t="n"/>
      <c r="C196" s="183" t="n"/>
      <c r="D196" s="183" t="n"/>
      <c r="E196" s="183" t="n"/>
      <c r="F196" s="183" t="n"/>
      <c r="G196" s="183" t="n"/>
      <c r="H196" s="183" t="n"/>
      <c r="I196" s="183" t="n"/>
      <c r="J196" s="183" t="n"/>
      <c r="K196" s="183" t="n"/>
      <c r="L196" s="183" t="n"/>
      <c r="M196" s="183" t="n"/>
      <c r="N196" s="183" t="n"/>
      <c r="O196" s="183" t="n"/>
      <c r="P196" s="183" t="n"/>
      <c r="Q196" s="183" t="n"/>
      <c r="R196" s="183" t="n"/>
      <c r="S196" s="183" t="n"/>
      <c r="T196" s="183" t="n"/>
      <c r="U196" s="183" t="n"/>
      <c r="V196" s="183" t="n"/>
      <c r="W196" s="183" t="n"/>
      <c r="X196" s="183" t="n"/>
      <c r="Y196" s="183" t="n"/>
      <c r="Z196" s="183" t="n"/>
      <c r="AA196" s="183" t="n"/>
    </row>
    <row r="197">
      <c r="A197" s="183" t="n"/>
      <c r="B197" s="183" t="n"/>
      <c r="C197" s="183" t="n"/>
      <c r="D197" s="183" t="n"/>
      <c r="E197" s="183" t="n"/>
      <c r="F197" s="183" t="n"/>
      <c r="G197" s="183" t="n"/>
      <c r="H197" s="183" t="n"/>
      <c r="I197" s="183" t="n"/>
      <c r="J197" s="183" t="n"/>
      <c r="K197" s="183" t="n"/>
      <c r="L197" s="183" t="n"/>
      <c r="M197" s="183" t="n"/>
      <c r="N197" s="183" t="n"/>
      <c r="O197" s="183" t="n"/>
      <c r="P197" s="183" t="n"/>
      <c r="Q197" s="183" t="n"/>
      <c r="R197" s="183" t="n"/>
      <c r="S197" s="183" t="n"/>
      <c r="T197" s="183" t="n"/>
      <c r="U197" s="183" t="n"/>
      <c r="V197" s="183" t="n"/>
      <c r="W197" s="183" t="n"/>
      <c r="X197" s="183" t="n"/>
      <c r="Y197" s="183" t="n"/>
      <c r="Z197" s="183" t="n"/>
      <c r="AA197" s="183" t="n"/>
    </row>
    <row r="198">
      <c r="A198" s="183" t="n"/>
      <c r="B198" s="183" t="n"/>
      <c r="C198" s="183" t="n"/>
      <c r="D198" s="183" t="n"/>
      <c r="E198" s="183" t="n"/>
      <c r="F198" s="183" t="n"/>
      <c r="G198" s="183" t="n"/>
      <c r="H198" s="183" t="n"/>
      <c r="I198" s="183" t="n"/>
      <c r="J198" s="183" t="n"/>
      <c r="K198" s="183" t="n"/>
      <c r="L198" s="183" t="n"/>
      <c r="M198" s="183" t="n"/>
      <c r="N198" s="183" t="n"/>
      <c r="O198" s="183" t="n"/>
      <c r="P198" s="183" t="n"/>
      <c r="Q198" s="183" t="n"/>
      <c r="R198" s="183" t="n"/>
      <c r="S198" s="183" t="n"/>
      <c r="T198" s="183" t="n"/>
      <c r="U198" s="183" t="n"/>
      <c r="V198" s="183" t="n"/>
      <c r="W198" s="183" t="n"/>
      <c r="X198" s="183" t="n"/>
      <c r="Y198" s="183" t="n"/>
      <c r="Z198" s="183" t="n"/>
      <c r="AA198" s="183" t="n"/>
    </row>
    <row r="199">
      <c r="A199" s="183" t="n"/>
      <c r="B199" s="183" t="n"/>
      <c r="C199" s="183" t="n"/>
      <c r="D199" s="183" t="n"/>
      <c r="E199" s="183" t="n"/>
      <c r="F199" s="183" t="n"/>
      <c r="G199" s="183" t="n"/>
      <c r="H199" s="183" t="n"/>
      <c r="I199" s="183" t="n"/>
      <c r="J199" s="183" t="n"/>
      <c r="K199" s="183" t="n"/>
      <c r="L199" s="183" t="n"/>
      <c r="M199" s="183" t="n"/>
      <c r="N199" s="183" t="n"/>
      <c r="O199" s="183" t="n"/>
      <c r="P199" s="183" t="n"/>
      <c r="Q199" s="183" t="n"/>
      <c r="R199" s="183" t="n"/>
      <c r="S199" s="183" t="n"/>
      <c r="T199" s="183" t="n"/>
      <c r="U199" s="183" t="n"/>
      <c r="V199" s="183" t="n"/>
      <c r="W199" s="183" t="n"/>
      <c r="X199" s="183" t="n"/>
      <c r="Y199" s="183" t="n"/>
      <c r="Z199" s="183" t="n"/>
      <c r="AA199" s="183" t="n"/>
    </row>
    <row r="200">
      <c r="A200" s="183" t="n"/>
      <c r="B200" s="183" t="n"/>
      <c r="C200" s="183" t="n"/>
      <c r="D200" s="183" t="n"/>
      <c r="E200" s="183" t="n"/>
      <c r="F200" s="183" t="n"/>
      <c r="G200" s="183" t="n"/>
      <c r="H200" s="183" t="n"/>
      <c r="I200" s="183" t="n"/>
      <c r="J200" s="183" t="n"/>
      <c r="K200" s="183" t="n"/>
      <c r="L200" s="183" t="n"/>
      <c r="M200" s="183" t="n"/>
      <c r="N200" s="183" t="n"/>
      <c r="O200" s="183" t="n"/>
      <c r="P200" s="183" t="n"/>
      <c r="Q200" s="183" t="n"/>
      <c r="R200" s="183" t="n"/>
      <c r="S200" s="183" t="n"/>
      <c r="T200" s="183" t="n"/>
      <c r="U200" s="183" t="n"/>
      <c r="V200" s="183" t="n"/>
      <c r="W200" s="183" t="n"/>
      <c r="X200" s="183" t="n"/>
      <c r="Y200" s="183" t="n"/>
      <c r="Z200" s="183" t="n"/>
      <c r="AA200" s="183" t="n"/>
    </row>
    <row r="201">
      <c r="A201" s="183" t="n"/>
      <c r="B201" s="183" t="n"/>
      <c r="C201" s="183" t="n"/>
      <c r="D201" s="183" t="n"/>
      <c r="E201" s="183" t="n"/>
      <c r="F201" s="183" t="n"/>
      <c r="G201" s="183" t="n"/>
      <c r="H201" s="183" t="n"/>
      <c r="I201" s="183" t="n"/>
      <c r="J201" s="183" t="n"/>
      <c r="K201" s="183" t="n"/>
      <c r="L201" s="183" t="n"/>
      <c r="M201" s="183" t="n"/>
      <c r="N201" s="183" t="n"/>
      <c r="O201" s="183" t="n"/>
      <c r="P201" s="183" t="n"/>
      <c r="Q201" s="183" t="n"/>
      <c r="R201" s="183" t="n"/>
      <c r="S201" s="183" t="n"/>
      <c r="T201" s="183" t="n"/>
      <c r="U201" s="183" t="n"/>
      <c r="V201" s="183" t="n"/>
      <c r="W201" s="183" t="n"/>
      <c r="X201" s="183" t="n"/>
      <c r="Y201" s="183" t="n"/>
      <c r="Z201" s="183" t="n"/>
      <c r="AA201" s="183" t="n"/>
    </row>
    <row r="202">
      <c r="A202" s="183" t="n"/>
      <c r="B202" s="183" t="n"/>
      <c r="C202" s="183" t="n"/>
      <c r="D202" s="183" t="n"/>
      <c r="E202" s="183" t="n"/>
      <c r="F202" s="183" t="n"/>
      <c r="G202" s="183" t="n"/>
      <c r="H202" s="183" t="n"/>
      <c r="I202" s="183" t="n"/>
      <c r="J202" s="183" t="n"/>
      <c r="K202" s="183" t="n"/>
      <c r="L202" s="183" t="n"/>
      <c r="M202" s="183" t="n"/>
      <c r="N202" s="183" t="n"/>
      <c r="O202" s="183" t="n"/>
      <c r="P202" s="183" t="n"/>
      <c r="Q202" s="183" t="n"/>
      <c r="R202" s="183" t="n"/>
      <c r="S202" s="183" t="n"/>
      <c r="T202" s="183" t="n"/>
      <c r="U202" s="183" t="n"/>
      <c r="V202" s="183" t="n"/>
      <c r="W202" s="183" t="n"/>
      <c r="X202" s="183" t="n"/>
      <c r="Y202" s="183" t="n"/>
      <c r="Z202" s="183" t="n"/>
      <c r="AA202" s="183" t="n"/>
    </row>
    <row r="203">
      <c r="A203" s="183" t="n"/>
      <c r="B203" s="183" t="n"/>
      <c r="C203" s="183" t="n"/>
      <c r="D203" s="183" t="n"/>
      <c r="E203" s="183" t="n"/>
      <c r="F203" s="183" t="n"/>
      <c r="G203" s="183" t="n"/>
      <c r="H203" s="183" t="n"/>
      <c r="I203" s="183" t="n"/>
      <c r="J203" s="183" t="n"/>
      <c r="K203" s="183" t="n"/>
      <c r="L203" s="183" t="n"/>
      <c r="M203" s="183" t="n"/>
      <c r="N203" s="183" t="n"/>
      <c r="O203" s="183" t="n"/>
      <c r="P203" s="183" t="n"/>
      <c r="Q203" s="183" t="n"/>
      <c r="R203" s="183" t="n"/>
      <c r="S203" s="183" t="n"/>
      <c r="T203" s="183" t="n"/>
      <c r="U203" s="183" t="n"/>
      <c r="V203" s="183" t="n"/>
      <c r="W203" s="183" t="n"/>
      <c r="X203" s="183" t="n"/>
      <c r="Y203" s="183" t="n"/>
      <c r="Z203" s="183" t="n"/>
      <c r="AA203" s="183" t="n"/>
    </row>
    <row r="204">
      <c r="A204" s="183" t="n"/>
      <c r="B204" s="183" t="n"/>
      <c r="C204" s="183" t="n"/>
      <c r="D204" s="183" t="n"/>
      <c r="E204" s="183" t="n"/>
      <c r="F204" s="183" t="n"/>
      <c r="G204" s="183" t="n"/>
      <c r="H204" s="183" t="n"/>
      <c r="I204" s="183" t="n"/>
      <c r="J204" s="183" t="n"/>
      <c r="K204" s="183" t="n"/>
      <c r="L204" s="183" t="n"/>
      <c r="M204" s="183" t="n"/>
      <c r="N204" s="183" t="n"/>
      <c r="O204" s="183" t="n"/>
      <c r="P204" s="183" t="n"/>
      <c r="Q204" s="183" t="n"/>
      <c r="R204" s="183" t="n"/>
      <c r="S204" s="183" t="n"/>
      <c r="T204" s="183" t="n"/>
      <c r="U204" s="183" t="n"/>
      <c r="V204" s="183" t="n"/>
      <c r="W204" s="183" t="n"/>
      <c r="X204" s="183" t="n"/>
      <c r="Y204" s="183" t="n"/>
      <c r="Z204" s="183" t="n"/>
      <c r="AA204" s="183" t="n"/>
    </row>
    <row r="205">
      <c r="A205" s="183" t="n"/>
      <c r="B205" s="183" t="n"/>
      <c r="C205" s="183" t="n"/>
      <c r="D205" s="183" t="n"/>
      <c r="E205" s="183" t="n"/>
      <c r="F205" s="183" t="n"/>
      <c r="G205" s="183" t="n"/>
      <c r="H205" s="183" t="n"/>
      <c r="I205" s="183" t="n"/>
      <c r="J205" s="183" t="n"/>
      <c r="K205" s="183" t="n"/>
      <c r="L205" s="183" t="n"/>
      <c r="M205" s="183" t="n"/>
      <c r="N205" s="183" t="n"/>
      <c r="O205" s="183" t="n"/>
      <c r="P205" s="183" t="n"/>
      <c r="Q205" s="183" t="n"/>
      <c r="R205" s="183" t="n"/>
      <c r="S205" s="183" t="n"/>
      <c r="T205" s="183" t="n"/>
      <c r="U205" s="183" t="n"/>
      <c r="V205" s="183" t="n"/>
      <c r="W205" s="183" t="n"/>
      <c r="X205" s="183" t="n"/>
      <c r="Y205" s="183" t="n"/>
      <c r="Z205" s="183" t="n"/>
      <c r="AA205" s="183" t="n"/>
    </row>
    <row r="206">
      <c r="A206" s="183" t="n"/>
      <c r="B206" s="183" t="n"/>
      <c r="C206" s="183" t="n"/>
      <c r="D206" s="183" t="n"/>
      <c r="E206" s="183" t="n"/>
      <c r="F206" s="183" t="n"/>
      <c r="G206" s="183" t="n"/>
      <c r="H206" s="183" t="n"/>
      <c r="I206" s="183" t="n"/>
      <c r="J206" s="183" t="n"/>
      <c r="K206" s="183" t="n"/>
      <c r="L206" s="183" t="n"/>
      <c r="M206" s="183" t="n"/>
      <c r="N206" s="183" t="n"/>
      <c r="O206" s="183" t="n"/>
      <c r="P206" s="183" t="n"/>
      <c r="Q206" s="183" t="n"/>
      <c r="R206" s="183" t="n"/>
      <c r="S206" s="183" t="n"/>
      <c r="T206" s="183" t="n"/>
      <c r="U206" s="183" t="n"/>
      <c r="V206" s="183" t="n"/>
      <c r="W206" s="183" t="n"/>
      <c r="X206" s="183" t="n"/>
      <c r="Y206" s="183" t="n"/>
      <c r="Z206" s="183" t="n"/>
      <c r="AA206" s="183" t="n"/>
    </row>
    <row r="207">
      <c r="A207" s="183" t="n"/>
      <c r="B207" s="183" t="n"/>
      <c r="C207" s="183" t="n"/>
      <c r="D207" s="183" t="n"/>
      <c r="E207" s="183" t="n"/>
      <c r="F207" s="183" t="n"/>
      <c r="G207" s="183" t="n"/>
      <c r="H207" s="183" t="n"/>
      <c r="I207" s="183" t="n"/>
      <c r="J207" s="183" t="n"/>
      <c r="K207" s="183" t="n"/>
      <c r="L207" s="183" t="n"/>
      <c r="M207" s="183" t="n"/>
      <c r="N207" s="183" t="n"/>
      <c r="O207" s="183" t="n"/>
      <c r="P207" s="183" t="n"/>
      <c r="Q207" s="183" t="n"/>
      <c r="R207" s="183" t="n"/>
      <c r="S207" s="183" t="n"/>
      <c r="T207" s="183" t="n"/>
      <c r="U207" s="183" t="n"/>
      <c r="V207" s="183" t="n"/>
      <c r="W207" s="183" t="n"/>
      <c r="X207" s="183" t="n"/>
      <c r="Y207" s="183" t="n"/>
      <c r="Z207" s="183" t="n"/>
      <c r="AA207" s="183" t="n"/>
    </row>
    <row r="208">
      <c r="A208" s="183" t="n"/>
      <c r="B208" s="183" t="n"/>
      <c r="C208" s="183" t="n"/>
      <c r="D208" s="183" t="n"/>
      <c r="E208" s="183" t="n"/>
      <c r="F208" s="183" t="n"/>
      <c r="G208" s="183" t="n"/>
      <c r="H208" s="183" t="n"/>
      <c r="I208" s="183" t="n"/>
      <c r="J208" s="183" t="n"/>
      <c r="K208" s="183" t="n"/>
      <c r="L208" s="183" t="n"/>
      <c r="M208" s="183" t="n"/>
      <c r="N208" s="183" t="n"/>
      <c r="O208" s="183" t="n"/>
      <c r="P208" s="183" t="n"/>
      <c r="Q208" s="183" t="n"/>
      <c r="R208" s="183" t="n"/>
      <c r="S208" s="183" t="n"/>
      <c r="T208" s="183" t="n"/>
      <c r="U208" s="183" t="n"/>
      <c r="V208" s="183" t="n"/>
      <c r="W208" s="183" t="n"/>
      <c r="X208" s="183" t="n"/>
      <c r="Y208" s="183" t="n"/>
      <c r="Z208" s="183" t="n"/>
      <c r="AA208" s="183" t="n"/>
    </row>
    <row r="209">
      <c r="A209" s="183" t="n"/>
      <c r="B209" s="183" t="n"/>
      <c r="C209" s="183" t="n"/>
      <c r="D209" s="183" t="n"/>
      <c r="E209" s="183" t="n"/>
      <c r="F209" s="183" t="n"/>
      <c r="G209" s="183" t="n"/>
      <c r="H209" s="183" t="n"/>
      <c r="I209" s="183" t="n"/>
      <c r="J209" s="183" t="n"/>
      <c r="K209" s="183" t="n"/>
      <c r="L209" s="183" t="n"/>
      <c r="M209" s="183" t="n"/>
      <c r="N209" s="183" t="n"/>
      <c r="O209" s="183" t="n"/>
      <c r="P209" s="183" t="n"/>
      <c r="Q209" s="183" t="n"/>
      <c r="R209" s="183" t="n"/>
      <c r="S209" s="183" t="n"/>
      <c r="T209" s="183" t="n"/>
      <c r="U209" s="183" t="n"/>
      <c r="V209" s="183" t="n"/>
      <c r="W209" s="183" t="n"/>
      <c r="X209" s="183" t="n"/>
      <c r="Y209" s="183" t="n"/>
      <c r="Z209" s="183" t="n"/>
      <c r="AA209" s="183" t="n"/>
    </row>
    <row r="210">
      <c r="A210" s="183" t="n"/>
      <c r="B210" s="183" t="n"/>
      <c r="C210" s="183" t="n"/>
      <c r="D210" s="183" t="n"/>
      <c r="E210" s="183" t="n"/>
      <c r="F210" s="183" t="n"/>
      <c r="G210" s="183" t="n"/>
      <c r="H210" s="183" t="n"/>
      <c r="I210" s="183" t="n"/>
      <c r="J210" s="183" t="n"/>
      <c r="K210" s="183" t="n"/>
      <c r="L210" s="183" t="n"/>
      <c r="M210" s="183" t="n"/>
      <c r="N210" s="183" t="n"/>
      <c r="O210" s="183" t="n"/>
      <c r="P210" s="183" t="n"/>
      <c r="Q210" s="183" t="n"/>
      <c r="R210" s="183" t="n"/>
      <c r="S210" s="183" t="n"/>
      <c r="T210" s="183" t="n"/>
      <c r="U210" s="183" t="n"/>
      <c r="V210" s="183" t="n"/>
      <c r="W210" s="183" t="n"/>
      <c r="X210" s="183" t="n"/>
      <c r="Y210" s="183" t="n"/>
      <c r="Z210" s="183" t="n"/>
      <c r="AA210" s="183" t="n"/>
    </row>
    <row r="211">
      <c r="A211" s="183" t="n"/>
      <c r="B211" s="183" t="n"/>
      <c r="C211" s="183" t="n"/>
      <c r="D211" s="183" t="n"/>
      <c r="E211" s="183" t="n"/>
      <c r="F211" s="183" t="n"/>
      <c r="G211" s="183" t="n"/>
      <c r="H211" s="183" t="n"/>
      <c r="I211" s="183" t="n"/>
      <c r="J211" s="183" t="n"/>
      <c r="K211" s="183" t="n"/>
      <c r="L211" s="183" t="n"/>
      <c r="M211" s="183" t="n"/>
      <c r="N211" s="183" t="n"/>
      <c r="O211" s="183" t="n"/>
      <c r="P211" s="183" t="n"/>
      <c r="Q211" s="183" t="n"/>
      <c r="R211" s="183" t="n"/>
      <c r="S211" s="183" t="n"/>
      <c r="T211" s="183" t="n"/>
      <c r="U211" s="183" t="n"/>
      <c r="V211" s="183" t="n"/>
      <c r="W211" s="183" t="n"/>
      <c r="X211" s="183" t="n"/>
      <c r="Y211" s="183" t="n"/>
      <c r="Z211" s="183" t="n"/>
      <c r="AA211" s="183" t="n"/>
    </row>
    <row r="212">
      <c r="A212" s="183" t="n"/>
      <c r="B212" s="183" t="n"/>
      <c r="C212" s="183" t="n"/>
      <c r="D212" s="183" t="n"/>
      <c r="E212" s="183" t="n"/>
      <c r="F212" s="183" t="n"/>
      <c r="G212" s="183" t="n"/>
      <c r="H212" s="183" t="n"/>
      <c r="I212" s="183" t="n"/>
      <c r="J212" s="183" t="n"/>
      <c r="K212" s="183" t="n"/>
      <c r="L212" s="183" t="n"/>
      <c r="M212" s="183" t="n"/>
      <c r="N212" s="183" t="n"/>
      <c r="O212" s="183" t="n"/>
      <c r="P212" s="183" t="n"/>
      <c r="Q212" s="183" t="n"/>
      <c r="R212" s="183" t="n"/>
      <c r="S212" s="183" t="n"/>
      <c r="T212" s="183" t="n"/>
      <c r="U212" s="183" t="n"/>
      <c r="V212" s="183" t="n"/>
      <c r="W212" s="183" t="n"/>
      <c r="X212" s="183" t="n"/>
      <c r="Y212" s="183" t="n"/>
      <c r="Z212" s="183" t="n"/>
      <c r="AA212" s="183" t="n"/>
    </row>
    <row r="213">
      <c r="A213" s="183" t="n"/>
      <c r="B213" s="183" t="n"/>
      <c r="C213" s="183" t="n"/>
      <c r="D213" s="183" t="n"/>
      <c r="E213" s="183" t="n"/>
      <c r="F213" s="183" t="n"/>
      <c r="G213" s="183" t="n"/>
      <c r="H213" s="183" t="n"/>
      <c r="I213" s="183" t="n"/>
      <c r="J213" s="183" t="n"/>
      <c r="K213" s="183" t="n"/>
      <c r="L213" s="183" t="n"/>
      <c r="M213" s="183" t="n"/>
      <c r="N213" s="183" t="n"/>
      <c r="O213" s="183" t="n"/>
      <c r="P213" s="183" t="n"/>
      <c r="Q213" s="183" t="n"/>
      <c r="R213" s="183" t="n"/>
      <c r="S213" s="183" t="n"/>
      <c r="T213" s="183" t="n"/>
      <c r="U213" s="183" t="n"/>
      <c r="V213" s="183" t="n"/>
      <c r="W213" s="183" t="n"/>
      <c r="X213" s="183" t="n"/>
      <c r="Y213" s="183" t="n"/>
      <c r="Z213" s="183" t="n"/>
      <c r="AA213" s="183" t="n"/>
    </row>
    <row r="214">
      <c r="A214" s="183" t="n"/>
      <c r="B214" s="183" t="n"/>
      <c r="C214" s="183" t="n"/>
      <c r="D214" s="183" t="n"/>
      <c r="E214" s="183" t="n"/>
      <c r="F214" s="183" t="n"/>
      <c r="G214" s="183" t="n"/>
      <c r="H214" s="183" t="n"/>
      <c r="I214" s="183" t="n"/>
      <c r="J214" s="183" t="n"/>
      <c r="K214" s="183" t="n"/>
      <c r="L214" s="183" t="n"/>
      <c r="M214" s="183" t="n"/>
      <c r="N214" s="183" t="n"/>
      <c r="O214" s="183" t="n"/>
      <c r="P214" s="183" t="n"/>
      <c r="Q214" s="183" t="n"/>
      <c r="R214" s="183" t="n"/>
      <c r="S214" s="183" t="n"/>
      <c r="T214" s="183" t="n"/>
      <c r="U214" s="183" t="n"/>
      <c r="V214" s="183" t="n"/>
      <c r="W214" s="183" t="n"/>
      <c r="X214" s="183" t="n"/>
      <c r="Y214" s="183" t="n"/>
      <c r="Z214" s="183" t="n"/>
      <c r="AA214" s="183" t="n"/>
    </row>
    <row r="215">
      <c r="A215" s="183" t="n"/>
      <c r="B215" s="183" t="n"/>
      <c r="C215" s="183" t="n"/>
      <c r="D215" s="183" t="n"/>
      <c r="E215" s="183" t="n"/>
      <c r="F215" s="183" t="n"/>
      <c r="G215" s="183" t="n"/>
      <c r="H215" s="183" t="n"/>
      <c r="I215" s="183" t="n"/>
      <c r="J215" s="183" t="n"/>
      <c r="K215" s="183" t="n"/>
      <c r="L215" s="183" t="n"/>
      <c r="M215" s="183" t="n"/>
      <c r="N215" s="183" t="n"/>
      <c r="O215" s="183" t="n"/>
      <c r="P215" s="183" t="n"/>
      <c r="Q215" s="183" t="n"/>
      <c r="R215" s="183" t="n"/>
      <c r="S215" s="183" t="n"/>
      <c r="T215" s="183" t="n"/>
      <c r="U215" s="183" t="n"/>
      <c r="V215" s="183" t="n"/>
      <c r="W215" s="183" t="n"/>
      <c r="X215" s="183" t="n"/>
      <c r="Y215" s="183" t="n"/>
      <c r="Z215" s="183" t="n"/>
      <c r="AA215" s="183" t="n"/>
    </row>
    <row r="216">
      <c r="A216" s="183" t="n"/>
      <c r="B216" s="183" t="n"/>
      <c r="C216" s="183" t="n"/>
      <c r="D216" s="183" t="n"/>
      <c r="E216" s="183" t="n"/>
      <c r="F216" s="183" t="n"/>
      <c r="G216" s="183" t="n"/>
      <c r="H216" s="183" t="n"/>
      <c r="I216" s="183" t="n"/>
      <c r="J216" s="183" t="n"/>
      <c r="K216" s="183" t="n"/>
      <c r="L216" s="183" t="n"/>
      <c r="M216" s="183" t="n"/>
      <c r="N216" s="183" t="n"/>
      <c r="O216" s="183" t="n"/>
      <c r="P216" s="183" t="n"/>
      <c r="Q216" s="183" t="n"/>
      <c r="R216" s="183" t="n"/>
      <c r="S216" s="183" t="n"/>
      <c r="T216" s="183" t="n"/>
      <c r="U216" s="183" t="n"/>
      <c r="V216" s="183" t="n"/>
      <c r="W216" s="183" t="n"/>
      <c r="X216" s="183" t="n"/>
      <c r="Y216" s="183" t="n"/>
      <c r="Z216" s="183" t="n"/>
      <c r="AA216" s="183" t="n"/>
    </row>
    <row r="217">
      <c r="A217" s="183" t="n"/>
      <c r="B217" s="183" t="n"/>
      <c r="C217" s="183" t="n"/>
      <c r="D217" s="183" t="n"/>
      <c r="E217" s="183" t="n"/>
      <c r="F217" s="183" t="n"/>
      <c r="G217" s="183" t="n"/>
      <c r="H217" s="183" t="n"/>
      <c r="I217" s="183" t="n"/>
      <c r="J217" s="183" t="n"/>
      <c r="K217" s="183" t="n"/>
      <c r="L217" s="183" t="n"/>
      <c r="M217" s="183" t="n"/>
      <c r="N217" s="183" t="n"/>
      <c r="O217" s="183" t="n"/>
      <c r="P217" s="183" t="n"/>
      <c r="Q217" s="183" t="n"/>
      <c r="R217" s="183" t="n"/>
      <c r="S217" s="183" t="n"/>
      <c r="T217" s="183" t="n"/>
      <c r="U217" s="183" t="n"/>
      <c r="V217" s="183" t="n"/>
      <c r="W217" s="183" t="n"/>
      <c r="X217" s="183" t="n"/>
      <c r="Y217" s="183" t="n"/>
      <c r="Z217" s="183" t="n"/>
      <c r="AA217" s="183" t="n"/>
    </row>
    <row r="218">
      <c r="A218" s="183" t="n"/>
      <c r="B218" s="183" t="n"/>
      <c r="C218" s="183" t="n"/>
      <c r="D218" s="183" t="n"/>
      <c r="E218" s="183" t="n"/>
      <c r="F218" s="183" t="n"/>
      <c r="G218" s="183" t="n"/>
      <c r="H218" s="183" t="n"/>
      <c r="I218" s="183" t="n"/>
      <c r="J218" s="183" t="n"/>
      <c r="K218" s="183" t="n"/>
      <c r="L218" s="183" t="n"/>
      <c r="M218" s="183" t="n"/>
      <c r="N218" s="183" t="n"/>
      <c r="O218" s="183" t="n"/>
      <c r="P218" s="183" t="n"/>
      <c r="Q218" s="183" t="n"/>
      <c r="R218" s="183" t="n"/>
      <c r="S218" s="183" t="n"/>
      <c r="T218" s="183" t="n"/>
      <c r="U218" s="183" t="n"/>
      <c r="V218" s="183" t="n"/>
      <c r="W218" s="183" t="n"/>
      <c r="X218" s="183" t="n"/>
      <c r="Y218" s="183" t="n"/>
      <c r="Z218" s="183" t="n"/>
      <c r="AA218" s="183" t="n"/>
    </row>
    <row r="219">
      <c r="A219" s="183" t="n"/>
      <c r="B219" s="183" t="n"/>
      <c r="C219" s="183" t="n"/>
      <c r="D219" s="183" t="n"/>
      <c r="E219" s="183" t="n"/>
      <c r="F219" s="183" t="n"/>
      <c r="G219" s="183" t="n"/>
      <c r="H219" s="183" t="n"/>
      <c r="I219" s="183" t="n"/>
      <c r="J219" s="183" t="n"/>
      <c r="K219" s="183" t="n"/>
      <c r="L219" s="183" t="n"/>
      <c r="M219" s="183" t="n"/>
      <c r="N219" s="183" t="n"/>
      <c r="O219" s="183" t="n"/>
      <c r="P219" s="183" t="n"/>
      <c r="Q219" s="183" t="n"/>
      <c r="R219" s="183" t="n"/>
      <c r="S219" s="183" t="n"/>
      <c r="T219" s="183" t="n"/>
      <c r="U219" s="183" t="n"/>
      <c r="V219" s="183" t="n"/>
      <c r="W219" s="183" t="n"/>
      <c r="X219" s="183" t="n"/>
      <c r="Y219" s="183" t="n"/>
      <c r="Z219" s="183" t="n"/>
      <c r="AA219" s="183" t="n"/>
    </row>
    <row r="220">
      <c r="A220" s="183" t="n"/>
      <c r="B220" s="183" t="n"/>
      <c r="C220" s="183" t="n"/>
      <c r="D220" s="183" t="n"/>
      <c r="E220" s="183" t="n"/>
      <c r="F220" s="183" t="n"/>
      <c r="G220" s="183" t="n"/>
      <c r="H220" s="183" t="n"/>
      <c r="I220" s="183" t="n"/>
      <c r="J220" s="183" t="n"/>
      <c r="K220" s="183" t="n"/>
      <c r="L220" s="183" t="n"/>
      <c r="M220" s="183" t="n"/>
      <c r="N220" s="183" t="n"/>
      <c r="O220" s="183" t="n"/>
      <c r="P220" s="183" t="n"/>
      <c r="Q220" s="183" t="n"/>
      <c r="R220" s="183" t="n"/>
      <c r="S220" s="183" t="n"/>
      <c r="T220" s="183" t="n"/>
      <c r="U220" s="183" t="n"/>
      <c r="V220" s="183" t="n"/>
      <c r="W220" s="183" t="n"/>
      <c r="X220" s="183" t="n"/>
      <c r="Y220" s="183" t="n"/>
      <c r="Z220" s="183" t="n"/>
      <c r="AA220" s="183" t="n"/>
    </row>
    <row r="221">
      <c r="A221" s="183" t="n"/>
      <c r="B221" s="183" t="n"/>
      <c r="C221" s="183" t="n"/>
      <c r="D221" s="183" t="n"/>
      <c r="E221" s="183" t="n"/>
      <c r="F221" s="183" t="n"/>
      <c r="G221" s="183" t="n"/>
      <c r="H221" s="183" t="n"/>
      <c r="I221" s="183" t="n"/>
      <c r="J221" s="183" t="n"/>
      <c r="K221" s="183" t="n"/>
      <c r="L221" s="183" t="n"/>
      <c r="M221" s="183" t="n"/>
      <c r="N221" s="183" t="n"/>
      <c r="O221" s="183" t="n"/>
      <c r="P221" s="183" t="n"/>
      <c r="Q221" s="183" t="n"/>
      <c r="R221" s="183" t="n"/>
      <c r="S221" s="183" t="n"/>
      <c r="T221" s="183" t="n"/>
      <c r="U221" s="183" t="n"/>
      <c r="V221" s="183" t="n"/>
      <c r="W221" s="183" t="n"/>
      <c r="X221" s="183" t="n"/>
      <c r="Y221" s="183" t="n"/>
      <c r="Z221" s="183" t="n"/>
      <c r="AA221" s="183" t="n"/>
    </row>
    <row r="222">
      <c r="A222" s="183" t="n"/>
      <c r="B222" s="183" t="n"/>
      <c r="C222" s="183" t="n"/>
      <c r="D222" s="183" t="n"/>
      <c r="E222" s="183" t="n"/>
      <c r="F222" s="183" t="n"/>
      <c r="G222" s="183" t="n"/>
      <c r="H222" s="183" t="n"/>
      <c r="I222" s="183" t="n"/>
      <c r="J222" s="183" t="n"/>
      <c r="K222" s="183" t="n"/>
      <c r="L222" s="183" t="n"/>
      <c r="M222" s="183" t="n"/>
      <c r="N222" s="183" t="n"/>
      <c r="O222" s="183" t="n"/>
      <c r="P222" s="183" t="n"/>
      <c r="Q222" s="183" t="n"/>
      <c r="R222" s="183" t="n"/>
      <c r="S222" s="183" t="n"/>
      <c r="T222" s="183" t="n"/>
      <c r="U222" s="183" t="n"/>
      <c r="V222" s="183" t="n"/>
      <c r="W222" s="183" t="n"/>
      <c r="X222" s="183" t="n"/>
      <c r="Y222" s="183" t="n"/>
      <c r="Z222" s="183" t="n"/>
      <c r="AA222" s="183" t="n"/>
    </row>
    <row r="223">
      <c r="A223" s="183" t="n"/>
      <c r="B223" s="183" t="n"/>
      <c r="C223" s="183" t="n"/>
      <c r="D223" s="183" t="n"/>
      <c r="E223" s="183" t="n"/>
      <c r="F223" s="183" t="n"/>
      <c r="G223" s="183" t="n"/>
      <c r="H223" s="183" t="n"/>
      <c r="I223" s="183" t="n"/>
      <c r="J223" s="183" t="n"/>
      <c r="K223" s="183" t="n"/>
      <c r="L223" s="183" t="n"/>
      <c r="M223" s="183" t="n"/>
      <c r="N223" s="183" t="n"/>
      <c r="O223" s="183" t="n"/>
      <c r="P223" s="183" t="n"/>
      <c r="Q223" s="183" t="n"/>
      <c r="R223" s="183" t="n"/>
      <c r="S223" s="183" t="n"/>
      <c r="T223" s="183" t="n"/>
      <c r="U223" s="183" t="n"/>
      <c r="V223" s="183" t="n"/>
      <c r="W223" s="183" t="n"/>
      <c r="X223" s="183" t="n"/>
      <c r="Y223" s="183" t="n"/>
      <c r="Z223" s="183" t="n"/>
      <c r="AA223" s="183" t="n"/>
    </row>
    <row r="224">
      <c r="A224" s="183" t="n"/>
      <c r="B224" s="183" t="n"/>
      <c r="C224" s="183" t="n"/>
      <c r="D224" s="183" t="n"/>
      <c r="E224" s="183" t="n"/>
      <c r="F224" s="183" t="n"/>
      <c r="G224" s="183" t="n"/>
      <c r="H224" s="183" t="n"/>
      <c r="I224" s="183" t="n"/>
      <c r="J224" s="183" t="n"/>
      <c r="K224" s="183" t="n"/>
      <c r="L224" s="183" t="n"/>
      <c r="M224" s="183" t="n"/>
      <c r="N224" s="183" t="n"/>
      <c r="O224" s="183" t="n"/>
      <c r="P224" s="183" t="n"/>
      <c r="Q224" s="183" t="n"/>
      <c r="R224" s="183" t="n"/>
      <c r="S224" s="183" t="n"/>
      <c r="T224" s="183" t="n"/>
      <c r="U224" s="183" t="n"/>
      <c r="V224" s="183" t="n"/>
      <c r="W224" s="183" t="n"/>
      <c r="X224" s="183" t="n"/>
      <c r="Y224" s="183" t="n"/>
      <c r="Z224" s="183" t="n"/>
      <c r="AA224" s="183" t="n"/>
    </row>
    <row r="225">
      <c r="A225" s="183" t="n"/>
      <c r="B225" s="183" t="n"/>
      <c r="C225" s="183" t="n"/>
      <c r="D225" s="183" t="n"/>
      <c r="E225" s="183" t="n"/>
      <c r="F225" s="183" t="n"/>
      <c r="G225" s="183" t="n"/>
      <c r="H225" s="183" t="n"/>
      <c r="I225" s="183" t="n"/>
      <c r="J225" s="183" t="n"/>
      <c r="K225" s="183" t="n"/>
      <c r="L225" s="183" t="n"/>
      <c r="M225" s="183" t="n"/>
      <c r="N225" s="183" t="n"/>
      <c r="O225" s="183" t="n"/>
      <c r="P225" s="183" t="n"/>
      <c r="Q225" s="183" t="n"/>
      <c r="R225" s="183" t="n"/>
      <c r="S225" s="183" t="n"/>
      <c r="T225" s="183" t="n"/>
      <c r="U225" s="183" t="n"/>
      <c r="V225" s="183" t="n"/>
      <c r="W225" s="183" t="n"/>
      <c r="X225" s="183" t="n"/>
      <c r="Y225" s="183" t="n"/>
      <c r="Z225" s="183" t="n"/>
      <c r="AA225" s="183" t="n"/>
    </row>
    <row r="226">
      <c r="A226" s="183" t="n"/>
      <c r="B226" s="183" t="n"/>
      <c r="C226" s="183" t="n"/>
      <c r="D226" s="183" t="n"/>
      <c r="E226" s="183" t="n"/>
      <c r="F226" s="183" t="n"/>
      <c r="G226" s="183" t="n"/>
      <c r="H226" s="183" t="n"/>
      <c r="I226" s="183" t="n"/>
      <c r="J226" s="183" t="n"/>
      <c r="K226" s="183" t="n"/>
      <c r="L226" s="183" t="n"/>
      <c r="M226" s="183" t="n"/>
      <c r="N226" s="183" t="n"/>
      <c r="O226" s="183" t="n"/>
      <c r="P226" s="183" t="n"/>
      <c r="Q226" s="183" t="n"/>
      <c r="R226" s="183" t="n"/>
      <c r="S226" s="183" t="n"/>
      <c r="T226" s="183" t="n"/>
      <c r="U226" s="183" t="n"/>
      <c r="V226" s="183" t="n"/>
      <c r="W226" s="183" t="n"/>
      <c r="X226" s="183" t="n"/>
      <c r="Y226" s="183" t="n"/>
      <c r="Z226" s="183" t="n"/>
      <c r="AA226" s="183" t="n"/>
    </row>
    <row r="227">
      <c r="A227" s="183" t="n"/>
      <c r="B227" s="183" t="n"/>
      <c r="C227" s="183" t="n"/>
      <c r="D227" s="183" t="n"/>
      <c r="E227" s="183" t="n"/>
      <c r="F227" s="183" t="n"/>
      <c r="G227" s="183" t="n"/>
      <c r="H227" s="183" t="n"/>
      <c r="I227" s="183" t="n"/>
      <c r="J227" s="183" t="n"/>
      <c r="K227" s="183" t="n"/>
      <c r="L227" s="183" t="n"/>
      <c r="M227" s="183" t="n"/>
      <c r="N227" s="183" t="n"/>
      <c r="O227" s="183" t="n"/>
      <c r="P227" s="183" t="n"/>
      <c r="Q227" s="183" t="n"/>
      <c r="R227" s="183" t="n"/>
      <c r="S227" s="183" t="n"/>
      <c r="T227" s="183" t="n"/>
      <c r="U227" s="183" t="n"/>
      <c r="V227" s="183" t="n"/>
      <c r="W227" s="183" t="n"/>
      <c r="X227" s="183" t="n"/>
      <c r="Y227" s="183" t="n"/>
      <c r="Z227" s="183" t="n"/>
      <c r="AA227" s="183" t="n"/>
    </row>
    <row r="228">
      <c r="A228" s="183" t="n"/>
      <c r="B228" s="183" t="n"/>
      <c r="C228" s="183" t="n"/>
      <c r="D228" s="183" t="n"/>
      <c r="E228" s="183" t="n"/>
      <c r="F228" s="183" t="n"/>
      <c r="G228" s="183" t="n"/>
      <c r="H228" s="183" t="n"/>
      <c r="I228" s="183" t="n"/>
      <c r="J228" s="183" t="n"/>
      <c r="K228" s="183" t="n"/>
      <c r="L228" s="183" t="n"/>
      <c r="M228" s="183" t="n"/>
      <c r="N228" s="183" t="n"/>
      <c r="O228" s="183" t="n"/>
      <c r="P228" s="183" t="n"/>
      <c r="Q228" s="183" t="n"/>
      <c r="R228" s="183" t="n"/>
      <c r="S228" s="183" t="n"/>
      <c r="T228" s="183" t="n"/>
      <c r="U228" s="183" t="n"/>
      <c r="V228" s="183" t="n"/>
      <c r="W228" s="183" t="n"/>
      <c r="X228" s="183" t="n"/>
      <c r="Y228" s="183" t="n"/>
      <c r="Z228" s="183" t="n"/>
      <c r="AA228" s="183" t="n"/>
    </row>
    <row r="229">
      <c r="A229" s="183" t="n"/>
      <c r="B229" s="183" t="n"/>
      <c r="C229" s="183" t="n"/>
      <c r="D229" s="183" t="n"/>
      <c r="E229" s="183" t="n"/>
      <c r="F229" s="183" t="n"/>
      <c r="G229" s="183" t="n"/>
      <c r="H229" s="183" t="n"/>
      <c r="I229" s="183" t="n"/>
      <c r="J229" s="183" t="n"/>
      <c r="K229" s="183" t="n"/>
      <c r="L229" s="183" t="n"/>
      <c r="M229" s="183" t="n"/>
      <c r="N229" s="183" t="n"/>
      <c r="O229" s="183" t="n"/>
      <c r="P229" s="183" t="n"/>
      <c r="Q229" s="183" t="n"/>
      <c r="R229" s="183" t="n"/>
      <c r="S229" s="183" t="n"/>
      <c r="T229" s="183" t="n"/>
      <c r="U229" s="183" t="n"/>
      <c r="V229" s="183" t="n"/>
      <c r="W229" s="183" t="n"/>
      <c r="X229" s="183" t="n"/>
      <c r="Y229" s="183" t="n"/>
      <c r="Z229" s="183" t="n"/>
      <c r="AA229" s="183" t="n"/>
    </row>
    <row r="230">
      <c r="A230" s="183" t="n"/>
      <c r="B230" s="183" t="n"/>
      <c r="C230" s="183" t="n"/>
      <c r="D230" s="183" t="n"/>
      <c r="E230" s="183" t="n"/>
      <c r="F230" s="183" t="n"/>
      <c r="G230" s="183" t="n"/>
      <c r="H230" s="183" t="n"/>
      <c r="I230" s="183" t="n"/>
      <c r="J230" s="183" t="n"/>
      <c r="K230" s="183" t="n"/>
      <c r="L230" s="183" t="n"/>
      <c r="M230" s="183" t="n"/>
      <c r="N230" s="183" t="n"/>
      <c r="O230" s="183" t="n"/>
      <c r="P230" s="183" t="n"/>
      <c r="Q230" s="183" t="n"/>
      <c r="R230" s="183" t="n"/>
      <c r="S230" s="183" t="n"/>
      <c r="T230" s="183" t="n"/>
      <c r="U230" s="183" t="n"/>
      <c r="V230" s="183" t="n"/>
      <c r="W230" s="183" t="n"/>
      <c r="X230" s="183" t="n"/>
      <c r="Y230" s="183" t="n"/>
      <c r="Z230" s="183" t="n"/>
      <c r="AA230" s="183" t="n"/>
    </row>
    <row r="231">
      <c r="A231" s="183" t="n"/>
      <c r="B231" s="183" t="n"/>
      <c r="C231" s="183" t="n"/>
      <c r="D231" s="183" t="n"/>
      <c r="E231" s="183" t="n"/>
      <c r="F231" s="183" t="n"/>
      <c r="G231" s="183" t="n"/>
      <c r="H231" s="183" t="n"/>
      <c r="I231" s="183" t="n"/>
      <c r="J231" s="183" t="n"/>
      <c r="K231" s="183" t="n"/>
      <c r="L231" s="183" t="n"/>
      <c r="M231" s="183" t="n"/>
      <c r="N231" s="183" t="n"/>
      <c r="O231" s="183" t="n"/>
      <c r="P231" s="183" t="n"/>
      <c r="Q231" s="183" t="n"/>
      <c r="R231" s="183" t="n"/>
      <c r="S231" s="183" t="n"/>
      <c r="T231" s="183" t="n"/>
      <c r="U231" s="183" t="n"/>
      <c r="V231" s="183" t="n"/>
      <c r="W231" s="183" t="n"/>
      <c r="X231" s="183" t="n"/>
      <c r="Y231" s="183" t="n"/>
      <c r="Z231" s="183" t="n"/>
      <c r="AA231" s="183" t="n"/>
    </row>
    <row r="232">
      <c r="A232" s="183" t="n"/>
      <c r="B232" s="183" t="n"/>
      <c r="C232" s="183" t="n"/>
      <c r="D232" s="183" t="n"/>
      <c r="E232" s="183" t="n"/>
      <c r="F232" s="183" t="n"/>
      <c r="G232" s="183" t="n"/>
      <c r="H232" s="183" t="n"/>
      <c r="I232" s="183" t="n"/>
      <c r="J232" s="183" t="n"/>
      <c r="K232" s="183" t="n"/>
      <c r="L232" s="183" t="n"/>
      <c r="M232" s="183" t="n"/>
      <c r="N232" s="183" t="n"/>
      <c r="O232" s="183" t="n"/>
      <c r="P232" s="183" t="n"/>
      <c r="Q232" s="183" t="n"/>
      <c r="R232" s="183" t="n"/>
      <c r="S232" s="183" t="n"/>
      <c r="T232" s="183" t="n"/>
      <c r="U232" s="183" t="n"/>
      <c r="V232" s="183" t="n"/>
      <c r="W232" s="183" t="n"/>
      <c r="X232" s="183" t="n"/>
      <c r="Y232" s="183" t="n"/>
      <c r="Z232" s="183" t="n"/>
      <c r="AA232" s="183" t="n"/>
    </row>
    <row r="233">
      <c r="A233" s="183" t="n"/>
      <c r="B233" s="183" t="n"/>
      <c r="C233" s="183" t="n"/>
      <c r="D233" s="183" t="n"/>
      <c r="E233" s="183" t="n"/>
      <c r="F233" s="183" t="n"/>
      <c r="G233" s="183" t="n"/>
      <c r="H233" s="183" t="n"/>
      <c r="I233" s="183" t="n"/>
      <c r="J233" s="183" t="n"/>
      <c r="K233" s="183" t="n"/>
      <c r="L233" s="183" t="n"/>
      <c r="M233" s="183" t="n"/>
      <c r="N233" s="183" t="n"/>
      <c r="O233" s="183" t="n"/>
      <c r="P233" s="183" t="n"/>
      <c r="Q233" s="183" t="n"/>
      <c r="R233" s="183" t="n"/>
      <c r="S233" s="183" t="n"/>
      <c r="T233" s="183" t="n"/>
      <c r="U233" s="183" t="n"/>
      <c r="V233" s="183" t="n"/>
      <c r="W233" s="183" t="n"/>
      <c r="X233" s="183" t="n"/>
      <c r="Y233" s="183" t="n"/>
      <c r="Z233" s="183" t="n"/>
      <c r="AA233" s="183" t="n"/>
    </row>
    <row r="234">
      <c r="A234" s="183" t="n"/>
      <c r="B234" s="183" t="n"/>
      <c r="C234" s="183" t="n"/>
      <c r="D234" s="183" t="n"/>
      <c r="E234" s="183" t="n"/>
      <c r="F234" s="183" t="n"/>
      <c r="G234" s="183" t="n"/>
      <c r="H234" s="183" t="n"/>
      <c r="I234" s="183" t="n"/>
      <c r="J234" s="183" t="n"/>
      <c r="K234" s="183" t="n"/>
      <c r="L234" s="183" t="n"/>
      <c r="M234" s="183" t="n"/>
      <c r="N234" s="183" t="n"/>
      <c r="O234" s="183" t="n"/>
      <c r="P234" s="183" t="n"/>
      <c r="Q234" s="183" t="n"/>
      <c r="R234" s="183" t="n"/>
      <c r="S234" s="183" t="n"/>
      <c r="T234" s="183" t="n"/>
      <c r="U234" s="183" t="n"/>
      <c r="V234" s="183" t="n"/>
      <c r="W234" s="183" t="n"/>
      <c r="X234" s="183" t="n"/>
      <c r="Y234" s="183" t="n"/>
      <c r="Z234" s="183" t="n"/>
      <c r="AA234" s="183" t="n"/>
    </row>
    <row r="235">
      <c r="A235" s="183" t="n"/>
      <c r="B235" s="183" t="n"/>
      <c r="C235" s="183" t="n"/>
      <c r="D235" s="183" t="n"/>
      <c r="E235" s="183" t="n"/>
      <c r="F235" s="183" t="n"/>
      <c r="G235" s="183" t="n"/>
      <c r="H235" s="183" t="n"/>
      <c r="I235" s="183" t="n"/>
      <c r="J235" s="183" t="n"/>
      <c r="K235" s="183" t="n"/>
      <c r="L235" s="183" t="n"/>
      <c r="M235" s="183" t="n"/>
      <c r="N235" s="183" t="n"/>
      <c r="O235" s="183" t="n"/>
      <c r="P235" s="183" t="n"/>
      <c r="Q235" s="183" t="n"/>
      <c r="R235" s="183" t="n"/>
      <c r="S235" s="183" t="n"/>
      <c r="T235" s="183" t="n"/>
      <c r="U235" s="183" t="n"/>
      <c r="V235" s="183" t="n"/>
      <c r="W235" s="183" t="n"/>
      <c r="X235" s="183" t="n"/>
      <c r="Y235" s="183" t="n"/>
      <c r="Z235" s="183" t="n"/>
      <c r="AA235" s="183" t="n"/>
    </row>
    <row r="236">
      <c r="A236" s="183" t="n"/>
      <c r="B236" s="183" t="n"/>
      <c r="C236" s="183" t="n"/>
      <c r="D236" s="183" t="n"/>
      <c r="E236" s="183" t="n"/>
      <c r="F236" s="183" t="n"/>
      <c r="G236" s="183" t="n"/>
      <c r="H236" s="183" t="n"/>
      <c r="I236" s="183" t="n"/>
      <c r="J236" s="183" t="n"/>
      <c r="K236" s="183" t="n"/>
      <c r="L236" s="183" t="n"/>
      <c r="M236" s="183" t="n"/>
      <c r="N236" s="183" t="n"/>
      <c r="O236" s="183" t="n"/>
      <c r="P236" s="183" t="n"/>
      <c r="Q236" s="183" t="n"/>
      <c r="R236" s="183" t="n"/>
      <c r="S236" s="183" t="n"/>
      <c r="T236" s="183" t="n"/>
      <c r="U236" s="183" t="n"/>
      <c r="V236" s="183" t="n"/>
      <c r="W236" s="183" t="n"/>
      <c r="X236" s="183" t="n"/>
      <c r="Y236" s="183" t="n"/>
      <c r="Z236" s="183" t="n"/>
      <c r="AA236" s="183" t="n"/>
    </row>
    <row r="237">
      <c r="A237" s="183" t="n"/>
      <c r="B237" s="183" t="n"/>
      <c r="C237" s="183" t="n"/>
      <c r="D237" s="183" t="n"/>
      <c r="E237" s="183" t="n"/>
      <c r="F237" s="183" t="n"/>
      <c r="G237" s="183" t="n"/>
      <c r="H237" s="183" t="n"/>
      <c r="I237" s="183" t="n"/>
      <c r="J237" s="183" t="n"/>
      <c r="K237" s="183" t="n"/>
      <c r="L237" s="183" t="n"/>
      <c r="M237" s="183" t="n"/>
      <c r="N237" s="183" t="n"/>
      <c r="O237" s="183" t="n"/>
      <c r="P237" s="183" t="n"/>
      <c r="Q237" s="183" t="n"/>
      <c r="R237" s="183" t="n"/>
      <c r="S237" s="183" t="n"/>
      <c r="T237" s="183" t="n"/>
      <c r="U237" s="183" t="n"/>
      <c r="V237" s="183" t="n"/>
      <c r="W237" s="183" t="n"/>
      <c r="X237" s="183" t="n"/>
      <c r="Y237" s="183" t="n"/>
      <c r="Z237" s="183" t="n"/>
      <c r="AA237" s="183" t="n"/>
    </row>
    <row r="238">
      <c r="A238" s="183" t="n"/>
      <c r="B238" s="183" t="n"/>
      <c r="C238" s="183" t="n"/>
      <c r="D238" s="183" t="n"/>
      <c r="E238" s="183" t="n"/>
      <c r="F238" s="183" t="n"/>
      <c r="G238" s="183" t="n"/>
      <c r="H238" s="183" t="n"/>
      <c r="I238" s="183" t="n"/>
      <c r="J238" s="183" t="n"/>
      <c r="K238" s="183" t="n"/>
      <c r="L238" s="183" t="n"/>
      <c r="M238" s="183" t="n"/>
      <c r="N238" s="183" t="n"/>
      <c r="O238" s="183" t="n"/>
      <c r="P238" s="183" t="n"/>
      <c r="Q238" s="183" t="n"/>
      <c r="R238" s="183" t="n"/>
      <c r="S238" s="183" t="n"/>
      <c r="T238" s="183" t="n"/>
      <c r="U238" s="183" t="n"/>
      <c r="V238" s="183" t="n"/>
      <c r="W238" s="183" t="n"/>
      <c r="X238" s="183" t="n"/>
      <c r="Y238" s="183" t="n"/>
      <c r="Z238" s="183" t="n"/>
      <c r="AA238" s="183" t="n"/>
    </row>
    <row r="239">
      <c r="A239" s="183" t="n"/>
      <c r="B239" s="183" t="n"/>
      <c r="C239" s="183" t="n"/>
      <c r="D239" s="183" t="n"/>
      <c r="E239" s="183" t="n"/>
      <c r="F239" s="183" t="n"/>
      <c r="G239" s="183" t="n"/>
      <c r="H239" s="183" t="n"/>
      <c r="I239" s="183" t="n"/>
      <c r="J239" s="183" t="n"/>
      <c r="K239" s="183" t="n"/>
      <c r="L239" s="183" t="n"/>
      <c r="M239" s="183" t="n"/>
      <c r="N239" s="183" t="n"/>
      <c r="O239" s="183" t="n"/>
      <c r="P239" s="183" t="n"/>
      <c r="Q239" s="183" t="n"/>
      <c r="R239" s="183" t="n"/>
      <c r="S239" s="183" t="n"/>
      <c r="T239" s="183" t="n"/>
      <c r="U239" s="183" t="n"/>
      <c r="V239" s="183" t="n"/>
      <c r="W239" s="183" t="n"/>
      <c r="X239" s="183" t="n"/>
      <c r="Y239" s="183" t="n"/>
      <c r="Z239" s="183" t="n"/>
      <c r="AA239" s="183" t="n"/>
    </row>
    <row r="240">
      <c r="A240" s="183" t="n"/>
      <c r="B240" s="183" t="n"/>
      <c r="C240" s="183" t="n"/>
      <c r="D240" s="183" t="n"/>
      <c r="E240" s="183" t="n"/>
      <c r="F240" s="183" t="n"/>
      <c r="G240" s="183" t="n"/>
      <c r="H240" s="183" t="n"/>
      <c r="I240" s="183" t="n"/>
      <c r="J240" s="183" t="n"/>
      <c r="K240" s="183" t="n"/>
      <c r="L240" s="183" t="n"/>
      <c r="M240" s="183" t="n"/>
      <c r="N240" s="183" t="n"/>
      <c r="O240" s="183" t="n"/>
      <c r="P240" s="183" t="n"/>
      <c r="Q240" s="183" t="n"/>
      <c r="R240" s="183" t="n"/>
      <c r="S240" s="183" t="n"/>
      <c r="T240" s="183" t="n"/>
      <c r="U240" s="183" t="n"/>
      <c r="V240" s="183" t="n"/>
      <c r="W240" s="183" t="n"/>
      <c r="X240" s="183" t="n"/>
      <c r="Y240" s="183" t="n"/>
      <c r="Z240" s="183" t="n"/>
      <c r="AA240" s="183" t="n"/>
    </row>
    <row r="241">
      <c r="A241" s="183" t="n"/>
      <c r="B241" s="183" t="n"/>
      <c r="C241" s="183" t="n"/>
      <c r="D241" s="183" t="n"/>
      <c r="E241" s="183" t="n"/>
      <c r="F241" s="183" t="n"/>
      <c r="G241" s="183" t="n"/>
      <c r="H241" s="183" t="n"/>
      <c r="I241" s="183" t="n"/>
      <c r="J241" s="183" t="n"/>
      <c r="K241" s="183" t="n"/>
      <c r="L241" s="183" t="n"/>
      <c r="M241" s="183" t="n"/>
      <c r="N241" s="183" t="n"/>
      <c r="O241" s="183" t="n"/>
      <c r="P241" s="183" t="n"/>
      <c r="Q241" s="183" t="n"/>
      <c r="R241" s="183" t="n"/>
      <c r="S241" s="183" t="n"/>
      <c r="T241" s="183" t="n"/>
      <c r="U241" s="183" t="n"/>
      <c r="V241" s="183" t="n"/>
      <c r="W241" s="183" t="n"/>
      <c r="X241" s="183" t="n"/>
      <c r="Y241" s="183" t="n"/>
      <c r="Z241" s="183" t="n"/>
      <c r="AA241" s="183" t="n"/>
    </row>
    <row r="242">
      <c r="A242" s="183" t="n"/>
      <c r="B242" s="183" t="n"/>
      <c r="C242" s="183" t="n"/>
      <c r="D242" s="183" t="n"/>
      <c r="E242" s="183" t="n"/>
      <c r="F242" s="183" t="n"/>
      <c r="G242" s="183" t="n"/>
      <c r="H242" s="183" t="n"/>
      <c r="I242" s="183" t="n"/>
      <c r="J242" s="183" t="n"/>
      <c r="K242" s="183" t="n"/>
      <c r="L242" s="183" t="n"/>
      <c r="M242" s="183" t="n"/>
      <c r="N242" s="183" t="n"/>
      <c r="O242" s="183" t="n"/>
      <c r="P242" s="183" t="n"/>
      <c r="Q242" s="183" t="n"/>
      <c r="R242" s="183" t="n"/>
      <c r="S242" s="183" t="n"/>
      <c r="T242" s="183" t="n"/>
      <c r="U242" s="183" t="n"/>
      <c r="V242" s="183" t="n"/>
      <c r="W242" s="183" t="n"/>
      <c r="X242" s="183" t="n"/>
      <c r="Y242" s="183" t="n"/>
      <c r="Z242" s="183" t="n"/>
      <c r="AA242" s="183" t="n"/>
    </row>
    <row r="243">
      <c r="A243" s="183" t="n"/>
      <c r="B243" s="183" t="n"/>
      <c r="C243" s="183" t="n"/>
      <c r="D243" s="183" t="n"/>
      <c r="E243" s="183" t="n"/>
      <c r="F243" s="183" t="n"/>
      <c r="G243" s="183" t="n"/>
      <c r="H243" s="183" t="n"/>
      <c r="I243" s="183" t="n"/>
      <c r="J243" s="183" t="n"/>
      <c r="K243" s="183" t="n"/>
      <c r="L243" s="183" t="n"/>
      <c r="M243" s="183" t="n"/>
      <c r="N243" s="183" t="n"/>
      <c r="O243" s="183" t="n"/>
      <c r="P243" s="183" t="n"/>
      <c r="Q243" s="183" t="n"/>
      <c r="R243" s="183" t="n"/>
      <c r="S243" s="183" t="n"/>
      <c r="T243" s="183" t="n"/>
      <c r="U243" s="183" t="n"/>
      <c r="V243" s="183" t="n"/>
      <c r="W243" s="183" t="n"/>
      <c r="X243" s="183" t="n"/>
      <c r="Y243" s="183" t="n"/>
      <c r="Z243" s="183" t="n"/>
      <c r="AA243" s="183" t="n"/>
    </row>
    <row r="244">
      <c r="A244" s="183" t="n"/>
      <c r="B244" s="183" t="n"/>
      <c r="C244" s="183" t="n"/>
      <c r="D244" s="183" t="n"/>
      <c r="E244" s="183" t="n"/>
      <c r="F244" s="183" t="n"/>
      <c r="G244" s="183" t="n"/>
      <c r="H244" s="183" t="n"/>
      <c r="I244" s="183" t="n"/>
      <c r="J244" s="183" t="n"/>
      <c r="K244" s="183" t="n"/>
      <c r="L244" s="183" t="n"/>
      <c r="M244" s="183" t="n"/>
      <c r="N244" s="183" t="n"/>
      <c r="O244" s="183" t="n"/>
      <c r="P244" s="183" t="n"/>
      <c r="Q244" s="183" t="n"/>
      <c r="R244" s="183" t="n"/>
      <c r="S244" s="183" t="n"/>
      <c r="T244" s="183" t="n"/>
      <c r="U244" s="183" t="n"/>
      <c r="V244" s="183" t="n"/>
      <c r="W244" s="183" t="n"/>
      <c r="X244" s="183" t="n"/>
      <c r="Y244" s="183" t="n"/>
      <c r="Z244" s="183" t="n"/>
      <c r="AA244" s="183" t="n"/>
    </row>
    <row r="245">
      <c r="A245" s="183" t="n"/>
      <c r="B245" s="183" t="n"/>
      <c r="C245" s="183" t="n"/>
      <c r="D245" s="183" t="n"/>
      <c r="E245" s="183" t="n"/>
      <c r="F245" s="183" t="n"/>
      <c r="G245" s="183" t="n"/>
      <c r="H245" s="183" t="n"/>
      <c r="I245" s="183" t="n"/>
      <c r="J245" s="183" t="n"/>
      <c r="K245" s="183" t="n"/>
      <c r="L245" s="183" t="n"/>
      <c r="M245" s="183" t="n"/>
      <c r="N245" s="183" t="n"/>
      <c r="O245" s="183" t="n"/>
      <c r="P245" s="183" t="n"/>
      <c r="Q245" s="183" t="n"/>
      <c r="R245" s="183" t="n"/>
      <c r="S245" s="183" t="n"/>
      <c r="T245" s="183" t="n"/>
      <c r="U245" s="183" t="n"/>
      <c r="V245" s="183" t="n"/>
      <c r="W245" s="183" t="n"/>
      <c r="X245" s="183" t="n"/>
      <c r="Y245" s="183" t="n"/>
      <c r="Z245" s="183" t="n"/>
      <c r="AA245" s="183" t="n"/>
    </row>
    <row r="246">
      <c r="A246" s="183" t="n"/>
      <c r="B246" s="183" t="n"/>
      <c r="C246" s="183" t="n"/>
      <c r="D246" s="183" t="n"/>
      <c r="E246" s="183" t="n"/>
      <c r="F246" s="183" t="n"/>
      <c r="G246" s="183" t="n"/>
      <c r="H246" s="183" t="n"/>
      <c r="I246" s="183" t="n"/>
      <c r="J246" s="183" t="n"/>
      <c r="K246" s="183" t="n"/>
      <c r="L246" s="183" t="n"/>
      <c r="M246" s="183" t="n"/>
      <c r="N246" s="183" t="n"/>
      <c r="O246" s="183" t="n"/>
      <c r="P246" s="183" t="n"/>
      <c r="Q246" s="183" t="n"/>
      <c r="R246" s="183" t="n"/>
      <c r="S246" s="183" t="n"/>
      <c r="T246" s="183" t="n"/>
      <c r="U246" s="183" t="n"/>
      <c r="V246" s="183" t="n"/>
      <c r="W246" s="183" t="n"/>
      <c r="X246" s="183" t="n"/>
      <c r="Y246" s="183" t="n"/>
      <c r="Z246" s="183" t="n"/>
      <c r="AA246" s="183" t="n"/>
    </row>
    <row r="247">
      <c r="A247" s="183" t="n"/>
      <c r="B247" s="183" t="n"/>
      <c r="C247" s="183" t="n"/>
      <c r="D247" s="183" t="n"/>
      <c r="E247" s="183" t="n"/>
      <c r="F247" s="183" t="n"/>
      <c r="G247" s="183" t="n"/>
      <c r="H247" s="183" t="n"/>
      <c r="I247" s="183" t="n"/>
      <c r="J247" s="183" t="n"/>
      <c r="K247" s="183" t="n"/>
      <c r="L247" s="183" t="n"/>
      <c r="M247" s="183" t="n"/>
      <c r="N247" s="183" t="n"/>
      <c r="O247" s="183" t="n"/>
      <c r="P247" s="183" t="n"/>
      <c r="Q247" s="183" t="n"/>
      <c r="R247" s="183" t="n"/>
      <c r="S247" s="183" t="n"/>
      <c r="T247" s="183" t="n"/>
      <c r="U247" s="183" t="n"/>
      <c r="V247" s="183" t="n"/>
      <c r="W247" s="183" t="n"/>
      <c r="X247" s="183" t="n"/>
      <c r="Y247" s="183" t="n"/>
      <c r="Z247" s="183" t="n"/>
      <c r="AA247" s="183" t="n"/>
    </row>
    <row r="248">
      <c r="A248" s="183" t="n"/>
      <c r="B248" s="183" t="n"/>
      <c r="C248" s="183" t="n"/>
      <c r="D248" s="183" t="n"/>
      <c r="E248" s="183" t="n"/>
      <c r="F248" s="183" t="n"/>
      <c r="G248" s="183" t="n"/>
      <c r="H248" s="183" t="n"/>
      <c r="I248" s="183" t="n"/>
      <c r="J248" s="183" t="n"/>
      <c r="K248" s="183" t="n"/>
      <c r="L248" s="183" t="n"/>
      <c r="M248" s="183" t="n"/>
      <c r="N248" s="183" t="n"/>
      <c r="O248" s="183" t="n"/>
      <c r="P248" s="183" t="n"/>
      <c r="Q248" s="183" t="n"/>
      <c r="R248" s="183" t="n"/>
      <c r="S248" s="183" t="n"/>
      <c r="T248" s="183" t="n"/>
      <c r="U248" s="183" t="n"/>
      <c r="V248" s="183" t="n"/>
      <c r="W248" s="183" t="n"/>
      <c r="X248" s="183" t="n"/>
      <c r="Y248" s="183" t="n"/>
      <c r="Z248" s="183" t="n"/>
      <c r="AA248" s="183" t="n"/>
    </row>
    <row r="249">
      <c r="A249" s="183" t="n"/>
      <c r="B249" s="183" t="n"/>
      <c r="C249" s="183" t="n"/>
      <c r="D249" s="183" t="n"/>
      <c r="E249" s="183" t="n"/>
      <c r="F249" s="183" t="n"/>
      <c r="G249" s="183" t="n"/>
      <c r="H249" s="183" t="n"/>
      <c r="I249" s="183" t="n"/>
      <c r="J249" s="183" t="n"/>
      <c r="K249" s="183" t="n"/>
      <c r="L249" s="183" t="n"/>
      <c r="M249" s="183" t="n"/>
      <c r="N249" s="183" t="n"/>
      <c r="O249" s="183" t="n"/>
      <c r="P249" s="183" t="n"/>
      <c r="Q249" s="183" t="n"/>
      <c r="R249" s="183" t="n"/>
      <c r="S249" s="183" t="n"/>
      <c r="T249" s="183" t="n"/>
      <c r="U249" s="183" t="n"/>
      <c r="V249" s="183" t="n"/>
      <c r="W249" s="183" t="n"/>
      <c r="X249" s="183" t="n"/>
      <c r="Y249" s="183" t="n"/>
      <c r="Z249" s="183" t="n"/>
      <c r="AA249" s="183" t="n"/>
    </row>
    <row r="250">
      <c r="A250" s="183" t="n"/>
      <c r="B250" s="183" t="n"/>
      <c r="C250" s="183" t="n"/>
      <c r="D250" s="183" t="n"/>
      <c r="E250" s="183" t="n"/>
      <c r="F250" s="183" t="n"/>
      <c r="G250" s="183" t="n"/>
      <c r="H250" s="183" t="n"/>
      <c r="I250" s="183" t="n"/>
      <c r="J250" s="183" t="n"/>
      <c r="K250" s="183" t="n"/>
      <c r="L250" s="183" t="n"/>
      <c r="M250" s="183" t="n"/>
      <c r="N250" s="183" t="n"/>
      <c r="O250" s="183" t="n"/>
      <c r="P250" s="183" t="n"/>
      <c r="Q250" s="183" t="n"/>
      <c r="R250" s="183" t="n"/>
      <c r="S250" s="183" t="n"/>
      <c r="T250" s="183" t="n"/>
      <c r="U250" s="183" t="n"/>
      <c r="V250" s="183" t="n"/>
      <c r="W250" s="183" t="n"/>
      <c r="X250" s="183" t="n"/>
      <c r="Y250" s="183" t="n"/>
      <c r="Z250" s="183" t="n"/>
      <c r="AA250" s="183" t="n"/>
    </row>
    <row r="251">
      <c r="A251" s="183" t="n"/>
      <c r="B251" s="183" t="n"/>
      <c r="C251" s="183" t="n"/>
      <c r="D251" s="183" t="n"/>
      <c r="E251" s="183" t="n"/>
      <c r="F251" s="183" t="n"/>
      <c r="G251" s="183" t="n"/>
      <c r="H251" s="183" t="n"/>
      <c r="I251" s="183" t="n"/>
      <c r="J251" s="183" t="n"/>
      <c r="K251" s="183" t="n"/>
      <c r="L251" s="183" t="n"/>
      <c r="M251" s="183" t="n"/>
      <c r="N251" s="183" t="n"/>
      <c r="O251" s="183" t="n"/>
      <c r="P251" s="183" t="n"/>
      <c r="Q251" s="183" t="n"/>
      <c r="R251" s="183" t="n"/>
      <c r="S251" s="183" t="n"/>
      <c r="T251" s="183" t="n"/>
      <c r="U251" s="183" t="n"/>
      <c r="V251" s="183" t="n"/>
      <c r="W251" s="183" t="n"/>
      <c r="X251" s="183" t="n"/>
      <c r="Y251" s="183" t="n"/>
      <c r="Z251" s="183" t="n"/>
      <c r="AA251" s="183" t="n"/>
    </row>
    <row r="252">
      <c r="A252" s="183" t="n"/>
      <c r="B252" s="183" t="n"/>
      <c r="C252" s="183" t="n"/>
      <c r="D252" s="183" t="n"/>
      <c r="E252" s="183" t="n"/>
      <c r="F252" s="183" t="n"/>
      <c r="G252" s="183" t="n"/>
      <c r="H252" s="183" t="n"/>
      <c r="I252" s="183" t="n"/>
      <c r="J252" s="183" t="n"/>
      <c r="K252" s="183" t="n"/>
      <c r="L252" s="183" t="n"/>
      <c r="M252" s="183" t="n"/>
      <c r="N252" s="183" t="n"/>
      <c r="O252" s="183" t="n"/>
      <c r="P252" s="183" t="n"/>
      <c r="Q252" s="183" t="n"/>
      <c r="R252" s="183" t="n"/>
      <c r="S252" s="183" t="n"/>
      <c r="T252" s="183" t="n"/>
      <c r="U252" s="183" t="n"/>
      <c r="V252" s="183" t="n"/>
      <c r="W252" s="183" t="n"/>
      <c r="X252" s="183" t="n"/>
      <c r="Y252" s="183" t="n"/>
      <c r="Z252" s="183" t="n"/>
      <c r="AA252" s="183" t="n"/>
    </row>
    <row r="253">
      <c r="A253" s="183" t="n"/>
      <c r="B253" s="183" t="n"/>
      <c r="C253" s="183" t="n"/>
      <c r="D253" s="183" t="n"/>
      <c r="E253" s="183" t="n"/>
      <c r="F253" s="183" t="n"/>
      <c r="G253" s="183" t="n"/>
      <c r="H253" s="183" t="n"/>
      <c r="I253" s="183" t="n"/>
      <c r="J253" s="183" t="n"/>
      <c r="K253" s="183" t="n"/>
      <c r="L253" s="183" t="n"/>
      <c r="M253" s="183" t="n"/>
      <c r="N253" s="183" t="n"/>
      <c r="O253" s="183" t="n"/>
      <c r="P253" s="183" t="n"/>
      <c r="Q253" s="183" t="n"/>
      <c r="R253" s="183" t="n"/>
      <c r="S253" s="183" t="n"/>
      <c r="T253" s="183" t="n"/>
      <c r="U253" s="183" t="n"/>
      <c r="V253" s="183" t="n"/>
      <c r="W253" s="183" t="n"/>
      <c r="X253" s="183" t="n"/>
      <c r="Y253" s="183" t="n"/>
      <c r="Z253" s="183" t="n"/>
      <c r="AA253" s="183" t="n"/>
    </row>
    <row r="254">
      <c r="A254" s="183" t="n"/>
      <c r="B254" s="183" t="n"/>
      <c r="C254" s="183" t="n"/>
      <c r="D254" s="183" t="n"/>
      <c r="E254" s="183" t="n"/>
      <c r="F254" s="183" t="n"/>
      <c r="G254" s="183" t="n"/>
      <c r="H254" s="183" t="n"/>
      <c r="I254" s="183" t="n"/>
      <c r="J254" s="183" t="n"/>
      <c r="K254" s="183" t="n"/>
      <c r="L254" s="183" t="n"/>
      <c r="M254" s="183" t="n"/>
      <c r="N254" s="183" t="n"/>
      <c r="O254" s="183" t="n"/>
      <c r="P254" s="183" t="n"/>
      <c r="Q254" s="183" t="n"/>
      <c r="R254" s="183" t="n"/>
      <c r="S254" s="183" t="n"/>
      <c r="T254" s="183" t="n"/>
      <c r="U254" s="183" t="n"/>
      <c r="V254" s="183" t="n"/>
      <c r="W254" s="183" t="n"/>
      <c r="X254" s="183" t="n"/>
      <c r="Y254" s="183" t="n"/>
      <c r="Z254" s="183" t="n"/>
      <c r="AA254" s="183" t="n"/>
    </row>
    <row r="255">
      <c r="A255" s="183" t="n"/>
      <c r="B255" s="183" t="n"/>
      <c r="C255" s="183" t="n"/>
      <c r="D255" s="183" t="n"/>
      <c r="E255" s="183" t="n"/>
      <c r="F255" s="183" t="n"/>
      <c r="G255" s="183" t="n"/>
      <c r="H255" s="183" t="n"/>
      <c r="I255" s="183" t="n"/>
      <c r="J255" s="183" t="n"/>
      <c r="K255" s="183" t="n"/>
      <c r="L255" s="183" t="n"/>
      <c r="M255" s="183" t="n"/>
      <c r="N255" s="183" t="n"/>
      <c r="O255" s="183" t="n"/>
      <c r="P255" s="183" t="n"/>
      <c r="Q255" s="183" t="n"/>
      <c r="R255" s="183" t="n"/>
      <c r="S255" s="183" t="n"/>
      <c r="T255" s="183" t="n"/>
      <c r="U255" s="183" t="n"/>
      <c r="V255" s="183" t="n"/>
      <c r="W255" s="183" t="n"/>
      <c r="X255" s="183" t="n"/>
      <c r="Y255" s="183" t="n"/>
      <c r="Z255" s="183" t="n"/>
      <c r="AA255" s="183" t="n"/>
    </row>
    <row r="256">
      <c r="A256" s="183" t="n"/>
      <c r="B256" s="183" t="n"/>
      <c r="C256" s="183" t="n"/>
      <c r="D256" s="183" t="n"/>
      <c r="E256" s="183" t="n"/>
      <c r="F256" s="183" t="n"/>
      <c r="G256" s="183" t="n"/>
      <c r="H256" s="183" t="n"/>
      <c r="I256" s="183" t="n"/>
      <c r="J256" s="183" t="n"/>
      <c r="K256" s="183" t="n"/>
      <c r="L256" s="183" t="n"/>
      <c r="M256" s="183" t="n"/>
      <c r="N256" s="183" t="n"/>
      <c r="O256" s="183" t="n"/>
      <c r="P256" s="183" t="n"/>
      <c r="Q256" s="183" t="n"/>
      <c r="R256" s="183" t="n"/>
      <c r="S256" s="183" t="n"/>
      <c r="T256" s="183" t="n"/>
      <c r="U256" s="183" t="n"/>
      <c r="V256" s="183" t="n"/>
      <c r="W256" s="183" t="n"/>
      <c r="X256" s="183" t="n"/>
      <c r="Y256" s="183" t="n"/>
      <c r="Z256" s="183" t="n"/>
      <c r="AA256" s="183" t="n"/>
    </row>
    <row r="257">
      <c r="A257" s="183" t="n"/>
      <c r="B257" s="183" t="n"/>
      <c r="C257" s="183" t="n"/>
      <c r="D257" s="183" t="n"/>
      <c r="E257" s="183" t="n"/>
      <c r="F257" s="183" t="n"/>
      <c r="G257" s="183" t="n"/>
      <c r="H257" s="183" t="n"/>
      <c r="I257" s="183" t="n"/>
      <c r="J257" s="183" t="n"/>
      <c r="K257" s="183" t="n"/>
      <c r="L257" s="183" t="n"/>
      <c r="M257" s="183" t="n"/>
      <c r="N257" s="183" t="n"/>
      <c r="O257" s="183" t="n"/>
      <c r="P257" s="183" t="n"/>
      <c r="Q257" s="183" t="n"/>
      <c r="R257" s="183" t="n"/>
      <c r="S257" s="183" t="n"/>
      <c r="T257" s="183" t="n"/>
      <c r="U257" s="183" t="n"/>
      <c r="V257" s="183" t="n"/>
      <c r="W257" s="183" t="n"/>
      <c r="X257" s="183" t="n"/>
      <c r="Y257" s="183" t="n"/>
      <c r="Z257" s="183" t="n"/>
      <c r="AA257" s="183" t="n"/>
    </row>
    <row r="258">
      <c r="A258" s="183" t="n"/>
      <c r="B258" s="183" t="n"/>
      <c r="C258" s="183" t="n"/>
      <c r="D258" s="183" t="n"/>
      <c r="E258" s="183" t="n"/>
      <c r="F258" s="183" t="n"/>
      <c r="G258" s="183" t="n"/>
      <c r="H258" s="183" t="n"/>
      <c r="I258" s="183" t="n"/>
      <c r="J258" s="183" t="n"/>
      <c r="K258" s="183" t="n"/>
      <c r="L258" s="183" t="n"/>
      <c r="M258" s="183" t="n"/>
      <c r="N258" s="183" t="n"/>
      <c r="O258" s="183" t="n"/>
      <c r="P258" s="183" t="n"/>
      <c r="Q258" s="183" t="n"/>
      <c r="R258" s="183" t="n"/>
      <c r="S258" s="183" t="n"/>
      <c r="T258" s="183" t="n"/>
      <c r="U258" s="183" t="n"/>
      <c r="V258" s="183" t="n"/>
      <c r="W258" s="183" t="n"/>
      <c r="X258" s="183" t="n"/>
      <c r="Y258" s="183" t="n"/>
      <c r="Z258" s="183" t="n"/>
      <c r="AA258" s="183" t="n"/>
    </row>
    <row r="259">
      <c r="A259" s="183" t="n"/>
      <c r="B259" s="183" t="n"/>
      <c r="C259" s="183" t="n"/>
      <c r="D259" s="183" t="n"/>
      <c r="E259" s="183" t="n"/>
      <c r="F259" s="183" t="n"/>
      <c r="G259" s="183" t="n"/>
      <c r="H259" s="183" t="n"/>
      <c r="I259" s="183" t="n"/>
      <c r="J259" s="183" t="n"/>
      <c r="K259" s="183" t="n"/>
      <c r="L259" s="183" t="n"/>
      <c r="M259" s="183" t="n"/>
      <c r="N259" s="183" t="n"/>
      <c r="O259" s="183" t="n"/>
      <c r="P259" s="183" t="n"/>
      <c r="Q259" s="183" t="n"/>
      <c r="R259" s="183" t="n"/>
      <c r="S259" s="183" t="n"/>
      <c r="T259" s="183" t="n"/>
      <c r="U259" s="183" t="n"/>
      <c r="V259" s="183" t="n"/>
      <c r="W259" s="183" t="n"/>
      <c r="X259" s="183" t="n"/>
      <c r="Y259" s="183" t="n"/>
      <c r="Z259" s="183" t="n"/>
      <c r="AA259" s="183" t="n"/>
    </row>
    <row r="260">
      <c r="A260" s="183" t="n"/>
      <c r="B260" s="183" t="n"/>
      <c r="C260" s="183" t="n"/>
      <c r="D260" s="183" t="n"/>
      <c r="E260" s="183" t="n"/>
      <c r="F260" s="183" t="n"/>
      <c r="G260" s="183" t="n"/>
      <c r="H260" s="183" t="n"/>
      <c r="I260" s="183" t="n"/>
      <c r="J260" s="183" t="n"/>
      <c r="K260" s="183" t="n"/>
      <c r="L260" s="183" t="n"/>
      <c r="M260" s="183" t="n"/>
      <c r="N260" s="183" t="n"/>
      <c r="O260" s="183" t="n"/>
      <c r="P260" s="183" t="n"/>
      <c r="Q260" s="183" t="n"/>
      <c r="R260" s="183" t="n"/>
      <c r="S260" s="183" t="n"/>
      <c r="T260" s="183" t="n"/>
      <c r="U260" s="183" t="n"/>
      <c r="V260" s="183" t="n"/>
      <c r="W260" s="183" t="n"/>
      <c r="X260" s="183" t="n"/>
      <c r="Y260" s="183" t="n"/>
      <c r="Z260" s="183" t="n"/>
      <c r="AA260" s="183" t="n"/>
    </row>
    <row r="261">
      <c r="A261" s="183" t="n"/>
      <c r="B261" s="183" t="n"/>
      <c r="C261" s="183" t="n"/>
      <c r="D261" s="183" t="n"/>
      <c r="E261" s="183" t="n"/>
      <c r="F261" s="183" t="n"/>
      <c r="G261" s="183" t="n"/>
      <c r="H261" s="183" t="n"/>
      <c r="I261" s="183" t="n"/>
      <c r="J261" s="183" t="n"/>
      <c r="K261" s="183" t="n"/>
      <c r="L261" s="183" t="n"/>
      <c r="M261" s="183" t="n"/>
      <c r="N261" s="183" t="n"/>
      <c r="O261" s="183" t="n"/>
      <c r="P261" s="183" t="n"/>
      <c r="Q261" s="183" t="n"/>
      <c r="R261" s="183" t="n"/>
      <c r="S261" s="183" t="n"/>
      <c r="T261" s="183" t="n"/>
      <c r="U261" s="183" t="n"/>
      <c r="V261" s="183" t="n"/>
      <c r="W261" s="183" t="n"/>
      <c r="X261" s="183" t="n"/>
      <c r="Y261" s="183" t="n"/>
      <c r="Z261" s="183" t="n"/>
      <c r="AA261" s="183" t="n"/>
    </row>
    <row r="262">
      <c r="A262" s="183" t="n"/>
      <c r="B262" s="183" t="n"/>
      <c r="C262" s="183" t="n"/>
      <c r="D262" s="183" t="n"/>
      <c r="E262" s="183" t="n"/>
      <c r="F262" s="183" t="n"/>
      <c r="G262" s="183" t="n"/>
      <c r="H262" s="183" t="n"/>
      <c r="I262" s="183" t="n"/>
      <c r="J262" s="183" t="n"/>
      <c r="K262" s="183" t="n"/>
      <c r="L262" s="183" t="n"/>
      <c r="M262" s="183" t="n"/>
      <c r="N262" s="183" t="n"/>
      <c r="O262" s="183" t="n"/>
      <c r="P262" s="183" t="n"/>
      <c r="Q262" s="183" t="n"/>
      <c r="R262" s="183" t="n"/>
      <c r="S262" s="183" t="n"/>
      <c r="T262" s="183" t="n"/>
      <c r="U262" s="183" t="n"/>
      <c r="V262" s="183" t="n"/>
      <c r="W262" s="183" t="n"/>
      <c r="X262" s="183" t="n"/>
      <c r="Y262" s="183" t="n"/>
      <c r="Z262" s="183" t="n"/>
      <c r="AA262" s="183" t="n"/>
    </row>
    <row r="263">
      <c r="A263" s="183" t="n"/>
      <c r="B263" s="183" t="n"/>
      <c r="C263" s="183" t="n"/>
      <c r="D263" s="183" t="n"/>
      <c r="E263" s="183" t="n"/>
      <c r="F263" s="183" t="n"/>
      <c r="G263" s="183" t="n"/>
      <c r="H263" s="183" t="n"/>
      <c r="I263" s="183" t="n"/>
      <c r="J263" s="183" t="n"/>
      <c r="K263" s="183" t="n"/>
      <c r="L263" s="183" t="n"/>
      <c r="M263" s="183" t="n"/>
      <c r="N263" s="183" t="n"/>
      <c r="O263" s="183" t="n"/>
      <c r="P263" s="183" t="n"/>
      <c r="Q263" s="183" t="n"/>
      <c r="R263" s="183" t="n"/>
      <c r="S263" s="183" t="n"/>
      <c r="T263" s="183" t="n"/>
      <c r="U263" s="183" t="n"/>
      <c r="V263" s="183" t="n"/>
      <c r="W263" s="183" t="n"/>
      <c r="X263" s="183" t="n"/>
      <c r="Y263" s="183" t="n"/>
      <c r="Z263" s="183" t="n"/>
      <c r="AA263" s="183" t="n"/>
    </row>
    <row r="264">
      <c r="A264" s="183" t="n"/>
      <c r="B264" s="183" t="n"/>
      <c r="C264" s="183" t="n"/>
      <c r="D264" s="183" t="n"/>
      <c r="E264" s="183" t="n"/>
      <c r="F264" s="183" t="n"/>
      <c r="G264" s="183" t="n"/>
      <c r="H264" s="183" t="n"/>
      <c r="I264" s="183" t="n"/>
      <c r="J264" s="183" t="n"/>
      <c r="K264" s="183" t="n"/>
      <c r="L264" s="183" t="n"/>
      <c r="M264" s="183" t="n"/>
      <c r="N264" s="183" t="n"/>
      <c r="O264" s="183" t="n"/>
      <c r="P264" s="183" t="n"/>
      <c r="Q264" s="183" t="n"/>
      <c r="R264" s="183" t="n"/>
      <c r="S264" s="183" t="n"/>
      <c r="T264" s="183" t="n"/>
      <c r="U264" s="183" t="n"/>
      <c r="V264" s="183" t="n"/>
      <c r="W264" s="183" t="n"/>
      <c r="X264" s="183" t="n"/>
      <c r="Y264" s="183" t="n"/>
      <c r="Z264" s="183" t="n"/>
      <c r="AA264" s="183" t="n"/>
    </row>
    <row r="265">
      <c r="A265" s="183" t="n"/>
      <c r="B265" s="183" t="n"/>
      <c r="C265" s="183" t="n"/>
      <c r="D265" s="183" t="n"/>
      <c r="E265" s="183" t="n"/>
      <c r="F265" s="183" t="n"/>
      <c r="G265" s="183" t="n"/>
      <c r="H265" s="183" t="n"/>
      <c r="I265" s="183" t="n"/>
      <c r="J265" s="183" t="n"/>
      <c r="K265" s="183" t="n"/>
      <c r="L265" s="183" t="n"/>
      <c r="M265" s="183" t="n"/>
      <c r="N265" s="183" t="n"/>
      <c r="O265" s="183" t="n"/>
      <c r="P265" s="183" t="n"/>
      <c r="Q265" s="183" t="n"/>
      <c r="R265" s="183" t="n"/>
      <c r="S265" s="183" t="n"/>
      <c r="T265" s="183" t="n"/>
      <c r="U265" s="183" t="n"/>
      <c r="V265" s="183" t="n"/>
      <c r="W265" s="183" t="n"/>
      <c r="X265" s="183" t="n"/>
      <c r="Y265" s="183" t="n"/>
      <c r="Z265" s="183" t="n"/>
      <c r="AA265" s="183" t="n"/>
    </row>
    <row r="266">
      <c r="A266" s="183" t="n"/>
      <c r="B266" s="183" t="n"/>
      <c r="C266" s="183" t="n"/>
      <c r="D266" s="183" t="n"/>
      <c r="E266" s="183" t="n"/>
      <c r="F266" s="183" t="n"/>
      <c r="G266" s="183" t="n"/>
      <c r="H266" s="183" t="n"/>
      <c r="I266" s="183" t="n"/>
      <c r="J266" s="183" t="n"/>
      <c r="K266" s="183" t="n"/>
      <c r="L266" s="183" t="n"/>
      <c r="M266" s="183" t="n"/>
      <c r="N266" s="183" t="n"/>
      <c r="O266" s="183" t="n"/>
      <c r="P266" s="183" t="n"/>
      <c r="Q266" s="183" t="n"/>
      <c r="R266" s="183" t="n"/>
      <c r="S266" s="183" t="n"/>
      <c r="T266" s="183" t="n"/>
      <c r="U266" s="183" t="n"/>
      <c r="V266" s="183" t="n"/>
      <c r="W266" s="183" t="n"/>
      <c r="X266" s="183" t="n"/>
      <c r="Y266" s="183" t="n"/>
      <c r="Z266" s="183" t="n"/>
      <c r="AA266" s="183" t="n"/>
    </row>
    <row r="267">
      <c r="A267" s="183" t="n"/>
      <c r="B267" s="183" t="n"/>
      <c r="C267" s="183" t="n"/>
      <c r="D267" s="183" t="n"/>
      <c r="E267" s="183" t="n"/>
      <c r="F267" s="183" t="n"/>
      <c r="G267" s="183" t="n"/>
      <c r="H267" s="183" t="n"/>
      <c r="I267" s="183" t="n"/>
      <c r="J267" s="183" t="n"/>
      <c r="K267" s="183" t="n"/>
      <c r="L267" s="183" t="n"/>
      <c r="M267" s="183" t="n"/>
      <c r="N267" s="183" t="n"/>
      <c r="O267" s="183" t="n"/>
      <c r="P267" s="183" t="n"/>
      <c r="Q267" s="183" t="n"/>
      <c r="R267" s="183" t="n"/>
      <c r="S267" s="183" t="n"/>
      <c r="T267" s="183" t="n"/>
      <c r="U267" s="183" t="n"/>
      <c r="V267" s="183" t="n"/>
      <c r="W267" s="183" t="n"/>
      <c r="X267" s="183" t="n"/>
      <c r="Y267" s="183" t="n"/>
      <c r="Z267" s="183" t="n"/>
      <c r="AA267" s="183" t="n"/>
    </row>
    <row r="268">
      <c r="A268" s="183" t="n"/>
      <c r="B268" s="183" t="n"/>
      <c r="C268" s="183" t="n"/>
      <c r="D268" s="183" t="n"/>
      <c r="E268" s="183" t="n"/>
      <c r="F268" s="183" t="n"/>
      <c r="G268" s="183" t="n"/>
      <c r="H268" s="183" t="n"/>
      <c r="I268" s="183" t="n"/>
      <c r="J268" s="183" t="n"/>
      <c r="K268" s="183" t="n"/>
      <c r="L268" s="183" t="n"/>
      <c r="M268" s="183" t="n"/>
      <c r="N268" s="183" t="n"/>
      <c r="O268" s="183" t="n"/>
      <c r="P268" s="183" t="n"/>
      <c r="Q268" s="183" t="n"/>
      <c r="R268" s="183" t="n"/>
      <c r="S268" s="183" t="n"/>
      <c r="T268" s="183" t="n"/>
      <c r="U268" s="183" t="n"/>
      <c r="V268" s="183" t="n"/>
      <c r="W268" s="183" t="n"/>
      <c r="X268" s="183" t="n"/>
      <c r="Y268" s="183" t="n"/>
      <c r="Z268" s="183" t="n"/>
      <c r="AA268" s="183" t="n"/>
    </row>
    <row r="269">
      <c r="A269" s="183" t="n"/>
      <c r="B269" s="183" t="n"/>
      <c r="C269" s="183" t="n"/>
      <c r="D269" s="183" t="n"/>
      <c r="E269" s="183" t="n"/>
      <c r="F269" s="183" t="n"/>
      <c r="G269" s="183" t="n"/>
      <c r="H269" s="183" t="n"/>
      <c r="I269" s="183" t="n"/>
      <c r="J269" s="183" t="n"/>
      <c r="K269" s="183" t="n"/>
      <c r="L269" s="183" t="n"/>
      <c r="M269" s="183" t="n"/>
      <c r="N269" s="183" t="n"/>
      <c r="O269" s="183" t="n"/>
      <c r="P269" s="183" t="n"/>
      <c r="Q269" s="183" t="n"/>
      <c r="R269" s="183" t="n"/>
      <c r="S269" s="183" t="n"/>
      <c r="T269" s="183" t="n"/>
      <c r="U269" s="183" t="n"/>
      <c r="V269" s="183" t="n"/>
      <c r="W269" s="183" t="n"/>
      <c r="X269" s="183" t="n"/>
      <c r="Y269" s="183" t="n"/>
      <c r="Z269" s="183" t="n"/>
      <c r="AA269" s="183" t="n"/>
    </row>
    <row r="270">
      <c r="A270" s="183" t="n"/>
      <c r="B270" s="183" t="n"/>
      <c r="C270" s="183" t="n"/>
      <c r="D270" s="183" t="n"/>
      <c r="E270" s="183" t="n"/>
      <c r="F270" s="183" t="n"/>
      <c r="G270" s="183" t="n"/>
      <c r="H270" s="183" t="n"/>
      <c r="I270" s="183" t="n"/>
      <c r="J270" s="183" t="n"/>
      <c r="K270" s="183" t="n"/>
      <c r="L270" s="183" t="n"/>
      <c r="M270" s="183" t="n"/>
      <c r="N270" s="183" t="n"/>
      <c r="O270" s="183" t="n"/>
      <c r="P270" s="183" t="n"/>
      <c r="Q270" s="183" t="n"/>
      <c r="R270" s="183" t="n"/>
      <c r="S270" s="183" t="n"/>
      <c r="T270" s="183" t="n"/>
      <c r="U270" s="183" t="n"/>
      <c r="V270" s="183" t="n"/>
      <c r="W270" s="183" t="n"/>
      <c r="X270" s="183" t="n"/>
      <c r="Y270" s="183" t="n"/>
      <c r="Z270" s="183" t="n"/>
      <c r="AA270" s="183" t="n"/>
    </row>
    <row r="271">
      <c r="A271" s="183" t="n"/>
      <c r="B271" s="183" t="n"/>
      <c r="C271" s="183" t="n"/>
      <c r="D271" s="183" t="n"/>
      <c r="E271" s="183" t="n"/>
      <c r="F271" s="183" t="n"/>
      <c r="G271" s="183" t="n"/>
      <c r="H271" s="183" t="n"/>
      <c r="I271" s="183" t="n"/>
      <c r="J271" s="183" t="n"/>
      <c r="K271" s="183" t="n"/>
      <c r="L271" s="183" t="n"/>
      <c r="M271" s="183" t="n"/>
      <c r="N271" s="183" t="n"/>
      <c r="O271" s="183" t="n"/>
      <c r="P271" s="183" t="n"/>
      <c r="Q271" s="183" t="n"/>
      <c r="R271" s="183" t="n"/>
      <c r="S271" s="183" t="n"/>
      <c r="T271" s="183" t="n"/>
      <c r="U271" s="183" t="n"/>
      <c r="V271" s="183" t="n"/>
      <c r="W271" s="183" t="n"/>
      <c r="X271" s="183" t="n"/>
      <c r="Y271" s="183" t="n"/>
      <c r="Z271" s="183" t="n"/>
      <c r="AA271" s="183" t="n"/>
    </row>
    <row r="272">
      <c r="A272" s="183" t="n"/>
      <c r="B272" s="183" t="n"/>
      <c r="C272" s="183" t="n"/>
      <c r="D272" s="183" t="n"/>
      <c r="E272" s="183" t="n"/>
      <c r="F272" s="183" t="n"/>
      <c r="G272" s="183" t="n"/>
      <c r="H272" s="183" t="n"/>
      <c r="I272" s="183" t="n"/>
      <c r="J272" s="183" t="n"/>
      <c r="K272" s="183" t="n"/>
      <c r="L272" s="183" t="n"/>
      <c r="M272" s="183" t="n"/>
      <c r="N272" s="183" t="n"/>
      <c r="O272" s="183" t="n"/>
      <c r="P272" s="183" t="n"/>
      <c r="Q272" s="183" t="n"/>
      <c r="R272" s="183" t="n"/>
      <c r="S272" s="183" t="n"/>
      <c r="T272" s="183" t="n"/>
      <c r="U272" s="183" t="n"/>
      <c r="V272" s="183" t="n"/>
      <c r="W272" s="183" t="n"/>
      <c r="X272" s="183" t="n"/>
      <c r="Y272" s="183" t="n"/>
      <c r="Z272" s="183" t="n"/>
      <c r="AA272" s="183" t="n"/>
    </row>
    <row r="273">
      <c r="A273" s="183" t="n"/>
      <c r="B273" s="183" t="n"/>
      <c r="C273" s="183" t="n"/>
      <c r="D273" s="183" t="n"/>
      <c r="E273" s="183" t="n"/>
      <c r="F273" s="183" t="n"/>
      <c r="G273" s="183" t="n"/>
      <c r="H273" s="183" t="n"/>
      <c r="I273" s="183" t="n"/>
      <c r="J273" s="183" t="n"/>
      <c r="K273" s="183" t="n"/>
      <c r="L273" s="183" t="n"/>
      <c r="M273" s="183" t="n"/>
      <c r="N273" s="183" t="n"/>
      <c r="O273" s="183" t="n"/>
      <c r="P273" s="183" t="n"/>
      <c r="Q273" s="183" t="n"/>
      <c r="R273" s="183" t="n"/>
      <c r="S273" s="183" t="n"/>
      <c r="T273" s="183" t="n"/>
      <c r="U273" s="183" t="n"/>
      <c r="V273" s="183" t="n"/>
      <c r="W273" s="183" t="n"/>
      <c r="X273" s="183" t="n"/>
      <c r="Y273" s="183" t="n"/>
      <c r="Z273" s="183" t="n"/>
      <c r="AA273" s="183" t="n"/>
    </row>
    <row r="274">
      <c r="A274" s="183" t="n"/>
      <c r="B274" s="183" t="n"/>
      <c r="C274" s="183" t="n"/>
      <c r="D274" s="183" t="n"/>
      <c r="E274" s="183" t="n"/>
      <c r="F274" s="183" t="n"/>
      <c r="G274" s="183" t="n"/>
      <c r="H274" s="183" t="n"/>
      <c r="I274" s="183" t="n"/>
      <c r="J274" s="183" t="n"/>
      <c r="K274" s="183" t="n"/>
      <c r="L274" s="183" t="n"/>
      <c r="M274" s="183" t="n"/>
      <c r="N274" s="183" t="n"/>
      <c r="O274" s="183" t="n"/>
      <c r="P274" s="183" t="n"/>
      <c r="Q274" s="183" t="n"/>
      <c r="R274" s="183" t="n"/>
      <c r="S274" s="183" t="n"/>
      <c r="T274" s="183" t="n"/>
      <c r="U274" s="183" t="n"/>
      <c r="V274" s="183" t="n"/>
      <c r="W274" s="183" t="n"/>
      <c r="X274" s="183" t="n"/>
      <c r="Y274" s="183" t="n"/>
      <c r="Z274" s="183" t="n"/>
      <c r="AA274" s="183" t="n"/>
    </row>
    <row r="275">
      <c r="A275" s="183" t="n"/>
      <c r="B275" s="183" t="n"/>
      <c r="C275" s="183" t="n"/>
      <c r="D275" s="183" t="n"/>
      <c r="E275" s="183" t="n"/>
      <c r="F275" s="183" t="n"/>
      <c r="G275" s="183" t="n"/>
      <c r="H275" s="183" t="n"/>
      <c r="I275" s="183" t="n"/>
      <c r="J275" s="183" t="n"/>
      <c r="K275" s="183" t="n"/>
      <c r="L275" s="183" t="n"/>
      <c r="M275" s="183" t="n"/>
      <c r="N275" s="183" t="n"/>
      <c r="O275" s="183" t="n"/>
      <c r="P275" s="183" t="n"/>
      <c r="Q275" s="183" t="n"/>
      <c r="R275" s="183" t="n"/>
      <c r="S275" s="183" t="n"/>
      <c r="T275" s="183" t="n"/>
      <c r="U275" s="183" t="n"/>
      <c r="V275" s="183" t="n"/>
      <c r="W275" s="183" t="n"/>
      <c r="X275" s="183" t="n"/>
      <c r="Y275" s="183" t="n"/>
      <c r="Z275" s="183" t="n"/>
      <c r="AA275" s="183" t="n"/>
    </row>
    <row r="276">
      <c r="A276" s="183" t="n"/>
      <c r="B276" s="183" t="n"/>
      <c r="C276" s="183" t="n"/>
      <c r="D276" s="183" t="n"/>
      <c r="E276" s="183" t="n"/>
      <c r="F276" s="183" t="n"/>
      <c r="G276" s="183" t="n"/>
      <c r="H276" s="183" t="n"/>
      <c r="I276" s="183" t="n"/>
      <c r="J276" s="183" t="n"/>
      <c r="K276" s="183" t="n"/>
      <c r="L276" s="183" t="n"/>
      <c r="M276" s="183" t="n"/>
      <c r="N276" s="183" t="n"/>
      <c r="O276" s="183" t="n"/>
      <c r="P276" s="183" t="n"/>
      <c r="Q276" s="183" t="n"/>
      <c r="R276" s="183" t="n"/>
      <c r="S276" s="183" t="n"/>
      <c r="T276" s="183" t="n"/>
      <c r="U276" s="183" t="n"/>
      <c r="V276" s="183" t="n"/>
      <c r="W276" s="183" t="n"/>
      <c r="X276" s="183" t="n"/>
      <c r="Y276" s="183" t="n"/>
      <c r="Z276" s="183" t="n"/>
      <c r="AA276" s="183" t="n"/>
    </row>
    <row r="277">
      <c r="A277" s="183" t="n"/>
      <c r="B277" s="183" t="n"/>
      <c r="C277" s="183" t="n"/>
      <c r="D277" s="183" t="n"/>
      <c r="E277" s="183" t="n"/>
      <c r="F277" s="183" t="n"/>
      <c r="G277" s="183" t="n"/>
      <c r="H277" s="183" t="n"/>
      <c r="I277" s="183" t="n"/>
      <c r="J277" s="183" t="n"/>
      <c r="K277" s="183" t="n"/>
      <c r="L277" s="183" t="n"/>
      <c r="M277" s="183" t="n"/>
      <c r="N277" s="183" t="n"/>
      <c r="O277" s="183" t="n"/>
      <c r="P277" s="183" t="n"/>
      <c r="Q277" s="183" t="n"/>
      <c r="R277" s="183" t="n"/>
      <c r="S277" s="183" t="n"/>
      <c r="T277" s="183" t="n"/>
      <c r="U277" s="183" t="n"/>
      <c r="V277" s="183" t="n"/>
      <c r="W277" s="183" t="n"/>
      <c r="X277" s="183" t="n"/>
      <c r="Y277" s="183" t="n"/>
      <c r="Z277" s="183" t="n"/>
      <c r="AA277" s="183" t="n"/>
    </row>
    <row r="278">
      <c r="A278" s="183" t="n"/>
      <c r="B278" s="183" t="n"/>
      <c r="C278" s="183" t="n"/>
      <c r="D278" s="183" t="n"/>
      <c r="E278" s="183" t="n"/>
      <c r="F278" s="183" t="n"/>
      <c r="G278" s="183" t="n"/>
      <c r="H278" s="183" t="n"/>
      <c r="I278" s="183" t="n"/>
      <c r="J278" s="183" t="n"/>
      <c r="K278" s="183" t="n"/>
      <c r="L278" s="183" t="n"/>
      <c r="M278" s="183" t="n"/>
      <c r="N278" s="183" t="n"/>
      <c r="O278" s="183" t="n"/>
      <c r="P278" s="183" t="n"/>
      <c r="Q278" s="183" t="n"/>
      <c r="R278" s="183" t="n"/>
      <c r="S278" s="183" t="n"/>
      <c r="T278" s="183" t="n"/>
      <c r="U278" s="183" t="n"/>
      <c r="V278" s="183" t="n"/>
      <c r="W278" s="183" t="n"/>
      <c r="X278" s="183" t="n"/>
      <c r="Y278" s="183" t="n"/>
      <c r="Z278" s="183" t="n"/>
      <c r="AA278" s="183" t="n"/>
    </row>
    <row r="279">
      <c r="A279" s="183" t="n"/>
      <c r="B279" s="183" t="n"/>
      <c r="C279" s="183" t="n"/>
      <c r="D279" s="183" t="n"/>
      <c r="E279" s="183" t="n"/>
      <c r="F279" s="183" t="n"/>
      <c r="G279" s="183" t="n"/>
      <c r="H279" s="183" t="n"/>
      <c r="I279" s="183" t="n"/>
      <c r="J279" s="183" t="n"/>
      <c r="K279" s="183" t="n"/>
      <c r="L279" s="183" t="n"/>
      <c r="M279" s="183" t="n"/>
      <c r="N279" s="183" t="n"/>
      <c r="O279" s="183" t="n"/>
      <c r="P279" s="183" t="n"/>
      <c r="Q279" s="183" t="n"/>
      <c r="R279" s="183" t="n"/>
      <c r="S279" s="183" t="n"/>
      <c r="T279" s="183" t="n"/>
      <c r="U279" s="183" t="n"/>
      <c r="V279" s="183" t="n"/>
      <c r="W279" s="183" t="n"/>
      <c r="X279" s="183" t="n"/>
      <c r="Y279" s="183" t="n"/>
      <c r="Z279" s="183" t="n"/>
      <c r="AA279" s="183" t="n"/>
    </row>
    <row r="280">
      <c r="A280" s="183" t="n"/>
      <c r="B280" s="183" t="n"/>
      <c r="C280" s="183" t="n"/>
      <c r="D280" s="183" t="n"/>
      <c r="E280" s="183" t="n"/>
      <c r="F280" s="183" t="n"/>
      <c r="G280" s="183" t="n"/>
      <c r="H280" s="183" t="n"/>
      <c r="I280" s="183" t="n"/>
      <c r="J280" s="183" t="n"/>
      <c r="K280" s="183" t="n"/>
      <c r="L280" s="183" t="n"/>
      <c r="M280" s="183" t="n"/>
      <c r="N280" s="183" t="n"/>
      <c r="O280" s="183" t="n"/>
      <c r="P280" s="183" t="n"/>
      <c r="Q280" s="183" t="n"/>
      <c r="R280" s="183" t="n"/>
      <c r="S280" s="183" t="n"/>
      <c r="T280" s="183" t="n"/>
      <c r="U280" s="183" t="n"/>
      <c r="V280" s="183" t="n"/>
      <c r="W280" s="183" t="n"/>
      <c r="X280" s="183" t="n"/>
      <c r="Y280" s="183" t="n"/>
      <c r="Z280" s="183" t="n"/>
      <c r="AA280" s="183" t="n"/>
    </row>
    <row r="281">
      <c r="A281" s="183" t="n"/>
      <c r="B281" s="183" t="n"/>
      <c r="C281" s="183" t="n"/>
      <c r="D281" s="183" t="n"/>
      <c r="E281" s="183" t="n"/>
      <c r="F281" s="183" t="n"/>
      <c r="G281" s="183" t="n"/>
      <c r="H281" s="183" t="n"/>
      <c r="I281" s="183" t="n"/>
      <c r="J281" s="183" t="n"/>
      <c r="K281" s="183" t="n"/>
      <c r="L281" s="183" t="n"/>
      <c r="M281" s="183" t="n"/>
      <c r="N281" s="183" t="n"/>
      <c r="O281" s="183" t="n"/>
      <c r="P281" s="183" t="n"/>
      <c r="Q281" s="183" t="n"/>
      <c r="R281" s="183" t="n"/>
      <c r="S281" s="183" t="n"/>
      <c r="T281" s="183" t="n"/>
      <c r="U281" s="183" t="n"/>
      <c r="V281" s="183" t="n"/>
      <c r="W281" s="183" t="n"/>
      <c r="X281" s="183" t="n"/>
      <c r="Y281" s="183" t="n"/>
      <c r="Z281" s="183" t="n"/>
      <c r="AA281" s="183" t="n"/>
    </row>
    <row r="282">
      <c r="A282" s="183" t="n"/>
      <c r="B282" s="183" t="n"/>
      <c r="C282" s="183" t="n"/>
      <c r="D282" s="183" t="n"/>
      <c r="E282" s="183" t="n"/>
      <c r="F282" s="183" t="n"/>
      <c r="G282" s="183" t="n"/>
      <c r="H282" s="183" t="n"/>
      <c r="I282" s="183" t="n"/>
      <c r="J282" s="183" t="n"/>
      <c r="K282" s="183" t="n"/>
      <c r="L282" s="183" t="n"/>
      <c r="M282" s="183" t="n"/>
      <c r="N282" s="183" t="n"/>
      <c r="O282" s="183" t="n"/>
      <c r="P282" s="183" t="n"/>
      <c r="Q282" s="183" t="n"/>
      <c r="R282" s="183" t="n"/>
      <c r="S282" s="183" t="n"/>
      <c r="T282" s="183" t="n"/>
      <c r="U282" s="183" t="n"/>
      <c r="V282" s="183" t="n"/>
      <c r="W282" s="183" t="n"/>
      <c r="X282" s="183" t="n"/>
      <c r="Y282" s="183" t="n"/>
      <c r="Z282" s="183" t="n"/>
      <c r="AA282" s="183" t="n"/>
    </row>
    <row r="283">
      <c r="A283" s="183" t="n"/>
      <c r="B283" s="183" t="n"/>
      <c r="C283" s="183" t="n"/>
      <c r="D283" s="183" t="n"/>
      <c r="E283" s="183" t="n"/>
      <c r="F283" s="183" t="n"/>
      <c r="G283" s="183" t="n"/>
      <c r="H283" s="183" t="n"/>
      <c r="I283" s="183" t="n"/>
      <c r="J283" s="183" t="n"/>
      <c r="K283" s="183" t="n"/>
      <c r="L283" s="183" t="n"/>
      <c r="M283" s="183" t="n"/>
      <c r="N283" s="183" t="n"/>
      <c r="O283" s="183" t="n"/>
      <c r="P283" s="183" t="n"/>
      <c r="Q283" s="183" t="n"/>
      <c r="R283" s="183" t="n"/>
      <c r="S283" s="183" t="n"/>
      <c r="T283" s="183" t="n"/>
      <c r="U283" s="183" t="n"/>
      <c r="V283" s="183" t="n"/>
      <c r="W283" s="183" t="n"/>
      <c r="X283" s="183" t="n"/>
      <c r="Y283" s="183" t="n"/>
      <c r="Z283" s="183" t="n"/>
      <c r="AA283" s="183" t="n"/>
    </row>
    <row r="284">
      <c r="A284" s="183" t="n"/>
      <c r="B284" s="183" t="n"/>
      <c r="C284" s="183" t="n"/>
      <c r="D284" s="183" t="n"/>
      <c r="E284" s="183" t="n"/>
      <c r="F284" s="183" t="n"/>
      <c r="G284" s="183" t="n"/>
      <c r="H284" s="183" t="n"/>
      <c r="I284" s="183" t="n"/>
      <c r="J284" s="183" t="n"/>
      <c r="K284" s="183" t="n"/>
      <c r="L284" s="183" t="n"/>
      <c r="M284" s="183" t="n"/>
      <c r="N284" s="183" t="n"/>
      <c r="O284" s="183" t="n"/>
      <c r="P284" s="183" t="n"/>
      <c r="Q284" s="183" t="n"/>
      <c r="R284" s="183" t="n"/>
      <c r="S284" s="183" t="n"/>
      <c r="T284" s="183" t="n"/>
      <c r="U284" s="183" t="n"/>
      <c r="V284" s="183" t="n"/>
      <c r="W284" s="183" t="n"/>
      <c r="X284" s="183" t="n"/>
      <c r="Y284" s="183" t="n"/>
      <c r="Z284" s="183" t="n"/>
      <c r="AA284" s="183" t="n"/>
    </row>
    <row r="285">
      <c r="A285" s="183" t="n"/>
      <c r="B285" s="183" t="n"/>
      <c r="C285" s="183" t="n"/>
      <c r="D285" s="183" t="n"/>
      <c r="E285" s="183" t="n"/>
      <c r="F285" s="183" t="n"/>
      <c r="G285" s="183" t="n"/>
      <c r="H285" s="183" t="n"/>
      <c r="I285" s="183" t="n"/>
      <c r="J285" s="183" t="n"/>
      <c r="K285" s="183" t="n"/>
      <c r="L285" s="183" t="n"/>
      <c r="M285" s="183" t="n"/>
      <c r="N285" s="183" t="n"/>
      <c r="O285" s="183" t="n"/>
      <c r="P285" s="183" t="n"/>
      <c r="Q285" s="183" t="n"/>
      <c r="R285" s="183" t="n"/>
      <c r="S285" s="183" t="n"/>
      <c r="T285" s="183" t="n"/>
      <c r="U285" s="183" t="n"/>
      <c r="V285" s="183" t="n"/>
      <c r="W285" s="183" t="n"/>
      <c r="X285" s="183" t="n"/>
      <c r="Y285" s="183" t="n"/>
      <c r="Z285" s="183" t="n"/>
      <c r="AA285" s="183" t="n"/>
    </row>
    <row r="286">
      <c r="A286" s="183" t="n"/>
      <c r="B286" s="183" t="n"/>
      <c r="C286" s="183" t="n"/>
      <c r="D286" s="183" t="n"/>
      <c r="E286" s="183" t="n"/>
      <c r="F286" s="183" t="n"/>
      <c r="G286" s="183" t="n"/>
      <c r="H286" s="183" t="n"/>
      <c r="I286" s="183" t="n"/>
      <c r="J286" s="183" t="n"/>
      <c r="K286" s="183" t="n"/>
      <c r="L286" s="183" t="n"/>
      <c r="M286" s="183" t="n"/>
      <c r="N286" s="183" t="n"/>
      <c r="O286" s="183" t="n"/>
      <c r="P286" s="183" t="n"/>
      <c r="Q286" s="183" t="n"/>
      <c r="R286" s="183" t="n"/>
      <c r="S286" s="183" t="n"/>
      <c r="T286" s="183" t="n"/>
      <c r="U286" s="183" t="n"/>
      <c r="V286" s="183" t="n"/>
      <c r="W286" s="183" t="n"/>
      <c r="X286" s="183" t="n"/>
      <c r="Y286" s="183" t="n"/>
      <c r="Z286" s="183" t="n"/>
      <c r="AA286" s="183" t="n"/>
    </row>
    <row r="287">
      <c r="A287" s="183" t="n"/>
      <c r="B287" s="183" t="n"/>
      <c r="C287" s="183" t="n"/>
      <c r="D287" s="183" t="n"/>
      <c r="E287" s="183" t="n"/>
      <c r="F287" s="183" t="n"/>
      <c r="G287" s="183" t="n"/>
      <c r="H287" s="183" t="n"/>
      <c r="I287" s="183" t="n"/>
      <c r="J287" s="183" t="n"/>
      <c r="K287" s="183" t="n"/>
      <c r="L287" s="183" t="n"/>
      <c r="M287" s="183" t="n"/>
      <c r="N287" s="183" t="n"/>
      <c r="O287" s="183" t="n"/>
      <c r="P287" s="183" t="n"/>
      <c r="Q287" s="183" t="n"/>
      <c r="R287" s="183" t="n"/>
      <c r="S287" s="183" t="n"/>
      <c r="T287" s="183" t="n"/>
      <c r="U287" s="183" t="n"/>
      <c r="V287" s="183" t="n"/>
      <c r="W287" s="183" t="n"/>
      <c r="X287" s="183" t="n"/>
      <c r="Y287" s="183" t="n"/>
      <c r="Z287" s="183" t="n"/>
      <c r="AA287" s="183" t="n"/>
    </row>
    <row r="288">
      <c r="A288" s="183" t="n"/>
      <c r="B288" s="183" t="n"/>
      <c r="C288" s="183" t="n"/>
      <c r="D288" s="183" t="n"/>
      <c r="E288" s="183" t="n"/>
      <c r="F288" s="183" t="n"/>
      <c r="G288" s="183" t="n"/>
      <c r="H288" s="183" t="n"/>
      <c r="I288" s="183" t="n"/>
      <c r="J288" s="183" t="n"/>
      <c r="K288" s="183" t="n"/>
      <c r="L288" s="183" t="n"/>
      <c r="M288" s="183" t="n"/>
      <c r="N288" s="183" t="n"/>
      <c r="O288" s="183" t="n"/>
      <c r="P288" s="183" t="n"/>
      <c r="Q288" s="183" t="n"/>
      <c r="R288" s="183" t="n"/>
      <c r="S288" s="183" t="n"/>
      <c r="T288" s="183" t="n"/>
      <c r="U288" s="183" t="n"/>
      <c r="V288" s="183" t="n"/>
      <c r="W288" s="183" t="n"/>
      <c r="X288" s="183" t="n"/>
      <c r="Y288" s="183" t="n"/>
      <c r="Z288" s="183" t="n"/>
      <c r="AA288" s="183" t="n"/>
    </row>
    <row r="289">
      <c r="A289" s="183" t="n"/>
      <c r="B289" s="183" t="n"/>
      <c r="C289" s="183" t="n"/>
      <c r="D289" s="183" t="n"/>
      <c r="E289" s="183" t="n"/>
      <c r="F289" s="183" t="n"/>
      <c r="G289" s="183" t="n"/>
      <c r="H289" s="183" t="n"/>
      <c r="I289" s="183" t="n"/>
      <c r="J289" s="183" t="n"/>
      <c r="K289" s="183" t="n"/>
      <c r="L289" s="183" t="n"/>
      <c r="M289" s="183" t="n"/>
      <c r="N289" s="183" t="n"/>
      <c r="O289" s="183" t="n"/>
      <c r="P289" s="183" t="n"/>
      <c r="Q289" s="183" t="n"/>
      <c r="R289" s="183" t="n"/>
      <c r="S289" s="183" t="n"/>
      <c r="T289" s="183" t="n"/>
      <c r="U289" s="183" t="n"/>
      <c r="V289" s="183" t="n"/>
      <c r="W289" s="183" t="n"/>
      <c r="X289" s="183" t="n"/>
      <c r="Y289" s="183" t="n"/>
      <c r="Z289" s="183" t="n"/>
      <c r="AA289" s="183" t="n"/>
    </row>
    <row r="290">
      <c r="A290" s="183" t="n"/>
      <c r="B290" s="183" t="n"/>
      <c r="C290" s="183" t="n"/>
      <c r="D290" s="183" t="n"/>
      <c r="E290" s="183" t="n"/>
      <c r="F290" s="183" t="n"/>
      <c r="G290" s="183" t="n"/>
      <c r="H290" s="183" t="n"/>
      <c r="I290" s="183" t="n"/>
      <c r="J290" s="183" t="n"/>
      <c r="K290" s="183" t="n"/>
      <c r="L290" s="183" t="n"/>
      <c r="M290" s="183" t="n"/>
      <c r="N290" s="183" t="n"/>
      <c r="O290" s="183" t="n"/>
      <c r="P290" s="183" t="n"/>
      <c r="Q290" s="183" t="n"/>
      <c r="R290" s="183" t="n"/>
      <c r="S290" s="183" t="n"/>
      <c r="T290" s="183" t="n"/>
      <c r="U290" s="183" t="n"/>
      <c r="V290" s="183" t="n"/>
      <c r="W290" s="183" t="n"/>
      <c r="X290" s="183" t="n"/>
      <c r="Y290" s="183" t="n"/>
      <c r="Z290" s="183" t="n"/>
      <c r="AA290" s="183" t="n"/>
    </row>
    <row r="291">
      <c r="A291" s="183" t="n"/>
      <c r="B291" s="183" t="n"/>
      <c r="C291" s="183" t="n"/>
      <c r="D291" s="183" t="n"/>
      <c r="E291" s="183" t="n"/>
      <c r="F291" s="183" t="n"/>
      <c r="G291" s="183" t="n"/>
      <c r="H291" s="183" t="n"/>
      <c r="I291" s="183" t="n"/>
      <c r="J291" s="183" t="n"/>
      <c r="K291" s="183" t="n"/>
      <c r="L291" s="183" t="n"/>
      <c r="M291" s="183" t="n"/>
      <c r="N291" s="183" t="n"/>
      <c r="O291" s="183" t="n"/>
      <c r="P291" s="183" t="n"/>
      <c r="Q291" s="183" t="n"/>
      <c r="R291" s="183" t="n"/>
      <c r="S291" s="183" t="n"/>
      <c r="T291" s="183" t="n"/>
      <c r="U291" s="183" t="n"/>
      <c r="V291" s="183" t="n"/>
      <c r="W291" s="183" t="n"/>
      <c r="X291" s="183" t="n"/>
      <c r="Y291" s="183" t="n"/>
      <c r="Z291" s="183" t="n"/>
      <c r="AA291" s="183" t="n"/>
    </row>
    <row r="292">
      <c r="A292" s="183" t="n"/>
      <c r="B292" s="183" t="n"/>
      <c r="C292" s="183" t="n"/>
      <c r="D292" s="183" t="n"/>
      <c r="E292" s="183" t="n"/>
      <c r="F292" s="183" t="n"/>
      <c r="G292" s="183" t="n"/>
      <c r="H292" s="183" t="n"/>
      <c r="I292" s="183" t="n"/>
      <c r="J292" s="183" t="n"/>
      <c r="K292" s="183" t="n"/>
      <c r="L292" s="183" t="n"/>
      <c r="M292" s="183" t="n"/>
      <c r="N292" s="183" t="n"/>
      <c r="O292" s="183" t="n"/>
      <c r="P292" s="183" t="n"/>
      <c r="Q292" s="183" t="n"/>
      <c r="R292" s="183" t="n"/>
      <c r="S292" s="183" t="n"/>
      <c r="T292" s="183" t="n"/>
      <c r="U292" s="183" t="n"/>
      <c r="V292" s="183" t="n"/>
      <c r="W292" s="183" t="n"/>
      <c r="X292" s="183" t="n"/>
      <c r="Y292" s="183" t="n"/>
      <c r="Z292" s="183" t="n"/>
      <c r="AA292" s="183" t="n"/>
    </row>
    <row r="293">
      <c r="A293" s="183" t="n"/>
      <c r="B293" s="183" t="n"/>
      <c r="C293" s="183" t="n"/>
      <c r="D293" s="183" t="n"/>
      <c r="E293" s="183" t="n"/>
      <c r="F293" s="183" t="n"/>
      <c r="G293" s="183" t="n"/>
      <c r="H293" s="183" t="n"/>
      <c r="I293" s="183" t="n"/>
      <c r="J293" s="183" t="n"/>
      <c r="K293" s="183" t="n"/>
      <c r="L293" s="183" t="n"/>
      <c r="M293" s="183" t="n"/>
      <c r="N293" s="183" t="n"/>
      <c r="O293" s="183" t="n"/>
      <c r="P293" s="183" t="n"/>
      <c r="Q293" s="183" t="n"/>
      <c r="R293" s="183" t="n"/>
      <c r="S293" s="183" t="n"/>
      <c r="T293" s="183" t="n"/>
      <c r="U293" s="183" t="n"/>
      <c r="V293" s="183" t="n"/>
      <c r="W293" s="183" t="n"/>
      <c r="X293" s="183" t="n"/>
      <c r="Y293" s="183" t="n"/>
      <c r="Z293" s="183" t="n"/>
      <c r="AA293" s="183" t="n"/>
    </row>
    <row r="294">
      <c r="A294" s="183" t="n"/>
      <c r="B294" s="183" t="n"/>
      <c r="C294" s="183" t="n"/>
      <c r="D294" s="183" t="n"/>
      <c r="E294" s="183" t="n"/>
      <c r="F294" s="183" t="n"/>
      <c r="G294" s="183" t="n"/>
      <c r="H294" s="183" t="n"/>
      <c r="I294" s="183" t="n"/>
      <c r="J294" s="183" t="n"/>
      <c r="K294" s="183" t="n"/>
      <c r="L294" s="183" t="n"/>
      <c r="M294" s="183" t="n"/>
      <c r="N294" s="183" t="n"/>
      <c r="O294" s="183" t="n"/>
      <c r="P294" s="183" t="n"/>
      <c r="Q294" s="183" t="n"/>
      <c r="R294" s="183" t="n"/>
      <c r="S294" s="183" t="n"/>
      <c r="T294" s="183" t="n"/>
      <c r="U294" s="183" t="n"/>
      <c r="V294" s="183" t="n"/>
      <c r="W294" s="183" t="n"/>
      <c r="X294" s="183" t="n"/>
      <c r="Y294" s="183" t="n"/>
      <c r="Z294" s="183" t="n"/>
      <c r="AA294" s="183" t="n"/>
    </row>
    <row r="295">
      <c r="A295" s="183" t="n"/>
      <c r="B295" s="183" t="n"/>
      <c r="C295" s="183" t="n"/>
      <c r="D295" s="183" t="n"/>
      <c r="E295" s="183" t="n"/>
      <c r="F295" s="183" t="n"/>
      <c r="G295" s="183" t="n"/>
      <c r="H295" s="183" t="n"/>
      <c r="I295" s="183" t="n"/>
      <c r="J295" s="183" t="n"/>
      <c r="K295" s="183" t="n"/>
      <c r="L295" s="183" t="n"/>
      <c r="M295" s="183" t="n"/>
      <c r="N295" s="183" t="n"/>
      <c r="O295" s="183" t="n"/>
      <c r="P295" s="183" t="n"/>
      <c r="Q295" s="183" t="n"/>
      <c r="R295" s="183" t="n"/>
      <c r="S295" s="183" t="n"/>
      <c r="T295" s="183" t="n"/>
      <c r="U295" s="183" t="n"/>
      <c r="V295" s="183" t="n"/>
      <c r="W295" s="183" t="n"/>
      <c r="X295" s="183" t="n"/>
      <c r="Y295" s="183" t="n"/>
      <c r="Z295" s="183" t="n"/>
      <c r="AA295" s="183" t="n"/>
    </row>
    <row r="296">
      <c r="A296" s="183" t="n"/>
      <c r="B296" s="183" t="n"/>
      <c r="C296" s="183" t="n"/>
      <c r="D296" s="183" t="n"/>
      <c r="E296" s="183" t="n"/>
      <c r="F296" s="183" t="n"/>
      <c r="G296" s="183" t="n"/>
      <c r="H296" s="183" t="n"/>
      <c r="I296" s="183" t="n"/>
      <c r="J296" s="183" t="n"/>
      <c r="K296" s="183" t="n"/>
      <c r="L296" s="183" t="n"/>
      <c r="M296" s="183" t="n"/>
      <c r="N296" s="183" t="n"/>
      <c r="O296" s="183" t="n"/>
      <c r="P296" s="183" t="n"/>
      <c r="Q296" s="183" t="n"/>
      <c r="R296" s="183" t="n"/>
      <c r="S296" s="183" t="n"/>
      <c r="T296" s="183" t="n"/>
      <c r="U296" s="183" t="n"/>
      <c r="V296" s="183" t="n"/>
      <c r="W296" s="183" t="n"/>
      <c r="X296" s="183" t="n"/>
      <c r="Y296" s="183" t="n"/>
      <c r="Z296" s="183" t="n"/>
      <c r="AA296" s="183" t="n"/>
    </row>
    <row r="297">
      <c r="A297" s="183" t="n"/>
      <c r="B297" s="183" t="n"/>
      <c r="C297" s="183" t="n"/>
      <c r="D297" s="183" t="n"/>
      <c r="E297" s="183" t="n"/>
      <c r="F297" s="183" t="n"/>
      <c r="G297" s="183" t="n"/>
      <c r="H297" s="183" t="n"/>
      <c r="I297" s="183" t="n"/>
      <c r="J297" s="183" t="n"/>
      <c r="K297" s="183" t="n"/>
      <c r="L297" s="183" t="n"/>
      <c r="M297" s="183" t="n"/>
      <c r="N297" s="183" t="n"/>
      <c r="O297" s="183" t="n"/>
      <c r="P297" s="183" t="n"/>
      <c r="Q297" s="183" t="n"/>
      <c r="R297" s="183" t="n"/>
      <c r="S297" s="183" t="n"/>
      <c r="T297" s="183" t="n"/>
      <c r="U297" s="183" t="n"/>
      <c r="V297" s="183" t="n"/>
      <c r="W297" s="183" t="n"/>
      <c r="X297" s="183" t="n"/>
      <c r="Y297" s="183" t="n"/>
      <c r="Z297" s="183" t="n"/>
      <c r="AA297" s="183" t="n"/>
    </row>
    <row r="298">
      <c r="A298" s="183" t="n"/>
      <c r="B298" s="183" t="n"/>
      <c r="C298" s="183" t="n"/>
      <c r="D298" s="183" t="n"/>
      <c r="E298" s="183" t="n"/>
      <c r="F298" s="183" t="n"/>
      <c r="G298" s="183" t="n"/>
      <c r="H298" s="183" t="n"/>
      <c r="I298" s="183" t="n"/>
      <c r="J298" s="183" t="n"/>
      <c r="K298" s="183" t="n"/>
      <c r="L298" s="183" t="n"/>
      <c r="M298" s="183" t="n"/>
      <c r="N298" s="183" t="n"/>
      <c r="O298" s="183" t="n"/>
      <c r="P298" s="183" t="n"/>
      <c r="Q298" s="183" t="n"/>
      <c r="R298" s="183" t="n"/>
      <c r="S298" s="183" t="n"/>
      <c r="T298" s="183" t="n"/>
      <c r="U298" s="183" t="n"/>
      <c r="V298" s="183" t="n"/>
      <c r="W298" s="183" t="n"/>
      <c r="X298" s="183" t="n"/>
      <c r="Y298" s="183" t="n"/>
      <c r="Z298" s="183" t="n"/>
      <c r="AA298" s="183" t="n"/>
    </row>
    <row r="299">
      <c r="A299" s="183" t="n"/>
      <c r="B299" s="183" t="n"/>
      <c r="C299" s="183" t="n"/>
      <c r="D299" s="183" t="n"/>
      <c r="E299" s="183" t="n"/>
      <c r="F299" s="183" t="n"/>
      <c r="G299" s="183" t="n"/>
      <c r="H299" s="183" t="n"/>
      <c r="I299" s="183" t="n"/>
      <c r="J299" s="183" t="n"/>
      <c r="K299" s="183" t="n"/>
      <c r="L299" s="183" t="n"/>
      <c r="M299" s="183" t="n"/>
      <c r="N299" s="183" t="n"/>
      <c r="O299" s="183" t="n"/>
      <c r="P299" s="183" t="n"/>
      <c r="Q299" s="183" t="n"/>
      <c r="R299" s="183" t="n"/>
      <c r="S299" s="183" t="n"/>
      <c r="T299" s="183" t="n"/>
      <c r="U299" s="183" t="n"/>
      <c r="V299" s="183" t="n"/>
      <c r="W299" s="183" t="n"/>
      <c r="X299" s="183" t="n"/>
      <c r="Y299" s="183" t="n"/>
      <c r="Z299" s="183" t="n"/>
      <c r="AA299" s="183" t="n"/>
    </row>
    <row r="300">
      <c r="A300" s="183" t="n"/>
      <c r="B300" s="183" t="n"/>
      <c r="C300" s="183" t="n"/>
      <c r="D300" s="183" t="n"/>
      <c r="E300" s="183" t="n"/>
      <c r="F300" s="183" t="n"/>
      <c r="G300" s="183" t="n"/>
      <c r="H300" s="183" t="n"/>
      <c r="I300" s="183" t="n"/>
      <c r="J300" s="183" t="n"/>
      <c r="K300" s="183" t="n"/>
      <c r="L300" s="183" t="n"/>
      <c r="M300" s="183" t="n"/>
      <c r="N300" s="183" t="n"/>
      <c r="O300" s="183" t="n"/>
      <c r="P300" s="183" t="n"/>
      <c r="Q300" s="183" t="n"/>
      <c r="R300" s="183" t="n"/>
      <c r="S300" s="183" t="n"/>
      <c r="T300" s="183" t="n"/>
      <c r="U300" s="183" t="n"/>
      <c r="V300" s="183" t="n"/>
      <c r="W300" s="183" t="n"/>
      <c r="X300" s="183" t="n"/>
      <c r="Y300" s="183" t="n"/>
      <c r="Z300" s="183" t="n"/>
      <c r="AA300" s="183" t="n"/>
    </row>
    <row r="301">
      <c r="A301" s="183" t="n"/>
      <c r="B301" s="183" t="n"/>
      <c r="C301" s="183" t="n"/>
      <c r="D301" s="183" t="n"/>
      <c r="E301" s="183" t="n"/>
      <c r="F301" s="183" t="n"/>
      <c r="G301" s="183" t="n"/>
      <c r="H301" s="183" t="n"/>
      <c r="I301" s="183" t="n"/>
      <c r="J301" s="183" t="n"/>
      <c r="K301" s="183" t="n"/>
      <c r="L301" s="183" t="n"/>
      <c r="M301" s="183" t="n"/>
      <c r="N301" s="183" t="n"/>
      <c r="O301" s="183" t="n"/>
      <c r="P301" s="183" t="n"/>
      <c r="Q301" s="183" t="n"/>
      <c r="R301" s="183" t="n"/>
      <c r="S301" s="183" t="n"/>
      <c r="T301" s="183" t="n"/>
      <c r="U301" s="183" t="n"/>
      <c r="V301" s="183" t="n"/>
      <c r="W301" s="183" t="n"/>
      <c r="X301" s="183" t="n"/>
      <c r="Y301" s="183" t="n"/>
      <c r="Z301" s="183" t="n"/>
      <c r="AA301" s="183" t="n"/>
    </row>
    <row r="302">
      <c r="A302" s="183" t="n"/>
      <c r="B302" s="183" t="n"/>
      <c r="C302" s="183" t="n"/>
      <c r="D302" s="183" t="n"/>
      <c r="E302" s="183" t="n"/>
      <c r="F302" s="183" t="n"/>
      <c r="G302" s="183" t="n"/>
      <c r="H302" s="183" t="n"/>
      <c r="I302" s="183" t="n"/>
      <c r="J302" s="183" t="n"/>
      <c r="K302" s="183" t="n"/>
      <c r="L302" s="183" t="n"/>
      <c r="M302" s="183" t="n"/>
      <c r="N302" s="183" t="n"/>
      <c r="O302" s="183" t="n"/>
      <c r="P302" s="183" t="n"/>
      <c r="Q302" s="183" t="n"/>
      <c r="R302" s="183" t="n"/>
      <c r="S302" s="183" t="n"/>
      <c r="T302" s="183" t="n"/>
      <c r="U302" s="183" t="n"/>
      <c r="V302" s="183" t="n"/>
      <c r="W302" s="183" t="n"/>
      <c r="X302" s="183" t="n"/>
      <c r="Y302" s="183" t="n"/>
      <c r="Z302" s="183" t="n"/>
      <c r="AA302" s="183" t="n"/>
    </row>
    <row r="303">
      <c r="A303" s="183" t="n"/>
      <c r="B303" s="183" t="n"/>
      <c r="C303" s="183" t="n"/>
      <c r="D303" s="183" t="n"/>
      <c r="E303" s="183" t="n"/>
      <c r="F303" s="183" t="n"/>
      <c r="G303" s="183" t="n"/>
      <c r="H303" s="183" t="n"/>
      <c r="I303" s="183" t="n"/>
      <c r="J303" s="183" t="n"/>
      <c r="K303" s="183" t="n"/>
      <c r="L303" s="183" t="n"/>
      <c r="M303" s="183" t="n"/>
      <c r="N303" s="183" t="n"/>
      <c r="O303" s="183" t="n"/>
      <c r="P303" s="183" t="n"/>
      <c r="Q303" s="183" t="n"/>
      <c r="R303" s="183" t="n"/>
      <c r="S303" s="183" t="n"/>
      <c r="T303" s="183" t="n"/>
      <c r="U303" s="183" t="n"/>
      <c r="V303" s="183" t="n"/>
      <c r="W303" s="183" t="n"/>
      <c r="X303" s="183" t="n"/>
      <c r="Y303" s="183" t="n"/>
      <c r="Z303" s="183" t="n"/>
      <c r="AA303" s="183" t="n"/>
    </row>
    <row r="304">
      <c r="A304" s="183" t="n"/>
      <c r="B304" s="183" t="n"/>
      <c r="C304" s="183" t="n"/>
      <c r="D304" s="183" t="n"/>
      <c r="E304" s="183" t="n"/>
      <c r="F304" s="183" t="n"/>
      <c r="G304" s="183" t="n"/>
      <c r="H304" s="183" t="n"/>
      <c r="I304" s="183" t="n"/>
      <c r="J304" s="183" t="n"/>
      <c r="K304" s="183" t="n"/>
      <c r="L304" s="183" t="n"/>
      <c r="M304" s="183" t="n"/>
      <c r="N304" s="183" t="n"/>
      <c r="O304" s="183" t="n"/>
      <c r="P304" s="183" t="n"/>
      <c r="Q304" s="183" t="n"/>
      <c r="R304" s="183" t="n"/>
      <c r="S304" s="183" t="n"/>
      <c r="T304" s="183" t="n"/>
      <c r="U304" s="183" t="n"/>
      <c r="V304" s="183" t="n"/>
      <c r="W304" s="183" t="n"/>
      <c r="X304" s="183" t="n"/>
      <c r="Y304" s="183" t="n"/>
      <c r="Z304" s="183" t="n"/>
      <c r="AA304" s="183" t="n"/>
    </row>
    <row r="305">
      <c r="A305" s="183" t="n"/>
      <c r="B305" s="183" t="n"/>
      <c r="C305" s="183" t="n"/>
      <c r="D305" s="183" t="n"/>
      <c r="E305" s="183" t="n"/>
      <c r="F305" s="183" t="n"/>
      <c r="G305" s="183" t="n"/>
      <c r="H305" s="183" t="n"/>
      <c r="I305" s="183" t="n"/>
      <c r="J305" s="183" t="n"/>
      <c r="K305" s="183" t="n"/>
      <c r="L305" s="183" t="n"/>
      <c r="M305" s="183" t="n"/>
      <c r="N305" s="183" t="n"/>
      <c r="O305" s="183" t="n"/>
      <c r="P305" s="183" t="n"/>
      <c r="Q305" s="183" t="n"/>
      <c r="R305" s="183" t="n"/>
      <c r="S305" s="183" t="n"/>
      <c r="T305" s="183" t="n"/>
      <c r="U305" s="183" t="n"/>
      <c r="V305" s="183" t="n"/>
      <c r="W305" s="183" t="n"/>
      <c r="X305" s="183" t="n"/>
      <c r="Y305" s="183" t="n"/>
      <c r="Z305" s="183" t="n"/>
      <c r="AA305" s="183" t="n"/>
    </row>
    <row r="306">
      <c r="A306" s="183" t="n"/>
      <c r="B306" s="183" t="n"/>
      <c r="C306" s="183" t="n"/>
      <c r="D306" s="183" t="n"/>
      <c r="E306" s="183" t="n"/>
      <c r="F306" s="183" t="n"/>
      <c r="G306" s="183" t="n"/>
      <c r="H306" s="183" t="n"/>
      <c r="I306" s="183" t="n"/>
      <c r="J306" s="183" t="n"/>
      <c r="K306" s="183" t="n"/>
      <c r="L306" s="183" t="n"/>
      <c r="M306" s="183" t="n"/>
      <c r="N306" s="183" t="n"/>
      <c r="O306" s="183" t="n"/>
      <c r="P306" s="183" t="n"/>
      <c r="Q306" s="183" t="n"/>
      <c r="R306" s="183" t="n"/>
      <c r="S306" s="183" t="n"/>
      <c r="T306" s="183" t="n"/>
      <c r="U306" s="183" t="n"/>
      <c r="V306" s="183" t="n"/>
      <c r="W306" s="183" t="n"/>
      <c r="X306" s="183" t="n"/>
      <c r="Y306" s="183" t="n"/>
      <c r="Z306" s="183" t="n"/>
      <c r="AA306" s="183" t="n"/>
    </row>
    <row r="307">
      <c r="A307" s="183" t="n"/>
      <c r="B307" s="183" t="n"/>
      <c r="C307" s="183" t="n"/>
      <c r="D307" s="183" t="n"/>
      <c r="E307" s="183" t="n"/>
      <c r="F307" s="183" t="n"/>
      <c r="G307" s="183" t="n"/>
      <c r="H307" s="183" t="n"/>
      <c r="I307" s="183" t="n"/>
      <c r="J307" s="183" t="n"/>
      <c r="K307" s="183" t="n"/>
      <c r="L307" s="183" t="n"/>
      <c r="M307" s="183" t="n"/>
      <c r="N307" s="183" t="n"/>
      <c r="O307" s="183" t="n"/>
      <c r="P307" s="183" t="n"/>
      <c r="Q307" s="183" t="n"/>
      <c r="R307" s="183" t="n"/>
      <c r="S307" s="183" t="n"/>
      <c r="T307" s="183" t="n"/>
      <c r="U307" s="183" t="n"/>
      <c r="V307" s="183" t="n"/>
      <c r="W307" s="183" t="n"/>
      <c r="X307" s="183" t="n"/>
      <c r="Y307" s="183" t="n"/>
      <c r="Z307" s="183" t="n"/>
      <c r="AA307" s="183" t="n"/>
    </row>
    <row r="308">
      <c r="A308" s="183" t="n"/>
      <c r="B308" s="183" t="n"/>
      <c r="C308" s="183" t="n"/>
      <c r="D308" s="183" t="n"/>
      <c r="E308" s="183" t="n"/>
      <c r="F308" s="183" t="n"/>
      <c r="G308" s="183" t="n"/>
      <c r="H308" s="183" t="n"/>
      <c r="I308" s="183" t="n"/>
      <c r="J308" s="183" t="n"/>
      <c r="K308" s="183" t="n"/>
      <c r="L308" s="183" t="n"/>
      <c r="M308" s="183" t="n"/>
      <c r="N308" s="183" t="n"/>
      <c r="O308" s="183" t="n"/>
      <c r="P308" s="183" t="n"/>
      <c r="Q308" s="183" t="n"/>
      <c r="R308" s="183" t="n"/>
      <c r="S308" s="183" t="n"/>
      <c r="T308" s="183" t="n"/>
      <c r="U308" s="183" t="n"/>
      <c r="V308" s="183" t="n"/>
      <c r="W308" s="183" t="n"/>
      <c r="X308" s="183" t="n"/>
      <c r="Y308" s="183" t="n"/>
      <c r="Z308" s="183" t="n"/>
      <c r="AA308" s="183" t="n"/>
    </row>
    <row r="309">
      <c r="A309" s="183" t="n"/>
      <c r="B309" s="183" t="n"/>
      <c r="C309" s="183" t="n"/>
      <c r="D309" s="183" t="n"/>
      <c r="E309" s="183" t="n"/>
      <c r="F309" s="183" t="n"/>
      <c r="G309" s="183" t="n"/>
      <c r="H309" s="183" t="n"/>
      <c r="I309" s="183" t="n"/>
      <c r="J309" s="183" t="n"/>
      <c r="K309" s="183" t="n"/>
      <c r="L309" s="183" t="n"/>
      <c r="M309" s="183" t="n"/>
      <c r="N309" s="183" t="n"/>
      <c r="O309" s="183" t="n"/>
      <c r="P309" s="183" t="n"/>
      <c r="Q309" s="183" t="n"/>
      <c r="R309" s="183" t="n"/>
      <c r="S309" s="183" t="n"/>
      <c r="T309" s="183" t="n"/>
      <c r="U309" s="183" t="n"/>
      <c r="V309" s="183" t="n"/>
      <c r="W309" s="183" t="n"/>
      <c r="X309" s="183" t="n"/>
      <c r="Y309" s="183" t="n"/>
      <c r="Z309" s="183" t="n"/>
      <c r="AA309" s="183" t="n"/>
    </row>
    <row r="310">
      <c r="A310" s="183" t="n"/>
      <c r="B310" s="183" t="n"/>
      <c r="C310" s="183" t="n"/>
      <c r="D310" s="183" t="n"/>
      <c r="E310" s="183" t="n"/>
      <c r="F310" s="183" t="n"/>
      <c r="G310" s="183" t="n"/>
      <c r="H310" s="183" t="n"/>
      <c r="I310" s="183" t="n"/>
      <c r="J310" s="183" t="n"/>
      <c r="K310" s="183" t="n"/>
      <c r="L310" s="183" t="n"/>
      <c r="M310" s="183" t="n"/>
      <c r="N310" s="183" t="n"/>
      <c r="O310" s="183" t="n"/>
      <c r="P310" s="183" t="n"/>
      <c r="Q310" s="183" t="n"/>
      <c r="R310" s="183" t="n"/>
      <c r="S310" s="183" t="n"/>
      <c r="T310" s="183" t="n"/>
      <c r="U310" s="183" t="n"/>
      <c r="V310" s="183" t="n"/>
      <c r="W310" s="183" t="n"/>
      <c r="X310" s="183" t="n"/>
      <c r="Y310" s="183" t="n"/>
      <c r="Z310" s="183" t="n"/>
      <c r="AA310" s="183" t="n"/>
    </row>
    <row r="311">
      <c r="A311" s="183" t="n"/>
      <c r="B311" s="183" t="n"/>
      <c r="C311" s="183" t="n"/>
      <c r="D311" s="183" t="n"/>
      <c r="E311" s="183" t="n"/>
      <c r="F311" s="183" t="n"/>
      <c r="G311" s="183" t="n"/>
      <c r="H311" s="183" t="n"/>
      <c r="I311" s="183" t="n"/>
      <c r="J311" s="183" t="n"/>
      <c r="K311" s="183" t="n"/>
      <c r="L311" s="183" t="n"/>
      <c r="M311" s="183" t="n"/>
      <c r="N311" s="183" t="n"/>
      <c r="O311" s="183" t="n"/>
      <c r="P311" s="183" t="n"/>
      <c r="Q311" s="183" t="n"/>
      <c r="R311" s="183" t="n"/>
      <c r="S311" s="183" t="n"/>
      <c r="T311" s="183" t="n"/>
      <c r="U311" s="183" t="n"/>
      <c r="V311" s="183" t="n"/>
      <c r="W311" s="183" t="n"/>
      <c r="X311" s="183" t="n"/>
      <c r="Y311" s="183" t="n"/>
      <c r="Z311" s="183" t="n"/>
      <c r="AA311" s="183" t="n"/>
    </row>
    <row r="312">
      <c r="A312" s="183" t="n"/>
      <c r="B312" s="183" t="n"/>
      <c r="C312" s="183" t="n"/>
      <c r="D312" s="183" t="n"/>
      <c r="E312" s="183" t="n"/>
      <c r="F312" s="183" t="n"/>
      <c r="G312" s="183" t="n"/>
      <c r="H312" s="183" t="n"/>
      <c r="I312" s="183" t="n"/>
      <c r="J312" s="183" t="n"/>
      <c r="K312" s="183" t="n"/>
      <c r="L312" s="183" t="n"/>
      <c r="M312" s="183" t="n"/>
      <c r="N312" s="183" t="n"/>
      <c r="O312" s="183" t="n"/>
      <c r="P312" s="183" t="n"/>
      <c r="Q312" s="183" t="n"/>
      <c r="R312" s="183" t="n"/>
      <c r="S312" s="183" t="n"/>
      <c r="T312" s="183" t="n"/>
      <c r="U312" s="183" t="n"/>
      <c r="V312" s="183" t="n"/>
      <c r="W312" s="183" t="n"/>
      <c r="X312" s="183" t="n"/>
      <c r="Y312" s="183" t="n"/>
      <c r="Z312" s="183" t="n"/>
      <c r="AA312" s="183" t="n"/>
    </row>
    <row r="313">
      <c r="A313" s="183" t="n"/>
      <c r="B313" s="183" t="n"/>
      <c r="C313" s="183" t="n"/>
      <c r="D313" s="183" t="n"/>
      <c r="E313" s="183" t="n"/>
      <c r="F313" s="183" t="n"/>
      <c r="G313" s="183" t="n"/>
      <c r="H313" s="183" t="n"/>
      <c r="I313" s="183" t="n"/>
      <c r="J313" s="183" t="n"/>
      <c r="K313" s="183" t="n"/>
      <c r="L313" s="183" t="n"/>
      <c r="M313" s="183" t="n"/>
      <c r="N313" s="183" t="n"/>
      <c r="O313" s="183" t="n"/>
      <c r="P313" s="183" t="n"/>
      <c r="Q313" s="183" t="n"/>
      <c r="R313" s="183" t="n"/>
      <c r="S313" s="183" t="n"/>
      <c r="T313" s="183" t="n"/>
      <c r="U313" s="183" t="n"/>
      <c r="V313" s="183" t="n"/>
      <c r="W313" s="183" t="n"/>
      <c r="X313" s="183" t="n"/>
      <c r="Y313" s="183" t="n"/>
      <c r="Z313" s="183" t="n"/>
      <c r="AA313" s="183" t="n"/>
    </row>
    <row r="314">
      <c r="A314" s="183" t="n"/>
      <c r="B314" s="183" t="n"/>
      <c r="C314" s="183" t="n"/>
      <c r="D314" s="183" t="n"/>
      <c r="E314" s="183" t="n"/>
      <c r="F314" s="183" t="n"/>
      <c r="G314" s="183" t="n"/>
      <c r="H314" s="183" t="n"/>
      <c r="I314" s="183" t="n"/>
      <c r="J314" s="183" t="n"/>
      <c r="K314" s="183" t="n"/>
      <c r="L314" s="183" t="n"/>
      <c r="M314" s="183" t="n"/>
      <c r="N314" s="183" t="n"/>
      <c r="O314" s="183" t="n"/>
      <c r="P314" s="183" t="n"/>
      <c r="Q314" s="183" t="n"/>
      <c r="R314" s="183" t="n"/>
      <c r="S314" s="183" t="n"/>
      <c r="T314" s="183" t="n"/>
      <c r="U314" s="183" t="n"/>
      <c r="V314" s="183" t="n"/>
      <c r="W314" s="183" t="n"/>
      <c r="X314" s="183" t="n"/>
      <c r="Y314" s="183" t="n"/>
      <c r="Z314" s="183" t="n"/>
      <c r="AA314" s="183" t="n"/>
    </row>
    <row r="315">
      <c r="A315" s="183" t="n"/>
      <c r="B315" s="183" t="n"/>
      <c r="C315" s="183" t="n"/>
      <c r="D315" s="183" t="n"/>
      <c r="E315" s="183" t="n"/>
      <c r="F315" s="183" t="n"/>
      <c r="G315" s="183" t="n"/>
      <c r="H315" s="183" t="n"/>
      <c r="I315" s="183" t="n"/>
      <c r="J315" s="183" t="n"/>
      <c r="K315" s="183" t="n"/>
      <c r="L315" s="183" t="n"/>
      <c r="M315" s="183" t="n"/>
      <c r="N315" s="183" t="n"/>
      <c r="O315" s="183" t="n"/>
      <c r="P315" s="183" t="n"/>
      <c r="Q315" s="183" t="n"/>
      <c r="R315" s="183" t="n"/>
      <c r="S315" s="183" t="n"/>
      <c r="T315" s="183" t="n"/>
      <c r="U315" s="183" t="n"/>
      <c r="V315" s="183" t="n"/>
      <c r="W315" s="183" t="n"/>
      <c r="X315" s="183" t="n"/>
      <c r="Y315" s="183" t="n"/>
      <c r="Z315" s="183" t="n"/>
      <c r="AA315" s="183" t="n"/>
    </row>
    <row r="316">
      <c r="A316" s="183" t="n"/>
      <c r="B316" s="183" t="n"/>
      <c r="C316" s="183" t="n"/>
      <c r="D316" s="183" t="n"/>
      <c r="E316" s="183" t="n"/>
      <c r="F316" s="183" t="n"/>
      <c r="G316" s="183" t="n"/>
      <c r="H316" s="183" t="n"/>
      <c r="I316" s="183" t="n"/>
      <c r="J316" s="183" t="n"/>
      <c r="K316" s="183" t="n"/>
      <c r="L316" s="183" t="n"/>
      <c r="M316" s="183" t="n"/>
      <c r="N316" s="183" t="n"/>
      <c r="O316" s="183" t="n"/>
      <c r="P316" s="183" t="n"/>
      <c r="Q316" s="183" t="n"/>
      <c r="R316" s="183" t="n"/>
      <c r="S316" s="183" t="n"/>
      <c r="T316" s="183" t="n"/>
      <c r="U316" s="183" t="n"/>
      <c r="V316" s="183" t="n"/>
      <c r="W316" s="183" t="n"/>
      <c r="X316" s="183" t="n"/>
      <c r="Y316" s="183" t="n"/>
      <c r="Z316" s="183" t="n"/>
      <c r="AA316" s="183" t="n"/>
    </row>
    <row r="317">
      <c r="A317" s="183" t="n"/>
      <c r="B317" s="183" t="n"/>
      <c r="C317" s="183" t="n"/>
      <c r="D317" s="183" t="n"/>
      <c r="E317" s="183" t="n"/>
      <c r="F317" s="183" t="n"/>
      <c r="G317" s="183" t="n"/>
      <c r="H317" s="183" t="n"/>
      <c r="I317" s="183" t="n"/>
      <c r="J317" s="183" t="n"/>
      <c r="K317" s="183" t="n"/>
      <c r="L317" s="183" t="n"/>
      <c r="M317" s="183" t="n"/>
      <c r="N317" s="183" t="n"/>
      <c r="O317" s="183" t="n"/>
      <c r="P317" s="183" t="n"/>
      <c r="Q317" s="183" t="n"/>
      <c r="R317" s="183" t="n"/>
      <c r="S317" s="183" t="n"/>
      <c r="T317" s="183" t="n"/>
      <c r="U317" s="183" t="n"/>
      <c r="V317" s="183" t="n"/>
      <c r="W317" s="183" t="n"/>
      <c r="X317" s="183" t="n"/>
      <c r="Y317" s="183" t="n"/>
      <c r="Z317" s="183" t="n"/>
      <c r="AA317" s="183" t="n"/>
    </row>
    <row r="318">
      <c r="A318" s="183" t="n"/>
      <c r="B318" s="183" t="n"/>
      <c r="C318" s="183" t="n"/>
      <c r="D318" s="183" t="n"/>
      <c r="E318" s="183" t="n"/>
      <c r="F318" s="183" t="n"/>
      <c r="G318" s="183" t="n"/>
      <c r="H318" s="183" t="n"/>
      <c r="I318" s="183" t="n"/>
      <c r="J318" s="183" t="n"/>
      <c r="K318" s="183" t="n"/>
      <c r="L318" s="183" t="n"/>
      <c r="M318" s="183" t="n"/>
      <c r="N318" s="183" t="n"/>
      <c r="O318" s="183" t="n"/>
      <c r="P318" s="183" t="n"/>
      <c r="Q318" s="183" t="n"/>
      <c r="R318" s="183" t="n"/>
      <c r="S318" s="183" t="n"/>
      <c r="T318" s="183" t="n"/>
      <c r="U318" s="183" t="n"/>
      <c r="V318" s="183" t="n"/>
      <c r="W318" s="183" t="n"/>
      <c r="X318" s="183" t="n"/>
      <c r="Y318" s="183" t="n"/>
      <c r="Z318" s="183" t="n"/>
      <c r="AA318" s="183" t="n"/>
    </row>
    <row r="319">
      <c r="A319" s="183" t="n"/>
      <c r="B319" s="183" t="n"/>
      <c r="C319" s="183" t="n"/>
      <c r="D319" s="183" t="n"/>
      <c r="E319" s="183" t="n"/>
      <c r="F319" s="183" t="n"/>
      <c r="G319" s="183" t="n"/>
      <c r="H319" s="183" t="n"/>
      <c r="I319" s="183" t="n"/>
      <c r="J319" s="183" t="n"/>
      <c r="K319" s="183" t="n"/>
      <c r="L319" s="183" t="n"/>
      <c r="M319" s="183" t="n"/>
      <c r="N319" s="183" t="n"/>
      <c r="O319" s="183" t="n"/>
      <c r="P319" s="183" t="n"/>
      <c r="Q319" s="183" t="n"/>
      <c r="R319" s="183" t="n"/>
      <c r="S319" s="183" t="n"/>
      <c r="T319" s="183" t="n"/>
      <c r="U319" s="183" t="n"/>
      <c r="V319" s="183" t="n"/>
      <c r="W319" s="183" t="n"/>
      <c r="X319" s="183" t="n"/>
      <c r="Y319" s="183" t="n"/>
      <c r="Z319" s="183" t="n"/>
      <c r="AA319" s="183" t="n"/>
    </row>
    <row r="320">
      <c r="A320" s="183" t="n"/>
      <c r="B320" s="183" t="n"/>
      <c r="C320" s="183" t="n"/>
      <c r="D320" s="183" t="n"/>
      <c r="E320" s="183" t="n"/>
      <c r="F320" s="183" t="n"/>
      <c r="G320" s="183" t="n"/>
      <c r="H320" s="183" t="n"/>
      <c r="I320" s="183" t="n"/>
      <c r="J320" s="183" t="n"/>
      <c r="K320" s="183" t="n"/>
      <c r="L320" s="183" t="n"/>
      <c r="M320" s="183" t="n"/>
      <c r="N320" s="183" t="n"/>
      <c r="O320" s="183" t="n"/>
      <c r="P320" s="183" t="n"/>
      <c r="Q320" s="183" t="n"/>
      <c r="R320" s="183" t="n"/>
      <c r="S320" s="183" t="n"/>
      <c r="T320" s="183" t="n"/>
      <c r="U320" s="183" t="n"/>
      <c r="V320" s="183" t="n"/>
      <c r="W320" s="183" t="n"/>
      <c r="X320" s="183" t="n"/>
      <c r="Y320" s="183" t="n"/>
      <c r="Z320" s="183" t="n"/>
      <c r="AA320" s="183" t="n"/>
    </row>
    <row r="321">
      <c r="A321" s="183" t="n"/>
      <c r="B321" s="183" t="n"/>
      <c r="C321" s="183" t="n"/>
      <c r="D321" s="183" t="n"/>
      <c r="E321" s="183" t="n"/>
      <c r="F321" s="183" t="n"/>
      <c r="G321" s="183" t="n"/>
      <c r="H321" s="183" t="n"/>
      <c r="I321" s="183" t="n"/>
      <c r="J321" s="183" t="n"/>
      <c r="K321" s="183" t="n"/>
      <c r="L321" s="183" t="n"/>
      <c r="M321" s="183" t="n"/>
      <c r="N321" s="183" t="n"/>
      <c r="O321" s="183" t="n"/>
      <c r="P321" s="183" t="n"/>
      <c r="Q321" s="183" t="n"/>
      <c r="R321" s="183" t="n"/>
      <c r="S321" s="183" t="n"/>
      <c r="T321" s="183" t="n"/>
      <c r="U321" s="183" t="n"/>
      <c r="V321" s="183" t="n"/>
      <c r="W321" s="183" t="n"/>
      <c r="X321" s="183" t="n"/>
      <c r="Y321" s="183" t="n"/>
      <c r="Z321" s="183" t="n"/>
      <c r="AA321" s="183" t="n"/>
    </row>
    <row r="322">
      <c r="A322" s="183" t="n"/>
      <c r="B322" s="183" t="n"/>
      <c r="C322" s="183" t="n"/>
      <c r="D322" s="183" t="n"/>
      <c r="E322" s="183" t="n"/>
      <c r="F322" s="183" t="n"/>
      <c r="G322" s="183" t="n"/>
      <c r="H322" s="183" t="n"/>
      <c r="I322" s="183" t="n"/>
      <c r="J322" s="183" t="n"/>
      <c r="K322" s="183" t="n"/>
      <c r="L322" s="183" t="n"/>
      <c r="M322" s="183" t="n"/>
      <c r="N322" s="183" t="n"/>
      <c r="O322" s="183" t="n"/>
      <c r="P322" s="183" t="n"/>
      <c r="Q322" s="183" t="n"/>
      <c r="R322" s="183" t="n"/>
      <c r="S322" s="183" t="n"/>
      <c r="T322" s="183" t="n"/>
      <c r="U322" s="183" t="n"/>
      <c r="V322" s="183" t="n"/>
      <c r="W322" s="183" t="n"/>
      <c r="X322" s="183" t="n"/>
      <c r="Y322" s="183" t="n"/>
      <c r="Z322" s="183" t="n"/>
      <c r="AA322" s="183" t="n"/>
    </row>
    <row r="323">
      <c r="A323" s="183" t="n"/>
      <c r="B323" s="183" t="n"/>
      <c r="C323" s="183" t="n"/>
      <c r="D323" s="183" t="n"/>
      <c r="E323" s="183" t="n"/>
      <c r="F323" s="183" t="n"/>
      <c r="G323" s="183" t="n"/>
      <c r="H323" s="183" t="n"/>
      <c r="I323" s="183" t="n"/>
      <c r="J323" s="183" t="n"/>
      <c r="K323" s="183" t="n"/>
      <c r="L323" s="183" t="n"/>
      <c r="M323" s="183" t="n"/>
      <c r="N323" s="183" t="n"/>
      <c r="O323" s="183" t="n"/>
      <c r="P323" s="183" t="n"/>
      <c r="Q323" s="183" t="n"/>
      <c r="R323" s="183" t="n"/>
      <c r="S323" s="183" t="n"/>
      <c r="T323" s="183" t="n"/>
      <c r="U323" s="183" t="n"/>
      <c r="V323" s="183" t="n"/>
      <c r="W323" s="183" t="n"/>
      <c r="X323" s="183" t="n"/>
      <c r="Y323" s="183" t="n"/>
      <c r="Z323" s="183" t="n"/>
      <c r="AA323" s="183" t="n"/>
    </row>
    <row r="324">
      <c r="A324" s="183" t="n"/>
      <c r="B324" s="183" t="n"/>
      <c r="C324" s="183" t="n"/>
      <c r="D324" s="183" t="n"/>
      <c r="E324" s="183" t="n"/>
      <c r="F324" s="183" t="n"/>
      <c r="G324" s="183" t="n"/>
      <c r="H324" s="183" t="n"/>
      <c r="I324" s="183" t="n"/>
      <c r="J324" s="183" t="n"/>
      <c r="K324" s="183" t="n"/>
      <c r="L324" s="183" t="n"/>
      <c r="M324" s="183" t="n"/>
      <c r="N324" s="183" t="n"/>
      <c r="O324" s="183" t="n"/>
      <c r="P324" s="183" t="n"/>
      <c r="Q324" s="183" t="n"/>
      <c r="R324" s="183" t="n"/>
      <c r="S324" s="183" t="n"/>
      <c r="T324" s="183" t="n"/>
      <c r="U324" s="183" t="n"/>
      <c r="V324" s="183" t="n"/>
      <c r="W324" s="183" t="n"/>
      <c r="X324" s="183" t="n"/>
      <c r="Y324" s="183" t="n"/>
      <c r="Z324" s="183" t="n"/>
      <c r="AA324" s="183" t="n"/>
    </row>
    <row r="325">
      <c r="A325" s="183" t="n"/>
      <c r="B325" s="183" t="n"/>
      <c r="C325" s="183" t="n"/>
      <c r="D325" s="183" t="n"/>
      <c r="E325" s="183" t="n"/>
      <c r="F325" s="183" t="n"/>
      <c r="G325" s="183" t="n"/>
      <c r="H325" s="183" t="n"/>
      <c r="I325" s="183" t="n"/>
      <c r="J325" s="183" t="n"/>
      <c r="K325" s="183" t="n"/>
      <c r="L325" s="183" t="n"/>
      <c r="M325" s="183" t="n"/>
      <c r="N325" s="183" t="n"/>
      <c r="O325" s="183" t="n"/>
      <c r="P325" s="183" t="n"/>
      <c r="Q325" s="183" t="n"/>
      <c r="R325" s="183" t="n"/>
      <c r="S325" s="183" t="n"/>
      <c r="T325" s="183" t="n"/>
      <c r="U325" s="183" t="n"/>
      <c r="V325" s="183" t="n"/>
      <c r="W325" s="183" t="n"/>
      <c r="X325" s="183" t="n"/>
      <c r="Y325" s="183" t="n"/>
      <c r="Z325" s="183" t="n"/>
      <c r="AA325" s="183" t="n"/>
    </row>
    <row r="326">
      <c r="A326" s="183" t="n"/>
      <c r="B326" s="183" t="n"/>
      <c r="C326" s="183" t="n"/>
      <c r="D326" s="183" t="n"/>
      <c r="E326" s="183" t="n"/>
      <c r="F326" s="183" t="n"/>
      <c r="G326" s="183" t="n"/>
      <c r="H326" s="183" t="n"/>
      <c r="I326" s="183" t="n"/>
      <c r="J326" s="183" t="n"/>
      <c r="K326" s="183" t="n"/>
      <c r="L326" s="183" t="n"/>
      <c r="M326" s="183" t="n"/>
      <c r="N326" s="183" t="n"/>
      <c r="O326" s="183" t="n"/>
      <c r="P326" s="183" t="n"/>
      <c r="Q326" s="183" t="n"/>
      <c r="R326" s="183" t="n"/>
      <c r="S326" s="183" t="n"/>
      <c r="T326" s="183" t="n"/>
      <c r="U326" s="183" t="n"/>
      <c r="V326" s="183" t="n"/>
      <c r="W326" s="183" t="n"/>
      <c r="X326" s="183" t="n"/>
      <c r="Y326" s="183" t="n"/>
      <c r="Z326" s="183" t="n"/>
      <c r="AA326" s="183" t="n"/>
    </row>
    <row r="327">
      <c r="A327" s="183" t="n"/>
      <c r="B327" s="183" t="n"/>
      <c r="C327" s="183" t="n"/>
      <c r="D327" s="183" t="n"/>
      <c r="E327" s="183" t="n"/>
      <c r="F327" s="183" t="n"/>
      <c r="G327" s="183" t="n"/>
      <c r="H327" s="183" t="n"/>
      <c r="I327" s="183" t="n"/>
      <c r="J327" s="183" t="n"/>
      <c r="K327" s="183" t="n"/>
      <c r="L327" s="183" t="n"/>
      <c r="M327" s="183" t="n"/>
      <c r="N327" s="183" t="n"/>
      <c r="O327" s="183" t="n"/>
      <c r="P327" s="183" t="n"/>
      <c r="Q327" s="183" t="n"/>
      <c r="R327" s="183" t="n"/>
      <c r="S327" s="183" t="n"/>
      <c r="T327" s="183" t="n"/>
      <c r="U327" s="183" t="n"/>
      <c r="V327" s="183" t="n"/>
      <c r="W327" s="183" t="n"/>
      <c r="X327" s="183" t="n"/>
      <c r="Y327" s="183" t="n"/>
      <c r="Z327" s="183" t="n"/>
      <c r="AA327" s="183" t="n"/>
    </row>
    <row r="328">
      <c r="A328" s="183" t="n"/>
      <c r="B328" s="183" t="n"/>
      <c r="C328" s="183" t="n"/>
      <c r="D328" s="183" t="n"/>
      <c r="E328" s="183" t="n"/>
      <c r="F328" s="183" t="n"/>
      <c r="G328" s="183" t="n"/>
      <c r="H328" s="183" t="n"/>
      <c r="I328" s="183" t="n"/>
      <c r="J328" s="183" t="n"/>
      <c r="K328" s="183" t="n"/>
      <c r="L328" s="183" t="n"/>
      <c r="M328" s="183" t="n"/>
      <c r="N328" s="183" t="n"/>
      <c r="O328" s="183" t="n"/>
      <c r="P328" s="183" t="n"/>
      <c r="Q328" s="183" t="n"/>
      <c r="R328" s="183" t="n"/>
      <c r="S328" s="183" t="n"/>
      <c r="T328" s="183" t="n"/>
      <c r="U328" s="183" t="n"/>
      <c r="V328" s="183" t="n"/>
      <c r="W328" s="183" t="n"/>
      <c r="X328" s="183" t="n"/>
      <c r="Y328" s="183" t="n"/>
      <c r="Z328" s="183" t="n"/>
      <c r="AA328" s="183" t="n"/>
    </row>
    <row r="329">
      <c r="A329" s="183" t="n"/>
      <c r="B329" s="183" t="n"/>
      <c r="C329" s="183" t="n"/>
      <c r="D329" s="183" t="n"/>
      <c r="E329" s="183" t="n"/>
      <c r="F329" s="183" t="n"/>
      <c r="G329" s="183" t="n"/>
      <c r="H329" s="183" t="n"/>
      <c r="I329" s="183" t="n"/>
      <c r="J329" s="183" t="n"/>
      <c r="K329" s="183" t="n"/>
      <c r="L329" s="183" t="n"/>
      <c r="M329" s="183" t="n"/>
      <c r="N329" s="183" t="n"/>
      <c r="O329" s="183" t="n"/>
      <c r="P329" s="183" t="n"/>
      <c r="Q329" s="183" t="n"/>
      <c r="R329" s="183" t="n"/>
      <c r="S329" s="183" t="n"/>
      <c r="T329" s="183" t="n"/>
      <c r="U329" s="183" t="n"/>
      <c r="V329" s="183" t="n"/>
      <c r="W329" s="183" t="n"/>
      <c r="X329" s="183" t="n"/>
      <c r="Y329" s="183" t="n"/>
      <c r="Z329" s="183" t="n"/>
      <c r="AA329" s="183" t="n"/>
    </row>
    <row r="330">
      <c r="A330" s="183" t="n"/>
      <c r="B330" s="183" t="n"/>
      <c r="C330" s="183" t="n"/>
      <c r="D330" s="183" t="n"/>
      <c r="E330" s="183" t="n"/>
      <c r="F330" s="183" t="n"/>
      <c r="G330" s="183" t="n"/>
      <c r="H330" s="183" t="n"/>
      <c r="I330" s="183" t="n"/>
      <c r="J330" s="183" t="n"/>
      <c r="K330" s="183" t="n"/>
      <c r="L330" s="183" t="n"/>
      <c r="M330" s="183" t="n"/>
      <c r="N330" s="183" t="n"/>
      <c r="O330" s="183" t="n"/>
      <c r="P330" s="183" t="n"/>
      <c r="Q330" s="183" t="n"/>
      <c r="R330" s="183" t="n"/>
      <c r="S330" s="183" t="n"/>
      <c r="T330" s="183" t="n"/>
      <c r="U330" s="183" t="n"/>
      <c r="V330" s="183" t="n"/>
      <c r="W330" s="183" t="n"/>
      <c r="X330" s="183" t="n"/>
      <c r="Y330" s="183" t="n"/>
      <c r="Z330" s="183" t="n"/>
      <c r="AA330" s="183" t="n"/>
    </row>
    <row r="331">
      <c r="A331" s="183" t="n"/>
      <c r="B331" s="183" t="n"/>
      <c r="C331" s="183" t="n"/>
      <c r="D331" s="183" t="n"/>
      <c r="E331" s="183" t="n"/>
      <c r="F331" s="183" t="n"/>
      <c r="G331" s="183" t="n"/>
      <c r="H331" s="183" t="n"/>
      <c r="I331" s="183" t="n"/>
      <c r="J331" s="183" t="n"/>
      <c r="K331" s="183" t="n"/>
      <c r="L331" s="183" t="n"/>
      <c r="M331" s="183" t="n"/>
      <c r="N331" s="183" t="n"/>
      <c r="O331" s="183" t="n"/>
      <c r="P331" s="183" t="n"/>
      <c r="Q331" s="183" t="n"/>
      <c r="R331" s="183" t="n"/>
      <c r="S331" s="183" t="n"/>
      <c r="T331" s="183" t="n"/>
      <c r="U331" s="183" t="n"/>
      <c r="V331" s="183" t="n"/>
      <c r="W331" s="183" t="n"/>
      <c r="X331" s="183" t="n"/>
      <c r="Y331" s="183" t="n"/>
      <c r="Z331" s="183" t="n"/>
      <c r="AA331" s="183" t="n"/>
    </row>
    <row r="332">
      <c r="A332" s="183" t="n"/>
      <c r="B332" s="183" t="n"/>
      <c r="C332" s="183" t="n"/>
      <c r="D332" s="183" t="n"/>
      <c r="E332" s="183" t="n"/>
      <c r="F332" s="183" t="n"/>
      <c r="G332" s="183" t="n"/>
      <c r="H332" s="183" t="n"/>
      <c r="I332" s="183" t="n"/>
      <c r="J332" s="183" t="n"/>
      <c r="K332" s="183" t="n"/>
      <c r="L332" s="183" t="n"/>
      <c r="M332" s="183" t="n"/>
      <c r="N332" s="183" t="n"/>
      <c r="O332" s="183" t="n"/>
      <c r="P332" s="183" t="n"/>
      <c r="Q332" s="183" t="n"/>
      <c r="R332" s="183" t="n"/>
      <c r="S332" s="183" t="n"/>
      <c r="T332" s="183" t="n"/>
      <c r="U332" s="183" t="n"/>
      <c r="V332" s="183" t="n"/>
      <c r="W332" s="183" t="n"/>
      <c r="X332" s="183" t="n"/>
      <c r="Y332" s="183" t="n"/>
      <c r="Z332" s="183" t="n"/>
      <c r="AA332" s="183" t="n"/>
    </row>
    <row r="333">
      <c r="A333" s="183" t="n"/>
      <c r="B333" s="183" t="n"/>
      <c r="C333" s="183" t="n"/>
      <c r="D333" s="183" t="n"/>
      <c r="E333" s="183" t="n"/>
      <c r="F333" s="183" t="n"/>
      <c r="G333" s="183" t="n"/>
      <c r="H333" s="183" t="n"/>
      <c r="I333" s="183" t="n"/>
      <c r="J333" s="183" t="n"/>
      <c r="K333" s="183" t="n"/>
      <c r="L333" s="183" t="n"/>
      <c r="M333" s="183" t="n"/>
      <c r="N333" s="183" t="n"/>
      <c r="O333" s="183" t="n"/>
      <c r="P333" s="183" t="n"/>
      <c r="Q333" s="183" t="n"/>
      <c r="R333" s="183" t="n"/>
      <c r="S333" s="183" t="n"/>
      <c r="T333" s="183" t="n"/>
      <c r="U333" s="183" t="n"/>
      <c r="V333" s="183" t="n"/>
      <c r="W333" s="183" t="n"/>
      <c r="X333" s="183" t="n"/>
      <c r="Y333" s="183" t="n"/>
      <c r="Z333" s="183" t="n"/>
      <c r="AA333" s="183" t="n"/>
    </row>
    <row r="334">
      <c r="A334" s="183" t="n"/>
      <c r="B334" s="183" t="n"/>
      <c r="C334" s="183" t="n"/>
      <c r="D334" s="183" t="n"/>
      <c r="E334" s="183" t="n"/>
      <c r="F334" s="183" t="n"/>
      <c r="G334" s="183" t="n"/>
      <c r="H334" s="183" t="n"/>
      <c r="I334" s="183" t="n"/>
      <c r="J334" s="183" t="n"/>
      <c r="K334" s="183" t="n"/>
      <c r="L334" s="183" t="n"/>
      <c r="M334" s="183" t="n"/>
      <c r="N334" s="183" t="n"/>
      <c r="O334" s="183" t="n"/>
      <c r="P334" s="183" t="n"/>
      <c r="Q334" s="183" t="n"/>
      <c r="R334" s="183" t="n"/>
      <c r="S334" s="183" t="n"/>
      <c r="T334" s="183" t="n"/>
      <c r="U334" s="183" t="n"/>
      <c r="V334" s="183" t="n"/>
      <c r="W334" s="183" t="n"/>
      <c r="X334" s="183" t="n"/>
      <c r="Y334" s="183" t="n"/>
      <c r="Z334" s="183" t="n"/>
      <c r="AA334" s="183" t="n"/>
    </row>
    <row r="335">
      <c r="A335" s="183" t="n"/>
      <c r="B335" s="183" t="n"/>
      <c r="C335" s="183" t="n"/>
      <c r="D335" s="183" t="n"/>
      <c r="E335" s="183" t="n"/>
      <c r="F335" s="183" t="n"/>
      <c r="G335" s="183" t="n"/>
      <c r="H335" s="183" t="n"/>
      <c r="I335" s="183" t="n"/>
      <c r="J335" s="183" t="n"/>
      <c r="K335" s="183" t="n"/>
      <c r="L335" s="183" t="n"/>
      <c r="M335" s="183" t="n"/>
      <c r="N335" s="183" t="n"/>
      <c r="O335" s="183" t="n"/>
      <c r="P335" s="183" t="n"/>
      <c r="Q335" s="183" t="n"/>
      <c r="R335" s="183" t="n"/>
      <c r="S335" s="183" t="n"/>
      <c r="T335" s="183" t="n"/>
      <c r="U335" s="183" t="n"/>
      <c r="V335" s="183" t="n"/>
      <c r="W335" s="183" t="n"/>
      <c r="X335" s="183" t="n"/>
      <c r="Y335" s="183" t="n"/>
      <c r="Z335" s="183" t="n"/>
      <c r="AA335" s="183" t="n"/>
    </row>
    <row r="336">
      <c r="A336" s="183" t="n"/>
      <c r="B336" s="183" t="n"/>
      <c r="C336" s="183" t="n"/>
      <c r="D336" s="183" t="n"/>
      <c r="E336" s="183" t="n"/>
      <c r="F336" s="183" t="n"/>
      <c r="G336" s="183" t="n"/>
      <c r="H336" s="183" t="n"/>
      <c r="I336" s="183" t="n"/>
      <c r="J336" s="183" t="n"/>
      <c r="K336" s="183" t="n"/>
      <c r="L336" s="183" t="n"/>
      <c r="M336" s="183" t="n"/>
      <c r="N336" s="183" t="n"/>
      <c r="O336" s="183" t="n"/>
      <c r="P336" s="183" t="n"/>
      <c r="Q336" s="183" t="n"/>
      <c r="R336" s="183" t="n"/>
      <c r="S336" s="183" t="n"/>
      <c r="T336" s="183" t="n"/>
      <c r="U336" s="183" t="n"/>
      <c r="V336" s="183" t="n"/>
      <c r="W336" s="183" t="n"/>
      <c r="X336" s="183" t="n"/>
      <c r="Y336" s="183" t="n"/>
      <c r="Z336" s="183" t="n"/>
      <c r="AA336" s="183" t="n"/>
    </row>
    <row r="337">
      <c r="A337" s="183" t="n"/>
      <c r="B337" s="183" t="n"/>
      <c r="C337" s="183" t="n"/>
      <c r="D337" s="183" t="n"/>
      <c r="E337" s="183" t="n"/>
      <c r="F337" s="183" t="n"/>
      <c r="G337" s="183" t="n"/>
      <c r="H337" s="183" t="n"/>
      <c r="I337" s="183" t="n"/>
      <c r="J337" s="183" t="n"/>
      <c r="K337" s="183" t="n"/>
      <c r="L337" s="183" t="n"/>
      <c r="M337" s="183" t="n"/>
      <c r="N337" s="183" t="n"/>
      <c r="O337" s="183" t="n"/>
      <c r="P337" s="183" t="n"/>
      <c r="Q337" s="183" t="n"/>
      <c r="R337" s="183" t="n"/>
      <c r="S337" s="183" t="n"/>
      <c r="T337" s="183" t="n"/>
      <c r="U337" s="183" t="n"/>
      <c r="V337" s="183" t="n"/>
      <c r="W337" s="183" t="n"/>
      <c r="X337" s="183" t="n"/>
      <c r="Y337" s="183" t="n"/>
      <c r="Z337" s="183" t="n"/>
      <c r="AA337" s="183" t="n"/>
    </row>
    <row r="338">
      <c r="A338" s="183" t="n"/>
      <c r="B338" s="183" t="n"/>
      <c r="C338" s="183" t="n"/>
      <c r="D338" s="183" t="n"/>
      <c r="E338" s="183" t="n"/>
      <c r="F338" s="183" t="n"/>
      <c r="G338" s="183" t="n"/>
      <c r="H338" s="183" t="n"/>
      <c r="I338" s="183" t="n"/>
      <c r="J338" s="183" t="n"/>
      <c r="K338" s="183" t="n"/>
      <c r="L338" s="183" t="n"/>
      <c r="M338" s="183" t="n"/>
      <c r="N338" s="183" t="n"/>
      <c r="O338" s="183" t="n"/>
      <c r="P338" s="183" t="n"/>
      <c r="Q338" s="183" t="n"/>
      <c r="R338" s="183" t="n"/>
      <c r="S338" s="183" t="n"/>
      <c r="T338" s="183" t="n"/>
      <c r="U338" s="183" t="n"/>
      <c r="V338" s="183" t="n"/>
      <c r="W338" s="183" t="n"/>
      <c r="X338" s="183" t="n"/>
      <c r="Y338" s="183" t="n"/>
      <c r="Z338" s="183" t="n"/>
      <c r="AA338" s="183" t="n"/>
    </row>
    <row r="339">
      <c r="A339" s="183" t="n"/>
      <c r="B339" s="183" t="n"/>
      <c r="C339" s="183" t="n"/>
      <c r="D339" s="183" t="n"/>
      <c r="E339" s="183" t="n"/>
      <c r="F339" s="183" t="n"/>
      <c r="G339" s="183" t="n"/>
      <c r="H339" s="183" t="n"/>
      <c r="I339" s="183" t="n"/>
      <c r="J339" s="183" t="n"/>
      <c r="K339" s="183" t="n"/>
      <c r="L339" s="183" t="n"/>
      <c r="M339" s="183" t="n"/>
      <c r="N339" s="183" t="n"/>
      <c r="O339" s="183" t="n"/>
      <c r="P339" s="183" t="n"/>
      <c r="Q339" s="183" t="n"/>
      <c r="R339" s="183" t="n"/>
      <c r="S339" s="183" t="n"/>
      <c r="T339" s="183" t="n"/>
      <c r="U339" s="183" t="n"/>
      <c r="V339" s="183" t="n"/>
      <c r="W339" s="183" t="n"/>
      <c r="X339" s="183" t="n"/>
      <c r="Y339" s="183" t="n"/>
      <c r="Z339" s="183" t="n"/>
      <c r="AA339" s="183" t="n"/>
    </row>
    <row r="340">
      <c r="A340" s="183" t="n"/>
      <c r="B340" s="183" t="n"/>
      <c r="C340" s="183" t="n"/>
      <c r="D340" s="183" t="n"/>
      <c r="E340" s="183" t="n"/>
      <c r="F340" s="183" t="n"/>
      <c r="G340" s="183" t="n"/>
      <c r="H340" s="183" t="n"/>
      <c r="I340" s="183" t="n"/>
      <c r="J340" s="183" t="n"/>
      <c r="K340" s="183" t="n"/>
      <c r="L340" s="183" t="n"/>
      <c r="M340" s="183" t="n"/>
      <c r="N340" s="183" t="n"/>
      <c r="O340" s="183" t="n"/>
      <c r="P340" s="183" t="n"/>
      <c r="Q340" s="183" t="n"/>
      <c r="R340" s="183" t="n"/>
      <c r="S340" s="183" t="n"/>
      <c r="T340" s="183" t="n"/>
      <c r="U340" s="183" t="n"/>
      <c r="V340" s="183" t="n"/>
      <c r="W340" s="183" t="n"/>
      <c r="X340" s="183" t="n"/>
      <c r="Y340" s="183" t="n"/>
      <c r="Z340" s="183" t="n"/>
      <c r="AA340" s="183" t="n"/>
    </row>
    <row r="341">
      <c r="A341" s="183" t="n"/>
      <c r="B341" s="183" t="n"/>
      <c r="C341" s="183" t="n"/>
      <c r="D341" s="183" t="n"/>
      <c r="E341" s="183" t="n"/>
      <c r="F341" s="183" t="n"/>
      <c r="G341" s="183" t="n"/>
      <c r="H341" s="183" t="n"/>
      <c r="I341" s="183" t="n"/>
      <c r="J341" s="183" t="n"/>
      <c r="K341" s="183" t="n"/>
      <c r="L341" s="183" t="n"/>
      <c r="M341" s="183" t="n"/>
      <c r="N341" s="183" t="n"/>
      <c r="O341" s="183" t="n"/>
      <c r="P341" s="183" t="n"/>
      <c r="Q341" s="183" t="n"/>
      <c r="R341" s="183" t="n"/>
      <c r="S341" s="183" t="n"/>
      <c r="T341" s="183" t="n"/>
      <c r="U341" s="183" t="n"/>
      <c r="V341" s="183" t="n"/>
      <c r="W341" s="183" t="n"/>
      <c r="X341" s="183" t="n"/>
      <c r="Y341" s="183" t="n"/>
      <c r="Z341" s="183" t="n"/>
      <c r="AA341" s="183" t="n"/>
    </row>
    <row r="342">
      <c r="A342" s="183" t="n"/>
      <c r="B342" s="183" t="n"/>
      <c r="C342" s="183" t="n"/>
      <c r="D342" s="183" t="n"/>
      <c r="E342" s="183" t="n"/>
      <c r="F342" s="183" t="n"/>
      <c r="G342" s="183" t="n"/>
      <c r="H342" s="183" t="n"/>
      <c r="I342" s="183" t="n"/>
      <c r="J342" s="183" t="n"/>
      <c r="K342" s="183" t="n"/>
      <c r="L342" s="183" t="n"/>
      <c r="M342" s="183" t="n"/>
      <c r="N342" s="183" t="n"/>
      <c r="O342" s="183" t="n"/>
      <c r="P342" s="183" t="n"/>
      <c r="Q342" s="183" t="n"/>
      <c r="R342" s="183" t="n"/>
      <c r="S342" s="183" t="n"/>
      <c r="T342" s="183" t="n"/>
      <c r="U342" s="183" t="n"/>
      <c r="V342" s="183" t="n"/>
      <c r="W342" s="183" t="n"/>
      <c r="X342" s="183" t="n"/>
      <c r="Y342" s="183" t="n"/>
      <c r="Z342" s="183" t="n"/>
      <c r="AA342" s="183" t="n"/>
    </row>
    <row r="343">
      <c r="A343" s="183" t="n"/>
      <c r="B343" s="183" t="n"/>
      <c r="C343" s="183" t="n"/>
      <c r="D343" s="183" t="n"/>
      <c r="E343" s="183" t="n"/>
      <c r="F343" s="183" t="n"/>
      <c r="G343" s="183" t="n"/>
      <c r="H343" s="183" t="n"/>
      <c r="I343" s="183" t="n"/>
      <c r="J343" s="183" t="n"/>
      <c r="K343" s="183" t="n"/>
      <c r="L343" s="183" t="n"/>
      <c r="M343" s="183" t="n"/>
      <c r="N343" s="183" t="n"/>
      <c r="O343" s="183" t="n"/>
      <c r="P343" s="183" t="n"/>
      <c r="Q343" s="183" t="n"/>
      <c r="R343" s="183" t="n"/>
      <c r="S343" s="183" t="n"/>
      <c r="T343" s="183" t="n"/>
      <c r="U343" s="183" t="n"/>
      <c r="V343" s="183" t="n"/>
      <c r="W343" s="183" t="n"/>
      <c r="X343" s="183" t="n"/>
      <c r="Y343" s="183" t="n"/>
      <c r="Z343" s="183" t="n"/>
      <c r="AA343" s="183" t="n"/>
    </row>
    <row r="344">
      <c r="A344" s="183" t="n"/>
      <c r="B344" s="183" t="n"/>
      <c r="C344" s="183" t="n"/>
      <c r="D344" s="183" t="n"/>
      <c r="E344" s="183" t="n"/>
      <c r="F344" s="183" t="n"/>
      <c r="G344" s="183" t="n"/>
      <c r="H344" s="183" t="n"/>
      <c r="I344" s="183" t="n"/>
      <c r="J344" s="183" t="n"/>
      <c r="K344" s="183" t="n"/>
      <c r="L344" s="183" t="n"/>
      <c r="M344" s="183" t="n"/>
      <c r="N344" s="183" t="n"/>
      <c r="O344" s="183" t="n"/>
      <c r="P344" s="183" t="n"/>
      <c r="Q344" s="183" t="n"/>
      <c r="R344" s="183" t="n"/>
      <c r="S344" s="183" t="n"/>
      <c r="T344" s="183" t="n"/>
      <c r="U344" s="183" t="n"/>
      <c r="V344" s="183" t="n"/>
      <c r="W344" s="183" t="n"/>
      <c r="X344" s="183" t="n"/>
      <c r="Y344" s="183" t="n"/>
      <c r="Z344" s="183" t="n"/>
      <c r="AA344" s="183" t="n"/>
    </row>
    <row r="345">
      <c r="A345" s="183" t="n"/>
      <c r="B345" s="183" t="n"/>
      <c r="C345" s="183" t="n"/>
      <c r="D345" s="183" t="n"/>
      <c r="E345" s="183" t="n"/>
      <c r="F345" s="183" t="n"/>
      <c r="G345" s="183" t="n"/>
      <c r="H345" s="183" t="n"/>
      <c r="I345" s="183" t="n"/>
      <c r="J345" s="183" t="n"/>
      <c r="K345" s="183" t="n"/>
      <c r="L345" s="183" t="n"/>
      <c r="M345" s="183" t="n"/>
      <c r="N345" s="183" t="n"/>
      <c r="O345" s="183" t="n"/>
      <c r="P345" s="183" t="n"/>
      <c r="Q345" s="183" t="n"/>
      <c r="R345" s="183" t="n"/>
      <c r="S345" s="183" t="n"/>
      <c r="T345" s="183" t="n"/>
      <c r="U345" s="183" t="n"/>
      <c r="V345" s="183" t="n"/>
      <c r="W345" s="183" t="n"/>
      <c r="X345" s="183" t="n"/>
      <c r="Y345" s="183" t="n"/>
      <c r="Z345" s="183" t="n"/>
      <c r="AA345" s="183" t="n"/>
    </row>
    <row r="346">
      <c r="A346" s="183" t="n"/>
      <c r="B346" s="183" t="n"/>
      <c r="C346" s="183" t="n"/>
      <c r="D346" s="183" t="n"/>
      <c r="E346" s="183" t="n"/>
      <c r="F346" s="183" t="n"/>
      <c r="G346" s="183" t="n"/>
      <c r="H346" s="183" t="n"/>
      <c r="I346" s="183" t="n"/>
      <c r="J346" s="183" t="n"/>
      <c r="K346" s="183" t="n"/>
      <c r="L346" s="183" t="n"/>
      <c r="M346" s="183" t="n"/>
      <c r="N346" s="183" t="n"/>
      <c r="O346" s="183" t="n"/>
      <c r="P346" s="183" t="n"/>
      <c r="Q346" s="183" t="n"/>
      <c r="R346" s="183" t="n"/>
      <c r="S346" s="183" t="n"/>
      <c r="T346" s="183" t="n"/>
      <c r="U346" s="183" t="n"/>
      <c r="V346" s="183" t="n"/>
      <c r="W346" s="183" t="n"/>
      <c r="X346" s="183" t="n"/>
      <c r="Y346" s="183" t="n"/>
      <c r="Z346" s="183" t="n"/>
      <c r="AA346" s="183" t="n"/>
    </row>
    <row r="347">
      <c r="A347" s="183" t="n"/>
      <c r="B347" s="183" t="n"/>
      <c r="C347" s="183" t="n"/>
      <c r="D347" s="183" t="n"/>
      <c r="E347" s="183" t="n"/>
      <c r="F347" s="183" t="n"/>
      <c r="G347" s="183" t="n"/>
      <c r="H347" s="183" t="n"/>
      <c r="I347" s="183" t="n"/>
      <c r="J347" s="183" t="n"/>
      <c r="K347" s="183" t="n"/>
      <c r="L347" s="183" t="n"/>
      <c r="M347" s="183" t="n"/>
      <c r="N347" s="183" t="n"/>
      <c r="O347" s="183" t="n"/>
      <c r="P347" s="183" t="n"/>
      <c r="Q347" s="183" t="n"/>
      <c r="R347" s="183" t="n"/>
      <c r="S347" s="183" t="n"/>
      <c r="T347" s="183" t="n"/>
      <c r="U347" s="183" t="n"/>
      <c r="V347" s="183" t="n"/>
      <c r="W347" s="183" t="n"/>
      <c r="X347" s="183" t="n"/>
      <c r="Y347" s="183" t="n"/>
      <c r="Z347" s="183" t="n"/>
      <c r="AA347" s="183" t="n"/>
    </row>
    <row r="348">
      <c r="A348" s="183" t="n"/>
      <c r="B348" s="183" t="n"/>
      <c r="C348" s="183" t="n"/>
      <c r="D348" s="183" t="n"/>
      <c r="E348" s="183" t="n"/>
      <c r="F348" s="183" t="n"/>
      <c r="G348" s="183" t="n"/>
      <c r="H348" s="183" t="n"/>
      <c r="I348" s="183" t="n"/>
      <c r="J348" s="183" t="n"/>
      <c r="K348" s="183" t="n"/>
      <c r="L348" s="183" t="n"/>
      <c r="M348" s="183" t="n"/>
      <c r="N348" s="183" t="n"/>
      <c r="O348" s="183" t="n"/>
      <c r="P348" s="183" t="n"/>
      <c r="Q348" s="183" t="n"/>
      <c r="R348" s="183" t="n"/>
      <c r="S348" s="183" t="n"/>
      <c r="T348" s="183" t="n"/>
      <c r="U348" s="183" t="n"/>
      <c r="V348" s="183" t="n"/>
      <c r="W348" s="183" t="n"/>
      <c r="X348" s="183" t="n"/>
      <c r="Y348" s="183" t="n"/>
      <c r="Z348" s="183" t="n"/>
      <c r="AA348" s="183" t="n"/>
    </row>
    <row r="349">
      <c r="A349" s="183" t="n"/>
      <c r="B349" s="183" t="n"/>
      <c r="C349" s="183" t="n"/>
      <c r="D349" s="183" t="n"/>
      <c r="E349" s="183" t="n"/>
      <c r="F349" s="183" t="n"/>
      <c r="G349" s="183" t="n"/>
      <c r="H349" s="183" t="n"/>
      <c r="I349" s="183" t="n"/>
      <c r="J349" s="183" t="n"/>
      <c r="K349" s="183" t="n"/>
      <c r="L349" s="183" t="n"/>
      <c r="M349" s="183" t="n"/>
      <c r="N349" s="183" t="n"/>
      <c r="O349" s="183" t="n"/>
      <c r="P349" s="183" t="n"/>
      <c r="Q349" s="183" t="n"/>
      <c r="R349" s="183" t="n"/>
      <c r="S349" s="183" t="n"/>
      <c r="T349" s="183" t="n"/>
      <c r="U349" s="183" t="n"/>
      <c r="V349" s="183" t="n"/>
      <c r="W349" s="183" t="n"/>
      <c r="X349" s="183" t="n"/>
      <c r="Y349" s="183" t="n"/>
      <c r="Z349" s="183" t="n"/>
      <c r="AA349" s="183" t="n"/>
    </row>
    <row r="350">
      <c r="A350" s="183" t="n"/>
      <c r="B350" s="183" t="n"/>
      <c r="C350" s="183" t="n"/>
      <c r="D350" s="183" t="n"/>
      <c r="E350" s="183" t="n"/>
      <c r="F350" s="183" t="n"/>
      <c r="G350" s="183" t="n"/>
      <c r="H350" s="183" t="n"/>
      <c r="I350" s="183" t="n"/>
      <c r="J350" s="183" t="n"/>
      <c r="K350" s="183" t="n"/>
      <c r="L350" s="183" t="n"/>
      <c r="M350" s="183" t="n"/>
      <c r="N350" s="183" t="n"/>
      <c r="O350" s="183" t="n"/>
      <c r="P350" s="183" t="n"/>
      <c r="Q350" s="183" t="n"/>
      <c r="R350" s="183" t="n"/>
      <c r="S350" s="183" t="n"/>
      <c r="T350" s="183" t="n"/>
      <c r="U350" s="183" t="n"/>
      <c r="V350" s="183" t="n"/>
      <c r="W350" s="183" t="n"/>
      <c r="X350" s="183" t="n"/>
      <c r="Y350" s="183" t="n"/>
      <c r="Z350" s="183" t="n"/>
      <c r="AA350" s="183" t="n"/>
    </row>
    <row r="351">
      <c r="A351" s="183" t="n"/>
      <c r="B351" s="183" t="n"/>
      <c r="C351" s="183" t="n"/>
      <c r="D351" s="183" t="n"/>
      <c r="E351" s="183" t="n"/>
      <c r="F351" s="183" t="n"/>
      <c r="G351" s="183" t="n"/>
      <c r="H351" s="183" t="n"/>
      <c r="I351" s="183" t="n"/>
      <c r="J351" s="183" t="n"/>
      <c r="K351" s="183" t="n"/>
      <c r="L351" s="183" t="n"/>
      <c r="M351" s="183" t="n"/>
      <c r="N351" s="183" t="n"/>
      <c r="O351" s="183" t="n"/>
      <c r="P351" s="183" t="n"/>
      <c r="Q351" s="183" t="n"/>
      <c r="R351" s="183" t="n"/>
      <c r="S351" s="183" t="n"/>
      <c r="T351" s="183" t="n"/>
      <c r="U351" s="183" t="n"/>
      <c r="V351" s="183" t="n"/>
      <c r="W351" s="183" t="n"/>
      <c r="X351" s="183" t="n"/>
      <c r="Y351" s="183" t="n"/>
      <c r="Z351" s="183" t="n"/>
      <c r="AA351" s="183" t="n"/>
    </row>
    <row r="352">
      <c r="A352" s="183" t="n"/>
      <c r="B352" s="183" t="n"/>
      <c r="C352" s="183" t="n"/>
      <c r="D352" s="183" t="n"/>
      <c r="E352" s="183" t="n"/>
      <c r="F352" s="183" t="n"/>
      <c r="G352" s="183" t="n"/>
      <c r="H352" s="183" t="n"/>
      <c r="I352" s="183" t="n"/>
      <c r="J352" s="183" t="n"/>
      <c r="K352" s="183" t="n"/>
      <c r="L352" s="183" t="n"/>
      <c r="M352" s="183" t="n"/>
      <c r="N352" s="183" t="n"/>
      <c r="O352" s="183" t="n"/>
      <c r="P352" s="183" t="n"/>
      <c r="Q352" s="183" t="n"/>
      <c r="R352" s="183" t="n"/>
      <c r="S352" s="183" t="n"/>
      <c r="T352" s="183" t="n"/>
      <c r="U352" s="183" t="n"/>
      <c r="V352" s="183" t="n"/>
      <c r="W352" s="183" t="n"/>
      <c r="X352" s="183" t="n"/>
      <c r="Y352" s="183" t="n"/>
      <c r="Z352" s="183" t="n"/>
      <c r="AA352" s="183" t="n"/>
    </row>
    <row r="353">
      <c r="A353" s="183" t="n"/>
      <c r="B353" s="183" t="n"/>
      <c r="C353" s="183" t="n"/>
      <c r="D353" s="183" t="n"/>
      <c r="E353" s="183" t="n"/>
      <c r="F353" s="183" t="n"/>
      <c r="G353" s="183" t="n"/>
      <c r="H353" s="183" t="n"/>
      <c r="I353" s="183" t="n"/>
      <c r="J353" s="183" t="n"/>
      <c r="K353" s="183" t="n"/>
      <c r="L353" s="183" t="n"/>
      <c r="M353" s="183" t="n"/>
      <c r="N353" s="183" t="n"/>
      <c r="O353" s="183" t="n"/>
      <c r="P353" s="183" t="n"/>
      <c r="Q353" s="183" t="n"/>
      <c r="R353" s="183" t="n"/>
      <c r="S353" s="183" t="n"/>
      <c r="T353" s="183" t="n"/>
      <c r="U353" s="183" t="n"/>
      <c r="V353" s="183" t="n"/>
      <c r="W353" s="183" t="n"/>
      <c r="X353" s="183" t="n"/>
      <c r="Y353" s="183" t="n"/>
      <c r="Z353" s="183" t="n"/>
      <c r="AA353" s="183" t="n"/>
    </row>
    <row r="354">
      <c r="A354" s="183" t="n"/>
      <c r="B354" s="183" t="n"/>
      <c r="C354" s="183" t="n"/>
      <c r="D354" s="183" t="n"/>
      <c r="E354" s="183" t="n"/>
      <c r="F354" s="183" t="n"/>
      <c r="G354" s="183" t="n"/>
      <c r="H354" s="183" t="n"/>
      <c r="I354" s="183" t="n"/>
      <c r="J354" s="183" t="n"/>
      <c r="K354" s="183" t="n"/>
      <c r="L354" s="183" t="n"/>
      <c r="M354" s="183" t="n"/>
      <c r="N354" s="183" t="n"/>
      <c r="O354" s="183" t="n"/>
      <c r="P354" s="183" t="n"/>
      <c r="Q354" s="183" t="n"/>
      <c r="R354" s="183" t="n"/>
      <c r="S354" s="183" t="n"/>
      <c r="T354" s="183" t="n"/>
      <c r="U354" s="183" t="n"/>
      <c r="V354" s="183" t="n"/>
      <c r="W354" s="183" t="n"/>
      <c r="X354" s="183" t="n"/>
      <c r="Y354" s="183" t="n"/>
      <c r="Z354" s="183" t="n"/>
      <c r="AA354" s="183" t="n"/>
    </row>
    <row r="355">
      <c r="A355" s="183" t="n"/>
      <c r="B355" s="183" t="n"/>
      <c r="C355" s="183" t="n"/>
      <c r="D355" s="183" t="n"/>
      <c r="E355" s="183" t="n"/>
      <c r="F355" s="183" t="n"/>
      <c r="G355" s="183" t="n"/>
      <c r="H355" s="183" t="n"/>
      <c r="I355" s="183" t="n"/>
      <c r="J355" s="183" t="n"/>
      <c r="K355" s="183" t="n"/>
      <c r="L355" s="183" t="n"/>
      <c r="M355" s="183" t="n"/>
      <c r="N355" s="183" t="n"/>
      <c r="O355" s="183" t="n"/>
      <c r="P355" s="183" t="n"/>
      <c r="Q355" s="183" t="n"/>
      <c r="R355" s="183" t="n"/>
      <c r="S355" s="183" t="n"/>
      <c r="T355" s="183" t="n"/>
      <c r="U355" s="183" t="n"/>
      <c r="V355" s="183" t="n"/>
      <c r="W355" s="183" t="n"/>
      <c r="X355" s="183" t="n"/>
      <c r="Y355" s="183" t="n"/>
      <c r="Z355" s="183" t="n"/>
      <c r="AA355" s="183" t="n"/>
    </row>
    <row r="356">
      <c r="A356" s="183" t="n"/>
      <c r="B356" s="183" t="n"/>
      <c r="C356" s="183" t="n"/>
      <c r="D356" s="183" t="n"/>
      <c r="E356" s="183" t="n"/>
      <c r="F356" s="183" t="n"/>
      <c r="G356" s="183" t="n"/>
      <c r="H356" s="183" t="n"/>
      <c r="I356" s="183" t="n"/>
      <c r="J356" s="183" t="n"/>
      <c r="K356" s="183" t="n"/>
      <c r="L356" s="183" t="n"/>
      <c r="M356" s="183" t="n"/>
      <c r="N356" s="183" t="n"/>
      <c r="O356" s="183" t="n"/>
      <c r="P356" s="183" t="n"/>
      <c r="Q356" s="183" t="n"/>
      <c r="R356" s="183" t="n"/>
      <c r="S356" s="183" t="n"/>
      <c r="T356" s="183" t="n"/>
      <c r="U356" s="183" t="n"/>
      <c r="V356" s="183" t="n"/>
      <c r="W356" s="183" t="n"/>
      <c r="X356" s="183" t="n"/>
      <c r="Y356" s="183" t="n"/>
      <c r="Z356" s="183" t="n"/>
      <c r="AA356" s="183" t="n"/>
    </row>
    <row r="357">
      <c r="A357" s="183" t="n"/>
      <c r="B357" s="183" t="n"/>
      <c r="C357" s="183" t="n"/>
      <c r="D357" s="183" t="n"/>
      <c r="E357" s="183" t="n"/>
      <c r="F357" s="183" t="n"/>
      <c r="G357" s="183" t="n"/>
      <c r="H357" s="183" t="n"/>
      <c r="I357" s="183" t="n"/>
      <c r="J357" s="183" t="n"/>
      <c r="K357" s="183" t="n"/>
      <c r="L357" s="183" t="n"/>
      <c r="M357" s="183" t="n"/>
      <c r="N357" s="183" t="n"/>
      <c r="O357" s="183" t="n"/>
      <c r="P357" s="183" t="n"/>
      <c r="Q357" s="183" t="n"/>
      <c r="R357" s="183" t="n"/>
      <c r="S357" s="183" t="n"/>
      <c r="T357" s="183" t="n"/>
      <c r="U357" s="183" t="n"/>
      <c r="V357" s="183" t="n"/>
      <c r="W357" s="183" t="n"/>
      <c r="X357" s="183" t="n"/>
      <c r="Y357" s="183" t="n"/>
      <c r="Z357" s="183" t="n"/>
      <c r="AA357" s="183" t="n"/>
    </row>
    <row r="358">
      <c r="A358" s="183" t="n"/>
      <c r="B358" s="183" t="n"/>
      <c r="C358" s="183" t="n"/>
      <c r="D358" s="183" t="n"/>
      <c r="E358" s="183" t="n"/>
      <c r="F358" s="183" t="n"/>
      <c r="G358" s="183" t="n"/>
      <c r="H358" s="183" t="n"/>
      <c r="I358" s="183" t="n"/>
      <c r="J358" s="183" t="n"/>
      <c r="K358" s="183" t="n"/>
      <c r="L358" s="183" t="n"/>
      <c r="M358" s="183" t="n"/>
      <c r="N358" s="183" t="n"/>
      <c r="O358" s="183" t="n"/>
      <c r="P358" s="183" t="n"/>
      <c r="Q358" s="183" t="n"/>
      <c r="R358" s="183" t="n"/>
      <c r="S358" s="183" t="n"/>
      <c r="T358" s="183" t="n"/>
      <c r="U358" s="183" t="n"/>
      <c r="V358" s="183" t="n"/>
      <c r="W358" s="183" t="n"/>
      <c r="X358" s="183" t="n"/>
      <c r="Y358" s="183" t="n"/>
      <c r="Z358" s="183" t="n"/>
      <c r="AA358" s="183" t="n"/>
    </row>
    <row r="359">
      <c r="A359" s="183" t="n"/>
      <c r="B359" s="183" t="n"/>
      <c r="C359" s="183" t="n"/>
      <c r="D359" s="183" t="n"/>
      <c r="E359" s="183" t="n"/>
      <c r="F359" s="183" t="n"/>
      <c r="G359" s="183" t="n"/>
      <c r="H359" s="183" t="n"/>
      <c r="I359" s="183" t="n"/>
      <c r="J359" s="183" t="n"/>
      <c r="K359" s="183" t="n"/>
      <c r="L359" s="183" t="n"/>
      <c r="M359" s="183" t="n"/>
      <c r="N359" s="183" t="n"/>
      <c r="O359" s="183" t="n"/>
      <c r="P359" s="183" t="n"/>
      <c r="Q359" s="183" t="n"/>
      <c r="R359" s="183" t="n"/>
      <c r="S359" s="183" t="n"/>
      <c r="T359" s="183" t="n"/>
      <c r="U359" s="183" t="n"/>
      <c r="V359" s="183" t="n"/>
      <c r="W359" s="183" t="n"/>
      <c r="X359" s="183" t="n"/>
      <c r="Y359" s="183" t="n"/>
      <c r="Z359" s="183" t="n"/>
      <c r="AA359" s="183" t="n"/>
    </row>
    <row r="360">
      <c r="A360" s="183" t="n"/>
      <c r="B360" s="183" t="n"/>
      <c r="C360" s="183" t="n"/>
      <c r="D360" s="183" t="n"/>
      <c r="E360" s="183" t="n"/>
      <c r="F360" s="183" t="n"/>
      <c r="G360" s="183" t="n"/>
      <c r="H360" s="183" t="n"/>
      <c r="I360" s="183" t="n"/>
      <c r="J360" s="183" t="n"/>
      <c r="K360" s="183" t="n"/>
      <c r="L360" s="183" t="n"/>
      <c r="M360" s="183" t="n"/>
      <c r="N360" s="183" t="n"/>
      <c r="O360" s="183" t="n"/>
      <c r="P360" s="183" t="n"/>
      <c r="Q360" s="183" t="n"/>
      <c r="R360" s="183" t="n"/>
      <c r="S360" s="183" t="n"/>
      <c r="T360" s="183" t="n"/>
      <c r="U360" s="183" t="n"/>
      <c r="V360" s="183" t="n"/>
      <c r="W360" s="183" t="n"/>
      <c r="X360" s="183" t="n"/>
      <c r="Y360" s="183" t="n"/>
      <c r="Z360" s="183" t="n"/>
      <c r="AA360" s="183" t="n"/>
    </row>
    <row r="361">
      <c r="A361" s="183" t="n"/>
      <c r="B361" s="183" t="n"/>
      <c r="C361" s="183" t="n"/>
      <c r="D361" s="183" t="n"/>
      <c r="E361" s="183" t="n"/>
      <c r="F361" s="183" t="n"/>
      <c r="G361" s="183" t="n"/>
      <c r="H361" s="183" t="n"/>
      <c r="I361" s="183" t="n"/>
      <c r="J361" s="183" t="n"/>
      <c r="K361" s="183" t="n"/>
      <c r="L361" s="183" t="n"/>
      <c r="M361" s="183" t="n"/>
      <c r="N361" s="183" t="n"/>
      <c r="O361" s="183" t="n"/>
      <c r="P361" s="183" t="n"/>
      <c r="Q361" s="183" t="n"/>
      <c r="R361" s="183" t="n"/>
      <c r="S361" s="183" t="n"/>
      <c r="T361" s="183" t="n"/>
      <c r="U361" s="183" t="n"/>
      <c r="V361" s="183" t="n"/>
      <c r="W361" s="183" t="n"/>
      <c r="X361" s="183" t="n"/>
      <c r="Y361" s="183" t="n"/>
      <c r="Z361" s="183" t="n"/>
      <c r="AA361" s="183" t="n"/>
    </row>
    <row r="362">
      <c r="A362" s="183" t="n"/>
      <c r="B362" s="183" t="n"/>
      <c r="C362" s="183" t="n"/>
      <c r="D362" s="183" t="n"/>
      <c r="E362" s="183" t="n"/>
      <c r="F362" s="183" t="n"/>
      <c r="G362" s="183" t="n"/>
      <c r="H362" s="183" t="n"/>
      <c r="I362" s="183" t="n"/>
      <c r="J362" s="183" t="n"/>
      <c r="K362" s="183" t="n"/>
      <c r="L362" s="183" t="n"/>
      <c r="M362" s="183" t="n"/>
      <c r="N362" s="183" t="n"/>
      <c r="O362" s="183" t="n"/>
      <c r="P362" s="183" t="n"/>
      <c r="Q362" s="183" t="n"/>
      <c r="R362" s="183" t="n"/>
      <c r="S362" s="183" t="n"/>
      <c r="T362" s="183" t="n"/>
      <c r="U362" s="183" t="n"/>
      <c r="V362" s="183" t="n"/>
      <c r="W362" s="183" t="n"/>
      <c r="X362" s="183" t="n"/>
      <c r="Y362" s="183" t="n"/>
      <c r="Z362" s="183" t="n"/>
      <c r="AA362" s="183" t="n"/>
    </row>
    <row r="363">
      <c r="A363" s="183" t="n"/>
      <c r="B363" s="183" t="n"/>
      <c r="C363" s="183" t="n"/>
      <c r="D363" s="183" t="n"/>
      <c r="E363" s="183" t="n"/>
      <c r="F363" s="183" t="n"/>
      <c r="G363" s="183" t="n"/>
      <c r="H363" s="183" t="n"/>
      <c r="I363" s="183" t="n"/>
      <c r="J363" s="183" t="n"/>
      <c r="K363" s="183" t="n"/>
      <c r="L363" s="183" t="n"/>
      <c r="M363" s="183" t="n"/>
      <c r="N363" s="183" t="n"/>
      <c r="O363" s="183" t="n"/>
      <c r="P363" s="183" t="n"/>
      <c r="Q363" s="183" t="n"/>
      <c r="R363" s="183" t="n"/>
      <c r="S363" s="183" t="n"/>
      <c r="T363" s="183" t="n"/>
      <c r="U363" s="183" t="n"/>
      <c r="V363" s="183" t="n"/>
      <c r="W363" s="183" t="n"/>
      <c r="X363" s="183" t="n"/>
      <c r="Y363" s="183" t="n"/>
      <c r="Z363" s="183" t="n"/>
      <c r="AA363" s="183" t="n"/>
    </row>
    <row r="364">
      <c r="A364" s="183" t="n"/>
      <c r="B364" s="183" t="n"/>
      <c r="C364" s="183" t="n"/>
      <c r="D364" s="183" t="n"/>
      <c r="E364" s="183" t="n"/>
      <c r="F364" s="183" t="n"/>
      <c r="G364" s="183" t="n"/>
      <c r="H364" s="183" t="n"/>
      <c r="I364" s="183" t="n"/>
      <c r="J364" s="183" t="n"/>
      <c r="K364" s="183" t="n"/>
      <c r="L364" s="183" t="n"/>
      <c r="M364" s="183" t="n"/>
      <c r="N364" s="183" t="n"/>
      <c r="O364" s="183" t="n"/>
      <c r="P364" s="183" t="n"/>
      <c r="Q364" s="183" t="n"/>
      <c r="R364" s="183" t="n"/>
      <c r="S364" s="183" t="n"/>
      <c r="T364" s="183" t="n"/>
      <c r="U364" s="183" t="n"/>
      <c r="V364" s="183" t="n"/>
      <c r="W364" s="183" t="n"/>
      <c r="X364" s="183" t="n"/>
      <c r="Y364" s="183" t="n"/>
      <c r="Z364" s="183" t="n"/>
      <c r="AA364" s="183" t="n"/>
    </row>
    <row r="365">
      <c r="A365" s="183" t="n"/>
      <c r="B365" s="183" t="n"/>
      <c r="C365" s="183" t="n"/>
      <c r="D365" s="183" t="n"/>
      <c r="E365" s="183" t="n"/>
      <c r="F365" s="183" t="n"/>
      <c r="G365" s="183" t="n"/>
      <c r="H365" s="183" t="n"/>
      <c r="I365" s="183" t="n"/>
      <c r="J365" s="183" t="n"/>
      <c r="K365" s="183" t="n"/>
      <c r="L365" s="183" t="n"/>
      <c r="M365" s="183" t="n"/>
      <c r="N365" s="183" t="n"/>
      <c r="O365" s="183" t="n"/>
      <c r="P365" s="183" t="n"/>
      <c r="Q365" s="183" t="n"/>
      <c r="R365" s="183" t="n"/>
      <c r="S365" s="183" t="n"/>
      <c r="T365" s="183" t="n"/>
      <c r="U365" s="183" t="n"/>
      <c r="V365" s="183" t="n"/>
      <c r="W365" s="183" t="n"/>
      <c r="X365" s="183" t="n"/>
      <c r="Y365" s="183" t="n"/>
      <c r="Z365" s="183" t="n"/>
      <c r="AA365" s="183" t="n"/>
    </row>
    <row r="366">
      <c r="A366" s="183" t="n"/>
      <c r="B366" s="183" t="n"/>
      <c r="C366" s="183" t="n"/>
      <c r="D366" s="183" t="n"/>
      <c r="E366" s="183" t="n"/>
      <c r="F366" s="183" t="n"/>
      <c r="G366" s="183" t="n"/>
      <c r="H366" s="183" t="n"/>
      <c r="I366" s="183" t="n"/>
      <c r="J366" s="183" t="n"/>
      <c r="K366" s="183" t="n"/>
      <c r="L366" s="183" t="n"/>
      <c r="M366" s="183" t="n"/>
      <c r="N366" s="183" t="n"/>
      <c r="O366" s="183" t="n"/>
      <c r="P366" s="183" t="n"/>
      <c r="Q366" s="183" t="n"/>
      <c r="R366" s="183" t="n"/>
      <c r="S366" s="183" t="n"/>
      <c r="T366" s="183" t="n"/>
      <c r="U366" s="183" t="n"/>
      <c r="V366" s="183" t="n"/>
      <c r="W366" s="183" t="n"/>
      <c r="X366" s="183" t="n"/>
      <c r="Y366" s="183" t="n"/>
      <c r="Z366" s="183" t="n"/>
      <c r="AA366" s="183" t="n"/>
    </row>
    <row r="367">
      <c r="A367" s="183" t="n"/>
      <c r="B367" s="183" t="n"/>
      <c r="C367" s="183" t="n"/>
      <c r="D367" s="183" t="n"/>
      <c r="E367" s="183" t="n"/>
      <c r="F367" s="183" t="n"/>
      <c r="G367" s="183" t="n"/>
      <c r="H367" s="183" t="n"/>
      <c r="I367" s="183" t="n"/>
      <c r="J367" s="183" t="n"/>
      <c r="K367" s="183" t="n"/>
      <c r="L367" s="183" t="n"/>
      <c r="M367" s="183" t="n"/>
      <c r="N367" s="183" t="n"/>
      <c r="O367" s="183" t="n"/>
      <c r="P367" s="183" t="n"/>
      <c r="Q367" s="183" t="n"/>
      <c r="R367" s="183" t="n"/>
      <c r="S367" s="183" t="n"/>
      <c r="T367" s="183" t="n"/>
      <c r="U367" s="183" t="n"/>
      <c r="V367" s="183" t="n"/>
      <c r="W367" s="183" t="n"/>
      <c r="X367" s="183" t="n"/>
      <c r="Y367" s="183" t="n"/>
      <c r="Z367" s="183" t="n"/>
      <c r="AA367" s="183" t="n"/>
    </row>
    <row r="368">
      <c r="A368" s="183" t="n"/>
      <c r="B368" s="183" t="n"/>
      <c r="C368" s="183" t="n"/>
      <c r="D368" s="183" t="n"/>
      <c r="E368" s="183" t="n"/>
      <c r="F368" s="183" t="n"/>
      <c r="G368" s="183" t="n"/>
      <c r="H368" s="183" t="n"/>
      <c r="I368" s="183" t="n"/>
      <c r="J368" s="183" t="n"/>
      <c r="K368" s="183" t="n"/>
      <c r="L368" s="183" t="n"/>
      <c r="M368" s="183" t="n"/>
      <c r="N368" s="183" t="n"/>
      <c r="O368" s="183" t="n"/>
      <c r="P368" s="183" t="n"/>
      <c r="Q368" s="183" t="n"/>
      <c r="R368" s="183" t="n"/>
      <c r="S368" s="183" t="n"/>
      <c r="T368" s="183" t="n"/>
      <c r="U368" s="183" t="n"/>
      <c r="V368" s="183" t="n"/>
      <c r="W368" s="183" t="n"/>
      <c r="X368" s="183" t="n"/>
      <c r="Y368" s="183" t="n"/>
      <c r="Z368" s="183" t="n"/>
      <c r="AA368" s="183" t="n"/>
    </row>
    <row r="369">
      <c r="A369" s="183" t="n"/>
      <c r="B369" s="183" t="n"/>
      <c r="C369" s="183" t="n"/>
      <c r="D369" s="183" t="n"/>
      <c r="E369" s="183" t="n"/>
      <c r="F369" s="183" t="n"/>
      <c r="G369" s="183" t="n"/>
      <c r="H369" s="183" t="n"/>
      <c r="I369" s="183" t="n"/>
      <c r="J369" s="183" t="n"/>
      <c r="K369" s="183" t="n"/>
      <c r="L369" s="183" t="n"/>
      <c r="M369" s="183" t="n"/>
      <c r="N369" s="183" t="n"/>
      <c r="O369" s="183" t="n"/>
      <c r="P369" s="183" t="n"/>
      <c r="Q369" s="183" t="n"/>
      <c r="R369" s="183" t="n"/>
      <c r="S369" s="183" t="n"/>
      <c r="T369" s="183" t="n"/>
      <c r="U369" s="183" t="n"/>
      <c r="V369" s="183" t="n"/>
      <c r="W369" s="183" t="n"/>
      <c r="X369" s="183" t="n"/>
      <c r="Y369" s="183" t="n"/>
      <c r="Z369" s="183" t="n"/>
      <c r="AA369" s="183" t="n"/>
    </row>
    <row r="370">
      <c r="A370" s="183" t="n"/>
      <c r="B370" s="183" t="n"/>
      <c r="C370" s="183" t="n"/>
      <c r="D370" s="183" t="n"/>
      <c r="E370" s="183" t="n"/>
      <c r="F370" s="183" t="n"/>
      <c r="G370" s="183" t="n"/>
      <c r="H370" s="183" t="n"/>
      <c r="I370" s="183" t="n"/>
      <c r="J370" s="183" t="n"/>
      <c r="K370" s="183" t="n"/>
      <c r="L370" s="183" t="n"/>
      <c r="M370" s="183" t="n"/>
      <c r="N370" s="183" t="n"/>
      <c r="O370" s="183" t="n"/>
      <c r="P370" s="183" t="n"/>
      <c r="Q370" s="183" t="n"/>
      <c r="R370" s="183" t="n"/>
      <c r="S370" s="183" t="n"/>
      <c r="T370" s="183" t="n"/>
      <c r="U370" s="183" t="n"/>
      <c r="V370" s="183" t="n"/>
      <c r="W370" s="183" t="n"/>
      <c r="X370" s="183" t="n"/>
      <c r="Y370" s="183" t="n"/>
      <c r="Z370" s="183" t="n"/>
      <c r="AA370" s="183" t="n"/>
    </row>
    <row r="371">
      <c r="A371" s="183" t="n"/>
      <c r="B371" s="183" t="n"/>
      <c r="C371" s="183" t="n"/>
      <c r="D371" s="183" t="n"/>
      <c r="E371" s="183" t="n"/>
      <c r="F371" s="183" t="n"/>
      <c r="G371" s="183" t="n"/>
      <c r="H371" s="183" t="n"/>
      <c r="I371" s="183" t="n"/>
      <c r="J371" s="183" t="n"/>
      <c r="K371" s="183" t="n"/>
      <c r="L371" s="183" t="n"/>
      <c r="M371" s="183" t="n"/>
      <c r="N371" s="183" t="n"/>
      <c r="O371" s="183" t="n"/>
      <c r="P371" s="183" t="n"/>
      <c r="Q371" s="183" t="n"/>
      <c r="R371" s="183" t="n"/>
      <c r="S371" s="183" t="n"/>
      <c r="T371" s="183" t="n"/>
      <c r="U371" s="183" t="n"/>
      <c r="V371" s="183" t="n"/>
      <c r="W371" s="183" t="n"/>
      <c r="X371" s="183" t="n"/>
      <c r="Y371" s="183" t="n"/>
      <c r="Z371" s="183" t="n"/>
      <c r="AA371" s="183" t="n"/>
    </row>
    <row r="372">
      <c r="A372" s="183" t="n"/>
      <c r="B372" s="183" t="n"/>
      <c r="C372" s="183" t="n"/>
      <c r="D372" s="183" t="n"/>
      <c r="E372" s="183" t="n"/>
      <c r="F372" s="183" t="n"/>
      <c r="G372" s="183" t="n"/>
      <c r="H372" s="183" t="n"/>
      <c r="I372" s="183" t="n"/>
      <c r="J372" s="183" t="n"/>
      <c r="K372" s="183" t="n"/>
      <c r="L372" s="183" t="n"/>
      <c r="M372" s="183" t="n"/>
      <c r="N372" s="183" t="n"/>
      <c r="O372" s="183" t="n"/>
      <c r="P372" s="183" t="n"/>
      <c r="Q372" s="183" t="n"/>
      <c r="R372" s="183" t="n"/>
      <c r="S372" s="183" t="n"/>
      <c r="T372" s="183" t="n"/>
      <c r="U372" s="183" t="n"/>
      <c r="V372" s="183" t="n"/>
      <c r="W372" s="183" t="n"/>
      <c r="X372" s="183" t="n"/>
      <c r="Y372" s="183" t="n"/>
      <c r="Z372" s="183" t="n"/>
      <c r="AA372" s="183" t="n"/>
    </row>
    <row r="373">
      <c r="A373" s="183" t="n"/>
      <c r="B373" s="183" t="n"/>
      <c r="C373" s="183" t="n"/>
      <c r="D373" s="183" t="n"/>
      <c r="E373" s="183" t="n"/>
      <c r="F373" s="183" t="n"/>
      <c r="G373" s="183" t="n"/>
      <c r="H373" s="183" t="n"/>
      <c r="I373" s="183" t="n"/>
      <c r="J373" s="183" t="n"/>
      <c r="K373" s="183" t="n"/>
      <c r="L373" s="183" t="n"/>
      <c r="M373" s="183" t="n"/>
      <c r="N373" s="183" t="n"/>
      <c r="O373" s="183" t="n"/>
      <c r="P373" s="183" t="n"/>
      <c r="Q373" s="183" t="n"/>
      <c r="R373" s="183" t="n"/>
      <c r="S373" s="183" t="n"/>
      <c r="T373" s="183" t="n"/>
      <c r="U373" s="183" t="n"/>
      <c r="V373" s="183" t="n"/>
      <c r="W373" s="183" t="n"/>
      <c r="X373" s="183" t="n"/>
      <c r="Y373" s="183" t="n"/>
      <c r="Z373" s="183" t="n"/>
      <c r="AA373" s="183" t="n"/>
    </row>
    <row r="374">
      <c r="A374" s="183" t="n"/>
      <c r="B374" s="183" t="n"/>
      <c r="C374" s="183" t="n"/>
      <c r="D374" s="183" t="n"/>
      <c r="E374" s="183" t="n"/>
      <c r="F374" s="183" t="n"/>
      <c r="G374" s="183" t="n"/>
      <c r="H374" s="183" t="n"/>
      <c r="I374" s="183" t="n"/>
      <c r="J374" s="183" t="n"/>
      <c r="K374" s="183" t="n"/>
      <c r="L374" s="183" t="n"/>
      <c r="M374" s="183" t="n"/>
      <c r="N374" s="183" t="n"/>
      <c r="O374" s="183" t="n"/>
      <c r="P374" s="183" t="n"/>
      <c r="Q374" s="183" t="n"/>
      <c r="R374" s="183" t="n"/>
      <c r="S374" s="183" t="n"/>
      <c r="T374" s="183" t="n"/>
      <c r="U374" s="183" t="n"/>
      <c r="V374" s="183" t="n"/>
      <c r="W374" s="183" t="n"/>
      <c r="X374" s="183" t="n"/>
      <c r="Y374" s="183" t="n"/>
      <c r="Z374" s="183" t="n"/>
      <c r="AA374" s="183" t="n"/>
    </row>
    <row r="375">
      <c r="A375" s="183" t="n"/>
      <c r="B375" s="183" t="n"/>
      <c r="C375" s="183" t="n"/>
      <c r="D375" s="183" t="n"/>
      <c r="E375" s="183" t="n"/>
      <c r="F375" s="183" t="n"/>
      <c r="G375" s="183" t="n"/>
      <c r="H375" s="183" t="n"/>
      <c r="I375" s="183" t="n"/>
      <c r="J375" s="183" t="n"/>
      <c r="K375" s="183" t="n"/>
      <c r="L375" s="183" t="n"/>
      <c r="M375" s="183" t="n"/>
      <c r="N375" s="183" t="n"/>
      <c r="O375" s="183" t="n"/>
      <c r="P375" s="183" t="n"/>
      <c r="Q375" s="183" t="n"/>
      <c r="R375" s="183" t="n"/>
      <c r="S375" s="183" t="n"/>
      <c r="T375" s="183" t="n"/>
      <c r="U375" s="183" t="n"/>
      <c r="V375" s="183" t="n"/>
      <c r="W375" s="183" t="n"/>
      <c r="X375" s="183" t="n"/>
      <c r="Y375" s="183" t="n"/>
      <c r="Z375" s="183" t="n"/>
      <c r="AA375" s="183" t="n"/>
    </row>
    <row r="376">
      <c r="A376" s="183" t="n"/>
      <c r="B376" s="183" t="n"/>
      <c r="C376" s="183" t="n"/>
      <c r="D376" s="183" t="n"/>
      <c r="E376" s="183" t="n"/>
      <c r="F376" s="183" t="n"/>
      <c r="G376" s="183" t="n"/>
      <c r="H376" s="183" t="n"/>
      <c r="I376" s="183" t="n"/>
      <c r="J376" s="183" t="n"/>
      <c r="K376" s="183" t="n"/>
      <c r="L376" s="183" t="n"/>
      <c r="M376" s="183" t="n"/>
      <c r="N376" s="183" t="n"/>
      <c r="O376" s="183" t="n"/>
      <c r="P376" s="183" t="n"/>
      <c r="Q376" s="183" t="n"/>
      <c r="R376" s="183" t="n"/>
      <c r="S376" s="183" t="n"/>
      <c r="T376" s="183" t="n"/>
      <c r="U376" s="183" t="n"/>
      <c r="V376" s="183" t="n"/>
      <c r="W376" s="183" t="n"/>
      <c r="X376" s="183" t="n"/>
      <c r="Y376" s="183" t="n"/>
      <c r="Z376" s="183" t="n"/>
      <c r="AA376" s="183" t="n"/>
    </row>
    <row r="377">
      <c r="A377" s="183" t="n"/>
      <c r="B377" s="183" t="n"/>
      <c r="C377" s="183" t="n"/>
      <c r="D377" s="183" t="n"/>
      <c r="E377" s="183" t="n"/>
      <c r="F377" s="183" t="n"/>
      <c r="G377" s="183" t="n"/>
      <c r="H377" s="183" t="n"/>
      <c r="I377" s="183" t="n"/>
      <c r="J377" s="183" t="n"/>
      <c r="K377" s="183" t="n"/>
      <c r="L377" s="183" t="n"/>
      <c r="M377" s="183" t="n"/>
      <c r="N377" s="183" t="n"/>
      <c r="O377" s="183" t="n"/>
      <c r="P377" s="183" t="n"/>
      <c r="Q377" s="183" t="n"/>
      <c r="R377" s="183" t="n"/>
      <c r="S377" s="183" t="n"/>
      <c r="T377" s="183" t="n"/>
      <c r="U377" s="183" t="n"/>
      <c r="V377" s="183" t="n"/>
      <c r="W377" s="183" t="n"/>
      <c r="X377" s="183" t="n"/>
      <c r="Y377" s="183" t="n"/>
      <c r="Z377" s="183" t="n"/>
      <c r="AA377" s="183" t="n"/>
    </row>
    <row r="378">
      <c r="A378" s="183" t="n"/>
      <c r="B378" s="183" t="n"/>
      <c r="C378" s="183" t="n"/>
      <c r="D378" s="183" t="n"/>
      <c r="E378" s="183" t="n"/>
      <c r="F378" s="183" t="n"/>
      <c r="G378" s="183" t="n"/>
      <c r="H378" s="183" t="n"/>
      <c r="I378" s="183" t="n"/>
      <c r="J378" s="183" t="n"/>
      <c r="K378" s="183" t="n"/>
      <c r="L378" s="183" t="n"/>
      <c r="M378" s="183" t="n"/>
      <c r="N378" s="183" t="n"/>
      <c r="O378" s="183" t="n"/>
      <c r="P378" s="183" t="n"/>
      <c r="Q378" s="183" t="n"/>
      <c r="R378" s="183" t="n"/>
      <c r="S378" s="183" t="n"/>
      <c r="T378" s="183" t="n"/>
      <c r="U378" s="183" t="n"/>
      <c r="V378" s="183" t="n"/>
      <c r="W378" s="183" t="n"/>
      <c r="X378" s="183" t="n"/>
      <c r="Y378" s="183" t="n"/>
      <c r="Z378" s="183" t="n"/>
      <c r="AA378" s="183" t="n"/>
    </row>
    <row r="379">
      <c r="A379" s="183" t="n"/>
      <c r="B379" s="183" t="n"/>
      <c r="C379" s="183" t="n"/>
      <c r="D379" s="183" t="n"/>
      <c r="E379" s="183" t="n"/>
      <c r="F379" s="183" t="n"/>
      <c r="G379" s="183" t="n"/>
      <c r="H379" s="183" t="n"/>
      <c r="I379" s="183" t="n"/>
      <c r="J379" s="183" t="n"/>
      <c r="K379" s="183" t="n"/>
      <c r="L379" s="183" t="n"/>
      <c r="M379" s="183" t="n"/>
      <c r="N379" s="183" t="n"/>
      <c r="O379" s="183" t="n"/>
      <c r="P379" s="183" t="n"/>
      <c r="Q379" s="183" t="n"/>
      <c r="R379" s="183" t="n"/>
      <c r="S379" s="183" t="n"/>
      <c r="T379" s="183" t="n"/>
      <c r="U379" s="183" t="n"/>
      <c r="V379" s="183" t="n"/>
      <c r="W379" s="183" t="n"/>
      <c r="X379" s="183" t="n"/>
      <c r="Y379" s="183" t="n"/>
      <c r="Z379" s="183" t="n"/>
      <c r="AA379" s="183" t="n"/>
    </row>
    <row r="380">
      <c r="A380" s="183" t="n"/>
      <c r="B380" s="183" t="n"/>
      <c r="C380" s="183" t="n"/>
      <c r="D380" s="183" t="n"/>
      <c r="E380" s="183" t="n"/>
      <c r="F380" s="183" t="n"/>
      <c r="G380" s="183" t="n"/>
      <c r="H380" s="183" t="n"/>
      <c r="I380" s="183" t="n"/>
      <c r="J380" s="183" t="n"/>
      <c r="K380" s="183" t="n"/>
      <c r="L380" s="183" t="n"/>
      <c r="M380" s="183" t="n"/>
      <c r="N380" s="183" t="n"/>
      <c r="O380" s="183" t="n"/>
      <c r="P380" s="183" t="n"/>
      <c r="Q380" s="183" t="n"/>
      <c r="R380" s="183" t="n"/>
      <c r="S380" s="183" t="n"/>
      <c r="T380" s="183" t="n"/>
      <c r="U380" s="183" t="n"/>
      <c r="V380" s="183" t="n"/>
      <c r="W380" s="183" t="n"/>
      <c r="X380" s="183" t="n"/>
      <c r="Y380" s="183" t="n"/>
      <c r="Z380" s="183" t="n"/>
      <c r="AA380" s="183" t="n"/>
    </row>
    <row r="381">
      <c r="A381" s="183" t="n"/>
      <c r="B381" s="183" t="n"/>
      <c r="C381" s="183" t="n"/>
      <c r="D381" s="183" t="n"/>
      <c r="E381" s="183" t="n"/>
      <c r="F381" s="183" t="n"/>
      <c r="G381" s="183" t="n"/>
      <c r="H381" s="183" t="n"/>
      <c r="I381" s="183" t="n"/>
      <c r="J381" s="183" t="n"/>
      <c r="K381" s="183" t="n"/>
      <c r="L381" s="183" t="n"/>
      <c r="M381" s="183" t="n"/>
      <c r="N381" s="183" t="n"/>
      <c r="O381" s="183" t="n"/>
      <c r="P381" s="183" t="n"/>
      <c r="Q381" s="183" t="n"/>
      <c r="R381" s="183" t="n"/>
      <c r="S381" s="183" t="n"/>
      <c r="T381" s="183" t="n"/>
      <c r="U381" s="183" t="n"/>
      <c r="V381" s="183" t="n"/>
      <c r="W381" s="183" t="n"/>
      <c r="X381" s="183" t="n"/>
      <c r="Y381" s="183" t="n"/>
      <c r="Z381" s="183" t="n"/>
      <c r="AA381" s="183" t="n"/>
    </row>
    <row r="382">
      <c r="A382" s="183" t="n"/>
      <c r="B382" s="183" t="n"/>
      <c r="C382" s="183" t="n"/>
      <c r="D382" s="183" t="n"/>
      <c r="E382" s="183" t="n"/>
      <c r="F382" s="183" t="n"/>
      <c r="G382" s="183" t="n"/>
      <c r="H382" s="183" t="n"/>
      <c r="I382" s="183" t="n"/>
      <c r="J382" s="183" t="n"/>
      <c r="K382" s="183" t="n"/>
      <c r="L382" s="183" t="n"/>
      <c r="M382" s="183" t="n"/>
      <c r="N382" s="183" t="n"/>
      <c r="O382" s="183" t="n"/>
      <c r="P382" s="183" t="n"/>
      <c r="Q382" s="183" t="n"/>
      <c r="R382" s="183" t="n"/>
      <c r="S382" s="183" t="n"/>
      <c r="T382" s="183" t="n"/>
      <c r="U382" s="183" t="n"/>
      <c r="V382" s="183" t="n"/>
      <c r="W382" s="183" t="n"/>
      <c r="X382" s="183" t="n"/>
      <c r="Y382" s="183" t="n"/>
      <c r="Z382" s="183" t="n"/>
      <c r="AA382" s="183" t="n"/>
    </row>
    <row r="383">
      <c r="A383" s="183" t="n"/>
      <c r="B383" s="183" t="n"/>
      <c r="C383" s="183" t="n"/>
      <c r="D383" s="183" t="n"/>
      <c r="E383" s="183" t="n"/>
      <c r="F383" s="183" t="n"/>
      <c r="G383" s="183" t="n"/>
      <c r="H383" s="183" t="n"/>
      <c r="I383" s="183" t="n"/>
      <c r="J383" s="183" t="n"/>
      <c r="K383" s="183" t="n"/>
      <c r="L383" s="183" t="n"/>
      <c r="M383" s="183" t="n"/>
      <c r="N383" s="183" t="n"/>
      <c r="O383" s="183" t="n"/>
      <c r="P383" s="183" t="n"/>
      <c r="Q383" s="183" t="n"/>
      <c r="R383" s="183" t="n"/>
      <c r="S383" s="183" t="n"/>
      <c r="T383" s="183" t="n"/>
      <c r="U383" s="183" t="n"/>
      <c r="V383" s="183" t="n"/>
      <c r="W383" s="183" t="n"/>
      <c r="X383" s="183" t="n"/>
      <c r="Y383" s="183" t="n"/>
      <c r="Z383" s="183" t="n"/>
      <c r="AA383" s="183" t="n"/>
    </row>
    <row r="384">
      <c r="A384" s="183" t="n"/>
      <c r="B384" s="183" t="n"/>
      <c r="C384" s="183" t="n"/>
      <c r="D384" s="183" t="n"/>
      <c r="E384" s="183" t="n"/>
      <c r="F384" s="183" t="n"/>
      <c r="G384" s="183" t="n"/>
      <c r="H384" s="183" t="n"/>
      <c r="I384" s="183" t="n"/>
      <c r="J384" s="183" t="n"/>
      <c r="K384" s="183" t="n"/>
      <c r="L384" s="183" t="n"/>
      <c r="M384" s="183" t="n"/>
      <c r="N384" s="183" t="n"/>
      <c r="O384" s="183" t="n"/>
      <c r="P384" s="183" t="n"/>
      <c r="Q384" s="183" t="n"/>
      <c r="R384" s="183" t="n"/>
      <c r="S384" s="183" t="n"/>
      <c r="T384" s="183" t="n"/>
      <c r="U384" s="183" t="n"/>
      <c r="V384" s="183" t="n"/>
      <c r="W384" s="183" t="n"/>
      <c r="X384" s="183" t="n"/>
      <c r="Y384" s="183" t="n"/>
      <c r="Z384" s="183" t="n"/>
      <c r="AA384" s="183" t="n"/>
    </row>
    <row r="385">
      <c r="A385" s="183" t="n"/>
      <c r="B385" s="183" t="n"/>
      <c r="C385" s="183" t="n"/>
      <c r="D385" s="183" t="n"/>
      <c r="E385" s="183" t="n"/>
      <c r="F385" s="183" t="n"/>
      <c r="G385" s="183" t="n"/>
      <c r="H385" s="183" t="n"/>
      <c r="I385" s="183" t="n"/>
      <c r="J385" s="183" t="n"/>
      <c r="K385" s="183" t="n"/>
      <c r="L385" s="183" t="n"/>
      <c r="M385" s="183" t="n"/>
      <c r="N385" s="183" t="n"/>
      <c r="O385" s="183" t="n"/>
      <c r="P385" s="183" t="n"/>
      <c r="Q385" s="183" t="n"/>
      <c r="R385" s="183" t="n"/>
      <c r="S385" s="183" t="n"/>
      <c r="T385" s="183" t="n"/>
      <c r="U385" s="183" t="n"/>
      <c r="V385" s="183" t="n"/>
      <c r="W385" s="183" t="n"/>
      <c r="X385" s="183" t="n"/>
      <c r="Y385" s="183" t="n"/>
      <c r="Z385" s="183" t="n"/>
      <c r="AA385" s="183" t="n"/>
    </row>
    <row r="386">
      <c r="A386" s="183" t="n"/>
      <c r="B386" s="183" t="n"/>
      <c r="C386" s="183" t="n"/>
      <c r="D386" s="183" t="n"/>
      <c r="E386" s="183" t="n"/>
      <c r="F386" s="183" t="n"/>
      <c r="G386" s="183" t="n"/>
      <c r="H386" s="183" t="n"/>
      <c r="I386" s="183" t="n"/>
      <c r="J386" s="183" t="n"/>
      <c r="K386" s="183" t="n"/>
      <c r="L386" s="183" t="n"/>
      <c r="M386" s="183" t="n"/>
      <c r="N386" s="183" t="n"/>
      <c r="O386" s="183" t="n"/>
      <c r="P386" s="183" t="n"/>
      <c r="Q386" s="183" t="n"/>
      <c r="R386" s="183" t="n"/>
      <c r="S386" s="183" t="n"/>
      <c r="T386" s="183" t="n"/>
      <c r="U386" s="183" t="n"/>
      <c r="V386" s="183" t="n"/>
      <c r="W386" s="183" t="n"/>
      <c r="X386" s="183" t="n"/>
      <c r="Y386" s="183" t="n"/>
      <c r="Z386" s="183" t="n"/>
      <c r="AA386" s="183" t="n"/>
    </row>
    <row r="387">
      <c r="A387" s="183" t="n"/>
      <c r="B387" s="183" t="n"/>
      <c r="C387" s="183" t="n"/>
      <c r="D387" s="183" t="n"/>
      <c r="E387" s="183" t="n"/>
      <c r="F387" s="183" t="n"/>
      <c r="G387" s="183" t="n"/>
      <c r="H387" s="183" t="n"/>
      <c r="I387" s="183" t="n"/>
      <c r="J387" s="183" t="n"/>
      <c r="K387" s="183" t="n"/>
      <c r="L387" s="183" t="n"/>
      <c r="M387" s="183" t="n"/>
      <c r="N387" s="183" t="n"/>
      <c r="O387" s="183" t="n"/>
      <c r="P387" s="183" t="n"/>
      <c r="Q387" s="183" t="n"/>
      <c r="R387" s="183" t="n"/>
      <c r="S387" s="183" t="n"/>
      <c r="T387" s="183" t="n"/>
      <c r="U387" s="183" t="n"/>
      <c r="V387" s="183" t="n"/>
      <c r="W387" s="183" t="n"/>
      <c r="X387" s="183" t="n"/>
      <c r="Y387" s="183" t="n"/>
      <c r="Z387" s="183" t="n"/>
      <c r="AA387" s="183" t="n"/>
    </row>
    <row r="388">
      <c r="A388" s="183" t="n"/>
      <c r="B388" s="183" t="n"/>
      <c r="C388" s="183" t="n"/>
      <c r="D388" s="183" t="n"/>
      <c r="E388" s="183" t="n"/>
      <c r="F388" s="183" t="n"/>
      <c r="G388" s="183" t="n"/>
      <c r="H388" s="183" t="n"/>
      <c r="I388" s="183" t="n"/>
      <c r="J388" s="183" t="n"/>
      <c r="K388" s="183" t="n"/>
      <c r="L388" s="183" t="n"/>
      <c r="M388" s="183" t="n"/>
      <c r="N388" s="183" t="n"/>
      <c r="O388" s="183" t="n"/>
      <c r="P388" s="183" t="n"/>
      <c r="Q388" s="183" t="n"/>
      <c r="R388" s="183" t="n"/>
      <c r="S388" s="183" t="n"/>
      <c r="T388" s="183" t="n"/>
      <c r="U388" s="183" t="n"/>
      <c r="V388" s="183" t="n"/>
      <c r="W388" s="183" t="n"/>
      <c r="X388" s="183" t="n"/>
      <c r="Y388" s="183" t="n"/>
      <c r="Z388" s="183" t="n"/>
      <c r="AA388" s="183" t="n"/>
    </row>
    <row r="389">
      <c r="A389" s="183" t="n"/>
      <c r="B389" s="183" t="n"/>
      <c r="C389" s="183" t="n"/>
      <c r="D389" s="183" t="n"/>
      <c r="E389" s="183" t="n"/>
      <c r="F389" s="183" t="n"/>
      <c r="G389" s="183" t="n"/>
      <c r="H389" s="183" t="n"/>
      <c r="I389" s="183" t="n"/>
      <c r="J389" s="183" t="n"/>
      <c r="K389" s="183" t="n"/>
      <c r="L389" s="183" t="n"/>
      <c r="M389" s="183" t="n"/>
      <c r="N389" s="183" t="n"/>
      <c r="O389" s="183" t="n"/>
      <c r="P389" s="183" t="n"/>
      <c r="Q389" s="183" t="n"/>
      <c r="R389" s="183" t="n"/>
      <c r="S389" s="183" t="n"/>
      <c r="T389" s="183" t="n"/>
      <c r="U389" s="183" t="n"/>
      <c r="V389" s="183" t="n"/>
      <c r="W389" s="183" t="n"/>
      <c r="X389" s="183" t="n"/>
      <c r="Y389" s="183" t="n"/>
      <c r="Z389" s="183" t="n"/>
      <c r="AA389" s="183" t="n"/>
    </row>
    <row r="390">
      <c r="A390" s="183" t="n"/>
      <c r="B390" s="183" t="n"/>
      <c r="C390" s="183" t="n"/>
      <c r="D390" s="183" t="n"/>
      <c r="E390" s="183" t="n"/>
      <c r="F390" s="183" t="n"/>
      <c r="G390" s="183" t="n"/>
      <c r="H390" s="183" t="n"/>
      <c r="I390" s="183" t="n"/>
      <c r="J390" s="183" t="n"/>
      <c r="K390" s="183" t="n"/>
      <c r="L390" s="183" t="n"/>
      <c r="M390" s="183" t="n"/>
      <c r="N390" s="183" t="n"/>
      <c r="O390" s="183" t="n"/>
      <c r="P390" s="183" t="n"/>
      <c r="Q390" s="183" t="n"/>
      <c r="R390" s="183" t="n"/>
      <c r="S390" s="183" t="n"/>
      <c r="T390" s="183" t="n"/>
      <c r="U390" s="183" t="n"/>
      <c r="V390" s="183" t="n"/>
      <c r="W390" s="183" t="n"/>
      <c r="X390" s="183" t="n"/>
      <c r="Y390" s="183" t="n"/>
      <c r="Z390" s="183" t="n"/>
      <c r="AA390" s="183" t="n"/>
    </row>
    <row r="391">
      <c r="A391" s="183" t="n"/>
      <c r="B391" s="183" t="n"/>
      <c r="C391" s="183" t="n"/>
      <c r="D391" s="183" t="n"/>
      <c r="E391" s="183" t="n"/>
      <c r="F391" s="183" t="n"/>
      <c r="G391" s="183" t="n"/>
      <c r="H391" s="183" t="n"/>
      <c r="I391" s="183" t="n"/>
      <c r="J391" s="183" t="n"/>
      <c r="K391" s="183" t="n"/>
      <c r="L391" s="183" t="n"/>
      <c r="M391" s="183" t="n"/>
      <c r="N391" s="183" t="n"/>
      <c r="O391" s="183" t="n"/>
      <c r="P391" s="183" t="n"/>
      <c r="Q391" s="183" t="n"/>
      <c r="R391" s="183" t="n"/>
      <c r="S391" s="183" t="n"/>
      <c r="T391" s="183" t="n"/>
      <c r="U391" s="183" t="n"/>
      <c r="V391" s="183" t="n"/>
      <c r="W391" s="183" t="n"/>
      <c r="X391" s="183" t="n"/>
      <c r="Y391" s="183" t="n"/>
      <c r="Z391" s="183" t="n"/>
      <c r="AA391" s="183" t="n"/>
    </row>
    <row r="392">
      <c r="A392" s="183" t="n"/>
      <c r="B392" s="183" t="n"/>
      <c r="C392" s="183" t="n"/>
      <c r="D392" s="183" t="n"/>
      <c r="E392" s="183" t="n"/>
      <c r="F392" s="183" t="n"/>
      <c r="G392" s="183" t="n"/>
      <c r="H392" s="183" t="n"/>
      <c r="I392" s="183" t="n"/>
      <c r="J392" s="183" t="n"/>
      <c r="K392" s="183" t="n"/>
      <c r="L392" s="183" t="n"/>
      <c r="M392" s="183" t="n"/>
      <c r="N392" s="183" t="n"/>
      <c r="O392" s="183" t="n"/>
      <c r="P392" s="183" t="n"/>
      <c r="Q392" s="183" t="n"/>
      <c r="R392" s="183" t="n"/>
      <c r="S392" s="183" t="n"/>
      <c r="T392" s="183" t="n"/>
      <c r="U392" s="183" t="n"/>
      <c r="V392" s="183" t="n"/>
      <c r="W392" s="183" t="n"/>
      <c r="X392" s="183" t="n"/>
      <c r="Y392" s="183" t="n"/>
      <c r="Z392" s="183" t="n"/>
      <c r="AA392" s="183" t="n"/>
    </row>
    <row r="393">
      <c r="A393" s="183" t="n"/>
      <c r="B393" s="183" t="n"/>
      <c r="C393" s="183" t="n"/>
      <c r="D393" s="183" t="n"/>
      <c r="E393" s="183" t="n"/>
      <c r="F393" s="183" t="n"/>
      <c r="G393" s="183" t="n"/>
      <c r="H393" s="183" t="n"/>
      <c r="I393" s="183" t="n"/>
      <c r="J393" s="183" t="n"/>
      <c r="K393" s="183" t="n"/>
      <c r="L393" s="183" t="n"/>
      <c r="M393" s="183" t="n"/>
      <c r="N393" s="183" t="n"/>
      <c r="O393" s="183" t="n"/>
      <c r="P393" s="183" t="n"/>
      <c r="Q393" s="183" t="n"/>
      <c r="R393" s="183" t="n"/>
      <c r="S393" s="183" t="n"/>
      <c r="T393" s="183" t="n"/>
      <c r="U393" s="183" t="n"/>
      <c r="V393" s="183" t="n"/>
      <c r="W393" s="183" t="n"/>
      <c r="X393" s="183" t="n"/>
      <c r="Y393" s="183" t="n"/>
      <c r="Z393" s="183" t="n"/>
      <c r="AA393" s="183" t="n"/>
    </row>
    <row r="394">
      <c r="A394" s="183" t="n"/>
      <c r="B394" s="183" t="n"/>
      <c r="C394" s="183" t="n"/>
      <c r="D394" s="183" t="n"/>
      <c r="E394" s="183" t="n"/>
      <c r="F394" s="183" t="n"/>
      <c r="G394" s="183" t="n"/>
      <c r="H394" s="183" t="n"/>
      <c r="I394" s="183" t="n"/>
      <c r="J394" s="183" t="n"/>
      <c r="K394" s="183" t="n"/>
      <c r="L394" s="183" t="n"/>
      <c r="M394" s="183" t="n"/>
      <c r="N394" s="183" t="n"/>
      <c r="O394" s="183" t="n"/>
      <c r="P394" s="183" t="n"/>
      <c r="Q394" s="183" t="n"/>
      <c r="R394" s="183" t="n"/>
      <c r="S394" s="183" t="n"/>
      <c r="T394" s="183" t="n"/>
      <c r="U394" s="183" t="n"/>
      <c r="V394" s="183" t="n"/>
      <c r="W394" s="183" t="n"/>
      <c r="X394" s="183" t="n"/>
      <c r="Y394" s="183" t="n"/>
      <c r="Z394" s="183" t="n"/>
      <c r="AA394" s="183" t="n"/>
    </row>
    <row r="395">
      <c r="A395" s="183" t="n"/>
      <c r="B395" s="183" t="n"/>
      <c r="C395" s="183" t="n"/>
      <c r="D395" s="183" t="n"/>
      <c r="E395" s="183" t="n"/>
      <c r="F395" s="183" t="n"/>
      <c r="G395" s="183" t="n"/>
      <c r="H395" s="183" t="n"/>
      <c r="I395" s="183" t="n"/>
      <c r="J395" s="183" t="n"/>
      <c r="K395" s="183" t="n"/>
      <c r="L395" s="183" t="n"/>
      <c r="M395" s="183" t="n"/>
      <c r="N395" s="183" t="n"/>
      <c r="O395" s="183" t="n"/>
      <c r="P395" s="183" t="n"/>
      <c r="Q395" s="183" t="n"/>
      <c r="R395" s="183" t="n"/>
      <c r="S395" s="183" t="n"/>
      <c r="T395" s="183" t="n"/>
      <c r="U395" s="183" t="n"/>
      <c r="V395" s="183" t="n"/>
      <c r="W395" s="183" t="n"/>
      <c r="X395" s="183" t="n"/>
      <c r="Y395" s="183" t="n"/>
      <c r="Z395" s="183" t="n"/>
      <c r="AA395" s="183" t="n"/>
    </row>
    <row r="396">
      <c r="A396" s="183" t="n"/>
      <c r="B396" s="183" t="n"/>
      <c r="C396" s="183" t="n"/>
      <c r="D396" s="183" t="n"/>
      <c r="E396" s="183" t="n"/>
      <c r="F396" s="183" t="n"/>
      <c r="G396" s="183" t="n"/>
      <c r="H396" s="183" t="n"/>
      <c r="I396" s="183" t="n"/>
      <c r="J396" s="183" t="n"/>
      <c r="K396" s="183" t="n"/>
      <c r="L396" s="183" t="n"/>
      <c r="M396" s="183" t="n"/>
      <c r="N396" s="183" t="n"/>
      <c r="O396" s="183" t="n"/>
      <c r="P396" s="183" t="n"/>
      <c r="Q396" s="183" t="n"/>
      <c r="R396" s="183" t="n"/>
      <c r="S396" s="183" t="n"/>
      <c r="T396" s="183" t="n"/>
      <c r="U396" s="183" t="n"/>
      <c r="V396" s="183" t="n"/>
      <c r="W396" s="183" t="n"/>
      <c r="X396" s="183" t="n"/>
      <c r="Y396" s="183" t="n"/>
      <c r="Z396" s="183" t="n"/>
      <c r="AA396" s="183" t="n"/>
    </row>
    <row r="397">
      <c r="A397" s="183" t="n"/>
      <c r="B397" s="183" t="n"/>
      <c r="C397" s="183" t="n"/>
      <c r="D397" s="183" t="n"/>
      <c r="E397" s="183" t="n"/>
      <c r="F397" s="183" t="n"/>
      <c r="G397" s="183" t="n"/>
      <c r="H397" s="183" t="n"/>
      <c r="I397" s="183" t="n"/>
      <c r="J397" s="183" t="n"/>
      <c r="K397" s="183" t="n"/>
      <c r="L397" s="183" t="n"/>
      <c r="M397" s="183" t="n"/>
      <c r="N397" s="183" t="n"/>
      <c r="O397" s="183" t="n"/>
      <c r="P397" s="183" t="n"/>
      <c r="Q397" s="183" t="n"/>
      <c r="R397" s="183" t="n"/>
      <c r="S397" s="183" t="n"/>
      <c r="T397" s="183" t="n"/>
      <c r="U397" s="183" t="n"/>
      <c r="V397" s="183" t="n"/>
      <c r="W397" s="183" t="n"/>
      <c r="X397" s="183" t="n"/>
      <c r="Y397" s="183" t="n"/>
      <c r="Z397" s="183" t="n"/>
      <c r="AA397" s="183" t="n"/>
    </row>
    <row r="398">
      <c r="A398" s="183" t="n"/>
      <c r="B398" s="183" t="n"/>
      <c r="C398" s="183" t="n"/>
      <c r="D398" s="183" t="n"/>
      <c r="E398" s="183" t="n"/>
      <c r="F398" s="183" t="n"/>
      <c r="G398" s="183" t="n"/>
      <c r="H398" s="183" t="n"/>
      <c r="I398" s="183" t="n"/>
      <c r="J398" s="183" t="n"/>
      <c r="K398" s="183" t="n"/>
      <c r="L398" s="183" t="n"/>
      <c r="M398" s="183" t="n"/>
      <c r="N398" s="183" t="n"/>
      <c r="O398" s="183" t="n"/>
      <c r="P398" s="183" t="n"/>
      <c r="Q398" s="183" t="n"/>
      <c r="R398" s="183" t="n"/>
      <c r="S398" s="183" t="n"/>
      <c r="T398" s="183" t="n"/>
      <c r="U398" s="183" t="n"/>
      <c r="V398" s="183" t="n"/>
      <c r="W398" s="183" t="n"/>
      <c r="X398" s="183" t="n"/>
      <c r="Y398" s="183" t="n"/>
      <c r="Z398" s="183" t="n"/>
      <c r="AA398" s="183" t="n"/>
    </row>
    <row r="399">
      <c r="A399" s="183" t="n"/>
      <c r="B399" s="183" t="n"/>
      <c r="C399" s="183" t="n"/>
      <c r="D399" s="183" t="n"/>
      <c r="E399" s="183" t="n"/>
      <c r="F399" s="183" t="n"/>
      <c r="G399" s="183" t="n"/>
      <c r="H399" s="183" t="n"/>
      <c r="I399" s="183" t="n"/>
      <c r="J399" s="183" t="n"/>
      <c r="K399" s="183" t="n"/>
      <c r="L399" s="183" t="n"/>
      <c r="M399" s="183" t="n"/>
      <c r="N399" s="183" t="n"/>
      <c r="O399" s="183" t="n"/>
      <c r="P399" s="183" t="n"/>
      <c r="Q399" s="183" t="n"/>
      <c r="R399" s="183" t="n"/>
      <c r="S399" s="183" t="n"/>
      <c r="T399" s="183" t="n"/>
      <c r="U399" s="183" t="n"/>
      <c r="V399" s="183" t="n"/>
      <c r="W399" s="183" t="n"/>
      <c r="X399" s="183" t="n"/>
      <c r="Y399" s="183" t="n"/>
      <c r="Z399" s="183" t="n"/>
      <c r="AA399" s="183" t="n"/>
    </row>
    <row r="400">
      <c r="A400" s="183" t="n"/>
      <c r="B400" s="183" t="n"/>
      <c r="C400" s="183" t="n"/>
      <c r="D400" s="183" t="n"/>
      <c r="E400" s="183" t="n"/>
      <c r="F400" s="183" t="n"/>
      <c r="G400" s="183" t="n"/>
      <c r="H400" s="183" t="n"/>
      <c r="I400" s="183" t="n"/>
      <c r="J400" s="183" t="n"/>
      <c r="K400" s="183" t="n"/>
      <c r="L400" s="183" t="n"/>
      <c r="M400" s="183" t="n"/>
      <c r="N400" s="183" t="n"/>
      <c r="O400" s="183" t="n"/>
      <c r="P400" s="183" t="n"/>
      <c r="Q400" s="183" t="n"/>
      <c r="R400" s="183" t="n"/>
      <c r="S400" s="183" t="n"/>
      <c r="T400" s="183" t="n"/>
      <c r="U400" s="183" t="n"/>
      <c r="V400" s="183" t="n"/>
      <c r="W400" s="183" t="n"/>
      <c r="X400" s="183" t="n"/>
      <c r="Y400" s="183" t="n"/>
      <c r="Z400" s="183" t="n"/>
      <c r="AA400" s="183" t="n"/>
    </row>
    <row r="401">
      <c r="A401" s="183" t="n"/>
      <c r="B401" s="183" t="n"/>
      <c r="C401" s="183" t="n"/>
      <c r="D401" s="183" t="n"/>
      <c r="E401" s="183" t="n"/>
      <c r="F401" s="183" t="n"/>
      <c r="G401" s="183" t="n"/>
      <c r="H401" s="183" t="n"/>
      <c r="I401" s="183" t="n"/>
      <c r="J401" s="183" t="n"/>
      <c r="K401" s="183" t="n"/>
      <c r="L401" s="183" t="n"/>
      <c r="M401" s="183" t="n"/>
      <c r="N401" s="183" t="n"/>
      <c r="O401" s="183" t="n"/>
      <c r="P401" s="183" t="n"/>
      <c r="Q401" s="183" t="n"/>
      <c r="R401" s="183" t="n"/>
      <c r="S401" s="183" t="n"/>
      <c r="T401" s="183" t="n"/>
      <c r="U401" s="183" t="n"/>
      <c r="V401" s="183" t="n"/>
      <c r="W401" s="183" t="n"/>
      <c r="X401" s="183" t="n"/>
      <c r="Y401" s="183" t="n"/>
      <c r="Z401" s="183" t="n"/>
      <c r="AA401" s="183" t="n"/>
    </row>
    <row r="402">
      <c r="A402" s="183" t="n"/>
      <c r="B402" s="183" t="n"/>
      <c r="C402" s="183" t="n"/>
      <c r="D402" s="183" t="n"/>
      <c r="E402" s="183" t="n"/>
      <c r="F402" s="183" t="n"/>
      <c r="G402" s="183" t="n"/>
      <c r="H402" s="183" t="n"/>
      <c r="I402" s="183" t="n"/>
      <c r="J402" s="183" t="n"/>
      <c r="K402" s="183" t="n"/>
      <c r="L402" s="183" t="n"/>
      <c r="M402" s="183" t="n"/>
      <c r="N402" s="183" t="n"/>
      <c r="O402" s="183" t="n"/>
      <c r="P402" s="183" t="n"/>
      <c r="Q402" s="183" t="n"/>
      <c r="R402" s="183" t="n"/>
      <c r="S402" s="183" t="n"/>
      <c r="T402" s="183" t="n"/>
      <c r="U402" s="183" t="n"/>
      <c r="V402" s="183" t="n"/>
      <c r="W402" s="183" t="n"/>
      <c r="X402" s="183" t="n"/>
      <c r="Y402" s="183" t="n"/>
      <c r="Z402" s="183" t="n"/>
      <c r="AA402" s="183" t="n"/>
    </row>
    <row r="403">
      <c r="A403" s="183" t="n"/>
      <c r="B403" s="183" t="n"/>
      <c r="C403" s="183" t="n"/>
      <c r="D403" s="183" t="n"/>
      <c r="E403" s="183" t="n"/>
      <c r="F403" s="183" t="n"/>
      <c r="G403" s="183" t="n"/>
      <c r="H403" s="183" t="n"/>
      <c r="I403" s="183" t="n"/>
      <c r="J403" s="183" t="n"/>
      <c r="K403" s="183" t="n"/>
      <c r="L403" s="183" t="n"/>
      <c r="M403" s="183" t="n"/>
      <c r="N403" s="183" t="n"/>
      <c r="O403" s="183" t="n"/>
      <c r="P403" s="183" t="n"/>
      <c r="Q403" s="183" t="n"/>
      <c r="R403" s="183" t="n"/>
      <c r="S403" s="183" t="n"/>
      <c r="T403" s="183" t="n"/>
      <c r="U403" s="183" t="n"/>
      <c r="V403" s="183" t="n"/>
      <c r="W403" s="183" t="n"/>
      <c r="X403" s="183" t="n"/>
      <c r="Y403" s="183" t="n"/>
      <c r="Z403" s="183" t="n"/>
      <c r="AA403" s="183" t="n"/>
    </row>
    <row r="404">
      <c r="A404" s="183" t="n"/>
      <c r="B404" s="183" t="n"/>
      <c r="C404" s="183" t="n"/>
      <c r="D404" s="183" t="n"/>
      <c r="E404" s="183" t="n"/>
      <c r="F404" s="183" t="n"/>
      <c r="G404" s="183" t="n"/>
      <c r="H404" s="183" t="n"/>
      <c r="I404" s="183" t="n"/>
      <c r="J404" s="183" t="n"/>
      <c r="K404" s="183" t="n"/>
      <c r="L404" s="183" t="n"/>
      <c r="M404" s="183" t="n"/>
      <c r="N404" s="183" t="n"/>
      <c r="O404" s="183" t="n"/>
      <c r="P404" s="183" t="n"/>
      <c r="Q404" s="183" t="n"/>
      <c r="R404" s="183" t="n"/>
      <c r="S404" s="183" t="n"/>
      <c r="T404" s="183" t="n"/>
      <c r="U404" s="183" t="n"/>
      <c r="V404" s="183" t="n"/>
      <c r="W404" s="183" t="n"/>
      <c r="X404" s="183" t="n"/>
      <c r="Y404" s="183" t="n"/>
      <c r="Z404" s="183" t="n"/>
      <c r="AA404" s="183" t="n"/>
    </row>
    <row r="405">
      <c r="A405" s="183" t="n"/>
      <c r="B405" s="183" t="n"/>
      <c r="C405" s="183" t="n"/>
      <c r="D405" s="183" t="n"/>
      <c r="E405" s="183" t="n"/>
      <c r="F405" s="183" t="n"/>
      <c r="G405" s="183" t="n"/>
      <c r="H405" s="183" t="n"/>
      <c r="I405" s="183" t="n"/>
      <c r="J405" s="183" t="n"/>
      <c r="K405" s="183" t="n"/>
      <c r="L405" s="183" t="n"/>
      <c r="M405" s="183" t="n"/>
      <c r="N405" s="183" t="n"/>
      <c r="O405" s="183" t="n"/>
      <c r="P405" s="183" t="n"/>
      <c r="Q405" s="183" t="n"/>
      <c r="R405" s="183" t="n"/>
      <c r="S405" s="183" t="n"/>
      <c r="T405" s="183" t="n"/>
      <c r="U405" s="183" t="n"/>
      <c r="V405" s="183" t="n"/>
      <c r="W405" s="183" t="n"/>
      <c r="X405" s="183" t="n"/>
      <c r="Y405" s="183" t="n"/>
      <c r="Z405" s="183" t="n"/>
      <c r="AA405" s="183" t="n"/>
    </row>
    <row r="406">
      <c r="A406" s="183" t="n"/>
      <c r="B406" s="183" t="n"/>
      <c r="C406" s="183" t="n"/>
      <c r="D406" s="183" t="n"/>
      <c r="E406" s="183" t="n"/>
      <c r="F406" s="183" t="n"/>
      <c r="G406" s="183" t="n"/>
      <c r="H406" s="183" t="n"/>
      <c r="I406" s="183" t="n"/>
      <c r="J406" s="183" t="n"/>
      <c r="K406" s="183" t="n"/>
      <c r="L406" s="183" t="n"/>
      <c r="M406" s="183" t="n"/>
      <c r="N406" s="183" t="n"/>
      <c r="O406" s="183" t="n"/>
      <c r="P406" s="183" t="n"/>
      <c r="Q406" s="183" t="n"/>
      <c r="R406" s="183" t="n"/>
      <c r="S406" s="183" t="n"/>
      <c r="T406" s="183" t="n"/>
      <c r="U406" s="183" t="n"/>
      <c r="V406" s="183" t="n"/>
      <c r="W406" s="183" t="n"/>
      <c r="X406" s="183" t="n"/>
      <c r="Y406" s="183" t="n"/>
      <c r="Z406" s="183" t="n"/>
      <c r="AA406" s="183" t="n"/>
    </row>
    <row r="407">
      <c r="A407" s="183" t="n"/>
      <c r="B407" s="183" t="n"/>
      <c r="C407" s="183" t="n"/>
      <c r="D407" s="183" t="n"/>
      <c r="E407" s="183" t="n"/>
      <c r="F407" s="183" t="n"/>
      <c r="G407" s="183" t="n"/>
      <c r="H407" s="183" t="n"/>
      <c r="I407" s="183" t="n"/>
      <c r="J407" s="183" t="n"/>
      <c r="K407" s="183" t="n"/>
      <c r="L407" s="183" t="n"/>
      <c r="M407" s="183" t="n"/>
      <c r="N407" s="183" t="n"/>
      <c r="O407" s="183" t="n"/>
      <c r="P407" s="183" t="n"/>
      <c r="Q407" s="183" t="n"/>
      <c r="R407" s="183" t="n"/>
      <c r="S407" s="183" t="n"/>
      <c r="T407" s="183" t="n"/>
      <c r="U407" s="183" t="n"/>
      <c r="V407" s="183" t="n"/>
      <c r="W407" s="183" t="n"/>
      <c r="X407" s="183" t="n"/>
      <c r="Y407" s="183" t="n"/>
      <c r="Z407" s="183" t="n"/>
      <c r="AA407" s="183" t="n"/>
    </row>
    <row r="408">
      <c r="A408" s="183" t="n"/>
      <c r="B408" s="183" t="n"/>
      <c r="C408" s="183" t="n"/>
      <c r="D408" s="183" t="n"/>
      <c r="E408" s="183" t="n"/>
      <c r="F408" s="183" t="n"/>
      <c r="G408" s="183" t="n"/>
      <c r="H408" s="183" t="n"/>
      <c r="I408" s="183" t="n"/>
      <c r="J408" s="183" t="n"/>
      <c r="K408" s="183" t="n"/>
      <c r="L408" s="183" t="n"/>
      <c r="M408" s="183" t="n"/>
      <c r="N408" s="183" t="n"/>
      <c r="O408" s="183" t="n"/>
      <c r="P408" s="183" t="n"/>
      <c r="Q408" s="183" t="n"/>
      <c r="R408" s="183" t="n"/>
      <c r="S408" s="183" t="n"/>
      <c r="T408" s="183" t="n"/>
      <c r="U408" s="183" t="n"/>
      <c r="V408" s="183" t="n"/>
      <c r="W408" s="183" t="n"/>
      <c r="X408" s="183" t="n"/>
      <c r="Y408" s="183" t="n"/>
      <c r="Z408" s="183" t="n"/>
      <c r="AA408" s="183" t="n"/>
    </row>
    <row r="409">
      <c r="A409" s="183" t="n"/>
      <c r="B409" s="183" t="n"/>
      <c r="C409" s="183" t="n"/>
      <c r="D409" s="183" t="n"/>
      <c r="E409" s="183" t="n"/>
      <c r="F409" s="183" t="n"/>
      <c r="G409" s="183" t="n"/>
      <c r="H409" s="183" t="n"/>
      <c r="I409" s="183" t="n"/>
      <c r="J409" s="183" t="n"/>
      <c r="K409" s="183" t="n"/>
      <c r="L409" s="183" t="n"/>
      <c r="M409" s="183" t="n"/>
      <c r="N409" s="183" t="n"/>
      <c r="O409" s="183" t="n"/>
      <c r="P409" s="183" t="n"/>
      <c r="Q409" s="183" t="n"/>
      <c r="R409" s="183" t="n"/>
      <c r="S409" s="183" t="n"/>
      <c r="T409" s="183" t="n"/>
      <c r="U409" s="183" t="n"/>
      <c r="V409" s="183" t="n"/>
      <c r="W409" s="183" t="n"/>
      <c r="X409" s="183" t="n"/>
      <c r="Y409" s="183" t="n"/>
      <c r="Z409" s="183" t="n"/>
      <c r="AA409" s="183" t="n"/>
    </row>
    <row r="410">
      <c r="A410" s="183" t="n"/>
      <c r="B410" s="183" t="n"/>
      <c r="C410" s="183" t="n"/>
      <c r="D410" s="183" t="n"/>
      <c r="E410" s="183" t="n"/>
      <c r="F410" s="183" t="n"/>
      <c r="G410" s="183" t="n"/>
      <c r="H410" s="183" t="n"/>
      <c r="I410" s="183" t="n"/>
      <c r="J410" s="183" t="n"/>
      <c r="K410" s="183" t="n"/>
      <c r="L410" s="183" t="n"/>
      <c r="M410" s="183" t="n"/>
      <c r="N410" s="183" t="n"/>
      <c r="O410" s="183" t="n"/>
      <c r="P410" s="183" t="n"/>
      <c r="Q410" s="183" t="n"/>
      <c r="R410" s="183" t="n"/>
      <c r="S410" s="183" t="n"/>
      <c r="T410" s="183" t="n"/>
      <c r="U410" s="183" t="n"/>
      <c r="V410" s="183" t="n"/>
      <c r="W410" s="183" t="n"/>
      <c r="X410" s="183" t="n"/>
      <c r="Y410" s="183" t="n"/>
      <c r="Z410" s="183" t="n"/>
      <c r="AA410" s="183" t="n"/>
    </row>
    <row r="411">
      <c r="A411" s="183" t="n"/>
      <c r="B411" s="183" t="n"/>
      <c r="C411" s="183" t="n"/>
      <c r="D411" s="183" t="n"/>
      <c r="E411" s="183" t="n"/>
      <c r="F411" s="183" t="n"/>
      <c r="G411" s="183" t="n"/>
      <c r="H411" s="183" t="n"/>
      <c r="I411" s="183" t="n"/>
      <c r="J411" s="183" t="n"/>
      <c r="K411" s="183" t="n"/>
      <c r="L411" s="183" t="n"/>
      <c r="M411" s="183" t="n"/>
      <c r="N411" s="183" t="n"/>
      <c r="O411" s="183" t="n"/>
      <c r="P411" s="183" t="n"/>
      <c r="Q411" s="183" t="n"/>
      <c r="R411" s="183" t="n"/>
      <c r="S411" s="183" t="n"/>
      <c r="T411" s="183" t="n"/>
      <c r="U411" s="183" t="n"/>
      <c r="V411" s="183" t="n"/>
      <c r="W411" s="183" t="n"/>
      <c r="X411" s="183" t="n"/>
      <c r="Y411" s="183" t="n"/>
      <c r="Z411" s="183" t="n"/>
      <c r="AA411" s="183" t="n"/>
    </row>
    <row r="412">
      <c r="A412" s="183" t="n"/>
      <c r="B412" s="183" t="n"/>
      <c r="C412" s="183" t="n"/>
      <c r="D412" s="183" t="n"/>
      <c r="E412" s="183" t="n"/>
      <c r="F412" s="183" t="n"/>
      <c r="G412" s="183" t="n"/>
      <c r="H412" s="183" t="n"/>
      <c r="I412" s="183" t="n"/>
      <c r="J412" s="183" t="n"/>
      <c r="K412" s="183" t="n"/>
      <c r="L412" s="183" t="n"/>
      <c r="M412" s="183" t="n"/>
      <c r="N412" s="183" t="n"/>
      <c r="O412" s="183" t="n"/>
      <c r="P412" s="183" t="n"/>
      <c r="Q412" s="183" t="n"/>
      <c r="R412" s="183" t="n"/>
      <c r="S412" s="183" t="n"/>
      <c r="T412" s="183" t="n"/>
      <c r="U412" s="183" t="n"/>
      <c r="V412" s="183" t="n"/>
      <c r="W412" s="183" t="n"/>
      <c r="X412" s="183" t="n"/>
      <c r="Y412" s="183" t="n"/>
      <c r="Z412" s="183" t="n"/>
      <c r="AA412" s="183" t="n"/>
    </row>
    <row r="413">
      <c r="A413" s="183" t="n"/>
      <c r="B413" s="183" t="n"/>
      <c r="C413" s="183" t="n"/>
      <c r="D413" s="183" t="n"/>
      <c r="E413" s="183" t="n"/>
      <c r="F413" s="183" t="n"/>
      <c r="G413" s="183" t="n"/>
      <c r="H413" s="183" t="n"/>
      <c r="I413" s="183" t="n"/>
      <c r="J413" s="183" t="n"/>
      <c r="K413" s="183" t="n"/>
      <c r="L413" s="183" t="n"/>
      <c r="M413" s="183" t="n"/>
      <c r="N413" s="183" t="n"/>
      <c r="O413" s="183" t="n"/>
      <c r="P413" s="183" t="n"/>
      <c r="Q413" s="183" t="n"/>
      <c r="R413" s="183" t="n"/>
      <c r="S413" s="183" t="n"/>
      <c r="T413" s="183" t="n"/>
      <c r="U413" s="183" t="n"/>
      <c r="V413" s="183" t="n"/>
      <c r="W413" s="183" t="n"/>
      <c r="X413" s="183" t="n"/>
      <c r="Y413" s="183" t="n"/>
      <c r="Z413" s="183" t="n"/>
      <c r="AA413" s="183" t="n"/>
    </row>
    <row r="414">
      <c r="A414" s="183" t="n"/>
      <c r="B414" s="183" t="n"/>
      <c r="C414" s="183" t="n"/>
      <c r="D414" s="183" t="n"/>
      <c r="E414" s="183" t="n"/>
      <c r="F414" s="183" t="n"/>
      <c r="G414" s="183" t="n"/>
      <c r="H414" s="183" t="n"/>
      <c r="I414" s="183" t="n"/>
      <c r="J414" s="183" t="n"/>
      <c r="K414" s="183" t="n"/>
      <c r="L414" s="183" t="n"/>
      <c r="M414" s="183" t="n"/>
      <c r="N414" s="183" t="n"/>
      <c r="O414" s="183" t="n"/>
      <c r="P414" s="183" t="n"/>
      <c r="Q414" s="183" t="n"/>
      <c r="R414" s="183" t="n"/>
      <c r="S414" s="183" t="n"/>
      <c r="T414" s="183" t="n"/>
      <c r="U414" s="183" t="n"/>
      <c r="V414" s="183" t="n"/>
      <c r="W414" s="183" t="n"/>
      <c r="X414" s="183" t="n"/>
      <c r="Y414" s="183" t="n"/>
      <c r="Z414" s="183" t="n"/>
      <c r="AA414" s="183" t="n"/>
    </row>
    <row r="415">
      <c r="A415" s="183" t="n"/>
      <c r="B415" s="183" t="n"/>
      <c r="C415" s="183" t="n"/>
      <c r="D415" s="183" t="n"/>
      <c r="E415" s="183" t="n"/>
      <c r="F415" s="183" t="n"/>
      <c r="G415" s="183" t="n"/>
      <c r="H415" s="183" t="n"/>
      <c r="I415" s="183" t="n"/>
      <c r="J415" s="183" t="n"/>
      <c r="K415" s="183" t="n"/>
      <c r="L415" s="183" t="n"/>
      <c r="M415" s="183" t="n"/>
      <c r="N415" s="183" t="n"/>
      <c r="O415" s="183" t="n"/>
      <c r="P415" s="183" t="n"/>
      <c r="Q415" s="183" t="n"/>
      <c r="R415" s="183" t="n"/>
      <c r="S415" s="183" t="n"/>
      <c r="T415" s="183" t="n"/>
      <c r="U415" s="183" t="n"/>
      <c r="V415" s="183" t="n"/>
      <c r="W415" s="183" t="n"/>
      <c r="X415" s="183" t="n"/>
      <c r="Y415" s="183" t="n"/>
      <c r="Z415" s="183" t="n"/>
      <c r="AA415" s="183" t="n"/>
    </row>
    <row r="416">
      <c r="A416" s="183" t="n"/>
      <c r="B416" s="183" t="n"/>
      <c r="C416" s="183" t="n"/>
      <c r="D416" s="183" t="n"/>
      <c r="E416" s="183" t="n"/>
      <c r="F416" s="183" t="n"/>
      <c r="G416" s="183" t="n"/>
      <c r="H416" s="183" t="n"/>
      <c r="I416" s="183" t="n"/>
      <c r="J416" s="183" t="n"/>
      <c r="K416" s="183" t="n"/>
      <c r="L416" s="183" t="n"/>
      <c r="M416" s="183" t="n"/>
      <c r="N416" s="183" t="n"/>
      <c r="O416" s="183" t="n"/>
      <c r="P416" s="183" t="n"/>
      <c r="Q416" s="183" t="n"/>
      <c r="R416" s="183" t="n"/>
      <c r="S416" s="183" t="n"/>
      <c r="T416" s="183" t="n"/>
      <c r="U416" s="183" t="n"/>
      <c r="V416" s="183" t="n"/>
      <c r="W416" s="183" t="n"/>
      <c r="X416" s="183" t="n"/>
      <c r="Y416" s="183" t="n"/>
      <c r="Z416" s="183" t="n"/>
      <c r="AA416" s="183" t="n"/>
    </row>
    <row r="417">
      <c r="A417" s="183" t="n"/>
      <c r="B417" s="183" t="n"/>
      <c r="C417" s="183" t="n"/>
      <c r="D417" s="183" t="n"/>
      <c r="E417" s="183" t="n"/>
      <c r="F417" s="183" t="n"/>
      <c r="G417" s="183" t="n"/>
      <c r="H417" s="183" t="n"/>
      <c r="I417" s="183" t="n"/>
      <c r="J417" s="183" t="n"/>
      <c r="K417" s="183" t="n"/>
      <c r="L417" s="183" t="n"/>
      <c r="M417" s="183" t="n"/>
      <c r="N417" s="183" t="n"/>
      <c r="O417" s="183" t="n"/>
      <c r="P417" s="183" t="n"/>
      <c r="Q417" s="183" t="n"/>
      <c r="R417" s="183" t="n"/>
      <c r="S417" s="183" t="n"/>
      <c r="T417" s="183" t="n"/>
      <c r="U417" s="183" t="n"/>
      <c r="V417" s="183" t="n"/>
      <c r="W417" s="183" t="n"/>
      <c r="X417" s="183" t="n"/>
      <c r="Y417" s="183" t="n"/>
      <c r="Z417" s="183" t="n"/>
      <c r="AA417" s="183" t="n"/>
    </row>
    <row r="418">
      <c r="A418" s="183" t="n"/>
      <c r="B418" s="183" t="n"/>
      <c r="C418" s="183" t="n"/>
      <c r="D418" s="183" t="n"/>
      <c r="E418" s="183" t="n"/>
      <c r="F418" s="183" t="n"/>
      <c r="G418" s="183" t="n"/>
      <c r="H418" s="183" t="n"/>
      <c r="I418" s="183" t="n"/>
      <c r="J418" s="183" t="n"/>
      <c r="K418" s="183" t="n"/>
      <c r="L418" s="183" t="n"/>
      <c r="M418" s="183" t="n"/>
      <c r="N418" s="183" t="n"/>
      <c r="O418" s="183" t="n"/>
      <c r="P418" s="183" t="n"/>
      <c r="Q418" s="183" t="n"/>
      <c r="R418" s="183" t="n"/>
      <c r="S418" s="183" t="n"/>
      <c r="T418" s="183" t="n"/>
      <c r="U418" s="183" t="n"/>
      <c r="V418" s="183" t="n"/>
      <c r="W418" s="183" t="n"/>
      <c r="X418" s="183" t="n"/>
      <c r="Y418" s="183" t="n"/>
      <c r="Z418" s="183" t="n"/>
      <c r="AA418" s="183" t="n"/>
    </row>
    <row r="419">
      <c r="A419" s="183" t="n"/>
      <c r="B419" s="183" t="n"/>
      <c r="C419" s="183" t="n"/>
      <c r="D419" s="183" t="n"/>
      <c r="E419" s="183" t="n"/>
      <c r="F419" s="183" t="n"/>
      <c r="G419" s="183" t="n"/>
      <c r="H419" s="183" t="n"/>
      <c r="I419" s="183" t="n"/>
      <c r="J419" s="183" t="n"/>
      <c r="K419" s="183" t="n"/>
      <c r="L419" s="183" t="n"/>
      <c r="M419" s="183" t="n"/>
      <c r="N419" s="183" t="n"/>
      <c r="O419" s="183" t="n"/>
      <c r="P419" s="183" t="n"/>
      <c r="Q419" s="183" t="n"/>
      <c r="R419" s="183" t="n"/>
      <c r="S419" s="183" t="n"/>
      <c r="T419" s="183" t="n"/>
      <c r="U419" s="183" t="n"/>
      <c r="V419" s="183" t="n"/>
      <c r="W419" s="183" t="n"/>
      <c r="X419" s="183" t="n"/>
      <c r="Y419" s="183" t="n"/>
      <c r="Z419" s="183" t="n"/>
      <c r="AA419" s="183" t="n"/>
    </row>
    <row r="420">
      <c r="A420" s="183" t="n"/>
      <c r="B420" s="183" t="n"/>
      <c r="C420" s="183" t="n"/>
      <c r="D420" s="183" t="n"/>
      <c r="E420" s="183" t="n"/>
      <c r="F420" s="183" t="n"/>
      <c r="G420" s="183" t="n"/>
      <c r="H420" s="183" t="n"/>
      <c r="I420" s="183" t="n"/>
      <c r="J420" s="183" t="n"/>
      <c r="K420" s="183" t="n"/>
      <c r="L420" s="183" t="n"/>
      <c r="M420" s="183" t="n"/>
      <c r="N420" s="183" t="n"/>
      <c r="O420" s="183" t="n"/>
      <c r="P420" s="183" t="n"/>
      <c r="Q420" s="183" t="n"/>
      <c r="R420" s="183" t="n"/>
      <c r="S420" s="183" t="n"/>
      <c r="T420" s="183" t="n"/>
      <c r="U420" s="183" t="n"/>
      <c r="V420" s="183" t="n"/>
      <c r="W420" s="183" t="n"/>
      <c r="X420" s="183" t="n"/>
      <c r="Y420" s="183" t="n"/>
      <c r="Z420" s="183" t="n"/>
      <c r="AA420" s="183" t="n"/>
    </row>
    <row r="421">
      <c r="A421" s="183" t="n"/>
      <c r="B421" s="183" t="n"/>
      <c r="C421" s="183" t="n"/>
      <c r="D421" s="183" t="n"/>
      <c r="E421" s="183" t="n"/>
      <c r="F421" s="183" t="n"/>
      <c r="G421" s="183" t="n"/>
      <c r="H421" s="183" t="n"/>
      <c r="I421" s="183" t="n"/>
      <c r="J421" s="183" t="n"/>
      <c r="K421" s="183" t="n"/>
      <c r="L421" s="183" t="n"/>
      <c r="M421" s="183" t="n"/>
      <c r="N421" s="183" t="n"/>
      <c r="O421" s="183" t="n"/>
      <c r="P421" s="183" t="n"/>
      <c r="Q421" s="183" t="n"/>
      <c r="R421" s="183" t="n"/>
      <c r="S421" s="183" t="n"/>
      <c r="T421" s="183" t="n"/>
      <c r="U421" s="183" t="n"/>
      <c r="V421" s="183" t="n"/>
      <c r="W421" s="183" t="n"/>
      <c r="X421" s="183" t="n"/>
      <c r="Y421" s="183" t="n"/>
      <c r="Z421" s="183" t="n"/>
      <c r="AA421" s="183" t="n"/>
    </row>
    <row r="422">
      <c r="A422" s="183" t="n"/>
      <c r="B422" s="183" t="n"/>
      <c r="C422" s="183" t="n"/>
      <c r="D422" s="183" t="n"/>
      <c r="E422" s="183" t="n"/>
      <c r="F422" s="183" t="n"/>
      <c r="G422" s="183" t="n"/>
      <c r="H422" s="183" t="n"/>
      <c r="I422" s="183" t="n"/>
      <c r="J422" s="183" t="n"/>
      <c r="K422" s="183" t="n"/>
      <c r="L422" s="183" t="n"/>
      <c r="M422" s="183" t="n"/>
      <c r="N422" s="183" t="n"/>
      <c r="O422" s="183" t="n"/>
      <c r="P422" s="183" t="n"/>
      <c r="Q422" s="183" t="n"/>
      <c r="R422" s="183" t="n"/>
      <c r="S422" s="183" t="n"/>
      <c r="T422" s="183" t="n"/>
      <c r="U422" s="183" t="n"/>
      <c r="V422" s="183" t="n"/>
      <c r="W422" s="183" t="n"/>
      <c r="X422" s="183" t="n"/>
      <c r="Y422" s="183" t="n"/>
      <c r="Z422" s="183" t="n"/>
      <c r="AA422" s="183" t="n"/>
    </row>
    <row r="423">
      <c r="A423" s="183" t="n"/>
      <c r="B423" s="183" t="n"/>
      <c r="C423" s="183" t="n"/>
      <c r="D423" s="183" t="n"/>
      <c r="E423" s="183" t="n"/>
      <c r="F423" s="183" t="n"/>
      <c r="G423" s="183" t="n"/>
      <c r="H423" s="183" t="n"/>
      <c r="I423" s="183" t="n"/>
      <c r="J423" s="183" t="n"/>
      <c r="K423" s="183" t="n"/>
      <c r="L423" s="183" t="n"/>
      <c r="M423" s="183" t="n"/>
      <c r="N423" s="183" t="n"/>
      <c r="O423" s="183" t="n"/>
      <c r="P423" s="183" t="n"/>
      <c r="Q423" s="183" t="n"/>
      <c r="R423" s="183" t="n"/>
      <c r="S423" s="183" t="n"/>
      <c r="T423" s="183" t="n"/>
      <c r="U423" s="183" t="n"/>
      <c r="V423" s="183" t="n"/>
      <c r="W423" s="183" t="n"/>
      <c r="X423" s="183" t="n"/>
      <c r="Y423" s="183" t="n"/>
      <c r="Z423" s="183" t="n"/>
      <c r="AA423" s="183" t="n"/>
    </row>
    <row r="424">
      <c r="A424" s="183" t="n"/>
      <c r="B424" s="183" t="n"/>
      <c r="C424" s="183" t="n"/>
      <c r="D424" s="183" t="n"/>
      <c r="E424" s="183" t="n"/>
      <c r="F424" s="183" t="n"/>
      <c r="G424" s="183" t="n"/>
      <c r="H424" s="183" t="n"/>
      <c r="I424" s="183" t="n"/>
      <c r="J424" s="183" t="n"/>
      <c r="K424" s="183" t="n"/>
      <c r="L424" s="183" t="n"/>
      <c r="M424" s="183" t="n"/>
      <c r="N424" s="183" t="n"/>
      <c r="O424" s="183" t="n"/>
      <c r="P424" s="183" t="n"/>
      <c r="Q424" s="183" t="n"/>
      <c r="R424" s="183" t="n"/>
      <c r="S424" s="183" t="n"/>
      <c r="T424" s="183" t="n"/>
      <c r="U424" s="183" t="n"/>
      <c r="V424" s="183" t="n"/>
      <c r="W424" s="183" t="n"/>
      <c r="X424" s="183" t="n"/>
      <c r="Y424" s="183" t="n"/>
      <c r="Z424" s="183" t="n"/>
      <c r="AA424" s="183" t="n"/>
    </row>
    <row r="425">
      <c r="A425" s="183" t="n"/>
      <c r="B425" s="183" t="n"/>
      <c r="C425" s="183" t="n"/>
      <c r="D425" s="183" t="n"/>
      <c r="E425" s="183" t="n"/>
      <c r="F425" s="183" t="n"/>
      <c r="G425" s="183" t="n"/>
      <c r="H425" s="183" t="n"/>
      <c r="I425" s="183" t="n"/>
      <c r="J425" s="183" t="n"/>
      <c r="K425" s="183" t="n"/>
      <c r="L425" s="183" t="n"/>
      <c r="M425" s="183" t="n"/>
      <c r="N425" s="183" t="n"/>
      <c r="O425" s="183" t="n"/>
      <c r="P425" s="183" t="n"/>
      <c r="Q425" s="183" t="n"/>
      <c r="R425" s="183" t="n"/>
      <c r="S425" s="183" t="n"/>
      <c r="T425" s="183" t="n"/>
      <c r="U425" s="183" t="n"/>
      <c r="V425" s="183" t="n"/>
      <c r="W425" s="183" t="n"/>
      <c r="X425" s="183" t="n"/>
      <c r="Y425" s="183" t="n"/>
      <c r="Z425" s="183" t="n"/>
      <c r="AA425" s="183" t="n"/>
    </row>
    <row r="426">
      <c r="A426" s="183" t="n"/>
      <c r="B426" s="183" t="n"/>
      <c r="C426" s="183" t="n"/>
      <c r="D426" s="183" t="n"/>
      <c r="E426" s="183" t="n"/>
      <c r="F426" s="183" t="n"/>
      <c r="G426" s="183" t="n"/>
      <c r="H426" s="183" t="n"/>
      <c r="I426" s="183" t="n"/>
      <c r="J426" s="183" t="n"/>
      <c r="K426" s="183" t="n"/>
      <c r="L426" s="183" t="n"/>
      <c r="M426" s="183" t="n"/>
      <c r="N426" s="183" t="n"/>
      <c r="O426" s="183" t="n"/>
      <c r="P426" s="183" t="n"/>
      <c r="Q426" s="183" t="n"/>
      <c r="R426" s="183" t="n"/>
      <c r="S426" s="183" t="n"/>
      <c r="T426" s="183" t="n"/>
      <c r="U426" s="183" t="n"/>
      <c r="V426" s="183" t="n"/>
      <c r="W426" s="183" t="n"/>
      <c r="X426" s="183" t="n"/>
      <c r="Y426" s="183" t="n"/>
      <c r="Z426" s="183" t="n"/>
      <c r="AA426" s="183" t="n"/>
    </row>
    <row r="427">
      <c r="A427" s="183" t="n"/>
      <c r="B427" s="183" t="n"/>
      <c r="C427" s="183" t="n"/>
      <c r="D427" s="183" t="n"/>
      <c r="E427" s="183" t="n"/>
      <c r="F427" s="183" t="n"/>
      <c r="G427" s="183" t="n"/>
      <c r="H427" s="183" t="n"/>
      <c r="I427" s="183" t="n"/>
      <c r="J427" s="183" t="n"/>
      <c r="K427" s="183" t="n"/>
      <c r="L427" s="183" t="n"/>
      <c r="M427" s="183" t="n"/>
      <c r="N427" s="183" t="n"/>
      <c r="O427" s="183" t="n"/>
      <c r="P427" s="183" t="n"/>
      <c r="Q427" s="183" t="n"/>
      <c r="R427" s="183" t="n"/>
      <c r="S427" s="183" t="n"/>
      <c r="T427" s="183" t="n"/>
      <c r="U427" s="183" t="n"/>
      <c r="V427" s="183" t="n"/>
      <c r="W427" s="183" t="n"/>
      <c r="X427" s="183" t="n"/>
      <c r="Y427" s="183" t="n"/>
      <c r="Z427" s="183" t="n"/>
      <c r="AA427" s="183" t="n"/>
    </row>
    <row r="428">
      <c r="A428" s="183" t="n"/>
      <c r="B428" s="183" t="n"/>
      <c r="C428" s="183" t="n"/>
      <c r="D428" s="183" t="n"/>
      <c r="E428" s="183" t="n"/>
      <c r="F428" s="183" t="n"/>
      <c r="G428" s="183" t="n"/>
      <c r="H428" s="183" t="n"/>
      <c r="I428" s="183" t="n"/>
      <c r="J428" s="183" t="n"/>
      <c r="K428" s="183" t="n"/>
      <c r="L428" s="183" t="n"/>
      <c r="M428" s="183" t="n"/>
      <c r="N428" s="183" t="n"/>
      <c r="O428" s="183" t="n"/>
      <c r="P428" s="183" t="n"/>
      <c r="Q428" s="183" t="n"/>
      <c r="R428" s="183" t="n"/>
      <c r="S428" s="183" t="n"/>
      <c r="T428" s="183" t="n"/>
      <c r="U428" s="183" t="n"/>
      <c r="V428" s="183" t="n"/>
      <c r="W428" s="183" t="n"/>
      <c r="X428" s="183" t="n"/>
      <c r="Y428" s="183" t="n"/>
      <c r="Z428" s="183" t="n"/>
      <c r="AA428" s="183" t="n"/>
    </row>
    <row r="429">
      <c r="A429" s="183" t="n"/>
      <c r="B429" s="183" t="n"/>
      <c r="C429" s="183" t="n"/>
      <c r="D429" s="183" t="n"/>
      <c r="E429" s="183" t="n"/>
      <c r="F429" s="183" t="n"/>
      <c r="G429" s="183" t="n"/>
      <c r="H429" s="183" t="n"/>
      <c r="I429" s="183" t="n"/>
      <c r="J429" s="183" t="n"/>
      <c r="K429" s="183" t="n"/>
      <c r="L429" s="183" t="n"/>
      <c r="M429" s="183" t="n"/>
      <c r="N429" s="183" t="n"/>
      <c r="O429" s="183" t="n"/>
      <c r="P429" s="183" t="n"/>
      <c r="Q429" s="183" t="n"/>
      <c r="R429" s="183" t="n"/>
      <c r="S429" s="183" t="n"/>
      <c r="T429" s="183" t="n"/>
      <c r="U429" s="183" t="n"/>
      <c r="V429" s="183" t="n"/>
      <c r="W429" s="183" t="n"/>
      <c r="X429" s="183" t="n"/>
      <c r="Y429" s="183" t="n"/>
      <c r="Z429" s="183" t="n"/>
      <c r="AA429" s="183" t="n"/>
    </row>
    <row r="430">
      <c r="A430" s="183" t="n"/>
      <c r="B430" s="183" t="n"/>
      <c r="C430" s="183" t="n"/>
      <c r="D430" s="183" t="n"/>
      <c r="E430" s="183" t="n"/>
      <c r="F430" s="183" t="n"/>
      <c r="G430" s="183" t="n"/>
      <c r="H430" s="183" t="n"/>
      <c r="I430" s="183" t="n"/>
      <c r="J430" s="183" t="n"/>
      <c r="K430" s="183" t="n"/>
      <c r="L430" s="183" t="n"/>
      <c r="M430" s="183" t="n"/>
      <c r="N430" s="183" t="n"/>
      <c r="O430" s="183" t="n"/>
      <c r="P430" s="183" t="n"/>
      <c r="Q430" s="183" t="n"/>
      <c r="R430" s="183" t="n"/>
      <c r="S430" s="183" t="n"/>
      <c r="T430" s="183" t="n"/>
      <c r="U430" s="183" t="n"/>
      <c r="V430" s="183" t="n"/>
      <c r="W430" s="183" t="n"/>
      <c r="X430" s="183" t="n"/>
      <c r="Y430" s="183" t="n"/>
      <c r="Z430" s="183" t="n"/>
      <c r="AA430" s="183" t="n"/>
    </row>
    <row r="431">
      <c r="A431" s="183" t="n"/>
      <c r="B431" s="183" t="n"/>
      <c r="C431" s="183" t="n"/>
      <c r="D431" s="183" t="n"/>
      <c r="E431" s="183" t="n"/>
      <c r="F431" s="183" t="n"/>
      <c r="G431" s="183" t="n"/>
      <c r="H431" s="183" t="n"/>
      <c r="I431" s="183" t="n"/>
      <c r="J431" s="183" t="n"/>
      <c r="K431" s="183" t="n"/>
      <c r="L431" s="183" t="n"/>
      <c r="M431" s="183" t="n"/>
      <c r="N431" s="183" t="n"/>
      <c r="O431" s="183" t="n"/>
      <c r="P431" s="183" t="n"/>
      <c r="Q431" s="183" t="n"/>
      <c r="R431" s="183" t="n"/>
      <c r="S431" s="183" t="n"/>
      <c r="T431" s="183" t="n"/>
      <c r="U431" s="183" t="n"/>
      <c r="V431" s="183" t="n"/>
      <c r="W431" s="183" t="n"/>
      <c r="X431" s="183" t="n"/>
      <c r="Y431" s="183" t="n"/>
      <c r="Z431" s="183" t="n"/>
      <c r="AA431" s="183" t="n"/>
    </row>
    <row r="432">
      <c r="A432" s="183" t="n"/>
      <c r="B432" s="183" t="n"/>
      <c r="C432" s="183" t="n"/>
      <c r="D432" s="183" t="n"/>
      <c r="E432" s="183" t="n"/>
      <c r="F432" s="183" t="n"/>
      <c r="G432" s="183" t="n"/>
      <c r="H432" s="183" t="n"/>
      <c r="I432" s="183" t="n"/>
      <c r="J432" s="183" t="n"/>
      <c r="K432" s="183" t="n"/>
      <c r="L432" s="183" t="n"/>
      <c r="M432" s="183" t="n"/>
      <c r="N432" s="183" t="n"/>
      <c r="O432" s="183" t="n"/>
      <c r="P432" s="183" t="n"/>
      <c r="Q432" s="183" t="n"/>
      <c r="R432" s="183" t="n"/>
      <c r="S432" s="183" t="n"/>
      <c r="T432" s="183" t="n"/>
      <c r="U432" s="183" t="n"/>
      <c r="V432" s="183" t="n"/>
      <c r="W432" s="183" t="n"/>
      <c r="X432" s="183" t="n"/>
      <c r="Y432" s="183" t="n"/>
      <c r="Z432" s="183" t="n"/>
      <c r="AA432" s="183" t="n"/>
    </row>
    <row r="433">
      <c r="A433" s="183" t="n"/>
      <c r="B433" s="183" t="n"/>
      <c r="C433" s="183" t="n"/>
      <c r="D433" s="183" t="n"/>
      <c r="E433" s="183" t="n"/>
      <c r="F433" s="183" t="n"/>
      <c r="G433" s="183" t="n"/>
      <c r="H433" s="183" t="n"/>
      <c r="I433" s="183" t="n"/>
      <c r="J433" s="183" t="n"/>
      <c r="K433" s="183" t="n"/>
      <c r="L433" s="183" t="n"/>
      <c r="M433" s="183" t="n"/>
      <c r="N433" s="183" t="n"/>
      <c r="O433" s="183" t="n"/>
      <c r="P433" s="183" t="n"/>
      <c r="Q433" s="183" t="n"/>
      <c r="R433" s="183" t="n"/>
      <c r="S433" s="183" t="n"/>
      <c r="T433" s="183" t="n"/>
      <c r="U433" s="183" t="n"/>
      <c r="V433" s="183" t="n"/>
      <c r="W433" s="183" t="n"/>
      <c r="X433" s="183" t="n"/>
      <c r="Y433" s="183" t="n"/>
      <c r="Z433" s="183" t="n"/>
      <c r="AA433" s="183" t="n"/>
    </row>
    <row r="434">
      <c r="A434" s="183" t="n"/>
      <c r="B434" s="183" t="n"/>
      <c r="C434" s="183" t="n"/>
      <c r="D434" s="183" t="n"/>
      <c r="E434" s="183" t="n"/>
      <c r="F434" s="183" t="n"/>
      <c r="G434" s="183" t="n"/>
      <c r="H434" s="183" t="n"/>
      <c r="I434" s="183" t="n"/>
      <c r="J434" s="183" t="n"/>
      <c r="K434" s="183" t="n"/>
      <c r="L434" s="183" t="n"/>
      <c r="M434" s="183" t="n"/>
      <c r="N434" s="183" t="n"/>
      <c r="O434" s="183" t="n"/>
      <c r="P434" s="183" t="n"/>
      <c r="Q434" s="183" t="n"/>
      <c r="R434" s="183" t="n"/>
      <c r="S434" s="183" t="n"/>
      <c r="T434" s="183" t="n"/>
      <c r="U434" s="183" t="n"/>
      <c r="V434" s="183" t="n"/>
      <c r="W434" s="183" t="n"/>
      <c r="X434" s="183" t="n"/>
      <c r="Y434" s="183" t="n"/>
      <c r="Z434" s="183" t="n"/>
      <c r="AA434" s="183" t="n"/>
    </row>
    <row r="435">
      <c r="A435" s="183" t="n"/>
      <c r="B435" s="183" t="n"/>
      <c r="C435" s="183" t="n"/>
      <c r="D435" s="183" t="n"/>
      <c r="E435" s="183" t="n"/>
      <c r="F435" s="183" t="n"/>
      <c r="G435" s="183" t="n"/>
      <c r="H435" s="183" t="n"/>
      <c r="I435" s="183" t="n"/>
      <c r="J435" s="183" t="n"/>
      <c r="K435" s="183" t="n"/>
      <c r="L435" s="183" t="n"/>
      <c r="M435" s="183" t="n"/>
      <c r="N435" s="183" t="n"/>
      <c r="O435" s="183" t="n"/>
      <c r="P435" s="183" t="n"/>
      <c r="Q435" s="183" t="n"/>
      <c r="R435" s="183" t="n"/>
      <c r="S435" s="183" t="n"/>
      <c r="T435" s="183" t="n"/>
      <c r="U435" s="183" t="n"/>
      <c r="V435" s="183" t="n"/>
      <c r="W435" s="183" t="n"/>
      <c r="X435" s="183" t="n"/>
      <c r="Y435" s="183" t="n"/>
      <c r="Z435" s="183" t="n"/>
      <c r="AA435" s="183" t="n"/>
    </row>
    <row r="436">
      <c r="A436" s="183" t="n"/>
      <c r="B436" s="183" t="n"/>
      <c r="C436" s="183" t="n"/>
      <c r="D436" s="183" t="n"/>
      <c r="E436" s="183" t="n"/>
      <c r="F436" s="183" t="n"/>
      <c r="G436" s="183" t="n"/>
      <c r="H436" s="183" t="n"/>
      <c r="I436" s="183" t="n"/>
      <c r="J436" s="183" t="n"/>
      <c r="K436" s="183" t="n"/>
      <c r="L436" s="183" t="n"/>
      <c r="M436" s="183" t="n"/>
      <c r="N436" s="183" t="n"/>
      <c r="O436" s="183" t="n"/>
      <c r="P436" s="183" t="n"/>
      <c r="Q436" s="183" t="n"/>
      <c r="R436" s="183" t="n"/>
      <c r="S436" s="183" t="n"/>
      <c r="T436" s="183" t="n"/>
      <c r="U436" s="183" t="n"/>
      <c r="V436" s="183" t="n"/>
      <c r="W436" s="183" t="n"/>
      <c r="X436" s="183" t="n"/>
      <c r="Y436" s="183" t="n"/>
      <c r="Z436" s="183" t="n"/>
      <c r="AA436" s="183" t="n"/>
    </row>
    <row r="437">
      <c r="A437" s="183" t="n"/>
      <c r="B437" s="183" t="n"/>
      <c r="C437" s="183" t="n"/>
      <c r="D437" s="183" t="n"/>
      <c r="E437" s="183" t="n"/>
      <c r="F437" s="183" t="n"/>
      <c r="G437" s="183" t="n"/>
      <c r="H437" s="183" t="n"/>
      <c r="I437" s="183" t="n"/>
      <c r="J437" s="183" t="n"/>
      <c r="K437" s="183" t="n"/>
      <c r="L437" s="183" t="n"/>
      <c r="M437" s="183" t="n"/>
      <c r="N437" s="183" t="n"/>
      <c r="O437" s="183" t="n"/>
      <c r="P437" s="183" t="n"/>
      <c r="Q437" s="183" t="n"/>
      <c r="R437" s="183" t="n"/>
      <c r="S437" s="183" t="n"/>
      <c r="T437" s="183" t="n"/>
      <c r="U437" s="183" t="n"/>
      <c r="V437" s="183" t="n"/>
      <c r="W437" s="183" t="n"/>
      <c r="X437" s="183" t="n"/>
      <c r="Y437" s="183" t="n"/>
      <c r="Z437" s="183" t="n"/>
      <c r="AA437" s="183" t="n"/>
    </row>
    <row r="438">
      <c r="A438" s="183" t="n"/>
      <c r="B438" s="183" t="n"/>
      <c r="C438" s="183" t="n"/>
      <c r="D438" s="183" t="n"/>
      <c r="E438" s="183" t="n"/>
      <c r="F438" s="183" t="n"/>
      <c r="G438" s="183" t="n"/>
      <c r="H438" s="183" t="n"/>
      <c r="I438" s="183" t="n"/>
      <c r="J438" s="183" t="n"/>
      <c r="K438" s="183" t="n"/>
      <c r="L438" s="183" t="n"/>
      <c r="M438" s="183" t="n"/>
      <c r="N438" s="183" t="n"/>
      <c r="O438" s="183" t="n"/>
      <c r="P438" s="183" t="n"/>
      <c r="Q438" s="183" t="n"/>
      <c r="R438" s="183" t="n"/>
      <c r="S438" s="183" t="n"/>
      <c r="T438" s="183" t="n"/>
      <c r="U438" s="183" t="n"/>
      <c r="V438" s="183" t="n"/>
      <c r="W438" s="183" t="n"/>
      <c r="X438" s="183" t="n"/>
      <c r="Y438" s="183" t="n"/>
      <c r="Z438" s="183" t="n"/>
      <c r="AA438" s="183" t="n"/>
    </row>
    <row r="439">
      <c r="A439" s="183" t="n"/>
      <c r="B439" s="183" t="n"/>
      <c r="C439" s="183" t="n"/>
      <c r="D439" s="183" t="n"/>
      <c r="E439" s="183" t="n"/>
      <c r="F439" s="183" t="n"/>
      <c r="G439" s="183" t="n"/>
      <c r="H439" s="183" t="n"/>
      <c r="I439" s="183" t="n"/>
      <c r="J439" s="183" t="n"/>
      <c r="K439" s="183" t="n"/>
      <c r="L439" s="183" t="n"/>
      <c r="M439" s="183" t="n"/>
      <c r="N439" s="183" t="n"/>
      <c r="O439" s="183" t="n"/>
      <c r="P439" s="183" t="n"/>
      <c r="Q439" s="183" t="n"/>
      <c r="R439" s="183" t="n"/>
      <c r="S439" s="183" t="n"/>
      <c r="T439" s="183" t="n"/>
      <c r="U439" s="183" t="n"/>
      <c r="V439" s="183" t="n"/>
      <c r="W439" s="183" t="n"/>
      <c r="X439" s="183" t="n"/>
      <c r="Y439" s="183" t="n"/>
      <c r="Z439" s="183" t="n"/>
      <c r="AA439" s="183" t="n"/>
    </row>
    <row r="440">
      <c r="A440" s="183" t="n"/>
      <c r="B440" s="183" t="n"/>
      <c r="C440" s="183" t="n"/>
      <c r="D440" s="183" t="n"/>
      <c r="E440" s="183" t="n"/>
      <c r="F440" s="183" t="n"/>
      <c r="G440" s="183" t="n"/>
      <c r="H440" s="183" t="n"/>
      <c r="I440" s="183" t="n"/>
      <c r="J440" s="183" t="n"/>
      <c r="K440" s="183" t="n"/>
      <c r="L440" s="183" t="n"/>
      <c r="M440" s="183" t="n"/>
      <c r="N440" s="183" t="n"/>
      <c r="O440" s="183" t="n"/>
      <c r="P440" s="183" t="n"/>
      <c r="Q440" s="183" t="n"/>
      <c r="R440" s="183" t="n"/>
      <c r="S440" s="183" t="n"/>
      <c r="T440" s="183" t="n"/>
      <c r="U440" s="183" t="n"/>
      <c r="V440" s="183" t="n"/>
      <c r="W440" s="183" t="n"/>
      <c r="X440" s="183" t="n"/>
      <c r="Y440" s="183" t="n"/>
      <c r="Z440" s="183" t="n"/>
      <c r="AA440" s="183" t="n"/>
    </row>
    <row r="441">
      <c r="A441" s="183" t="n"/>
      <c r="B441" s="183" t="n"/>
      <c r="C441" s="183" t="n"/>
      <c r="D441" s="183" t="n"/>
      <c r="E441" s="183" t="n"/>
      <c r="F441" s="183" t="n"/>
      <c r="G441" s="183" t="n"/>
      <c r="H441" s="183" t="n"/>
      <c r="I441" s="183" t="n"/>
      <c r="J441" s="183" t="n"/>
      <c r="K441" s="183" t="n"/>
      <c r="L441" s="183" t="n"/>
      <c r="M441" s="183" t="n"/>
      <c r="N441" s="183" t="n"/>
      <c r="O441" s="183" t="n"/>
      <c r="P441" s="183" t="n"/>
      <c r="Q441" s="183" t="n"/>
      <c r="R441" s="183" t="n"/>
      <c r="S441" s="183" t="n"/>
      <c r="T441" s="183" t="n"/>
      <c r="U441" s="183" t="n"/>
      <c r="V441" s="183" t="n"/>
      <c r="W441" s="183" t="n"/>
      <c r="X441" s="183" t="n"/>
      <c r="Y441" s="183" t="n"/>
      <c r="Z441" s="183" t="n"/>
      <c r="AA441" s="183" t="n"/>
    </row>
    <row r="442">
      <c r="A442" s="183" t="n"/>
      <c r="B442" s="183" t="n"/>
      <c r="C442" s="183" t="n"/>
      <c r="D442" s="183" t="n"/>
      <c r="E442" s="183" t="n"/>
      <c r="F442" s="183" t="n"/>
      <c r="G442" s="183" t="n"/>
      <c r="H442" s="183" t="n"/>
      <c r="I442" s="183" t="n"/>
      <c r="J442" s="183" t="n"/>
      <c r="K442" s="183" t="n"/>
      <c r="L442" s="183" t="n"/>
      <c r="M442" s="183" t="n"/>
      <c r="N442" s="183" t="n"/>
      <c r="O442" s="183" t="n"/>
      <c r="P442" s="183" t="n"/>
      <c r="Q442" s="183" t="n"/>
      <c r="R442" s="183" t="n"/>
      <c r="S442" s="183" t="n"/>
      <c r="T442" s="183" t="n"/>
      <c r="U442" s="183" t="n"/>
      <c r="V442" s="183" t="n"/>
      <c r="W442" s="183" t="n"/>
      <c r="X442" s="183" t="n"/>
      <c r="Y442" s="183" t="n"/>
      <c r="Z442" s="183" t="n"/>
      <c r="AA442" s="183" t="n"/>
    </row>
    <row r="443">
      <c r="A443" s="183" t="n"/>
      <c r="B443" s="183" t="n"/>
      <c r="C443" s="183" t="n"/>
      <c r="D443" s="183" t="n"/>
      <c r="E443" s="183" t="n"/>
      <c r="F443" s="183" t="n"/>
      <c r="G443" s="183" t="n"/>
      <c r="H443" s="183" t="n"/>
      <c r="I443" s="183" t="n"/>
      <c r="J443" s="183" t="n"/>
      <c r="K443" s="183" t="n"/>
      <c r="L443" s="183" t="n"/>
      <c r="M443" s="183" t="n"/>
      <c r="N443" s="183" t="n"/>
      <c r="O443" s="183" t="n"/>
      <c r="P443" s="183" t="n"/>
      <c r="Q443" s="183" t="n"/>
      <c r="R443" s="183" t="n"/>
      <c r="S443" s="183" t="n"/>
      <c r="T443" s="183" t="n"/>
      <c r="U443" s="183" t="n"/>
      <c r="V443" s="183" t="n"/>
      <c r="W443" s="183" t="n"/>
      <c r="X443" s="183" t="n"/>
      <c r="Y443" s="183" t="n"/>
      <c r="Z443" s="183" t="n"/>
      <c r="AA443" s="183" t="n"/>
    </row>
    <row r="444">
      <c r="A444" s="183" t="n"/>
      <c r="B444" s="183" t="n"/>
      <c r="C444" s="183" t="n"/>
      <c r="D444" s="183" t="n"/>
      <c r="E444" s="183" t="n"/>
      <c r="F444" s="183" t="n"/>
      <c r="G444" s="183" t="n"/>
      <c r="H444" s="183" t="n"/>
      <c r="I444" s="183" t="n"/>
      <c r="J444" s="183" t="n"/>
      <c r="K444" s="183" t="n"/>
      <c r="L444" s="183" t="n"/>
      <c r="M444" s="183" t="n"/>
      <c r="N444" s="183" t="n"/>
      <c r="O444" s="183" t="n"/>
      <c r="P444" s="183" t="n"/>
      <c r="Q444" s="183" t="n"/>
      <c r="R444" s="183" t="n"/>
      <c r="S444" s="183" t="n"/>
      <c r="T444" s="183" t="n"/>
      <c r="U444" s="183" t="n"/>
      <c r="V444" s="183" t="n"/>
      <c r="W444" s="183" t="n"/>
      <c r="X444" s="183" t="n"/>
      <c r="Y444" s="183" t="n"/>
      <c r="Z444" s="183" t="n"/>
      <c r="AA444" s="183" t="n"/>
    </row>
    <row r="445">
      <c r="A445" s="183" t="n"/>
      <c r="B445" s="183" t="n"/>
      <c r="C445" s="183" t="n"/>
      <c r="D445" s="183" t="n"/>
      <c r="E445" s="183" t="n"/>
      <c r="F445" s="183" t="n"/>
      <c r="G445" s="183" t="n"/>
      <c r="H445" s="183" t="n"/>
      <c r="I445" s="183" t="n"/>
      <c r="J445" s="183" t="n"/>
      <c r="K445" s="183" t="n"/>
      <c r="L445" s="183" t="n"/>
      <c r="M445" s="183" t="n"/>
      <c r="N445" s="183" t="n"/>
      <c r="O445" s="183" t="n"/>
      <c r="P445" s="183" t="n"/>
      <c r="Q445" s="183" t="n"/>
      <c r="R445" s="183" t="n"/>
      <c r="S445" s="183" t="n"/>
      <c r="T445" s="183" t="n"/>
      <c r="U445" s="183" t="n"/>
      <c r="V445" s="183" t="n"/>
      <c r="W445" s="183" t="n"/>
      <c r="X445" s="183" t="n"/>
      <c r="Y445" s="183" t="n"/>
      <c r="Z445" s="183" t="n"/>
      <c r="AA445" s="183" t="n"/>
    </row>
    <row r="446">
      <c r="A446" s="183" t="n"/>
      <c r="B446" s="183" t="n"/>
      <c r="C446" s="183" t="n"/>
      <c r="D446" s="183" t="n"/>
      <c r="E446" s="183" t="n"/>
      <c r="F446" s="183" t="n"/>
      <c r="G446" s="183" t="n"/>
      <c r="H446" s="183" t="n"/>
      <c r="I446" s="183" t="n"/>
      <c r="J446" s="183" t="n"/>
      <c r="K446" s="183" t="n"/>
      <c r="L446" s="183" t="n"/>
      <c r="M446" s="183" t="n"/>
      <c r="N446" s="183" t="n"/>
      <c r="O446" s="183" t="n"/>
      <c r="P446" s="183" t="n"/>
      <c r="Q446" s="183" t="n"/>
      <c r="R446" s="183" t="n"/>
      <c r="S446" s="183" t="n"/>
      <c r="T446" s="183" t="n"/>
      <c r="U446" s="183" t="n"/>
      <c r="V446" s="183" t="n"/>
      <c r="W446" s="183" t="n"/>
      <c r="X446" s="183" t="n"/>
      <c r="Y446" s="183" t="n"/>
      <c r="Z446" s="183" t="n"/>
      <c r="AA446" s="183" t="n"/>
    </row>
    <row r="447">
      <c r="A447" s="183" t="n"/>
      <c r="B447" s="183" t="n"/>
      <c r="C447" s="183" t="n"/>
      <c r="D447" s="183" t="n"/>
      <c r="E447" s="183" t="n"/>
      <c r="F447" s="183" t="n"/>
      <c r="G447" s="183" t="n"/>
      <c r="H447" s="183" t="n"/>
      <c r="I447" s="183" t="n"/>
      <c r="J447" s="183" t="n"/>
      <c r="K447" s="183" t="n"/>
      <c r="L447" s="183" t="n"/>
      <c r="M447" s="183" t="n"/>
      <c r="N447" s="183" t="n"/>
      <c r="O447" s="183" t="n"/>
      <c r="P447" s="183" t="n"/>
      <c r="Q447" s="183" t="n"/>
      <c r="R447" s="183" t="n"/>
      <c r="S447" s="183" t="n"/>
      <c r="T447" s="183" t="n"/>
      <c r="U447" s="183" t="n"/>
      <c r="V447" s="183" t="n"/>
      <c r="W447" s="183" t="n"/>
      <c r="X447" s="183" t="n"/>
      <c r="Y447" s="183" t="n"/>
      <c r="Z447" s="183" t="n"/>
      <c r="AA447" s="183" t="n"/>
    </row>
    <row r="448">
      <c r="A448" s="183" t="n"/>
      <c r="B448" s="183" t="n"/>
      <c r="C448" s="183" t="n"/>
      <c r="D448" s="183" t="n"/>
      <c r="E448" s="183" t="n"/>
      <c r="F448" s="183" t="n"/>
      <c r="G448" s="183" t="n"/>
      <c r="H448" s="183" t="n"/>
      <c r="I448" s="183" t="n"/>
      <c r="J448" s="183" t="n"/>
      <c r="K448" s="183" t="n"/>
      <c r="L448" s="183" t="n"/>
      <c r="M448" s="183" t="n"/>
      <c r="N448" s="183" t="n"/>
      <c r="O448" s="183" t="n"/>
      <c r="P448" s="183" t="n"/>
      <c r="Q448" s="183" t="n"/>
      <c r="R448" s="183" t="n"/>
      <c r="S448" s="183" t="n"/>
      <c r="T448" s="183" t="n"/>
      <c r="U448" s="183" t="n"/>
      <c r="V448" s="183" t="n"/>
      <c r="W448" s="183" t="n"/>
      <c r="X448" s="183" t="n"/>
      <c r="Y448" s="183" t="n"/>
      <c r="Z448" s="183" t="n"/>
      <c r="AA448" s="183" t="n"/>
    </row>
    <row r="449">
      <c r="A449" s="183" t="n"/>
      <c r="B449" s="183" t="n"/>
      <c r="C449" s="183" t="n"/>
      <c r="D449" s="183" t="n"/>
      <c r="E449" s="183" t="n"/>
      <c r="F449" s="183" t="n"/>
      <c r="G449" s="183" t="n"/>
      <c r="H449" s="183" t="n"/>
      <c r="I449" s="183" t="n"/>
      <c r="J449" s="183" t="n"/>
      <c r="K449" s="183" t="n"/>
      <c r="L449" s="183" t="n"/>
      <c r="M449" s="183" t="n"/>
      <c r="N449" s="183" t="n"/>
      <c r="O449" s="183" t="n"/>
      <c r="P449" s="183" t="n"/>
      <c r="Q449" s="183" t="n"/>
      <c r="R449" s="183" t="n"/>
      <c r="S449" s="183" t="n"/>
      <c r="T449" s="183" t="n"/>
      <c r="U449" s="183" t="n"/>
      <c r="V449" s="183" t="n"/>
      <c r="W449" s="183" t="n"/>
      <c r="X449" s="183" t="n"/>
      <c r="Y449" s="183" t="n"/>
      <c r="Z449" s="183" t="n"/>
      <c r="AA449" s="183" t="n"/>
    </row>
    <row r="450">
      <c r="A450" s="183" t="n"/>
      <c r="B450" s="183" t="n"/>
      <c r="C450" s="183" t="n"/>
      <c r="D450" s="183" t="n"/>
      <c r="E450" s="183" t="n"/>
      <c r="F450" s="183" t="n"/>
      <c r="G450" s="183" t="n"/>
      <c r="H450" s="183" t="n"/>
      <c r="I450" s="183" t="n"/>
      <c r="J450" s="183" t="n"/>
      <c r="K450" s="183" t="n"/>
      <c r="L450" s="183" t="n"/>
      <c r="M450" s="183" t="n"/>
      <c r="N450" s="183" t="n"/>
      <c r="O450" s="183" t="n"/>
      <c r="P450" s="183" t="n"/>
      <c r="Q450" s="183" t="n"/>
      <c r="R450" s="183" t="n"/>
      <c r="S450" s="183" t="n"/>
      <c r="T450" s="183" t="n"/>
      <c r="U450" s="183" t="n"/>
      <c r="V450" s="183" t="n"/>
      <c r="W450" s="183" t="n"/>
      <c r="X450" s="183" t="n"/>
      <c r="Y450" s="183" t="n"/>
      <c r="Z450" s="183" t="n"/>
      <c r="AA450" s="183" t="n"/>
    </row>
    <row r="451">
      <c r="A451" s="183" t="n"/>
      <c r="B451" s="183" t="n"/>
      <c r="C451" s="183" t="n"/>
      <c r="D451" s="183" t="n"/>
      <c r="E451" s="183" t="n"/>
      <c r="F451" s="183" t="n"/>
      <c r="G451" s="183" t="n"/>
      <c r="H451" s="183" t="n"/>
      <c r="I451" s="183" t="n"/>
      <c r="J451" s="183" t="n"/>
      <c r="K451" s="183" t="n"/>
      <c r="L451" s="183" t="n"/>
      <c r="M451" s="183" t="n"/>
      <c r="N451" s="183" t="n"/>
      <c r="O451" s="183" t="n"/>
      <c r="P451" s="183" t="n"/>
      <c r="Q451" s="183" t="n"/>
      <c r="R451" s="183" t="n"/>
      <c r="S451" s="183" t="n"/>
      <c r="T451" s="183" t="n"/>
      <c r="U451" s="183" t="n"/>
      <c r="V451" s="183" t="n"/>
      <c r="W451" s="183" t="n"/>
      <c r="X451" s="183" t="n"/>
      <c r="Y451" s="183" t="n"/>
      <c r="Z451" s="183" t="n"/>
      <c r="AA451" s="183" t="n"/>
    </row>
    <row r="452">
      <c r="A452" s="183" t="n"/>
      <c r="B452" s="183" t="n"/>
      <c r="C452" s="183" t="n"/>
      <c r="D452" s="183" t="n"/>
      <c r="E452" s="183" t="n"/>
      <c r="F452" s="183" t="n"/>
      <c r="G452" s="183" t="n"/>
      <c r="H452" s="183" t="n"/>
      <c r="I452" s="183" t="n"/>
      <c r="J452" s="183" t="n"/>
      <c r="K452" s="183" t="n"/>
      <c r="L452" s="183" t="n"/>
      <c r="M452" s="183" t="n"/>
      <c r="N452" s="183" t="n"/>
      <c r="O452" s="183" t="n"/>
      <c r="P452" s="183" t="n"/>
      <c r="Q452" s="183" t="n"/>
      <c r="R452" s="183" t="n"/>
      <c r="S452" s="183" t="n"/>
      <c r="T452" s="183" t="n"/>
      <c r="U452" s="183" t="n"/>
      <c r="V452" s="183" t="n"/>
      <c r="W452" s="183" t="n"/>
      <c r="X452" s="183" t="n"/>
      <c r="Y452" s="183" t="n"/>
      <c r="Z452" s="183" t="n"/>
      <c r="AA452" s="183" t="n"/>
    </row>
    <row r="453">
      <c r="A453" s="183" t="n"/>
      <c r="B453" s="183" t="n"/>
      <c r="C453" s="183" t="n"/>
      <c r="D453" s="183" t="n"/>
      <c r="E453" s="183" t="n"/>
      <c r="F453" s="183" t="n"/>
      <c r="G453" s="183" t="n"/>
      <c r="H453" s="183" t="n"/>
      <c r="I453" s="183" t="n"/>
      <c r="J453" s="183" t="n"/>
      <c r="K453" s="183" t="n"/>
      <c r="L453" s="183" t="n"/>
      <c r="M453" s="183" t="n"/>
      <c r="N453" s="183" t="n"/>
      <c r="O453" s="183" t="n"/>
      <c r="P453" s="183" t="n"/>
      <c r="Q453" s="183" t="n"/>
      <c r="R453" s="183" t="n"/>
      <c r="S453" s="183" t="n"/>
      <c r="T453" s="183" t="n"/>
      <c r="U453" s="183" t="n"/>
      <c r="V453" s="183" t="n"/>
      <c r="W453" s="183" t="n"/>
      <c r="X453" s="183" t="n"/>
      <c r="Y453" s="183" t="n"/>
      <c r="Z453" s="183" t="n"/>
      <c r="AA453" s="183" t="n"/>
    </row>
    <row r="454">
      <c r="A454" s="183" t="n"/>
      <c r="B454" s="183" t="n"/>
      <c r="C454" s="183" t="n"/>
      <c r="D454" s="183" t="n"/>
      <c r="E454" s="183" t="n"/>
      <c r="F454" s="183" t="n"/>
      <c r="G454" s="183" t="n"/>
      <c r="H454" s="183" t="n"/>
      <c r="I454" s="183" t="n"/>
      <c r="J454" s="183" t="n"/>
      <c r="K454" s="183" t="n"/>
      <c r="L454" s="183" t="n"/>
      <c r="M454" s="183" t="n"/>
      <c r="N454" s="183" t="n"/>
      <c r="O454" s="183" t="n"/>
      <c r="P454" s="183" t="n"/>
      <c r="Q454" s="183" t="n"/>
      <c r="R454" s="183" t="n"/>
      <c r="S454" s="183" t="n"/>
      <c r="T454" s="183" t="n"/>
      <c r="U454" s="183" t="n"/>
      <c r="V454" s="183" t="n"/>
      <c r="W454" s="183" t="n"/>
      <c r="X454" s="183" t="n"/>
      <c r="Y454" s="183" t="n"/>
      <c r="Z454" s="183" t="n"/>
      <c r="AA454" s="183" t="n"/>
    </row>
    <row r="455">
      <c r="A455" s="183" t="n"/>
      <c r="B455" s="183" t="n"/>
      <c r="C455" s="183" t="n"/>
      <c r="D455" s="183" t="n"/>
      <c r="E455" s="183" t="n"/>
      <c r="F455" s="183" t="n"/>
      <c r="G455" s="183" t="n"/>
      <c r="H455" s="183" t="n"/>
      <c r="I455" s="183" t="n"/>
      <c r="J455" s="183" t="n"/>
      <c r="K455" s="183" t="n"/>
      <c r="L455" s="183" t="n"/>
      <c r="M455" s="183" t="n"/>
      <c r="N455" s="183" t="n"/>
      <c r="O455" s="183" t="n"/>
      <c r="P455" s="183" t="n"/>
      <c r="Q455" s="183" t="n"/>
      <c r="R455" s="183" t="n"/>
      <c r="S455" s="183" t="n"/>
      <c r="T455" s="183" t="n"/>
      <c r="U455" s="183" t="n"/>
      <c r="V455" s="183" t="n"/>
      <c r="W455" s="183" t="n"/>
      <c r="X455" s="183" t="n"/>
      <c r="Y455" s="183" t="n"/>
      <c r="Z455" s="183" t="n"/>
      <c r="AA455" s="183" t="n"/>
    </row>
    <row r="456">
      <c r="A456" s="183" t="n"/>
      <c r="B456" s="183" t="n"/>
      <c r="C456" s="183" t="n"/>
      <c r="D456" s="183" t="n"/>
      <c r="E456" s="183" t="n"/>
      <c r="F456" s="183" t="n"/>
      <c r="G456" s="183" t="n"/>
      <c r="H456" s="183" t="n"/>
      <c r="I456" s="183" t="n"/>
      <c r="J456" s="183" t="n"/>
      <c r="K456" s="183" t="n"/>
      <c r="L456" s="183" t="n"/>
      <c r="M456" s="183" t="n"/>
      <c r="N456" s="183" t="n"/>
      <c r="O456" s="183" t="n"/>
      <c r="P456" s="183" t="n"/>
      <c r="Q456" s="183" t="n"/>
      <c r="R456" s="183" t="n"/>
      <c r="S456" s="183" t="n"/>
      <c r="T456" s="183" t="n"/>
      <c r="U456" s="183" t="n"/>
      <c r="V456" s="183" t="n"/>
      <c r="W456" s="183" t="n"/>
      <c r="X456" s="183" t="n"/>
      <c r="Y456" s="183" t="n"/>
      <c r="Z456" s="183" t="n"/>
      <c r="AA456" s="183" t="n"/>
    </row>
    <row r="457">
      <c r="A457" s="183" t="n"/>
      <c r="B457" s="183" t="n"/>
      <c r="C457" s="183" t="n"/>
      <c r="D457" s="183" t="n"/>
      <c r="E457" s="183" t="n"/>
      <c r="F457" s="183" t="n"/>
      <c r="G457" s="183" t="n"/>
      <c r="H457" s="183" t="n"/>
      <c r="I457" s="183" t="n"/>
      <c r="J457" s="183" t="n"/>
      <c r="K457" s="183" t="n"/>
      <c r="L457" s="183" t="n"/>
      <c r="M457" s="183" t="n"/>
      <c r="N457" s="183" t="n"/>
      <c r="O457" s="183" t="n"/>
      <c r="P457" s="183" t="n"/>
      <c r="Q457" s="183" t="n"/>
      <c r="R457" s="183" t="n"/>
      <c r="S457" s="183" t="n"/>
      <c r="T457" s="183" t="n"/>
      <c r="U457" s="183" t="n"/>
      <c r="V457" s="183" t="n"/>
      <c r="W457" s="183" t="n"/>
      <c r="X457" s="183" t="n"/>
      <c r="Y457" s="183" t="n"/>
      <c r="Z457" s="183" t="n"/>
      <c r="AA457" s="183" t="n"/>
    </row>
    <row r="458">
      <c r="A458" s="183" t="n"/>
      <c r="B458" s="183" t="n"/>
      <c r="C458" s="183" t="n"/>
      <c r="D458" s="183" t="n"/>
      <c r="E458" s="183" t="n"/>
      <c r="F458" s="183" t="n"/>
      <c r="G458" s="183" t="n"/>
      <c r="H458" s="183" t="n"/>
      <c r="I458" s="183" t="n"/>
      <c r="J458" s="183" t="n"/>
      <c r="K458" s="183" t="n"/>
      <c r="L458" s="183" t="n"/>
      <c r="M458" s="183" t="n"/>
      <c r="N458" s="183" t="n"/>
      <c r="O458" s="183" t="n"/>
      <c r="P458" s="183" t="n"/>
      <c r="Q458" s="183" t="n"/>
      <c r="R458" s="183" t="n"/>
      <c r="S458" s="183" t="n"/>
      <c r="T458" s="183" t="n"/>
      <c r="U458" s="183" t="n"/>
      <c r="V458" s="183" t="n"/>
      <c r="W458" s="183" t="n"/>
      <c r="X458" s="183" t="n"/>
      <c r="Y458" s="183" t="n"/>
      <c r="Z458" s="183" t="n"/>
      <c r="AA458" s="183" t="n"/>
    </row>
    <row r="459">
      <c r="A459" s="183" t="n"/>
      <c r="B459" s="183" t="n"/>
      <c r="C459" s="183" t="n"/>
      <c r="D459" s="183" t="n"/>
      <c r="E459" s="183" t="n"/>
      <c r="F459" s="183" t="n"/>
      <c r="G459" s="183" t="n"/>
      <c r="H459" s="183" t="n"/>
      <c r="I459" s="183" t="n"/>
      <c r="J459" s="183" t="n"/>
      <c r="K459" s="183" t="n"/>
      <c r="L459" s="183" t="n"/>
      <c r="M459" s="183" t="n"/>
      <c r="N459" s="183" t="n"/>
      <c r="O459" s="183" t="n"/>
      <c r="P459" s="183" t="n"/>
      <c r="Q459" s="183" t="n"/>
      <c r="R459" s="183" t="n"/>
      <c r="S459" s="183" t="n"/>
      <c r="T459" s="183" t="n"/>
      <c r="U459" s="183" t="n"/>
      <c r="V459" s="183" t="n"/>
      <c r="W459" s="183" t="n"/>
      <c r="X459" s="183" t="n"/>
      <c r="Y459" s="183" t="n"/>
      <c r="Z459" s="183" t="n"/>
      <c r="AA459" s="183" t="n"/>
    </row>
    <row r="460">
      <c r="A460" s="183" t="n"/>
      <c r="B460" s="183" t="n"/>
      <c r="C460" s="183" t="n"/>
      <c r="D460" s="183" t="n"/>
      <c r="E460" s="183" t="n"/>
      <c r="F460" s="183" t="n"/>
      <c r="G460" s="183" t="n"/>
      <c r="H460" s="183" t="n"/>
      <c r="I460" s="183" t="n"/>
      <c r="J460" s="183" t="n"/>
      <c r="K460" s="183" t="n"/>
      <c r="L460" s="183" t="n"/>
      <c r="M460" s="183" t="n"/>
      <c r="N460" s="183" t="n"/>
      <c r="O460" s="183" t="n"/>
      <c r="P460" s="183" t="n"/>
      <c r="Q460" s="183" t="n"/>
      <c r="R460" s="183" t="n"/>
      <c r="S460" s="183" t="n"/>
      <c r="T460" s="183" t="n"/>
      <c r="U460" s="183" t="n"/>
      <c r="V460" s="183" t="n"/>
      <c r="W460" s="183" t="n"/>
      <c r="X460" s="183" t="n"/>
      <c r="Y460" s="183" t="n"/>
      <c r="Z460" s="183" t="n"/>
      <c r="AA460" s="183" t="n"/>
    </row>
    <row r="461">
      <c r="A461" s="183" t="n"/>
      <c r="B461" s="183" t="n"/>
      <c r="C461" s="183" t="n"/>
      <c r="D461" s="183" t="n"/>
      <c r="E461" s="183" t="n"/>
      <c r="F461" s="183" t="n"/>
      <c r="G461" s="183" t="n"/>
      <c r="H461" s="183" t="n"/>
      <c r="I461" s="183" t="n"/>
      <c r="J461" s="183" t="n"/>
      <c r="K461" s="183" t="n"/>
      <c r="L461" s="183" t="n"/>
      <c r="M461" s="183" t="n"/>
      <c r="N461" s="183" t="n"/>
      <c r="O461" s="183" t="n"/>
      <c r="P461" s="183" t="n"/>
      <c r="Q461" s="183" t="n"/>
      <c r="R461" s="183" t="n"/>
      <c r="S461" s="183" t="n"/>
      <c r="T461" s="183" t="n"/>
      <c r="U461" s="183" t="n"/>
      <c r="V461" s="183" t="n"/>
      <c r="W461" s="183" t="n"/>
      <c r="X461" s="183" t="n"/>
      <c r="Y461" s="183" t="n"/>
      <c r="Z461" s="183" t="n"/>
      <c r="AA461" s="183" t="n"/>
    </row>
    <row r="462">
      <c r="A462" s="183" t="n"/>
      <c r="B462" s="183" t="n"/>
      <c r="C462" s="183" t="n"/>
      <c r="D462" s="183" t="n"/>
      <c r="E462" s="183" t="n"/>
      <c r="F462" s="183" t="n"/>
      <c r="G462" s="183" t="n"/>
      <c r="H462" s="183" t="n"/>
      <c r="I462" s="183" t="n"/>
      <c r="J462" s="183" t="n"/>
      <c r="K462" s="183" t="n"/>
      <c r="L462" s="183" t="n"/>
      <c r="M462" s="183" t="n"/>
      <c r="N462" s="183" t="n"/>
      <c r="O462" s="183" t="n"/>
      <c r="P462" s="183" t="n"/>
      <c r="Q462" s="183" t="n"/>
      <c r="R462" s="183" t="n"/>
      <c r="S462" s="183" t="n"/>
      <c r="T462" s="183" t="n"/>
      <c r="U462" s="183" t="n"/>
      <c r="V462" s="183" t="n"/>
      <c r="W462" s="183" t="n"/>
      <c r="X462" s="183" t="n"/>
      <c r="Y462" s="183" t="n"/>
      <c r="Z462" s="183" t="n"/>
      <c r="AA462" s="183" t="n"/>
    </row>
    <row r="463">
      <c r="A463" s="183" t="n"/>
      <c r="B463" s="183" t="n"/>
      <c r="C463" s="183" t="n"/>
      <c r="D463" s="183" t="n"/>
      <c r="E463" s="183" t="n"/>
      <c r="F463" s="183" t="n"/>
      <c r="G463" s="183" t="n"/>
      <c r="H463" s="183" t="n"/>
      <c r="I463" s="183" t="n"/>
      <c r="J463" s="183" t="n"/>
      <c r="K463" s="183" t="n"/>
      <c r="L463" s="183" t="n"/>
      <c r="M463" s="183" t="n"/>
      <c r="N463" s="183" t="n"/>
      <c r="O463" s="183" t="n"/>
      <c r="P463" s="183" t="n"/>
      <c r="Q463" s="183" t="n"/>
      <c r="R463" s="183" t="n"/>
      <c r="S463" s="183" t="n"/>
      <c r="T463" s="183" t="n"/>
      <c r="U463" s="183" t="n"/>
      <c r="V463" s="183" t="n"/>
      <c r="W463" s="183" t="n"/>
      <c r="X463" s="183" t="n"/>
      <c r="Y463" s="183" t="n"/>
      <c r="Z463" s="183" t="n"/>
      <c r="AA463" s="183" t="n"/>
    </row>
    <row r="464">
      <c r="A464" s="183" t="n"/>
      <c r="B464" s="183" t="n"/>
      <c r="C464" s="183" t="n"/>
      <c r="D464" s="183" t="n"/>
      <c r="E464" s="183" t="n"/>
      <c r="F464" s="183" t="n"/>
      <c r="G464" s="183" t="n"/>
      <c r="H464" s="183" t="n"/>
      <c r="I464" s="183" t="n"/>
      <c r="J464" s="183" t="n"/>
      <c r="K464" s="183" t="n"/>
      <c r="L464" s="183" t="n"/>
      <c r="M464" s="183" t="n"/>
      <c r="N464" s="183" t="n"/>
      <c r="O464" s="183" t="n"/>
      <c r="P464" s="183" t="n"/>
      <c r="Q464" s="183" t="n"/>
      <c r="R464" s="183" t="n"/>
      <c r="S464" s="183" t="n"/>
      <c r="T464" s="183" t="n"/>
      <c r="U464" s="183" t="n"/>
      <c r="V464" s="183" t="n"/>
      <c r="W464" s="183" t="n"/>
      <c r="X464" s="183" t="n"/>
      <c r="Y464" s="183" t="n"/>
      <c r="Z464" s="183" t="n"/>
      <c r="AA464" s="183" t="n"/>
    </row>
    <row r="465">
      <c r="A465" s="183" t="n"/>
      <c r="B465" s="183" t="n"/>
      <c r="C465" s="183" t="n"/>
      <c r="D465" s="183" t="n"/>
      <c r="E465" s="183" t="n"/>
      <c r="F465" s="183" t="n"/>
      <c r="G465" s="183" t="n"/>
      <c r="H465" s="183" t="n"/>
      <c r="I465" s="183" t="n"/>
      <c r="J465" s="183" t="n"/>
      <c r="K465" s="183" t="n"/>
      <c r="L465" s="183" t="n"/>
      <c r="M465" s="183" t="n"/>
      <c r="N465" s="183" t="n"/>
      <c r="O465" s="183" t="n"/>
      <c r="P465" s="183" t="n"/>
      <c r="Q465" s="183" t="n"/>
      <c r="R465" s="183" t="n"/>
      <c r="S465" s="183" t="n"/>
      <c r="T465" s="183" t="n"/>
      <c r="U465" s="183" t="n"/>
      <c r="V465" s="183" t="n"/>
      <c r="W465" s="183" t="n"/>
      <c r="X465" s="183" t="n"/>
      <c r="Y465" s="183" t="n"/>
      <c r="Z465" s="183" t="n"/>
      <c r="AA465" s="183" t="n"/>
    </row>
    <row r="466">
      <c r="A466" s="183" t="n"/>
      <c r="B466" s="183" t="n"/>
      <c r="C466" s="183" t="n"/>
      <c r="D466" s="183" t="n"/>
      <c r="E466" s="183" t="n"/>
      <c r="F466" s="183" t="n"/>
      <c r="G466" s="183" t="n"/>
      <c r="H466" s="183" t="n"/>
      <c r="I466" s="183" t="n"/>
      <c r="J466" s="183" t="n"/>
      <c r="K466" s="183" t="n"/>
      <c r="L466" s="183" t="n"/>
      <c r="M466" s="183" t="n"/>
      <c r="N466" s="183" t="n"/>
      <c r="O466" s="183" t="n"/>
      <c r="P466" s="183" t="n"/>
      <c r="Q466" s="183" t="n"/>
      <c r="R466" s="183" t="n"/>
      <c r="S466" s="183" t="n"/>
      <c r="T466" s="183" t="n"/>
      <c r="U466" s="183" t="n"/>
      <c r="V466" s="183" t="n"/>
      <c r="W466" s="183" t="n"/>
      <c r="X466" s="183" t="n"/>
      <c r="Y466" s="183" t="n"/>
      <c r="Z466" s="183" t="n"/>
      <c r="AA466" s="183" t="n"/>
    </row>
    <row r="467">
      <c r="A467" s="183" t="n"/>
      <c r="B467" s="183" t="n"/>
      <c r="C467" s="183" t="n"/>
      <c r="D467" s="183" t="n"/>
      <c r="E467" s="183" t="n"/>
      <c r="F467" s="183" t="n"/>
      <c r="G467" s="183" t="n"/>
      <c r="H467" s="183" t="n"/>
      <c r="I467" s="183" t="n"/>
      <c r="J467" s="183" t="n"/>
      <c r="K467" s="183" t="n"/>
      <c r="L467" s="183" t="n"/>
      <c r="M467" s="183" t="n"/>
      <c r="N467" s="183" t="n"/>
      <c r="O467" s="183" t="n"/>
      <c r="P467" s="183" t="n"/>
      <c r="Q467" s="183" t="n"/>
      <c r="R467" s="183" t="n"/>
      <c r="S467" s="183" t="n"/>
      <c r="T467" s="183" t="n"/>
      <c r="U467" s="183" t="n"/>
      <c r="V467" s="183" t="n"/>
      <c r="W467" s="183" t="n"/>
      <c r="X467" s="183" t="n"/>
      <c r="Y467" s="183" t="n"/>
      <c r="Z467" s="183" t="n"/>
      <c r="AA467" s="183" t="n"/>
    </row>
    <row r="468">
      <c r="A468" s="183" t="n"/>
      <c r="B468" s="183" t="n"/>
      <c r="C468" s="183" t="n"/>
      <c r="D468" s="183" t="n"/>
      <c r="E468" s="183" t="n"/>
      <c r="F468" s="183" t="n"/>
      <c r="G468" s="183" t="n"/>
      <c r="H468" s="183" t="n"/>
      <c r="I468" s="183" t="n"/>
      <c r="J468" s="183" t="n"/>
      <c r="K468" s="183" t="n"/>
      <c r="L468" s="183" t="n"/>
      <c r="M468" s="183" t="n"/>
      <c r="N468" s="183" t="n"/>
      <c r="O468" s="183" t="n"/>
      <c r="P468" s="183" t="n"/>
      <c r="Q468" s="183" t="n"/>
      <c r="R468" s="183" t="n"/>
      <c r="S468" s="183" t="n"/>
      <c r="T468" s="183" t="n"/>
      <c r="U468" s="183" t="n"/>
      <c r="V468" s="183" t="n"/>
      <c r="W468" s="183" t="n"/>
      <c r="X468" s="183" t="n"/>
      <c r="Y468" s="183" t="n"/>
      <c r="Z468" s="183" t="n"/>
      <c r="AA468" s="183" t="n"/>
    </row>
    <row r="469">
      <c r="A469" s="183" t="n"/>
      <c r="B469" s="183" t="n"/>
      <c r="C469" s="183" t="n"/>
      <c r="D469" s="183" t="n"/>
      <c r="E469" s="183" t="n"/>
      <c r="F469" s="183" t="n"/>
      <c r="G469" s="183" t="n"/>
      <c r="H469" s="183" t="n"/>
      <c r="I469" s="183" t="n"/>
      <c r="J469" s="183" t="n"/>
      <c r="K469" s="183" t="n"/>
      <c r="L469" s="183" t="n"/>
      <c r="M469" s="183" t="n"/>
      <c r="N469" s="183" t="n"/>
      <c r="O469" s="183" t="n"/>
      <c r="P469" s="183" t="n"/>
      <c r="Q469" s="183" t="n"/>
      <c r="R469" s="183" t="n"/>
      <c r="S469" s="183" t="n"/>
      <c r="T469" s="183" t="n"/>
      <c r="U469" s="183" t="n"/>
      <c r="V469" s="183" t="n"/>
      <c r="W469" s="183" t="n"/>
      <c r="X469" s="183" t="n"/>
      <c r="Y469" s="183" t="n"/>
      <c r="Z469" s="183" t="n"/>
      <c r="AA469" s="183" t="n"/>
    </row>
    <row r="470">
      <c r="A470" s="183" t="n"/>
      <c r="B470" s="183" t="n"/>
      <c r="C470" s="183" t="n"/>
      <c r="D470" s="183" t="n"/>
      <c r="E470" s="183" t="n"/>
      <c r="F470" s="183" t="n"/>
      <c r="G470" s="183" t="n"/>
      <c r="H470" s="183" t="n"/>
      <c r="I470" s="183" t="n"/>
      <c r="J470" s="183" t="n"/>
      <c r="K470" s="183" t="n"/>
      <c r="L470" s="183" t="n"/>
      <c r="M470" s="183" t="n"/>
      <c r="N470" s="183" t="n"/>
      <c r="O470" s="183" t="n"/>
      <c r="P470" s="183" t="n"/>
      <c r="Q470" s="183" t="n"/>
      <c r="R470" s="183" t="n"/>
      <c r="S470" s="183" t="n"/>
      <c r="T470" s="183" t="n"/>
      <c r="U470" s="183" t="n"/>
      <c r="V470" s="183" t="n"/>
      <c r="W470" s="183" t="n"/>
      <c r="X470" s="183" t="n"/>
      <c r="Y470" s="183" t="n"/>
      <c r="Z470" s="183" t="n"/>
      <c r="AA470" s="183" t="n"/>
    </row>
    <row r="471">
      <c r="A471" s="183" t="n"/>
      <c r="B471" s="183" t="n"/>
      <c r="C471" s="183" t="n"/>
      <c r="D471" s="183" t="n"/>
      <c r="E471" s="183" t="n"/>
      <c r="F471" s="183" t="n"/>
      <c r="G471" s="183" t="n"/>
      <c r="H471" s="183" t="n"/>
      <c r="I471" s="183" t="n"/>
      <c r="J471" s="183" t="n"/>
      <c r="K471" s="183" t="n"/>
      <c r="L471" s="183" t="n"/>
      <c r="M471" s="183" t="n"/>
      <c r="N471" s="183" t="n"/>
      <c r="O471" s="183" t="n"/>
      <c r="P471" s="183" t="n"/>
      <c r="Q471" s="183" t="n"/>
      <c r="R471" s="183" t="n"/>
      <c r="S471" s="183" t="n"/>
      <c r="T471" s="183" t="n"/>
      <c r="U471" s="183" t="n"/>
      <c r="V471" s="183" t="n"/>
      <c r="W471" s="183" t="n"/>
      <c r="X471" s="183" t="n"/>
      <c r="Y471" s="183" t="n"/>
      <c r="Z471" s="183" t="n"/>
      <c r="AA471" s="183" t="n"/>
    </row>
    <row r="472">
      <c r="A472" s="183" t="n"/>
      <c r="B472" s="183" t="n"/>
      <c r="C472" s="183" t="n"/>
      <c r="D472" s="183" t="n"/>
      <c r="E472" s="183" t="n"/>
      <c r="F472" s="183" t="n"/>
      <c r="G472" s="183" t="n"/>
      <c r="H472" s="183" t="n"/>
      <c r="I472" s="183" t="n"/>
      <c r="J472" s="183" t="n"/>
      <c r="K472" s="183" t="n"/>
      <c r="L472" s="183" t="n"/>
      <c r="M472" s="183" t="n"/>
      <c r="N472" s="183" t="n"/>
      <c r="O472" s="183" t="n"/>
      <c r="P472" s="183" t="n"/>
      <c r="Q472" s="183" t="n"/>
      <c r="R472" s="183" t="n"/>
      <c r="S472" s="183" t="n"/>
      <c r="T472" s="183" t="n"/>
      <c r="U472" s="183" t="n"/>
      <c r="V472" s="183" t="n"/>
      <c r="W472" s="183" t="n"/>
      <c r="X472" s="183" t="n"/>
      <c r="Y472" s="183" t="n"/>
      <c r="Z472" s="183" t="n"/>
      <c r="AA472" s="183" t="n"/>
    </row>
    <row r="473">
      <c r="A473" s="183" t="n"/>
      <c r="B473" s="183" t="n"/>
      <c r="C473" s="183" t="n"/>
      <c r="D473" s="183" t="n"/>
      <c r="E473" s="183" t="n"/>
      <c r="F473" s="183" t="n"/>
      <c r="G473" s="183" t="n"/>
      <c r="H473" s="183" t="n"/>
      <c r="I473" s="183" t="n"/>
      <c r="J473" s="183" t="n"/>
      <c r="K473" s="183" t="n"/>
      <c r="L473" s="183" t="n"/>
      <c r="M473" s="183" t="n"/>
      <c r="N473" s="183" t="n"/>
      <c r="O473" s="183" t="n"/>
      <c r="P473" s="183" t="n"/>
      <c r="Q473" s="183" t="n"/>
      <c r="R473" s="183" t="n"/>
      <c r="S473" s="183" t="n"/>
      <c r="T473" s="183" t="n"/>
      <c r="U473" s="183" t="n"/>
      <c r="V473" s="183" t="n"/>
      <c r="W473" s="183" t="n"/>
      <c r="X473" s="183" t="n"/>
      <c r="Y473" s="183" t="n"/>
      <c r="Z473" s="183" t="n"/>
      <c r="AA473" s="183" t="n"/>
    </row>
    <row r="474">
      <c r="A474" s="183" t="n"/>
      <c r="B474" s="183" t="n"/>
      <c r="C474" s="183" t="n"/>
      <c r="D474" s="183" t="n"/>
      <c r="E474" s="183" t="n"/>
      <c r="F474" s="183" t="n"/>
      <c r="G474" s="183" t="n"/>
      <c r="H474" s="183" t="n"/>
      <c r="I474" s="183" t="n"/>
      <c r="J474" s="183" t="n"/>
      <c r="K474" s="183" t="n"/>
      <c r="L474" s="183" t="n"/>
      <c r="M474" s="183" t="n"/>
      <c r="N474" s="183" t="n"/>
      <c r="O474" s="183" t="n"/>
      <c r="P474" s="183" t="n"/>
      <c r="Q474" s="183" t="n"/>
      <c r="R474" s="183" t="n"/>
      <c r="S474" s="183" t="n"/>
      <c r="T474" s="183" t="n"/>
      <c r="U474" s="183" t="n"/>
      <c r="V474" s="183" t="n"/>
      <c r="W474" s="183" t="n"/>
      <c r="X474" s="183" t="n"/>
      <c r="Y474" s="183" t="n"/>
      <c r="Z474" s="183" t="n"/>
      <c r="AA474" s="183" t="n"/>
    </row>
    <row r="475">
      <c r="A475" s="183" t="n"/>
      <c r="B475" s="183" t="n"/>
      <c r="C475" s="183" t="n"/>
      <c r="D475" s="183" t="n"/>
      <c r="E475" s="183" t="n"/>
      <c r="F475" s="183" t="n"/>
      <c r="G475" s="183" t="n"/>
      <c r="H475" s="183" t="n"/>
      <c r="I475" s="183" t="n"/>
      <c r="J475" s="183" t="n"/>
      <c r="K475" s="183" t="n"/>
      <c r="L475" s="183" t="n"/>
      <c r="M475" s="183" t="n"/>
      <c r="N475" s="183" t="n"/>
      <c r="O475" s="183" t="n"/>
      <c r="P475" s="183" t="n"/>
      <c r="Q475" s="183" t="n"/>
      <c r="R475" s="183" t="n"/>
      <c r="S475" s="183" t="n"/>
      <c r="T475" s="183" t="n"/>
      <c r="U475" s="183" t="n"/>
      <c r="V475" s="183" t="n"/>
      <c r="W475" s="183" t="n"/>
      <c r="X475" s="183" t="n"/>
      <c r="Y475" s="183" t="n"/>
      <c r="Z475" s="183" t="n"/>
      <c r="AA475" s="183" t="n"/>
    </row>
    <row r="476">
      <c r="A476" s="183" t="n"/>
      <c r="B476" s="183" t="n"/>
      <c r="C476" s="183" t="n"/>
      <c r="D476" s="183" t="n"/>
      <c r="E476" s="183" t="n"/>
      <c r="F476" s="183" t="n"/>
      <c r="G476" s="183" t="n"/>
      <c r="H476" s="183" t="n"/>
      <c r="I476" s="183" t="n"/>
      <c r="J476" s="183" t="n"/>
      <c r="K476" s="183" t="n"/>
      <c r="L476" s="183" t="n"/>
      <c r="M476" s="183" t="n"/>
      <c r="N476" s="183" t="n"/>
      <c r="O476" s="183" t="n"/>
      <c r="P476" s="183" t="n"/>
      <c r="Q476" s="183" t="n"/>
      <c r="R476" s="183" t="n"/>
      <c r="S476" s="183" t="n"/>
      <c r="T476" s="183" t="n"/>
      <c r="U476" s="183" t="n"/>
      <c r="V476" s="183" t="n"/>
      <c r="W476" s="183" t="n"/>
      <c r="X476" s="183" t="n"/>
      <c r="Y476" s="183" t="n"/>
      <c r="Z476" s="183" t="n"/>
      <c r="AA476" s="183" t="n"/>
    </row>
    <row r="477">
      <c r="A477" s="183" t="n"/>
      <c r="B477" s="183" t="n"/>
      <c r="C477" s="183" t="n"/>
      <c r="D477" s="183" t="n"/>
      <c r="E477" s="183" t="n"/>
      <c r="F477" s="183" t="n"/>
      <c r="G477" s="183" t="n"/>
      <c r="H477" s="183" t="n"/>
      <c r="I477" s="183" t="n"/>
      <c r="J477" s="183" t="n"/>
      <c r="K477" s="183" t="n"/>
      <c r="L477" s="183" t="n"/>
      <c r="M477" s="183" t="n"/>
      <c r="N477" s="183" t="n"/>
      <c r="O477" s="183" t="n"/>
      <c r="P477" s="183" t="n"/>
      <c r="Q477" s="183" t="n"/>
      <c r="R477" s="183" t="n"/>
      <c r="S477" s="183" t="n"/>
      <c r="T477" s="183" t="n"/>
      <c r="U477" s="183" t="n"/>
      <c r="V477" s="183" t="n"/>
      <c r="W477" s="183" t="n"/>
      <c r="X477" s="183" t="n"/>
      <c r="Y477" s="183" t="n"/>
      <c r="Z477" s="183" t="n"/>
      <c r="AA477" s="183" t="n"/>
    </row>
    <row r="478">
      <c r="A478" s="183" t="n"/>
      <c r="B478" s="183" t="n"/>
      <c r="C478" s="183" t="n"/>
      <c r="D478" s="183" t="n"/>
      <c r="E478" s="183" t="n"/>
      <c r="F478" s="183" t="n"/>
      <c r="G478" s="183" t="n"/>
      <c r="H478" s="183" t="n"/>
      <c r="I478" s="183" t="n"/>
      <c r="J478" s="183" t="n"/>
      <c r="K478" s="183" t="n"/>
      <c r="L478" s="183" t="n"/>
      <c r="M478" s="183" t="n"/>
      <c r="N478" s="183" t="n"/>
      <c r="O478" s="183" t="n"/>
      <c r="P478" s="183" t="n"/>
      <c r="Q478" s="183" t="n"/>
      <c r="R478" s="183" t="n"/>
      <c r="S478" s="183" t="n"/>
      <c r="T478" s="183" t="n"/>
      <c r="U478" s="183" t="n"/>
      <c r="V478" s="183" t="n"/>
      <c r="W478" s="183" t="n"/>
      <c r="X478" s="183" t="n"/>
      <c r="Y478" s="183" t="n"/>
      <c r="Z478" s="183" t="n"/>
      <c r="AA478" s="183" t="n"/>
    </row>
    <row r="479">
      <c r="A479" s="183" t="n"/>
      <c r="B479" s="183" t="n"/>
      <c r="C479" s="183" t="n"/>
      <c r="D479" s="183" t="n"/>
      <c r="E479" s="183" t="n"/>
      <c r="F479" s="183" t="n"/>
      <c r="G479" s="183" t="n"/>
      <c r="H479" s="183" t="n"/>
      <c r="I479" s="183" t="n"/>
      <c r="J479" s="183" t="n"/>
      <c r="K479" s="183" t="n"/>
      <c r="L479" s="183" t="n"/>
      <c r="M479" s="183" t="n"/>
      <c r="N479" s="183" t="n"/>
      <c r="O479" s="183" t="n"/>
      <c r="P479" s="183" t="n"/>
      <c r="Q479" s="183" t="n"/>
      <c r="R479" s="183" t="n"/>
      <c r="S479" s="183" t="n"/>
      <c r="T479" s="183" t="n"/>
      <c r="U479" s="183" t="n"/>
      <c r="V479" s="183" t="n"/>
      <c r="W479" s="183" t="n"/>
      <c r="X479" s="183" t="n"/>
      <c r="Y479" s="183" t="n"/>
      <c r="Z479" s="183" t="n"/>
      <c r="AA479" s="183" t="n"/>
    </row>
    <row r="480">
      <c r="A480" s="183" t="n"/>
      <c r="B480" s="183" t="n"/>
      <c r="C480" s="183" t="n"/>
      <c r="D480" s="183" t="n"/>
      <c r="E480" s="183" t="n"/>
      <c r="F480" s="183" t="n"/>
      <c r="G480" s="183" t="n"/>
      <c r="H480" s="183" t="n"/>
      <c r="I480" s="183" t="n"/>
      <c r="J480" s="183" t="n"/>
      <c r="K480" s="183" t="n"/>
      <c r="L480" s="183" t="n"/>
      <c r="M480" s="183" t="n"/>
      <c r="N480" s="183" t="n"/>
      <c r="O480" s="183" t="n"/>
      <c r="P480" s="183" t="n"/>
      <c r="Q480" s="183" t="n"/>
      <c r="R480" s="183" t="n"/>
      <c r="S480" s="183" t="n"/>
      <c r="T480" s="183" t="n"/>
      <c r="U480" s="183" t="n"/>
      <c r="V480" s="183" t="n"/>
      <c r="W480" s="183" t="n"/>
      <c r="X480" s="183" t="n"/>
      <c r="Y480" s="183" t="n"/>
      <c r="Z480" s="183" t="n"/>
      <c r="AA480" s="183" t="n"/>
    </row>
    <row r="481">
      <c r="A481" s="183" t="n"/>
      <c r="B481" s="183" t="n"/>
      <c r="C481" s="183" t="n"/>
      <c r="D481" s="183" t="n"/>
      <c r="E481" s="183" t="n"/>
      <c r="F481" s="183" t="n"/>
      <c r="G481" s="183" t="n"/>
      <c r="H481" s="183" t="n"/>
      <c r="I481" s="183" t="n"/>
      <c r="J481" s="183" t="n"/>
      <c r="K481" s="183" t="n"/>
      <c r="L481" s="183" t="n"/>
      <c r="M481" s="183" t="n"/>
      <c r="N481" s="183" t="n"/>
      <c r="O481" s="183" t="n"/>
      <c r="P481" s="183" t="n"/>
      <c r="Q481" s="183" t="n"/>
      <c r="R481" s="183" t="n"/>
      <c r="S481" s="183" t="n"/>
      <c r="T481" s="183" t="n"/>
      <c r="U481" s="183" t="n"/>
      <c r="V481" s="183" t="n"/>
      <c r="W481" s="183" t="n"/>
      <c r="X481" s="183" t="n"/>
      <c r="Y481" s="183" t="n"/>
      <c r="Z481" s="183" t="n"/>
      <c r="AA481" s="183" t="n"/>
    </row>
    <row r="482">
      <c r="A482" s="183" t="n"/>
      <c r="B482" s="183" t="n"/>
      <c r="C482" s="183" t="n"/>
      <c r="D482" s="183" t="n"/>
      <c r="E482" s="183" t="n"/>
      <c r="F482" s="183" t="n"/>
      <c r="G482" s="183" t="n"/>
      <c r="H482" s="183" t="n"/>
      <c r="I482" s="183" t="n"/>
      <c r="J482" s="183" t="n"/>
      <c r="K482" s="183" t="n"/>
      <c r="L482" s="183" t="n"/>
      <c r="M482" s="183" t="n"/>
      <c r="N482" s="183" t="n"/>
      <c r="O482" s="183" t="n"/>
      <c r="P482" s="183" t="n"/>
      <c r="Q482" s="183" t="n"/>
      <c r="R482" s="183" t="n"/>
      <c r="S482" s="183" t="n"/>
      <c r="T482" s="183" t="n"/>
      <c r="U482" s="183" t="n"/>
      <c r="V482" s="183" t="n"/>
      <c r="W482" s="183" t="n"/>
      <c r="X482" s="183" t="n"/>
      <c r="Y482" s="183" t="n"/>
      <c r="Z482" s="183" t="n"/>
      <c r="AA482" s="183" t="n"/>
    </row>
    <row r="483">
      <c r="A483" s="183" t="n"/>
      <c r="B483" s="183" t="n"/>
      <c r="C483" s="183" t="n"/>
      <c r="D483" s="183" t="n"/>
      <c r="E483" s="183" t="n"/>
      <c r="F483" s="183" t="n"/>
      <c r="G483" s="183" t="n"/>
      <c r="H483" s="183" t="n"/>
      <c r="I483" s="183" t="n"/>
      <c r="J483" s="183" t="n"/>
      <c r="K483" s="183" t="n"/>
      <c r="L483" s="183" t="n"/>
      <c r="M483" s="183" t="n"/>
      <c r="N483" s="183" t="n"/>
      <c r="O483" s="183" t="n"/>
      <c r="P483" s="183" t="n"/>
      <c r="Q483" s="183" t="n"/>
      <c r="R483" s="183" t="n"/>
      <c r="S483" s="183" t="n"/>
      <c r="T483" s="183" t="n"/>
      <c r="U483" s="183" t="n"/>
      <c r="V483" s="183" t="n"/>
      <c r="W483" s="183" t="n"/>
      <c r="X483" s="183" t="n"/>
      <c r="Y483" s="183" t="n"/>
      <c r="Z483" s="183" t="n"/>
      <c r="AA483" s="183" t="n"/>
    </row>
    <row r="484">
      <c r="A484" s="183" t="n"/>
      <c r="B484" s="183" t="n"/>
      <c r="C484" s="183" t="n"/>
      <c r="D484" s="183" t="n"/>
      <c r="E484" s="183" t="n"/>
      <c r="F484" s="183" t="n"/>
      <c r="G484" s="183" t="n"/>
      <c r="H484" s="183" t="n"/>
      <c r="I484" s="183" t="n"/>
      <c r="J484" s="183" t="n"/>
      <c r="K484" s="183" t="n"/>
      <c r="L484" s="183" t="n"/>
      <c r="M484" s="183" t="n"/>
      <c r="N484" s="183" t="n"/>
      <c r="O484" s="183" t="n"/>
      <c r="P484" s="183" t="n"/>
      <c r="Q484" s="183" t="n"/>
      <c r="R484" s="183" t="n"/>
      <c r="S484" s="183" t="n"/>
      <c r="T484" s="183" t="n"/>
      <c r="U484" s="183" t="n"/>
      <c r="V484" s="183" t="n"/>
      <c r="W484" s="183" t="n"/>
      <c r="X484" s="183" t="n"/>
      <c r="Y484" s="183" t="n"/>
      <c r="Z484" s="183" t="n"/>
      <c r="AA484" s="183" t="n"/>
    </row>
    <row r="485">
      <c r="A485" s="183" t="n"/>
      <c r="B485" s="183" t="n"/>
      <c r="C485" s="183" t="n"/>
      <c r="D485" s="183" t="n"/>
      <c r="E485" s="183" t="n"/>
      <c r="F485" s="183" t="n"/>
      <c r="G485" s="183" t="n"/>
      <c r="H485" s="183" t="n"/>
      <c r="I485" s="183" t="n"/>
      <c r="J485" s="183" t="n"/>
      <c r="K485" s="183" t="n"/>
      <c r="L485" s="183" t="n"/>
      <c r="M485" s="183" t="n"/>
      <c r="N485" s="183" t="n"/>
      <c r="O485" s="183" t="n"/>
      <c r="P485" s="183" t="n"/>
      <c r="Q485" s="183" t="n"/>
      <c r="R485" s="183" t="n"/>
      <c r="S485" s="183" t="n"/>
      <c r="T485" s="183" t="n"/>
      <c r="U485" s="183" t="n"/>
      <c r="V485" s="183" t="n"/>
      <c r="W485" s="183" t="n"/>
      <c r="X485" s="183" t="n"/>
      <c r="Y485" s="183" t="n"/>
      <c r="Z485" s="183" t="n"/>
      <c r="AA485" s="183" t="n"/>
    </row>
    <row r="486">
      <c r="A486" s="183" t="n"/>
      <c r="B486" s="183" t="n"/>
      <c r="C486" s="183" t="n"/>
      <c r="D486" s="183" t="n"/>
      <c r="E486" s="183" t="n"/>
      <c r="F486" s="183" t="n"/>
      <c r="G486" s="183" t="n"/>
      <c r="H486" s="183" t="n"/>
      <c r="I486" s="183" t="n"/>
      <c r="J486" s="183" t="n"/>
      <c r="K486" s="183" t="n"/>
      <c r="L486" s="183" t="n"/>
      <c r="M486" s="183" t="n"/>
      <c r="N486" s="183" t="n"/>
      <c r="O486" s="183" t="n"/>
      <c r="P486" s="183" t="n"/>
      <c r="Q486" s="183" t="n"/>
      <c r="R486" s="183" t="n"/>
      <c r="S486" s="183" t="n"/>
      <c r="T486" s="183" t="n"/>
      <c r="U486" s="183" t="n"/>
      <c r="V486" s="183" t="n"/>
      <c r="W486" s="183" t="n"/>
      <c r="X486" s="183" t="n"/>
      <c r="Y486" s="183" t="n"/>
      <c r="Z486" s="183" t="n"/>
      <c r="AA486" s="183" t="n"/>
    </row>
    <row r="487">
      <c r="A487" s="183" t="n"/>
      <c r="B487" s="183" t="n"/>
      <c r="C487" s="183" t="n"/>
      <c r="D487" s="183" t="n"/>
      <c r="E487" s="183" t="n"/>
      <c r="F487" s="183" t="n"/>
      <c r="G487" s="183" t="n"/>
      <c r="H487" s="183" t="n"/>
      <c r="I487" s="183" t="n"/>
      <c r="J487" s="183" t="n"/>
      <c r="K487" s="183" t="n"/>
      <c r="L487" s="183" t="n"/>
      <c r="M487" s="183" t="n"/>
      <c r="N487" s="183" t="n"/>
      <c r="O487" s="183" t="n"/>
      <c r="P487" s="183" t="n"/>
      <c r="Q487" s="183" t="n"/>
      <c r="R487" s="183" t="n"/>
      <c r="S487" s="183" t="n"/>
      <c r="T487" s="183" t="n"/>
      <c r="U487" s="183" t="n"/>
      <c r="V487" s="183" t="n"/>
      <c r="W487" s="183" t="n"/>
      <c r="X487" s="183" t="n"/>
      <c r="Y487" s="183" t="n"/>
      <c r="Z487" s="183" t="n"/>
      <c r="AA487" s="183" t="n"/>
    </row>
    <row r="488">
      <c r="A488" s="183" t="n"/>
      <c r="B488" s="183" t="n"/>
      <c r="C488" s="183" t="n"/>
      <c r="D488" s="183" t="n"/>
      <c r="E488" s="183" t="n"/>
      <c r="F488" s="183" t="n"/>
      <c r="G488" s="183" t="n"/>
      <c r="H488" s="183" t="n"/>
      <c r="I488" s="183" t="n"/>
      <c r="J488" s="183" t="n"/>
      <c r="K488" s="183" t="n"/>
      <c r="L488" s="183" t="n"/>
      <c r="M488" s="183" t="n"/>
      <c r="N488" s="183" t="n"/>
      <c r="O488" s="183" t="n"/>
      <c r="P488" s="183" t="n"/>
      <c r="Q488" s="183" t="n"/>
      <c r="R488" s="183" t="n"/>
      <c r="S488" s="183" t="n"/>
      <c r="T488" s="183" t="n"/>
      <c r="U488" s="183" t="n"/>
      <c r="V488" s="183" t="n"/>
      <c r="W488" s="183" t="n"/>
      <c r="X488" s="183" t="n"/>
      <c r="Y488" s="183" t="n"/>
      <c r="Z488" s="183" t="n"/>
      <c r="AA488" s="183" t="n"/>
    </row>
    <row r="489">
      <c r="A489" s="183" t="n"/>
      <c r="B489" s="183" t="n"/>
      <c r="C489" s="183" t="n"/>
      <c r="D489" s="183" t="n"/>
      <c r="E489" s="183" t="n"/>
      <c r="F489" s="183" t="n"/>
      <c r="G489" s="183" t="n"/>
      <c r="H489" s="183" t="n"/>
      <c r="I489" s="183" t="n"/>
      <c r="J489" s="183" t="n"/>
      <c r="K489" s="183" t="n"/>
      <c r="L489" s="183" t="n"/>
      <c r="M489" s="183" t="n"/>
      <c r="N489" s="183" t="n"/>
      <c r="O489" s="183" t="n"/>
      <c r="P489" s="183" t="n"/>
      <c r="Q489" s="183" t="n"/>
      <c r="R489" s="183" t="n"/>
      <c r="S489" s="183" t="n"/>
      <c r="T489" s="183" t="n"/>
      <c r="U489" s="183" t="n"/>
      <c r="V489" s="183" t="n"/>
      <c r="W489" s="183" t="n"/>
      <c r="X489" s="183" t="n"/>
      <c r="Y489" s="183" t="n"/>
      <c r="Z489" s="183" t="n"/>
      <c r="AA489" s="183" t="n"/>
    </row>
    <row r="490">
      <c r="A490" s="183" t="n"/>
      <c r="B490" s="183" t="n"/>
      <c r="C490" s="183" t="n"/>
      <c r="D490" s="183" t="n"/>
      <c r="E490" s="183" t="n"/>
      <c r="F490" s="183" t="n"/>
      <c r="G490" s="183" t="n"/>
      <c r="H490" s="183" t="n"/>
      <c r="I490" s="183" t="n"/>
      <c r="J490" s="183" t="n"/>
      <c r="K490" s="183" t="n"/>
      <c r="L490" s="183" t="n"/>
      <c r="M490" s="183" t="n"/>
      <c r="N490" s="183" t="n"/>
      <c r="O490" s="183" t="n"/>
      <c r="P490" s="183" t="n"/>
      <c r="Q490" s="183" t="n"/>
      <c r="R490" s="183" t="n"/>
      <c r="S490" s="183" t="n"/>
      <c r="T490" s="183" t="n"/>
      <c r="U490" s="183" t="n"/>
      <c r="V490" s="183" t="n"/>
      <c r="W490" s="183" t="n"/>
      <c r="X490" s="183" t="n"/>
      <c r="Y490" s="183" t="n"/>
      <c r="Z490" s="183" t="n"/>
      <c r="AA490" s="183" t="n"/>
    </row>
    <row r="491">
      <c r="A491" s="183" t="n"/>
      <c r="B491" s="183" t="n"/>
      <c r="C491" s="183" t="n"/>
      <c r="D491" s="183" t="n"/>
      <c r="E491" s="183" t="n"/>
      <c r="F491" s="183" t="n"/>
      <c r="G491" s="183" t="n"/>
      <c r="H491" s="183" t="n"/>
      <c r="I491" s="183" t="n"/>
      <c r="J491" s="183" t="n"/>
      <c r="K491" s="183" t="n"/>
      <c r="L491" s="183" t="n"/>
      <c r="M491" s="183" t="n"/>
      <c r="N491" s="183" t="n"/>
      <c r="O491" s="183" t="n"/>
      <c r="P491" s="183" t="n"/>
      <c r="Q491" s="183" t="n"/>
      <c r="R491" s="183" t="n"/>
      <c r="S491" s="183" t="n"/>
      <c r="T491" s="183" t="n"/>
      <c r="U491" s="183" t="n"/>
      <c r="V491" s="183" t="n"/>
      <c r="W491" s="183" t="n"/>
      <c r="X491" s="183" t="n"/>
      <c r="Y491" s="183" t="n"/>
      <c r="Z491" s="183" t="n"/>
      <c r="AA491" s="183" t="n"/>
    </row>
    <row r="492">
      <c r="A492" s="183" t="n"/>
      <c r="B492" s="183" t="n"/>
      <c r="C492" s="183" t="n"/>
      <c r="D492" s="183" t="n"/>
      <c r="E492" s="183" t="n"/>
      <c r="F492" s="183" t="n"/>
      <c r="G492" s="183" t="n"/>
      <c r="H492" s="183" t="n"/>
      <c r="I492" s="183" t="n"/>
      <c r="J492" s="183" t="n"/>
      <c r="K492" s="183" t="n"/>
      <c r="L492" s="183" t="n"/>
      <c r="M492" s="183" t="n"/>
      <c r="N492" s="183" t="n"/>
      <c r="O492" s="183" t="n"/>
      <c r="P492" s="183" t="n"/>
      <c r="Q492" s="183" t="n"/>
      <c r="R492" s="183" t="n"/>
      <c r="S492" s="183" t="n"/>
      <c r="T492" s="183" t="n"/>
      <c r="U492" s="183" t="n"/>
      <c r="V492" s="183" t="n"/>
      <c r="W492" s="183" t="n"/>
      <c r="X492" s="183" t="n"/>
      <c r="Y492" s="183" t="n"/>
      <c r="Z492" s="183" t="n"/>
      <c r="AA492" s="183" t="n"/>
    </row>
    <row r="493">
      <c r="A493" s="183" t="n"/>
      <c r="B493" s="183" t="n"/>
      <c r="C493" s="183" t="n"/>
      <c r="D493" s="183" t="n"/>
      <c r="E493" s="183" t="n"/>
      <c r="F493" s="183" t="n"/>
      <c r="G493" s="183" t="n"/>
      <c r="H493" s="183" t="n"/>
      <c r="I493" s="183" t="n"/>
      <c r="J493" s="183" t="n"/>
      <c r="K493" s="183" t="n"/>
      <c r="L493" s="183" t="n"/>
      <c r="M493" s="183" t="n"/>
      <c r="N493" s="183" t="n"/>
      <c r="O493" s="183" t="n"/>
      <c r="P493" s="183" t="n"/>
      <c r="Q493" s="183" t="n"/>
      <c r="R493" s="183" t="n"/>
      <c r="S493" s="183" t="n"/>
      <c r="T493" s="183" t="n"/>
      <c r="U493" s="183" t="n"/>
      <c r="V493" s="183" t="n"/>
      <c r="W493" s="183" t="n"/>
      <c r="X493" s="183" t="n"/>
      <c r="Y493" s="183" t="n"/>
      <c r="Z493" s="183" t="n"/>
      <c r="AA493" s="183" t="n"/>
    </row>
    <row r="494">
      <c r="A494" s="183" t="n"/>
      <c r="B494" s="183" t="n"/>
      <c r="C494" s="183" t="n"/>
      <c r="D494" s="183" t="n"/>
      <c r="E494" s="183" t="n"/>
      <c r="F494" s="183" t="n"/>
      <c r="G494" s="183" t="n"/>
      <c r="H494" s="183" t="n"/>
      <c r="I494" s="183" t="n"/>
      <c r="J494" s="183" t="n"/>
      <c r="K494" s="183" t="n"/>
      <c r="L494" s="183" t="n"/>
      <c r="M494" s="183" t="n"/>
      <c r="N494" s="183" t="n"/>
      <c r="O494" s="183" t="n"/>
      <c r="P494" s="183" t="n"/>
      <c r="Q494" s="183" t="n"/>
      <c r="R494" s="183" t="n"/>
      <c r="S494" s="183" t="n"/>
      <c r="T494" s="183" t="n"/>
      <c r="U494" s="183" t="n"/>
      <c r="V494" s="183" t="n"/>
      <c r="W494" s="183" t="n"/>
      <c r="X494" s="183" t="n"/>
      <c r="Y494" s="183" t="n"/>
      <c r="Z494" s="183" t="n"/>
      <c r="AA494" s="183" t="n"/>
    </row>
    <row r="495">
      <c r="A495" s="183" t="n"/>
      <c r="B495" s="183" t="n"/>
      <c r="C495" s="183" t="n"/>
      <c r="D495" s="183" t="n"/>
      <c r="E495" s="183" t="n"/>
      <c r="F495" s="183" t="n"/>
      <c r="G495" s="183" t="n"/>
      <c r="H495" s="183" t="n"/>
      <c r="I495" s="183" t="n"/>
      <c r="J495" s="183" t="n"/>
      <c r="K495" s="183" t="n"/>
      <c r="L495" s="183" t="n"/>
      <c r="M495" s="183" t="n"/>
      <c r="N495" s="183" t="n"/>
      <c r="O495" s="183" t="n"/>
      <c r="P495" s="183" t="n"/>
      <c r="Q495" s="183" t="n"/>
      <c r="R495" s="183" t="n"/>
      <c r="S495" s="183" t="n"/>
      <c r="T495" s="183" t="n"/>
      <c r="U495" s="183" t="n"/>
      <c r="V495" s="183" t="n"/>
      <c r="W495" s="183" t="n"/>
      <c r="X495" s="183" t="n"/>
      <c r="Y495" s="183" t="n"/>
      <c r="Z495" s="183" t="n"/>
      <c r="AA495" s="183" t="n"/>
    </row>
    <row r="496">
      <c r="A496" s="183" t="n"/>
      <c r="B496" s="183" t="n"/>
      <c r="C496" s="183" t="n"/>
      <c r="D496" s="183" t="n"/>
      <c r="E496" s="183" t="n"/>
      <c r="F496" s="183" t="n"/>
      <c r="G496" s="183" t="n"/>
      <c r="H496" s="183" t="n"/>
      <c r="I496" s="183" t="n"/>
      <c r="J496" s="183" t="n"/>
      <c r="K496" s="183" t="n"/>
      <c r="L496" s="183" t="n"/>
      <c r="M496" s="183" t="n"/>
      <c r="N496" s="183" t="n"/>
      <c r="O496" s="183" t="n"/>
      <c r="P496" s="183" t="n"/>
      <c r="Q496" s="183" t="n"/>
      <c r="R496" s="183" t="n"/>
      <c r="S496" s="183" t="n"/>
      <c r="T496" s="183" t="n"/>
      <c r="U496" s="183" t="n"/>
      <c r="V496" s="183" t="n"/>
      <c r="W496" s="183" t="n"/>
      <c r="X496" s="183" t="n"/>
      <c r="Y496" s="183" t="n"/>
      <c r="Z496" s="183" t="n"/>
      <c r="AA496" s="183" t="n"/>
    </row>
    <row r="497">
      <c r="A497" s="183" t="n"/>
      <c r="B497" s="183" t="n"/>
      <c r="C497" s="183" t="n"/>
      <c r="D497" s="183" t="n"/>
      <c r="E497" s="183" t="n"/>
      <c r="F497" s="183" t="n"/>
      <c r="G497" s="183" t="n"/>
      <c r="H497" s="183" t="n"/>
      <c r="I497" s="183" t="n"/>
      <c r="J497" s="183" t="n"/>
      <c r="K497" s="183" t="n"/>
      <c r="L497" s="183" t="n"/>
      <c r="M497" s="183" t="n"/>
      <c r="N497" s="183" t="n"/>
      <c r="O497" s="183" t="n"/>
      <c r="P497" s="183" t="n"/>
      <c r="Q497" s="183" t="n"/>
      <c r="R497" s="183" t="n"/>
      <c r="S497" s="183" t="n"/>
      <c r="T497" s="183" t="n"/>
      <c r="U497" s="183" t="n"/>
      <c r="V497" s="183" t="n"/>
      <c r="W497" s="183" t="n"/>
      <c r="X497" s="183" t="n"/>
      <c r="Y497" s="183" t="n"/>
      <c r="Z497" s="183" t="n"/>
      <c r="AA497" s="183" t="n"/>
    </row>
    <row r="498">
      <c r="A498" s="183" t="n"/>
      <c r="B498" s="183" t="n"/>
      <c r="C498" s="183" t="n"/>
      <c r="D498" s="183" t="n"/>
      <c r="E498" s="183" t="n"/>
      <c r="F498" s="183" t="n"/>
      <c r="G498" s="183" t="n"/>
      <c r="H498" s="183" t="n"/>
      <c r="I498" s="183" t="n"/>
      <c r="J498" s="183" t="n"/>
      <c r="K498" s="183" t="n"/>
      <c r="L498" s="183" t="n"/>
      <c r="M498" s="183" t="n"/>
      <c r="N498" s="183" t="n"/>
      <c r="O498" s="183" t="n"/>
      <c r="P498" s="183" t="n"/>
      <c r="Q498" s="183" t="n"/>
      <c r="R498" s="183" t="n"/>
      <c r="S498" s="183" t="n"/>
      <c r="T498" s="183" t="n"/>
      <c r="U498" s="183" t="n"/>
      <c r="V498" s="183" t="n"/>
      <c r="W498" s="183" t="n"/>
      <c r="X498" s="183" t="n"/>
      <c r="Y498" s="183" t="n"/>
      <c r="Z498" s="183" t="n"/>
      <c r="AA498" s="183" t="n"/>
    </row>
    <row r="499">
      <c r="A499" s="183" t="n"/>
      <c r="B499" s="183" t="n"/>
      <c r="C499" s="183" t="n"/>
      <c r="D499" s="183" t="n"/>
      <c r="E499" s="183" t="n"/>
      <c r="F499" s="183" t="n"/>
      <c r="G499" s="183" t="n"/>
      <c r="H499" s="183" t="n"/>
      <c r="I499" s="183" t="n"/>
      <c r="J499" s="183" t="n"/>
      <c r="K499" s="183" t="n"/>
      <c r="L499" s="183" t="n"/>
      <c r="M499" s="183" t="n"/>
      <c r="N499" s="183" t="n"/>
      <c r="O499" s="183" t="n"/>
      <c r="P499" s="183" t="n"/>
      <c r="Q499" s="183" t="n"/>
      <c r="R499" s="183" t="n"/>
      <c r="S499" s="183" t="n"/>
      <c r="T499" s="183" t="n"/>
      <c r="U499" s="183" t="n"/>
      <c r="V499" s="183" t="n"/>
      <c r="W499" s="183" t="n"/>
      <c r="X499" s="183" t="n"/>
      <c r="Y499" s="183" t="n"/>
      <c r="Z499" s="183" t="n"/>
      <c r="AA499" s="183" t="n"/>
    </row>
    <row r="500">
      <c r="A500" s="183" t="n"/>
      <c r="B500" s="183" t="n"/>
      <c r="C500" s="183" t="n"/>
      <c r="D500" s="183" t="n"/>
      <c r="E500" s="183" t="n"/>
      <c r="F500" s="183" t="n"/>
      <c r="G500" s="183" t="n"/>
      <c r="H500" s="183" t="n"/>
      <c r="I500" s="183" t="n"/>
      <c r="J500" s="183" t="n"/>
      <c r="K500" s="183" t="n"/>
      <c r="L500" s="183" t="n"/>
      <c r="M500" s="183" t="n"/>
      <c r="N500" s="183" t="n"/>
      <c r="O500" s="183" t="n"/>
      <c r="P500" s="183" t="n"/>
      <c r="Q500" s="183" t="n"/>
      <c r="R500" s="183" t="n"/>
      <c r="S500" s="183" t="n"/>
      <c r="T500" s="183" t="n"/>
      <c r="U500" s="183" t="n"/>
      <c r="V500" s="183" t="n"/>
      <c r="W500" s="183" t="n"/>
      <c r="X500" s="183" t="n"/>
      <c r="Y500" s="183" t="n"/>
      <c r="Z500" s="183" t="n"/>
      <c r="AA500" s="183" t="n"/>
    </row>
    <row r="501">
      <c r="A501" s="183" t="n"/>
      <c r="B501" s="183" t="n"/>
      <c r="C501" s="183" t="n"/>
      <c r="D501" s="183" t="n"/>
      <c r="E501" s="183" t="n"/>
      <c r="F501" s="183" t="n"/>
      <c r="G501" s="183" t="n"/>
      <c r="H501" s="183" t="n"/>
      <c r="I501" s="183" t="n"/>
      <c r="J501" s="183" t="n"/>
      <c r="K501" s="183" t="n"/>
      <c r="L501" s="183" t="n"/>
      <c r="M501" s="183" t="n"/>
      <c r="N501" s="183" t="n"/>
      <c r="O501" s="183" t="n"/>
      <c r="P501" s="183" t="n"/>
      <c r="Q501" s="183" t="n"/>
      <c r="R501" s="183" t="n"/>
      <c r="S501" s="183" t="n"/>
      <c r="T501" s="183" t="n"/>
      <c r="U501" s="183" t="n"/>
      <c r="V501" s="183" t="n"/>
      <c r="W501" s="183" t="n"/>
      <c r="X501" s="183" t="n"/>
      <c r="Y501" s="183" t="n"/>
      <c r="Z501" s="183" t="n"/>
      <c r="AA501" s="183" t="n"/>
    </row>
    <row r="502">
      <c r="A502" s="183" t="n"/>
      <c r="B502" s="183" t="n"/>
      <c r="C502" s="183" t="n"/>
      <c r="D502" s="183" t="n"/>
      <c r="E502" s="183" t="n"/>
      <c r="F502" s="183" t="n"/>
      <c r="G502" s="183" t="n"/>
      <c r="H502" s="183" t="n"/>
      <c r="I502" s="183" t="n"/>
      <c r="J502" s="183" t="n"/>
      <c r="K502" s="183" t="n"/>
      <c r="L502" s="183" t="n"/>
      <c r="M502" s="183" t="n"/>
      <c r="N502" s="183" t="n"/>
      <c r="O502" s="183" t="n"/>
      <c r="P502" s="183" t="n"/>
      <c r="Q502" s="183" t="n"/>
      <c r="R502" s="183" t="n"/>
      <c r="S502" s="183" t="n"/>
      <c r="T502" s="183" t="n"/>
      <c r="U502" s="183" t="n"/>
      <c r="V502" s="183" t="n"/>
      <c r="W502" s="183" t="n"/>
      <c r="X502" s="183" t="n"/>
      <c r="Y502" s="183" t="n"/>
      <c r="Z502" s="183" t="n"/>
      <c r="AA502" s="183" t="n"/>
    </row>
    <row r="503">
      <c r="A503" s="183" t="n"/>
      <c r="B503" s="183" t="n"/>
      <c r="C503" s="183" t="n"/>
      <c r="D503" s="183" t="n"/>
      <c r="E503" s="183" t="n"/>
      <c r="F503" s="183" t="n"/>
      <c r="G503" s="183" t="n"/>
      <c r="H503" s="183" t="n"/>
      <c r="I503" s="183" t="n"/>
      <c r="J503" s="183" t="n"/>
      <c r="K503" s="183" t="n"/>
      <c r="L503" s="183" t="n"/>
      <c r="M503" s="183" t="n"/>
      <c r="N503" s="183" t="n"/>
      <c r="O503" s="183" t="n"/>
      <c r="P503" s="183" t="n"/>
      <c r="Q503" s="183" t="n"/>
      <c r="R503" s="183" t="n"/>
      <c r="S503" s="183" t="n"/>
      <c r="T503" s="183" t="n"/>
      <c r="U503" s="183" t="n"/>
      <c r="V503" s="183" t="n"/>
      <c r="W503" s="183" t="n"/>
      <c r="X503" s="183" t="n"/>
      <c r="Y503" s="183" t="n"/>
      <c r="Z503" s="183" t="n"/>
      <c r="AA503" s="183" t="n"/>
    </row>
    <row r="504">
      <c r="A504" s="183" t="n"/>
      <c r="B504" s="183" t="n"/>
      <c r="C504" s="183" t="n"/>
      <c r="D504" s="183" t="n"/>
      <c r="E504" s="183" t="n"/>
      <c r="F504" s="183" t="n"/>
      <c r="G504" s="183" t="n"/>
      <c r="H504" s="183" t="n"/>
      <c r="I504" s="183" t="n"/>
      <c r="J504" s="183" t="n"/>
      <c r="K504" s="183" t="n"/>
      <c r="L504" s="183" t="n"/>
      <c r="M504" s="183" t="n"/>
      <c r="N504" s="183" t="n"/>
      <c r="O504" s="183" t="n"/>
      <c r="P504" s="183" t="n"/>
      <c r="Q504" s="183" t="n"/>
      <c r="R504" s="183" t="n"/>
      <c r="S504" s="183" t="n"/>
      <c r="T504" s="183" t="n"/>
      <c r="U504" s="183" t="n"/>
      <c r="V504" s="183" t="n"/>
      <c r="W504" s="183" t="n"/>
      <c r="X504" s="183" t="n"/>
      <c r="Y504" s="183" t="n"/>
      <c r="Z504" s="183" t="n"/>
      <c r="AA504" s="183" t="n"/>
    </row>
    <row r="505">
      <c r="A505" s="183" t="n"/>
      <c r="B505" s="183" t="n"/>
      <c r="C505" s="183" t="n"/>
      <c r="D505" s="183" t="n"/>
      <c r="E505" s="183" t="n"/>
      <c r="F505" s="183" t="n"/>
      <c r="G505" s="183" t="n"/>
      <c r="H505" s="183" t="n"/>
      <c r="I505" s="183" t="n"/>
      <c r="J505" s="183" t="n"/>
      <c r="K505" s="183" t="n"/>
      <c r="L505" s="183" t="n"/>
      <c r="M505" s="183" t="n"/>
      <c r="N505" s="183" t="n"/>
      <c r="O505" s="183" t="n"/>
      <c r="P505" s="183" t="n"/>
      <c r="Q505" s="183" t="n"/>
      <c r="R505" s="183" t="n"/>
      <c r="S505" s="183" t="n"/>
      <c r="T505" s="183" t="n"/>
      <c r="U505" s="183" t="n"/>
      <c r="V505" s="183" t="n"/>
      <c r="W505" s="183" t="n"/>
      <c r="X505" s="183" t="n"/>
      <c r="Y505" s="183" t="n"/>
      <c r="Z505" s="183" t="n"/>
      <c r="AA505" s="183" t="n"/>
    </row>
    <row r="506">
      <c r="A506" s="183" t="n"/>
      <c r="B506" s="183" t="n"/>
      <c r="C506" s="183" t="n"/>
      <c r="D506" s="183" t="n"/>
      <c r="E506" s="183" t="n"/>
      <c r="F506" s="183" t="n"/>
      <c r="G506" s="183" t="n"/>
      <c r="H506" s="183" t="n"/>
      <c r="I506" s="183" t="n"/>
      <c r="J506" s="183" t="n"/>
      <c r="K506" s="183" t="n"/>
      <c r="L506" s="183" t="n"/>
      <c r="M506" s="183" t="n"/>
      <c r="N506" s="183" t="n"/>
      <c r="O506" s="183" t="n"/>
      <c r="P506" s="183" t="n"/>
      <c r="Q506" s="183" t="n"/>
      <c r="R506" s="183" t="n"/>
      <c r="S506" s="183" t="n"/>
      <c r="T506" s="183" t="n"/>
      <c r="U506" s="183" t="n"/>
      <c r="V506" s="183" t="n"/>
      <c r="W506" s="183" t="n"/>
      <c r="X506" s="183" t="n"/>
      <c r="Y506" s="183" t="n"/>
      <c r="Z506" s="183" t="n"/>
      <c r="AA506" s="183" t="n"/>
    </row>
    <row r="507">
      <c r="A507" s="183" t="n"/>
      <c r="B507" s="183" t="n"/>
      <c r="C507" s="183" t="n"/>
      <c r="D507" s="183" t="n"/>
      <c r="E507" s="183" t="n"/>
      <c r="F507" s="183" t="n"/>
      <c r="G507" s="183" t="n"/>
      <c r="H507" s="183" t="n"/>
      <c r="I507" s="183" t="n"/>
      <c r="J507" s="183" t="n"/>
      <c r="K507" s="183" t="n"/>
      <c r="L507" s="183" t="n"/>
      <c r="M507" s="183" t="n"/>
      <c r="N507" s="183" t="n"/>
      <c r="O507" s="183" t="n"/>
      <c r="P507" s="183" t="n"/>
      <c r="Q507" s="183" t="n"/>
      <c r="R507" s="183" t="n"/>
      <c r="S507" s="183" t="n"/>
      <c r="T507" s="183" t="n"/>
      <c r="U507" s="183" t="n"/>
      <c r="V507" s="183" t="n"/>
      <c r="W507" s="183" t="n"/>
      <c r="X507" s="183" t="n"/>
      <c r="Y507" s="183" t="n"/>
      <c r="Z507" s="183" t="n"/>
      <c r="AA507" s="183" t="n"/>
    </row>
    <row r="508">
      <c r="A508" s="183" t="n"/>
      <c r="B508" s="183" t="n"/>
      <c r="C508" s="183" t="n"/>
      <c r="D508" s="183" t="n"/>
      <c r="E508" s="183" t="n"/>
      <c r="F508" s="183" t="n"/>
      <c r="G508" s="183" t="n"/>
      <c r="H508" s="183" t="n"/>
      <c r="I508" s="183" t="n"/>
      <c r="J508" s="183" t="n"/>
      <c r="K508" s="183" t="n"/>
      <c r="L508" s="183" t="n"/>
      <c r="M508" s="183" t="n"/>
      <c r="N508" s="183" t="n"/>
      <c r="O508" s="183" t="n"/>
      <c r="P508" s="183" t="n"/>
      <c r="Q508" s="183" t="n"/>
      <c r="R508" s="183" t="n"/>
      <c r="S508" s="183" t="n"/>
      <c r="T508" s="183" t="n"/>
      <c r="U508" s="183" t="n"/>
      <c r="V508" s="183" t="n"/>
      <c r="W508" s="183" t="n"/>
      <c r="X508" s="183" t="n"/>
      <c r="Y508" s="183" t="n"/>
      <c r="Z508" s="183" t="n"/>
      <c r="AA508" s="183" t="n"/>
    </row>
    <row r="509">
      <c r="A509" s="183" t="n"/>
      <c r="B509" s="183" t="n"/>
      <c r="C509" s="183" t="n"/>
      <c r="D509" s="183" t="n"/>
      <c r="E509" s="183" t="n"/>
      <c r="F509" s="183" t="n"/>
      <c r="G509" s="183" t="n"/>
      <c r="H509" s="183" t="n"/>
      <c r="I509" s="183" t="n"/>
      <c r="J509" s="183" t="n"/>
      <c r="K509" s="183" t="n"/>
      <c r="L509" s="183" t="n"/>
      <c r="M509" s="183" t="n"/>
      <c r="N509" s="183" t="n"/>
      <c r="O509" s="183" t="n"/>
      <c r="P509" s="183" t="n"/>
      <c r="Q509" s="183" t="n"/>
      <c r="R509" s="183" t="n"/>
      <c r="S509" s="183" t="n"/>
      <c r="T509" s="183" t="n"/>
      <c r="U509" s="183" t="n"/>
      <c r="V509" s="183" t="n"/>
      <c r="W509" s="183" t="n"/>
      <c r="X509" s="183" t="n"/>
      <c r="Y509" s="183" t="n"/>
      <c r="Z509" s="183" t="n"/>
      <c r="AA509" s="183" t="n"/>
    </row>
    <row r="510">
      <c r="A510" s="183" t="n"/>
      <c r="B510" s="183" t="n"/>
      <c r="C510" s="183" t="n"/>
      <c r="D510" s="183" t="n"/>
      <c r="E510" s="183" t="n"/>
      <c r="F510" s="183" t="n"/>
      <c r="G510" s="183" t="n"/>
      <c r="H510" s="183" t="n"/>
      <c r="I510" s="183" t="n"/>
      <c r="J510" s="183" t="n"/>
      <c r="K510" s="183" t="n"/>
      <c r="L510" s="183" t="n"/>
      <c r="M510" s="183" t="n"/>
      <c r="N510" s="183" t="n"/>
      <c r="O510" s="183" t="n"/>
      <c r="P510" s="183" t="n"/>
      <c r="Q510" s="183" t="n"/>
      <c r="R510" s="183" t="n"/>
      <c r="S510" s="183" t="n"/>
      <c r="T510" s="183" t="n"/>
      <c r="U510" s="183" t="n"/>
      <c r="V510" s="183" t="n"/>
      <c r="W510" s="183" t="n"/>
      <c r="X510" s="183" t="n"/>
      <c r="Y510" s="183" t="n"/>
      <c r="Z510" s="183" t="n"/>
      <c r="AA510" s="183" t="n"/>
    </row>
    <row r="511">
      <c r="A511" s="183" t="n"/>
      <c r="B511" s="183" t="n"/>
      <c r="C511" s="183" t="n"/>
      <c r="D511" s="183" t="n"/>
      <c r="E511" s="183" t="n"/>
      <c r="F511" s="183" t="n"/>
      <c r="G511" s="183" t="n"/>
      <c r="H511" s="183" t="n"/>
      <c r="I511" s="183" t="n"/>
      <c r="J511" s="183" t="n"/>
      <c r="K511" s="183" t="n"/>
      <c r="L511" s="183" t="n"/>
      <c r="M511" s="183" t="n"/>
      <c r="N511" s="183" t="n"/>
      <c r="O511" s="183" t="n"/>
      <c r="P511" s="183" t="n"/>
      <c r="Q511" s="183" t="n"/>
      <c r="R511" s="183" t="n"/>
      <c r="S511" s="183" t="n"/>
      <c r="T511" s="183" t="n"/>
      <c r="U511" s="183" t="n"/>
      <c r="V511" s="183" t="n"/>
      <c r="W511" s="183" t="n"/>
      <c r="X511" s="183" t="n"/>
      <c r="Y511" s="183" t="n"/>
      <c r="Z511" s="183" t="n"/>
      <c r="AA511" s="183" t="n"/>
    </row>
    <row r="512">
      <c r="A512" s="183" t="n"/>
      <c r="B512" s="183" t="n"/>
      <c r="C512" s="183" t="n"/>
      <c r="D512" s="183" t="n"/>
      <c r="E512" s="183" t="n"/>
      <c r="F512" s="183" t="n"/>
      <c r="G512" s="183" t="n"/>
      <c r="H512" s="183" t="n"/>
      <c r="I512" s="183" t="n"/>
      <c r="J512" s="183" t="n"/>
      <c r="K512" s="183" t="n"/>
      <c r="L512" s="183" t="n"/>
      <c r="M512" s="183" t="n"/>
      <c r="N512" s="183" t="n"/>
      <c r="O512" s="183" t="n"/>
      <c r="P512" s="183" t="n"/>
      <c r="Q512" s="183" t="n"/>
      <c r="R512" s="183" t="n"/>
      <c r="S512" s="183" t="n"/>
      <c r="T512" s="183" t="n"/>
      <c r="U512" s="183" t="n"/>
      <c r="V512" s="183" t="n"/>
      <c r="W512" s="183" t="n"/>
      <c r="X512" s="183" t="n"/>
      <c r="Y512" s="183" t="n"/>
      <c r="Z512" s="183" t="n"/>
      <c r="AA512" s="183" t="n"/>
    </row>
    <row r="513">
      <c r="A513" s="183" t="n"/>
      <c r="B513" s="183" t="n"/>
      <c r="C513" s="183" t="n"/>
      <c r="D513" s="183" t="n"/>
      <c r="E513" s="183" t="n"/>
      <c r="F513" s="183" t="n"/>
      <c r="G513" s="183" t="n"/>
      <c r="H513" s="183" t="n"/>
      <c r="I513" s="183" t="n"/>
      <c r="J513" s="183" t="n"/>
      <c r="K513" s="183" t="n"/>
      <c r="L513" s="183" t="n"/>
      <c r="M513" s="183" t="n"/>
      <c r="N513" s="183" t="n"/>
      <c r="O513" s="183" t="n"/>
      <c r="P513" s="183" t="n"/>
      <c r="Q513" s="183" t="n"/>
      <c r="R513" s="183" t="n"/>
      <c r="S513" s="183" t="n"/>
      <c r="T513" s="183" t="n"/>
      <c r="U513" s="183" t="n"/>
      <c r="V513" s="183" t="n"/>
      <c r="W513" s="183" t="n"/>
      <c r="X513" s="183" t="n"/>
      <c r="Y513" s="183" t="n"/>
      <c r="Z513" s="183" t="n"/>
      <c r="AA513" s="183" t="n"/>
    </row>
    <row r="514">
      <c r="A514" s="183" t="n"/>
      <c r="B514" s="183" t="n"/>
      <c r="C514" s="183" t="n"/>
      <c r="D514" s="183" t="n"/>
      <c r="E514" s="183" t="n"/>
      <c r="F514" s="183" t="n"/>
      <c r="G514" s="183" t="n"/>
      <c r="H514" s="183" t="n"/>
      <c r="I514" s="183" t="n"/>
      <c r="J514" s="183" t="n"/>
      <c r="K514" s="183" t="n"/>
      <c r="L514" s="183" t="n"/>
      <c r="M514" s="183" t="n"/>
      <c r="N514" s="183" t="n"/>
      <c r="O514" s="183" t="n"/>
      <c r="P514" s="183" t="n"/>
      <c r="Q514" s="183" t="n"/>
      <c r="R514" s="183" t="n"/>
      <c r="S514" s="183" t="n"/>
      <c r="T514" s="183" t="n"/>
      <c r="U514" s="183" t="n"/>
      <c r="V514" s="183" t="n"/>
      <c r="W514" s="183" t="n"/>
      <c r="X514" s="183" t="n"/>
      <c r="Y514" s="183" t="n"/>
      <c r="Z514" s="183" t="n"/>
      <c r="AA514" s="183" t="n"/>
    </row>
    <row r="515">
      <c r="A515" s="183" t="n"/>
      <c r="B515" s="183" t="n"/>
      <c r="C515" s="183" t="n"/>
      <c r="D515" s="183" t="n"/>
      <c r="E515" s="183" t="n"/>
      <c r="F515" s="183" t="n"/>
      <c r="G515" s="183" t="n"/>
      <c r="H515" s="183" t="n"/>
      <c r="I515" s="183" t="n"/>
      <c r="J515" s="183" t="n"/>
      <c r="K515" s="183" t="n"/>
      <c r="L515" s="183" t="n"/>
      <c r="M515" s="183" t="n"/>
      <c r="N515" s="183" t="n"/>
      <c r="O515" s="183" t="n"/>
      <c r="P515" s="183" t="n"/>
      <c r="Q515" s="183" t="n"/>
      <c r="R515" s="183" t="n"/>
      <c r="S515" s="183" t="n"/>
      <c r="T515" s="183" t="n"/>
      <c r="U515" s="183" t="n"/>
      <c r="V515" s="183" t="n"/>
      <c r="W515" s="183" t="n"/>
      <c r="X515" s="183" t="n"/>
      <c r="Y515" s="183" t="n"/>
      <c r="Z515" s="183" t="n"/>
      <c r="AA515" s="183" t="n"/>
    </row>
    <row r="516">
      <c r="A516" s="183" t="n"/>
      <c r="B516" s="183" t="n"/>
      <c r="C516" s="183" t="n"/>
      <c r="D516" s="183" t="n"/>
      <c r="E516" s="183" t="n"/>
      <c r="F516" s="183" t="n"/>
      <c r="G516" s="183" t="n"/>
      <c r="H516" s="183" t="n"/>
      <c r="I516" s="183" t="n"/>
      <c r="J516" s="183" t="n"/>
      <c r="K516" s="183" t="n"/>
      <c r="L516" s="183" t="n"/>
      <c r="M516" s="183" t="n"/>
      <c r="N516" s="183" t="n"/>
      <c r="O516" s="183" t="n"/>
      <c r="P516" s="183" t="n"/>
      <c r="Q516" s="183" t="n"/>
      <c r="R516" s="183" t="n"/>
      <c r="S516" s="183" t="n"/>
      <c r="T516" s="183" t="n"/>
      <c r="U516" s="183" t="n"/>
      <c r="V516" s="183" t="n"/>
      <c r="W516" s="183" t="n"/>
      <c r="X516" s="183" t="n"/>
      <c r="Y516" s="183" t="n"/>
      <c r="Z516" s="183" t="n"/>
      <c r="AA516" s="183" t="n"/>
    </row>
    <row r="517">
      <c r="A517" s="183" t="n"/>
      <c r="B517" s="183" t="n"/>
      <c r="C517" s="183" t="n"/>
      <c r="D517" s="183" t="n"/>
      <c r="E517" s="183" t="n"/>
      <c r="F517" s="183" t="n"/>
      <c r="G517" s="183" t="n"/>
      <c r="H517" s="183" t="n"/>
      <c r="I517" s="183" t="n"/>
      <c r="J517" s="183" t="n"/>
      <c r="K517" s="183" t="n"/>
      <c r="L517" s="183" t="n"/>
      <c r="M517" s="183" t="n"/>
      <c r="N517" s="183" t="n"/>
      <c r="O517" s="183" t="n"/>
      <c r="P517" s="183" t="n"/>
      <c r="Q517" s="183" t="n"/>
      <c r="R517" s="183" t="n"/>
      <c r="S517" s="183" t="n"/>
      <c r="T517" s="183" t="n"/>
      <c r="U517" s="183" t="n"/>
      <c r="V517" s="183" t="n"/>
      <c r="W517" s="183" t="n"/>
      <c r="X517" s="183" t="n"/>
      <c r="Y517" s="183" t="n"/>
      <c r="Z517" s="183" t="n"/>
      <c r="AA517" s="183" t="n"/>
    </row>
    <row r="518">
      <c r="A518" s="183" t="n"/>
      <c r="B518" s="183" t="n"/>
      <c r="C518" s="183" t="n"/>
      <c r="D518" s="183" t="n"/>
      <c r="E518" s="183" t="n"/>
      <c r="F518" s="183" t="n"/>
      <c r="G518" s="183" t="n"/>
      <c r="H518" s="183" t="n"/>
      <c r="I518" s="183" t="n"/>
      <c r="J518" s="183" t="n"/>
      <c r="K518" s="183" t="n"/>
      <c r="L518" s="183" t="n"/>
      <c r="M518" s="183" t="n"/>
      <c r="N518" s="183" t="n"/>
      <c r="O518" s="183" t="n"/>
      <c r="P518" s="183" t="n"/>
      <c r="Q518" s="183" t="n"/>
      <c r="R518" s="183" t="n"/>
      <c r="S518" s="183" t="n"/>
      <c r="T518" s="183" t="n"/>
      <c r="U518" s="183" t="n"/>
      <c r="V518" s="183" t="n"/>
      <c r="W518" s="183" t="n"/>
      <c r="X518" s="183" t="n"/>
      <c r="Y518" s="183" t="n"/>
      <c r="Z518" s="183" t="n"/>
      <c r="AA518" s="183" t="n"/>
    </row>
    <row r="519">
      <c r="A519" s="183" t="n"/>
      <c r="B519" s="183" t="n"/>
      <c r="C519" s="183" t="n"/>
      <c r="D519" s="183" t="n"/>
      <c r="E519" s="183" t="n"/>
      <c r="F519" s="183" t="n"/>
      <c r="G519" s="183" t="n"/>
      <c r="H519" s="183" t="n"/>
      <c r="I519" s="183" t="n"/>
      <c r="J519" s="183" t="n"/>
      <c r="K519" s="183" t="n"/>
      <c r="L519" s="183" t="n"/>
      <c r="M519" s="183" t="n"/>
      <c r="N519" s="183" t="n"/>
      <c r="O519" s="183" t="n"/>
      <c r="P519" s="183" t="n"/>
      <c r="Q519" s="183" t="n"/>
      <c r="R519" s="183" t="n"/>
      <c r="S519" s="183" t="n"/>
      <c r="T519" s="183" t="n"/>
      <c r="U519" s="183" t="n"/>
      <c r="V519" s="183" t="n"/>
      <c r="W519" s="183" t="n"/>
      <c r="X519" s="183" t="n"/>
      <c r="Y519" s="183" t="n"/>
      <c r="Z519" s="183" t="n"/>
      <c r="AA519" s="183" t="n"/>
    </row>
    <row r="520">
      <c r="A520" s="183" t="n"/>
      <c r="B520" s="183" t="n"/>
      <c r="C520" s="183" t="n"/>
      <c r="D520" s="183" t="n"/>
      <c r="E520" s="183" t="n"/>
      <c r="F520" s="183" t="n"/>
      <c r="G520" s="183" t="n"/>
      <c r="H520" s="183" t="n"/>
      <c r="I520" s="183" t="n"/>
      <c r="J520" s="183" t="n"/>
      <c r="K520" s="183" t="n"/>
      <c r="L520" s="183" t="n"/>
      <c r="M520" s="183" t="n"/>
      <c r="N520" s="183" t="n"/>
      <c r="O520" s="183" t="n"/>
      <c r="P520" s="183" t="n"/>
      <c r="Q520" s="183" t="n"/>
      <c r="R520" s="183" t="n"/>
      <c r="S520" s="183" t="n"/>
      <c r="T520" s="183" t="n"/>
      <c r="U520" s="183" t="n"/>
      <c r="V520" s="183" t="n"/>
      <c r="W520" s="183" t="n"/>
      <c r="X520" s="183" t="n"/>
      <c r="Y520" s="183" t="n"/>
      <c r="Z520" s="183" t="n"/>
      <c r="AA520" s="183" t="n"/>
    </row>
    <row r="521">
      <c r="A521" s="183" t="n"/>
      <c r="B521" s="183" t="n"/>
      <c r="C521" s="183" t="n"/>
      <c r="D521" s="183" t="n"/>
      <c r="E521" s="183" t="n"/>
      <c r="F521" s="183" t="n"/>
      <c r="G521" s="183" t="n"/>
      <c r="H521" s="183" t="n"/>
      <c r="I521" s="183" t="n"/>
      <c r="J521" s="183" t="n"/>
      <c r="K521" s="183" t="n"/>
      <c r="L521" s="183" t="n"/>
      <c r="M521" s="183" t="n"/>
      <c r="N521" s="183" t="n"/>
      <c r="O521" s="183" t="n"/>
      <c r="P521" s="183" t="n"/>
      <c r="Q521" s="183" t="n"/>
      <c r="R521" s="183" t="n"/>
      <c r="S521" s="183" t="n"/>
      <c r="T521" s="183" t="n"/>
      <c r="U521" s="183" t="n"/>
      <c r="V521" s="183" t="n"/>
      <c r="W521" s="183" t="n"/>
      <c r="X521" s="183" t="n"/>
      <c r="Y521" s="183" t="n"/>
      <c r="Z521" s="183" t="n"/>
      <c r="AA521" s="183" t="n"/>
    </row>
    <row r="522">
      <c r="A522" s="183" t="n"/>
      <c r="B522" s="183" t="n"/>
      <c r="C522" s="183" t="n"/>
      <c r="D522" s="183" t="n"/>
      <c r="E522" s="183" t="n"/>
      <c r="F522" s="183" t="n"/>
      <c r="G522" s="183" t="n"/>
      <c r="H522" s="183" t="n"/>
      <c r="I522" s="183" t="n"/>
      <c r="J522" s="183" t="n"/>
      <c r="K522" s="183" t="n"/>
      <c r="L522" s="183" t="n"/>
      <c r="M522" s="183" t="n"/>
      <c r="N522" s="183" t="n"/>
      <c r="O522" s="183" t="n"/>
      <c r="P522" s="183" t="n"/>
      <c r="Q522" s="183" t="n"/>
      <c r="R522" s="183" t="n"/>
      <c r="S522" s="183" t="n"/>
      <c r="T522" s="183" t="n"/>
      <c r="U522" s="183" t="n"/>
      <c r="V522" s="183" t="n"/>
      <c r="W522" s="183" t="n"/>
      <c r="X522" s="183" t="n"/>
      <c r="Y522" s="183" t="n"/>
      <c r="Z522" s="183" t="n"/>
      <c r="AA522" s="183" t="n"/>
    </row>
    <row r="523">
      <c r="A523" s="183" t="n"/>
      <c r="B523" s="183" t="n"/>
      <c r="C523" s="183" t="n"/>
      <c r="D523" s="183" t="n"/>
      <c r="E523" s="183" t="n"/>
      <c r="F523" s="183" t="n"/>
      <c r="G523" s="183" t="n"/>
      <c r="H523" s="183" t="n"/>
      <c r="I523" s="183" t="n"/>
      <c r="J523" s="183" t="n"/>
      <c r="K523" s="183" t="n"/>
      <c r="L523" s="183" t="n"/>
      <c r="M523" s="183" t="n"/>
      <c r="N523" s="183" t="n"/>
      <c r="O523" s="183" t="n"/>
      <c r="P523" s="183" t="n"/>
      <c r="Q523" s="183" t="n"/>
      <c r="R523" s="183" t="n"/>
      <c r="S523" s="183" t="n"/>
      <c r="T523" s="183" t="n"/>
      <c r="U523" s="183" t="n"/>
      <c r="V523" s="183" t="n"/>
      <c r="W523" s="183" t="n"/>
      <c r="X523" s="183" t="n"/>
      <c r="Y523" s="183" t="n"/>
      <c r="Z523" s="183" t="n"/>
      <c r="AA523" s="183" t="n"/>
    </row>
    <row r="524">
      <c r="A524" s="183" t="n"/>
      <c r="B524" s="183" t="n"/>
      <c r="C524" s="183" t="n"/>
      <c r="D524" s="183" t="n"/>
      <c r="E524" s="183" t="n"/>
      <c r="F524" s="183" t="n"/>
      <c r="G524" s="183" t="n"/>
      <c r="H524" s="183" t="n"/>
      <c r="I524" s="183" t="n"/>
      <c r="J524" s="183" t="n"/>
      <c r="K524" s="183" t="n"/>
      <c r="L524" s="183" t="n"/>
      <c r="M524" s="183" t="n"/>
      <c r="N524" s="183" t="n"/>
      <c r="O524" s="183" t="n"/>
      <c r="P524" s="183" t="n"/>
      <c r="Q524" s="183" t="n"/>
      <c r="R524" s="183" t="n"/>
      <c r="S524" s="183" t="n"/>
      <c r="T524" s="183" t="n"/>
      <c r="U524" s="183" t="n"/>
      <c r="V524" s="183" t="n"/>
      <c r="W524" s="183" t="n"/>
      <c r="X524" s="183" t="n"/>
      <c r="Y524" s="183" t="n"/>
      <c r="Z524" s="183" t="n"/>
      <c r="AA524" s="183" t="n"/>
    </row>
    <row r="525">
      <c r="A525" s="183" t="n"/>
      <c r="B525" s="183" t="n"/>
      <c r="C525" s="183" t="n"/>
      <c r="D525" s="183" t="n"/>
      <c r="E525" s="183" t="n"/>
      <c r="F525" s="183" t="n"/>
      <c r="G525" s="183" t="n"/>
      <c r="H525" s="183" t="n"/>
      <c r="I525" s="183" t="n"/>
      <c r="J525" s="183" t="n"/>
      <c r="K525" s="183" t="n"/>
      <c r="L525" s="183" t="n"/>
      <c r="M525" s="183" t="n"/>
      <c r="N525" s="183" t="n"/>
      <c r="O525" s="183" t="n"/>
      <c r="P525" s="183" t="n"/>
      <c r="Q525" s="183" t="n"/>
      <c r="R525" s="183" t="n"/>
      <c r="S525" s="183" t="n"/>
      <c r="T525" s="183" t="n"/>
      <c r="U525" s="183" t="n"/>
      <c r="V525" s="183" t="n"/>
      <c r="W525" s="183" t="n"/>
      <c r="X525" s="183" t="n"/>
      <c r="Y525" s="183" t="n"/>
      <c r="Z525" s="183" t="n"/>
      <c r="AA525" s="183" t="n"/>
    </row>
    <row r="526">
      <c r="A526" s="183" t="n"/>
      <c r="B526" s="183" t="n"/>
      <c r="C526" s="183" t="n"/>
      <c r="D526" s="183" t="n"/>
      <c r="E526" s="183" t="n"/>
      <c r="F526" s="183" t="n"/>
      <c r="G526" s="183" t="n"/>
      <c r="H526" s="183" t="n"/>
      <c r="I526" s="183" t="n"/>
      <c r="J526" s="183" t="n"/>
      <c r="K526" s="183" t="n"/>
      <c r="L526" s="183" t="n"/>
      <c r="M526" s="183" t="n"/>
      <c r="N526" s="183" t="n"/>
      <c r="O526" s="183" t="n"/>
      <c r="P526" s="183" t="n"/>
      <c r="Q526" s="183" t="n"/>
      <c r="R526" s="183" t="n"/>
      <c r="S526" s="183" t="n"/>
      <c r="T526" s="183" t="n"/>
      <c r="U526" s="183" t="n"/>
      <c r="V526" s="183" t="n"/>
      <c r="W526" s="183" t="n"/>
      <c r="X526" s="183" t="n"/>
      <c r="Y526" s="183" t="n"/>
      <c r="Z526" s="183" t="n"/>
      <c r="AA526" s="183" t="n"/>
    </row>
    <row r="527">
      <c r="A527" s="183" t="n"/>
      <c r="B527" s="183" t="n"/>
      <c r="C527" s="183" t="n"/>
      <c r="D527" s="183" t="n"/>
      <c r="E527" s="183" t="n"/>
      <c r="F527" s="183" t="n"/>
      <c r="G527" s="183" t="n"/>
      <c r="H527" s="183" t="n"/>
      <c r="I527" s="183" t="n"/>
      <c r="J527" s="183" t="n"/>
      <c r="K527" s="183" t="n"/>
      <c r="L527" s="183" t="n"/>
      <c r="M527" s="183" t="n"/>
      <c r="N527" s="183" t="n"/>
      <c r="O527" s="183" t="n"/>
      <c r="P527" s="183" t="n"/>
      <c r="Q527" s="183" t="n"/>
      <c r="R527" s="183" t="n"/>
      <c r="S527" s="183" t="n"/>
      <c r="T527" s="183" t="n"/>
      <c r="U527" s="183" t="n"/>
      <c r="V527" s="183" t="n"/>
      <c r="W527" s="183" t="n"/>
      <c r="X527" s="183" t="n"/>
      <c r="Y527" s="183" t="n"/>
      <c r="Z527" s="183" t="n"/>
      <c r="AA527" s="183" t="n"/>
    </row>
    <row r="528">
      <c r="A528" s="183" t="n"/>
      <c r="B528" s="183" t="n"/>
      <c r="C528" s="183" t="n"/>
      <c r="D528" s="183" t="n"/>
      <c r="E528" s="183" t="n"/>
      <c r="F528" s="183" t="n"/>
      <c r="G528" s="183" t="n"/>
      <c r="H528" s="183" t="n"/>
      <c r="I528" s="183" t="n"/>
      <c r="J528" s="183" t="n"/>
      <c r="K528" s="183" t="n"/>
      <c r="L528" s="183" t="n"/>
      <c r="M528" s="183" t="n"/>
      <c r="N528" s="183" t="n"/>
      <c r="O528" s="183" t="n"/>
      <c r="P528" s="183" t="n"/>
      <c r="Q528" s="183" t="n"/>
      <c r="R528" s="183" t="n"/>
      <c r="S528" s="183" t="n"/>
      <c r="T528" s="183" t="n"/>
      <c r="U528" s="183" t="n"/>
      <c r="V528" s="183" t="n"/>
      <c r="W528" s="183" t="n"/>
      <c r="X528" s="183" t="n"/>
      <c r="Y528" s="183" t="n"/>
      <c r="Z528" s="183" t="n"/>
      <c r="AA528" s="183" t="n"/>
    </row>
    <row r="529">
      <c r="A529" s="183" t="n"/>
      <c r="B529" s="183" t="n"/>
      <c r="C529" s="183" t="n"/>
      <c r="D529" s="183" t="n"/>
      <c r="E529" s="183" t="n"/>
      <c r="F529" s="183" t="n"/>
      <c r="G529" s="183" t="n"/>
      <c r="H529" s="183" t="n"/>
      <c r="I529" s="183" t="n"/>
      <c r="J529" s="183" t="n"/>
      <c r="K529" s="183" t="n"/>
      <c r="L529" s="183" t="n"/>
      <c r="M529" s="183" t="n"/>
      <c r="N529" s="183" t="n"/>
      <c r="O529" s="183" t="n"/>
      <c r="P529" s="183" t="n"/>
      <c r="Q529" s="183" t="n"/>
      <c r="R529" s="183" t="n"/>
      <c r="S529" s="183" t="n"/>
      <c r="T529" s="183" t="n"/>
      <c r="U529" s="183" t="n"/>
      <c r="V529" s="183" t="n"/>
      <c r="W529" s="183" t="n"/>
      <c r="X529" s="183" t="n"/>
      <c r="Y529" s="183" t="n"/>
      <c r="Z529" s="183" t="n"/>
      <c r="AA529" s="183" t="n"/>
    </row>
    <row r="530">
      <c r="A530" s="183" t="n"/>
      <c r="B530" s="183" t="n"/>
      <c r="C530" s="183" t="n"/>
      <c r="D530" s="183" t="n"/>
      <c r="E530" s="183" t="n"/>
      <c r="F530" s="183" t="n"/>
      <c r="G530" s="183" t="n"/>
      <c r="H530" s="183" t="n"/>
      <c r="I530" s="183" t="n"/>
      <c r="J530" s="183" t="n"/>
      <c r="K530" s="183" t="n"/>
      <c r="L530" s="183" t="n"/>
      <c r="M530" s="183" t="n"/>
      <c r="N530" s="183" t="n"/>
      <c r="O530" s="183" t="n"/>
      <c r="P530" s="183" t="n"/>
      <c r="Q530" s="183" t="n"/>
      <c r="R530" s="183" t="n"/>
      <c r="S530" s="183" t="n"/>
      <c r="T530" s="183" t="n"/>
      <c r="U530" s="183" t="n"/>
      <c r="V530" s="183" t="n"/>
      <c r="W530" s="183" t="n"/>
      <c r="X530" s="183" t="n"/>
      <c r="Y530" s="183" t="n"/>
      <c r="Z530" s="183" t="n"/>
      <c r="AA530" s="183" t="n"/>
    </row>
    <row r="531">
      <c r="A531" s="183" t="n"/>
      <c r="B531" s="183" t="n"/>
      <c r="C531" s="183" t="n"/>
      <c r="D531" s="183" t="n"/>
      <c r="E531" s="183" t="n"/>
      <c r="F531" s="183" t="n"/>
      <c r="G531" s="183" t="n"/>
      <c r="H531" s="183" t="n"/>
      <c r="I531" s="183" t="n"/>
      <c r="J531" s="183" t="n"/>
      <c r="K531" s="183" t="n"/>
      <c r="L531" s="183" t="n"/>
      <c r="M531" s="183" t="n"/>
      <c r="N531" s="183" t="n"/>
      <c r="O531" s="183" t="n"/>
      <c r="P531" s="183" t="n"/>
      <c r="Q531" s="183" t="n"/>
      <c r="R531" s="183" t="n"/>
      <c r="S531" s="183" t="n"/>
      <c r="T531" s="183" t="n"/>
      <c r="U531" s="183" t="n"/>
      <c r="V531" s="183" t="n"/>
      <c r="W531" s="183" t="n"/>
      <c r="X531" s="183" t="n"/>
      <c r="Y531" s="183" t="n"/>
      <c r="Z531" s="183" t="n"/>
      <c r="AA531" s="183" t="n"/>
    </row>
    <row r="532">
      <c r="A532" s="183" t="n"/>
      <c r="B532" s="183" t="n"/>
      <c r="C532" s="183" t="n"/>
      <c r="D532" s="183" t="n"/>
      <c r="E532" s="183" t="n"/>
      <c r="F532" s="183" t="n"/>
      <c r="G532" s="183" t="n"/>
      <c r="H532" s="183" t="n"/>
      <c r="I532" s="183" t="n"/>
      <c r="J532" s="183" t="n"/>
      <c r="K532" s="183" t="n"/>
      <c r="L532" s="183" t="n"/>
      <c r="M532" s="183" t="n"/>
      <c r="N532" s="183" t="n"/>
      <c r="O532" s="183" t="n"/>
      <c r="P532" s="183" t="n"/>
      <c r="Q532" s="183" t="n"/>
      <c r="R532" s="183" t="n"/>
      <c r="S532" s="183" t="n"/>
      <c r="T532" s="183" t="n"/>
      <c r="U532" s="183" t="n"/>
      <c r="V532" s="183" t="n"/>
      <c r="W532" s="183" t="n"/>
      <c r="X532" s="183" t="n"/>
      <c r="Y532" s="183" t="n"/>
      <c r="Z532" s="183" t="n"/>
      <c r="AA532" s="183" t="n"/>
    </row>
    <row r="533">
      <c r="A533" s="183" t="n"/>
      <c r="B533" s="183" t="n"/>
      <c r="C533" s="183" t="n"/>
      <c r="D533" s="183" t="n"/>
      <c r="E533" s="183" t="n"/>
      <c r="F533" s="183" t="n"/>
      <c r="G533" s="183" t="n"/>
      <c r="H533" s="183" t="n"/>
      <c r="I533" s="183" t="n"/>
      <c r="J533" s="183" t="n"/>
      <c r="K533" s="183" t="n"/>
      <c r="L533" s="183" t="n"/>
      <c r="M533" s="183" t="n"/>
      <c r="N533" s="183" t="n"/>
      <c r="O533" s="183" t="n"/>
      <c r="P533" s="183" t="n"/>
      <c r="Q533" s="183" t="n"/>
      <c r="R533" s="183" t="n"/>
      <c r="S533" s="183" t="n"/>
      <c r="T533" s="183" t="n"/>
      <c r="U533" s="183" t="n"/>
      <c r="V533" s="183" t="n"/>
      <c r="W533" s="183" t="n"/>
      <c r="X533" s="183" t="n"/>
      <c r="Y533" s="183" t="n"/>
      <c r="Z533" s="183" t="n"/>
      <c r="AA533" s="183" t="n"/>
    </row>
    <row r="534">
      <c r="A534" s="183" t="n"/>
      <c r="B534" s="183" t="n"/>
      <c r="C534" s="183" t="n"/>
      <c r="D534" s="183" t="n"/>
      <c r="E534" s="183" t="n"/>
      <c r="F534" s="183" t="n"/>
      <c r="G534" s="183" t="n"/>
      <c r="H534" s="183" t="n"/>
      <c r="I534" s="183" t="n"/>
      <c r="J534" s="183" t="n"/>
      <c r="K534" s="183" t="n"/>
      <c r="L534" s="183" t="n"/>
      <c r="M534" s="183" t="n"/>
      <c r="N534" s="183" t="n"/>
      <c r="O534" s="183" t="n"/>
      <c r="P534" s="183" t="n"/>
      <c r="Q534" s="183" t="n"/>
      <c r="R534" s="183" t="n"/>
      <c r="S534" s="183" t="n"/>
      <c r="T534" s="183" t="n"/>
      <c r="U534" s="183" t="n"/>
      <c r="V534" s="183" t="n"/>
      <c r="W534" s="183" t="n"/>
      <c r="X534" s="183" t="n"/>
      <c r="Y534" s="183" t="n"/>
      <c r="Z534" s="183" t="n"/>
      <c r="AA534" s="183" t="n"/>
    </row>
    <row r="535">
      <c r="A535" s="183" t="n"/>
      <c r="B535" s="183" t="n"/>
      <c r="C535" s="183" t="n"/>
      <c r="D535" s="183" t="n"/>
      <c r="E535" s="183" t="n"/>
      <c r="F535" s="183" t="n"/>
      <c r="G535" s="183" t="n"/>
      <c r="H535" s="183" t="n"/>
      <c r="I535" s="183" t="n"/>
      <c r="J535" s="183" t="n"/>
      <c r="K535" s="183" t="n"/>
      <c r="L535" s="183" t="n"/>
      <c r="M535" s="183" t="n"/>
      <c r="N535" s="183" t="n"/>
      <c r="O535" s="183" t="n"/>
      <c r="P535" s="183" t="n"/>
      <c r="Q535" s="183" t="n"/>
      <c r="R535" s="183" t="n"/>
      <c r="S535" s="183" t="n"/>
      <c r="T535" s="183" t="n"/>
      <c r="U535" s="183" t="n"/>
      <c r="V535" s="183" t="n"/>
      <c r="W535" s="183" t="n"/>
      <c r="X535" s="183" t="n"/>
      <c r="Y535" s="183" t="n"/>
      <c r="Z535" s="183" t="n"/>
      <c r="AA535" s="183" t="n"/>
    </row>
    <row r="536">
      <c r="A536" s="183" t="n"/>
      <c r="B536" s="183" t="n"/>
      <c r="C536" s="183" t="n"/>
      <c r="D536" s="183" t="n"/>
      <c r="E536" s="183" t="n"/>
      <c r="F536" s="183" t="n"/>
      <c r="G536" s="183" t="n"/>
      <c r="H536" s="183" t="n"/>
      <c r="I536" s="183" t="n"/>
      <c r="J536" s="183" t="n"/>
      <c r="K536" s="183" t="n"/>
      <c r="L536" s="183" t="n"/>
      <c r="M536" s="183" t="n"/>
      <c r="N536" s="183" t="n"/>
      <c r="O536" s="183" t="n"/>
      <c r="P536" s="183" t="n"/>
      <c r="Q536" s="183" t="n"/>
      <c r="R536" s="183" t="n"/>
      <c r="S536" s="183" t="n"/>
      <c r="T536" s="183" t="n"/>
      <c r="U536" s="183" t="n"/>
      <c r="V536" s="183" t="n"/>
      <c r="W536" s="183" t="n"/>
      <c r="X536" s="183" t="n"/>
      <c r="Y536" s="183" t="n"/>
      <c r="Z536" s="183" t="n"/>
      <c r="AA536" s="183" t="n"/>
    </row>
    <row r="537">
      <c r="A537" s="183" t="n"/>
      <c r="B537" s="183" t="n"/>
      <c r="C537" s="183" t="n"/>
      <c r="D537" s="183" t="n"/>
      <c r="E537" s="183" t="n"/>
      <c r="F537" s="183" t="n"/>
      <c r="G537" s="183" t="n"/>
      <c r="H537" s="183" t="n"/>
      <c r="I537" s="183" t="n"/>
      <c r="J537" s="183" t="n"/>
      <c r="K537" s="183" t="n"/>
      <c r="L537" s="183" t="n"/>
      <c r="M537" s="183" t="n"/>
      <c r="N537" s="183" t="n"/>
      <c r="O537" s="183" t="n"/>
      <c r="P537" s="183" t="n"/>
      <c r="Q537" s="183" t="n"/>
      <c r="R537" s="183" t="n"/>
      <c r="S537" s="183" t="n"/>
      <c r="T537" s="183" t="n"/>
      <c r="U537" s="183" t="n"/>
      <c r="V537" s="183" t="n"/>
      <c r="W537" s="183" t="n"/>
      <c r="X537" s="183" t="n"/>
      <c r="Y537" s="183" t="n"/>
      <c r="Z537" s="183" t="n"/>
      <c r="AA537" s="183" t="n"/>
    </row>
    <row r="538">
      <c r="A538" s="183" t="n"/>
      <c r="B538" s="183" t="n"/>
      <c r="C538" s="183" t="n"/>
      <c r="D538" s="183" t="n"/>
      <c r="E538" s="183" t="n"/>
      <c r="F538" s="183" t="n"/>
      <c r="G538" s="183" t="n"/>
      <c r="H538" s="183" t="n"/>
      <c r="I538" s="183" t="n"/>
      <c r="J538" s="183" t="n"/>
      <c r="K538" s="183" t="n"/>
      <c r="L538" s="183" t="n"/>
      <c r="M538" s="183" t="n"/>
      <c r="N538" s="183" t="n"/>
      <c r="O538" s="183" t="n"/>
      <c r="P538" s="183" t="n"/>
      <c r="Q538" s="183" t="n"/>
      <c r="R538" s="183" t="n"/>
      <c r="S538" s="183" t="n"/>
      <c r="T538" s="183" t="n"/>
      <c r="U538" s="183" t="n"/>
      <c r="V538" s="183" t="n"/>
      <c r="W538" s="183" t="n"/>
      <c r="X538" s="183" t="n"/>
      <c r="Y538" s="183" t="n"/>
      <c r="Z538" s="183" t="n"/>
      <c r="AA538" s="183" t="n"/>
    </row>
    <row r="539">
      <c r="A539" s="183" t="n"/>
      <c r="B539" s="183" t="n"/>
      <c r="C539" s="183" t="n"/>
      <c r="D539" s="183" t="n"/>
      <c r="E539" s="183" t="n"/>
      <c r="F539" s="183" t="n"/>
      <c r="G539" s="183" t="n"/>
      <c r="H539" s="183" t="n"/>
      <c r="I539" s="183" t="n"/>
      <c r="J539" s="183" t="n"/>
      <c r="K539" s="183" t="n"/>
      <c r="L539" s="183" t="n"/>
      <c r="M539" s="183" t="n"/>
      <c r="N539" s="183" t="n"/>
      <c r="O539" s="183" t="n"/>
      <c r="P539" s="183" t="n"/>
      <c r="Q539" s="183" t="n"/>
      <c r="R539" s="183" t="n"/>
      <c r="S539" s="183" t="n"/>
      <c r="T539" s="183" t="n"/>
      <c r="U539" s="183" t="n"/>
      <c r="V539" s="183" t="n"/>
      <c r="W539" s="183" t="n"/>
      <c r="X539" s="183" t="n"/>
      <c r="Y539" s="183" t="n"/>
      <c r="Z539" s="183" t="n"/>
      <c r="AA539" s="183" t="n"/>
    </row>
    <row r="540">
      <c r="A540" s="183" t="n"/>
      <c r="B540" s="183" t="n"/>
      <c r="C540" s="183" t="n"/>
      <c r="D540" s="183" t="n"/>
      <c r="E540" s="183" t="n"/>
      <c r="F540" s="183" t="n"/>
      <c r="G540" s="183" t="n"/>
      <c r="H540" s="183" t="n"/>
      <c r="I540" s="183" t="n"/>
      <c r="J540" s="183" t="n"/>
      <c r="K540" s="183" t="n"/>
      <c r="L540" s="183" t="n"/>
      <c r="M540" s="183" t="n"/>
      <c r="N540" s="183" t="n"/>
      <c r="O540" s="183" t="n"/>
      <c r="P540" s="183" t="n"/>
      <c r="Q540" s="183" t="n"/>
      <c r="R540" s="183" t="n"/>
      <c r="S540" s="183" t="n"/>
      <c r="T540" s="183" t="n"/>
      <c r="U540" s="183" t="n"/>
      <c r="V540" s="183" t="n"/>
      <c r="W540" s="183" t="n"/>
      <c r="X540" s="183" t="n"/>
      <c r="Y540" s="183" t="n"/>
      <c r="Z540" s="183" t="n"/>
      <c r="AA540" s="183" t="n"/>
    </row>
    <row r="541">
      <c r="A541" s="183" t="n"/>
      <c r="B541" s="183" t="n"/>
      <c r="C541" s="183" t="n"/>
      <c r="D541" s="183" t="n"/>
      <c r="E541" s="183" t="n"/>
      <c r="F541" s="183" t="n"/>
      <c r="G541" s="183" t="n"/>
      <c r="H541" s="183" t="n"/>
      <c r="I541" s="183" t="n"/>
      <c r="J541" s="183" t="n"/>
      <c r="K541" s="183" t="n"/>
      <c r="L541" s="183" t="n"/>
      <c r="M541" s="183" t="n"/>
      <c r="N541" s="183" t="n"/>
      <c r="O541" s="183" t="n"/>
      <c r="P541" s="183" t="n"/>
      <c r="Q541" s="183" t="n"/>
      <c r="R541" s="183" t="n"/>
      <c r="S541" s="183" t="n"/>
      <c r="T541" s="183" t="n"/>
      <c r="U541" s="183" t="n"/>
      <c r="V541" s="183" t="n"/>
      <c r="W541" s="183" t="n"/>
      <c r="X541" s="183" t="n"/>
      <c r="Y541" s="183" t="n"/>
      <c r="Z541" s="183" t="n"/>
      <c r="AA541" s="183" t="n"/>
    </row>
    <row r="542">
      <c r="A542" s="183" t="n"/>
      <c r="B542" s="183" t="n"/>
      <c r="C542" s="183" t="n"/>
      <c r="D542" s="183" t="n"/>
      <c r="E542" s="183" t="n"/>
      <c r="F542" s="183" t="n"/>
      <c r="G542" s="183" t="n"/>
      <c r="H542" s="183" t="n"/>
      <c r="I542" s="183" t="n"/>
      <c r="J542" s="183" t="n"/>
      <c r="K542" s="183" t="n"/>
      <c r="L542" s="183" t="n"/>
      <c r="M542" s="183" t="n"/>
      <c r="N542" s="183" t="n"/>
      <c r="O542" s="183" t="n"/>
      <c r="P542" s="183" t="n"/>
      <c r="Q542" s="183" t="n"/>
      <c r="R542" s="183" t="n"/>
      <c r="S542" s="183" t="n"/>
      <c r="T542" s="183" t="n"/>
      <c r="U542" s="183" t="n"/>
      <c r="V542" s="183" t="n"/>
      <c r="W542" s="183" t="n"/>
      <c r="X542" s="183" t="n"/>
      <c r="Y542" s="183" t="n"/>
      <c r="Z542" s="183" t="n"/>
      <c r="AA542" s="183" t="n"/>
    </row>
    <row r="543">
      <c r="A543" s="183" t="n"/>
      <c r="B543" s="183" t="n"/>
      <c r="C543" s="183" t="n"/>
      <c r="D543" s="183" t="n"/>
      <c r="E543" s="183" t="n"/>
      <c r="F543" s="183" t="n"/>
      <c r="G543" s="183" t="n"/>
      <c r="H543" s="183" t="n"/>
      <c r="I543" s="183" t="n"/>
      <c r="J543" s="183" t="n"/>
      <c r="K543" s="183" t="n"/>
      <c r="L543" s="183" t="n"/>
      <c r="M543" s="183" t="n"/>
      <c r="N543" s="183" t="n"/>
      <c r="O543" s="183" t="n"/>
      <c r="P543" s="183" t="n"/>
      <c r="Q543" s="183" t="n"/>
      <c r="R543" s="183" t="n"/>
      <c r="S543" s="183" t="n"/>
      <c r="T543" s="183" t="n"/>
      <c r="U543" s="183" t="n"/>
      <c r="V543" s="183" t="n"/>
      <c r="W543" s="183" t="n"/>
      <c r="X543" s="183" t="n"/>
      <c r="Y543" s="183" t="n"/>
      <c r="Z543" s="183" t="n"/>
      <c r="AA543" s="183" t="n"/>
    </row>
    <row r="544">
      <c r="A544" s="183" t="n"/>
      <c r="B544" s="183" t="n"/>
      <c r="C544" s="183" t="n"/>
      <c r="D544" s="183" t="n"/>
      <c r="E544" s="183" t="n"/>
      <c r="F544" s="183" t="n"/>
      <c r="G544" s="183" t="n"/>
      <c r="H544" s="183" t="n"/>
      <c r="I544" s="183" t="n"/>
      <c r="J544" s="183" t="n"/>
      <c r="K544" s="183" t="n"/>
      <c r="L544" s="183" t="n"/>
      <c r="M544" s="183" t="n"/>
      <c r="N544" s="183" t="n"/>
      <c r="O544" s="183" t="n"/>
      <c r="P544" s="183" t="n"/>
      <c r="Q544" s="183" t="n"/>
      <c r="R544" s="183" t="n"/>
      <c r="S544" s="183" t="n"/>
      <c r="T544" s="183" t="n"/>
      <c r="U544" s="183" t="n"/>
      <c r="V544" s="183" t="n"/>
      <c r="W544" s="183" t="n"/>
      <c r="X544" s="183" t="n"/>
      <c r="Y544" s="183" t="n"/>
      <c r="Z544" s="183" t="n"/>
      <c r="AA544" s="183" t="n"/>
    </row>
    <row r="545">
      <c r="A545" s="183" t="n"/>
      <c r="B545" s="183" t="n"/>
      <c r="C545" s="183" t="n"/>
      <c r="D545" s="183" t="n"/>
      <c r="E545" s="183" t="n"/>
      <c r="F545" s="183" t="n"/>
      <c r="G545" s="183" t="n"/>
      <c r="H545" s="183" t="n"/>
      <c r="I545" s="183" t="n"/>
      <c r="J545" s="183" t="n"/>
      <c r="K545" s="183" t="n"/>
      <c r="L545" s="183" t="n"/>
      <c r="M545" s="183" t="n"/>
      <c r="N545" s="183" t="n"/>
      <c r="O545" s="183" t="n"/>
      <c r="P545" s="183" t="n"/>
      <c r="Q545" s="183" t="n"/>
      <c r="R545" s="183" t="n"/>
      <c r="S545" s="183" t="n"/>
      <c r="T545" s="183" t="n"/>
      <c r="U545" s="183" t="n"/>
      <c r="V545" s="183" t="n"/>
      <c r="W545" s="183" t="n"/>
      <c r="X545" s="183" t="n"/>
      <c r="Y545" s="183" t="n"/>
      <c r="Z545" s="183" t="n"/>
      <c r="AA545" s="183" t="n"/>
    </row>
    <row r="546">
      <c r="A546" s="183" t="n"/>
      <c r="B546" s="183" t="n"/>
      <c r="C546" s="183" t="n"/>
      <c r="D546" s="183" t="n"/>
      <c r="E546" s="183" t="n"/>
      <c r="F546" s="183" t="n"/>
      <c r="G546" s="183" t="n"/>
      <c r="H546" s="183" t="n"/>
      <c r="I546" s="183" t="n"/>
      <c r="J546" s="183" t="n"/>
      <c r="K546" s="183" t="n"/>
      <c r="L546" s="183" t="n"/>
      <c r="M546" s="183" t="n"/>
      <c r="N546" s="183" t="n"/>
      <c r="O546" s="183" t="n"/>
      <c r="P546" s="183" t="n"/>
      <c r="Q546" s="183" t="n"/>
      <c r="R546" s="183" t="n"/>
      <c r="S546" s="183" t="n"/>
      <c r="T546" s="183" t="n"/>
      <c r="U546" s="183" t="n"/>
      <c r="V546" s="183" t="n"/>
      <c r="W546" s="183" t="n"/>
      <c r="X546" s="183" t="n"/>
      <c r="Y546" s="183" t="n"/>
      <c r="Z546" s="183" t="n"/>
      <c r="AA546" s="183" t="n"/>
    </row>
    <row r="547">
      <c r="A547" s="183" t="n"/>
      <c r="B547" s="183" t="n"/>
      <c r="C547" s="183" t="n"/>
      <c r="D547" s="183" t="n"/>
      <c r="E547" s="183" t="n"/>
      <c r="F547" s="183" t="n"/>
      <c r="G547" s="183" t="n"/>
      <c r="H547" s="183" t="n"/>
      <c r="I547" s="183" t="n"/>
      <c r="J547" s="183" t="n"/>
      <c r="K547" s="183" t="n"/>
      <c r="L547" s="183" t="n"/>
      <c r="M547" s="183" t="n"/>
      <c r="N547" s="183" t="n"/>
      <c r="O547" s="183" t="n"/>
      <c r="P547" s="183" t="n"/>
      <c r="Q547" s="183" t="n"/>
      <c r="R547" s="183" t="n"/>
      <c r="S547" s="183" t="n"/>
      <c r="T547" s="183" t="n"/>
      <c r="U547" s="183" t="n"/>
      <c r="V547" s="183" t="n"/>
      <c r="W547" s="183" t="n"/>
      <c r="X547" s="183" t="n"/>
      <c r="Y547" s="183" t="n"/>
      <c r="Z547" s="183" t="n"/>
      <c r="AA547" s="183" t="n"/>
    </row>
    <row r="548">
      <c r="A548" s="183" t="n"/>
      <c r="B548" s="183" t="n"/>
      <c r="C548" s="183" t="n"/>
      <c r="D548" s="183" t="n"/>
      <c r="E548" s="183" t="n"/>
      <c r="F548" s="183" t="n"/>
      <c r="G548" s="183" t="n"/>
      <c r="H548" s="183" t="n"/>
      <c r="I548" s="183" t="n"/>
      <c r="J548" s="183" t="n"/>
      <c r="K548" s="183" t="n"/>
      <c r="L548" s="183" t="n"/>
      <c r="M548" s="183" t="n"/>
      <c r="N548" s="183" t="n"/>
      <c r="O548" s="183" t="n"/>
      <c r="P548" s="183" t="n"/>
      <c r="Q548" s="183" t="n"/>
      <c r="R548" s="183" t="n"/>
      <c r="S548" s="183" t="n"/>
      <c r="T548" s="183" t="n"/>
      <c r="U548" s="183" t="n"/>
      <c r="V548" s="183" t="n"/>
      <c r="W548" s="183" t="n"/>
      <c r="X548" s="183" t="n"/>
      <c r="Y548" s="183" t="n"/>
      <c r="Z548" s="183" t="n"/>
      <c r="AA548" s="183" t="n"/>
    </row>
    <row r="549">
      <c r="A549" s="183" t="n"/>
      <c r="B549" s="183" t="n"/>
      <c r="C549" s="183" t="n"/>
      <c r="D549" s="183" t="n"/>
      <c r="E549" s="183" t="n"/>
      <c r="F549" s="183" t="n"/>
      <c r="G549" s="183" t="n"/>
      <c r="H549" s="183" t="n"/>
      <c r="I549" s="183" t="n"/>
      <c r="J549" s="183" t="n"/>
      <c r="K549" s="183" t="n"/>
      <c r="L549" s="183" t="n"/>
      <c r="M549" s="183" t="n"/>
      <c r="N549" s="183" t="n"/>
      <c r="O549" s="183" t="n"/>
      <c r="P549" s="183" t="n"/>
      <c r="Q549" s="183" t="n"/>
      <c r="R549" s="183" t="n"/>
      <c r="S549" s="183" t="n"/>
      <c r="T549" s="183" t="n"/>
      <c r="U549" s="183" t="n"/>
      <c r="V549" s="183" t="n"/>
      <c r="W549" s="183" t="n"/>
      <c r="X549" s="183" t="n"/>
      <c r="Y549" s="183" t="n"/>
      <c r="Z549" s="183" t="n"/>
      <c r="AA549" s="183" t="n"/>
    </row>
    <row r="550">
      <c r="A550" s="183" t="n"/>
      <c r="B550" s="183" t="n"/>
      <c r="C550" s="183" t="n"/>
      <c r="D550" s="183" t="n"/>
      <c r="E550" s="183" t="n"/>
      <c r="F550" s="183" t="n"/>
      <c r="G550" s="183" t="n"/>
      <c r="H550" s="183" t="n"/>
      <c r="I550" s="183" t="n"/>
      <c r="J550" s="183" t="n"/>
      <c r="K550" s="183" t="n"/>
      <c r="L550" s="183" t="n"/>
      <c r="M550" s="183" t="n"/>
      <c r="N550" s="183" t="n"/>
      <c r="O550" s="183" t="n"/>
      <c r="P550" s="183" t="n"/>
      <c r="Q550" s="183" t="n"/>
      <c r="R550" s="183" t="n"/>
      <c r="S550" s="183" t="n"/>
      <c r="T550" s="183" t="n"/>
      <c r="U550" s="183" t="n"/>
      <c r="V550" s="183" t="n"/>
      <c r="W550" s="183" t="n"/>
      <c r="X550" s="183" t="n"/>
      <c r="Y550" s="183" t="n"/>
      <c r="Z550" s="183" t="n"/>
      <c r="AA550" s="183" t="n"/>
    </row>
    <row r="551">
      <c r="A551" s="183" t="n"/>
      <c r="B551" s="183" t="n"/>
      <c r="C551" s="183" t="n"/>
      <c r="D551" s="183" t="n"/>
      <c r="E551" s="183" t="n"/>
      <c r="F551" s="183" t="n"/>
      <c r="G551" s="183" t="n"/>
      <c r="H551" s="183" t="n"/>
      <c r="I551" s="183" t="n"/>
      <c r="J551" s="183" t="n"/>
      <c r="K551" s="183" t="n"/>
      <c r="L551" s="183" t="n"/>
      <c r="M551" s="183" t="n"/>
      <c r="N551" s="183" t="n"/>
      <c r="O551" s="183" t="n"/>
      <c r="P551" s="183" t="n"/>
      <c r="Q551" s="183" t="n"/>
      <c r="R551" s="183" t="n"/>
      <c r="S551" s="183" t="n"/>
      <c r="T551" s="183" t="n"/>
      <c r="U551" s="183" t="n"/>
      <c r="V551" s="183" t="n"/>
      <c r="W551" s="183" t="n"/>
      <c r="X551" s="183" t="n"/>
      <c r="Y551" s="183" t="n"/>
      <c r="Z551" s="183" t="n"/>
      <c r="AA551" s="183" t="n"/>
    </row>
    <row r="552">
      <c r="A552" s="183" t="n"/>
      <c r="B552" s="183" t="n"/>
      <c r="C552" s="183" t="n"/>
      <c r="D552" s="183" t="n"/>
      <c r="E552" s="183" t="n"/>
      <c r="F552" s="183" t="n"/>
      <c r="G552" s="183" t="n"/>
      <c r="H552" s="183" t="n"/>
      <c r="I552" s="183" t="n"/>
      <c r="J552" s="183" t="n"/>
      <c r="K552" s="183" t="n"/>
      <c r="L552" s="183" t="n"/>
      <c r="M552" s="183" t="n"/>
      <c r="N552" s="183" t="n"/>
      <c r="O552" s="183" t="n"/>
      <c r="P552" s="183" t="n"/>
      <c r="Q552" s="183" t="n"/>
      <c r="R552" s="183" t="n"/>
      <c r="S552" s="183" t="n"/>
      <c r="T552" s="183" t="n"/>
      <c r="U552" s="183" t="n"/>
      <c r="V552" s="183" t="n"/>
      <c r="W552" s="183" t="n"/>
      <c r="X552" s="183" t="n"/>
      <c r="Y552" s="183" t="n"/>
      <c r="Z552" s="183" t="n"/>
      <c r="AA552" s="183" t="n"/>
    </row>
    <row r="553">
      <c r="A553" s="183" t="n"/>
      <c r="B553" s="183" t="n"/>
      <c r="C553" s="183" t="n"/>
      <c r="D553" s="183" t="n"/>
      <c r="E553" s="183" t="n"/>
      <c r="F553" s="183" t="n"/>
      <c r="G553" s="183" t="n"/>
      <c r="H553" s="183" t="n"/>
      <c r="I553" s="183" t="n"/>
      <c r="J553" s="183" t="n"/>
      <c r="K553" s="183" t="n"/>
      <c r="L553" s="183" t="n"/>
      <c r="M553" s="183" t="n"/>
      <c r="N553" s="183" t="n"/>
      <c r="O553" s="183" t="n"/>
      <c r="P553" s="183" t="n"/>
      <c r="Q553" s="183" t="n"/>
      <c r="R553" s="183" t="n"/>
      <c r="S553" s="183" t="n"/>
      <c r="T553" s="183" t="n"/>
      <c r="U553" s="183" t="n"/>
      <c r="V553" s="183" t="n"/>
      <c r="W553" s="183" t="n"/>
      <c r="X553" s="183" t="n"/>
      <c r="Y553" s="183" t="n"/>
      <c r="Z553" s="183" t="n"/>
      <c r="AA553" s="183" t="n"/>
    </row>
    <row r="554">
      <c r="A554" s="183" t="n"/>
      <c r="B554" s="183" t="n"/>
      <c r="C554" s="183" t="n"/>
      <c r="D554" s="183" t="n"/>
      <c r="E554" s="183" t="n"/>
      <c r="F554" s="183" t="n"/>
      <c r="G554" s="183" t="n"/>
      <c r="H554" s="183" t="n"/>
      <c r="I554" s="183" t="n"/>
      <c r="J554" s="183" t="n"/>
      <c r="K554" s="183" t="n"/>
      <c r="L554" s="183" t="n"/>
      <c r="M554" s="183" t="n"/>
      <c r="N554" s="183" t="n"/>
      <c r="O554" s="183" t="n"/>
      <c r="P554" s="183" t="n"/>
      <c r="Q554" s="183" t="n"/>
      <c r="R554" s="183" t="n"/>
      <c r="S554" s="183" t="n"/>
      <c r="T554" s="183" t="n"/>
      <c r="U554" s="183" t="n"/>
      <c r="V554" s="183" t="n"/>
      <c r="W554" s="183" t="n"/>
      <c r="X554" s="183" t="n"/>
      <c r="Y554" s="183" t="n"/>
      <c r="Z554" s="183" t="n"/>
      <c r="AA554" s="183" t="n"/>
    </row>
    <row r="555">
      <c r="A555" s="183" t="n"/>
      <c r="B555" s="183" t="n"/>
      <c r="C555" s="183" t="n"/>
      <c r="D555" s="183" t="n"/>
      <c r="E555" s="183" t="n"/>
      <c r="F555" s="183" t="n"/>
      <c r="G555" s="183" t="n"/>
      <c r="H555" s="183" t="n"/>
      <c r="I555" s="183" t="n"/>
      <c r="J555" s="183" t="n"/>
      <c r="K555" s="183" t="n"/>
      <c r="L555" s="183" t="n"/>
      <c r="M555" s="183" t="n"/>
      <c r="N555" s="183" t="n"/>
      <c r="O555" s="183" t="n"/>
      <c r="P555" s="183" t="n"/>
      <c r="Q555" s="183" t="n"/>
      <c r="R555" s="183" t="n"/>
      <c r="S555" s="183" t="n"/>
      <c r="T555" s="183" t="n"/>
      <c r="U555" s="183" t="n"/>
      <c r="V555" s="183" t="n"/>
      <c r="W555" s="183" t="n"/>
      <c r="X555" s="183" t="n"/>
      <c r="Y555" s="183" t="n"/>
      <c r="Z555" s="183" t="n"/>
      <c r="AA555" s="183" t="n"/>
    </row>
    <row r="556">
      <c r="A556" s="183" t="n"/>
      <c r="B556" s="183" t="n"/>
      <c r="C556" s="183" t="n"/>
      <c r="D556" s="183" t="n"/>
      <c r="E556" s="183" t="n"/>
      <c r="F556" s="183" t="n"/>
      <c r="G556" s="183" t="n"/>
      <c r="H556" s="183" t="n"/>
      <c r="I556" s="183" t="n"/>
      <c r="J556" s="183" t="n"/>
      <c r="K556" s="183" t="n"/>
      <c r="L556" s="183" t="n"/>
      <c r="M556" s="183" t="n"/>
      <c r="N556" s="183" t="n"/>
      <c r="O556" s="183" t="n"/>
      <c r="P556" s="183" t="n"/>
      <c r="Q556" s="183" t="n"/>
      <c r="R556" s="183" t="n"/>
      <c r="S556" s="183" t="n"/>
      <c r="T556" s="183" t="n"/>
      <c r="U556" s="183" t="n"/>
      <c r="V556" s="183" t="n"/>
      <c r="W556" s="183" t="n"/>
      <c r="X556" s="183" t="n"/>
      <c r="Y556" s="183" t="n"/>
      <c r="Z556" s="183" t="n"/>
      <c r="AA556" s="183" t="n"/>
    </row>
    <row r="557">
      <c r="A557" s="183" t="n"/>
      <c r="B557" s="183" t="n"/>
      <c r="C557" s="183" t="n"/>
      <c r="D557" s="183" t="n"/>
      <c r="E557" s="183" t="n"/>
      <c r="F557" s="183" t="n"/>
      <c r="G557" s="183" t="n"/>
      <c r="H557" s="183" t="n"/>
      <c r="I557" s="183" t="n"/>
      <c r="J557" s="183" t="n"/>
      <c r="K557" s="183" t="n"/>
      <c r="L557" s="183" t="n"/>
      <c r="M557" s="183" t="n"/>
      <c r="N557" s="183" t="n"/>
      <c r="O557" s="183" t="n"/>
      <c r="P557" s="183" t="n"/>
      <c r="Q557" s="183" t="n"/>
      <c r="R557" s="183" t="n"/>
      <c r="S557" s="183" t="n"/>
      <c r="T557" s="183" t="n"/>
      <c r="U557" s="183" t="n"/>
      <c r="V557" s="183" t="n"/>
      <c r="W557" s="183" t="n"/>
      <c r="X557" s="183" t="n"/>
      <c r="Y557" s="183" t="n"/>
      <c r="Z557" s="183" t="n"/>
      <c r="AA557" s="183" t="n"/>
    </row>
    <row r="558">
      <c r="A558" s="183" t="n"/>
      <c r="B558" s="183" t="n"/>
      <c r="C558" s="183" t="n"/>
      <c r="D558" s="183" t="n"/>
      <c r="E558" s="183" t="n"/>
      <c r="F558" s="183" t="n"/>
      <c r="G558" s="183" t="n"/>
      <c r="H558" s="183" t="n"/>
      <c r="I558" s="183" t="n"/>
      <c r="J558" s="183" t="n"/>
      <c r="K558" s="183" t="n"/>
      <c r="L558" s="183" t="n"/>
      <c r="M558" s="183" t="n"/>
      <c r="N558" s="183" t="n"/>
      <c r="O558" s="183" t="n"/>
      <c r="P558" s="183" t="n"/>
      <c r="Q558" s="183" t="n"/>
      <c r="R558" s="183" t="n"/>
      <c r="S558" s="183" t="n"/>
      <c r="T558" s="183" t="n"/>
      <c r="U558" s="183" t="n"/>
      <c r="V558" s="183" t="n"/>
      <c r="W558" s="183" t="n"/>
      <c r="X558" s="183" t="n"/>
      <c r="Y558" s="183" t="n"/>
      <c r="Z558" s="183" t="n"/>
      <c r="AA558" s="183" t="n"/>
    </row>
    <row r="559">
      <c r="A559" s="183" t="n"/>
      <c r="B559" s="183" t="n"/>
      <c r="C559" s="183" t="n"/>
      <c r="D559" s="183" t="n"/>
      <c r="E559" s="183" t="n"/>
      <c r="F559" s="183" t="n"/>
      <c r="G559" s="183" t="n"/>
      <c r="H559" s="183" t="n"/>
      <c r="I559" s="183" t="n"/>
      <c r="J559" s="183" t="n"/>
      <c r="K559" s="183" t="n"/>
      <c r="L559" s="183" t="n"/>
      <c r="M559" s="183" t="n"/>
      <c r="N559" s="183" t="n"/>
      <c r="O559" s="183" t="n"/>
      <c r="P559" s="183" t="n"/>
      <c r="Q559" s="183" t="n"/>
      <c r="R559" s="183" t="n"/>
      <c r="S559" s="183" t="n"/>
      <c r="T559" s="183" t="n"/>
      <c r="U559" s="183" t="n"/>
      <c r="V559" s="183" t="n"/>
      <c r="W559" s="183" t="n"/>
      <c r="X559" s="183" t="n"/>
      <c r="Y559" s="183" t="n"/>
      <c r="Z559" s="183" t="n"/>
      <c r="AA559" s="183" t="n"/>
    </row>
    <row r="560">
      <c r="A560" s="183" t="n"/>
      <c r="B560" s="183" t="n"/>
      <c r="C560" s="183" t="n"/>
      <c r="D560" s="183" t="n"/>
      <c r="E560" s="183" t="n"/>
      <c r="F560" s="183" t="n"/>
      <c r="G560" s="183" t="n"/>
      <c r="H560" s="183" t="n"/>
      <c r="I560" s="183" t="n"/>
      <c r="J560" s="183" t="n"/>
      <c r="K560" s="183" t="n"/>
      <c r="L560" s="183" t="n"/>
      <c r="M560" s="183" t="n"/>
      <c r="N560" s="183" t="n"/>
      <c r="O560" s="183" t="n"/>
      <c r="P560" s="183" t="n"/>
      <c r="Q560" s="183" t="n"/>
      <c r="R560" s="183" t="n"/>
      <c r="S560" s="183" t="n"/>
      <c r="T560" s="183" t="n"/>
      <c r="U560" s="183" t="n"/>
      <c r="V560" s="183" t="n"/>
      <c r="W560" s="183" t="n"/>
      <c r="X560" s="183" t="n"/>
      <c r="Y560" s="183" t="n"/>
      <c r="Z560" s="183" t="n"/>
      <c r="AA560" s="183" t="n"/>
    </row>
    <row r="561">
      <c r="A561" s="183" t="n"/>
      <c r="B561" s="183" t="n"/>
      <c r="C561" s="183" t="n"/>
      <c r="D561" s="183" t="n"/>
      <c r="E561" s="183" t="n"/>
      <c r="F561" s="183" t="n"/>
      <c r="G561" s="183" t="n"/>
      <c r="H561" s="183" t="n"/>
      <c r="I561" s="183" t="n"/>
      <c r="J561" s="183" t="n"/>
      <c r="K561" s="183" t="n"/>
      <c r="L561" s="183" t="n"/>
      <c r="M561" s="183" t="n"/>
      <c r="N561" s="183" t="n"/>
      <c r="O561" s="183" t="n"/>
      <c r="P561" s="183" t="n"/>
      <c r="Q561" s="183" t="n"/>
      <c r="R561" s="183" t="n"/>
      <c r="S561" s="183" t="n"/>
      <c r="T561" s="183" t="n"/>
      <c r="U561" s="183" t="n"/>
      <c r="V561" s="183" t="n"/>
      <c r="W561" s="183" t="n"/>
      <c r="X561" s="183" t="n"/>
      <c r="Y561" s="183" t="n"/>
      <c r="Z561" s="183" t="n"/>
      <c r="AA561" s="183" t="n"/>
    </row>
    <row r="562">
      <c r="A562" s="183" t="n"/>
      <c r="B562" s="183" t="n"/>
      <c r="C562" s="183" t="n"/>
      <c r="D562" s="183" t="n"/>
      <c r="E562" s="183" t="n"/>
      <c r="F562" s="183" t="n"/>
      <c r="G562" s="183" t="n"/>
      <c r="H562" s="183" t="n"/>
      <c r="I562" s="183" t="n"/>
      <c r="J562" s="183" t="n"/>
      <c r="K562" s="183" t="n"/>
      <c r="L562" s="183" t="n"/>
      <c r="M562" s="183" t="n"/>
      <c r="N562" s="183" t="n"/>
      <c r="O562" s="183" t="n"/>
      <c r="P562" s="183" t="n"/>
      <c r="Q562" s="183" t="n"/>
      <c r="R562" s="183" t="n"/>
      <c r="S562" s="183" t="n"/>
      <c r="T562" s="183" t="n"/>
      <c r="U562" s="183" t="n"/>
      <c r="V562" s="183" t="n"/>
      <c r="W562" s="183" t="n"/>
      <c r="X562" s="183" t="n"/>
      <c r="Y562" s="183" t="n"/>
      <c r="Z562" s="183" t="n"/>
      <c r="AA562" s="183" t="n"/>
    </row>
    <row r="563">
      <c r="A563" s="183" t="n"/>
      <c r="B563" s="183" t="n"/>
      <c r="C563" s="183" t="n"/>
      <c r="D563" s="183" t="n"/>
      <c r="E563" s="183" t="n"/>
      <c r="F563" s="183" t="n"/>
      <c r="G563" s="183" t="n"/>
      <c r="H563" s="183" t="n"/>
      <c r="I563" s="183" t="n"/>
      <c r="J563" s="183" t="n"/>
      <c r="K563" s="183" t="n"/>
      <c r="L563" s="183" t="n"/>
      <c r="M563" s="183" t="n"/>
      <c r="N563" s="183" t="n"/>
      <c r="O563" s="183" t="n"/>
      <c r="P563" s="183" t="n"/>
      <c r="Q563" s="183" t="n"/>
      <c r="R563" s="183" t="n"/>
      <c r="S563" s="183" t="n"/>
      <c r="T563" s="183" t="n"/>
      <c r="U563" s="183" t="n"/>
      <c r="V563" s="183" t="n"/>
      <c r="W563" s="183" t="n"/>
      <c r="X563" s="183" t="n"/>
      <c r="Y563" s="183" t="n"/>
      <c r="Z563" s="183" t="n"/>
      <c r="AA563" s="183" t="n"/>
    </row>
    <row r="564">
      <c r="A564" s="183" t="n"/>
      <c r="B564" s="183" t="n"/>
      <c r="C564" s="183" t="n"/>
      <c r="D564" s="183" t="n"/>
      <c r="E564" s="183" t="n"/>
      <c r="F564" s="183" t="n"/>
      <c r="G564" s="183" t="n"/>
      <c r="H564" s="183" t="n"/>
      <c r="I564" s="183" t="n"/>
      <c r="J564" s="183" t="n"/>
      <c r="K564" s="183" t="n"/>
      <c r="L564" s="183" t="n"/>
      <c r="M564" s="183" t="n"/>
      <c r="N564" s="183" t="n"/>
      <c r="O564" s="183" t="n"/>
      <c r="P564" s="183" t="n"/>
      <c r="Q564" s="183" t="n"/>
      <c r="R564" s="183" t="n"/>
      <c r="S564" s="183" t="n"/>
      <c r="T564" s="183" t="n"/>
      <c r="U564" s="183" t="n"/>
      <c r="V564" s="183" t="n"/>
      <c r="W564" s="183" t="n"/>
      <c r="X564" s="183" t="n"/>
      <c r="Y564" s="183" t="n"/>
      <c r="Z564" s="183" t="n"/>
      <c r="AA564" s="183" t="n"/>
    </row>
    <row r="565">
      <c r="A565" s="183" t="n"/>
      <c r="B565" s="183" t="n"/>
      <c r="C565" s="183" t="n"/>
      <c r="D565" s="183" t="n"/>
      <c r="E565" s="183" t="n"/>
      <c r="F565" s="183" t="n"/>
      <c r="G565" s="183" t="n"/>
      <c r="H565" s="183" t="n"/>
      <c r="I565" s="183" t="n"/>
      <c r="J565" s="183" t="n"/>
      <c r="K565" s="183" t="n"/>
      <c r="L565" s="183" t="n"/>
      <c r="M565" s="183" t="n"/>
      <c r="N565" s="183" t="n"/>
      <c r="O565" s="183" t="n"/>
      <c r="P565" s="183" t="n"/>
      <c r="Q565" s="183" t="n"/>
      <c r="R565" s="183" t="n"/>
      <c r="S565" s="183" t="n"/>
      <c r="T565" s="183" t="n"/>
      <c r="U565" s="183" t="n"/>
      <c r="V565" s="183" t="n"/>
      <c r="W565" s="183" t="n"/>
      <c r="X565" s="183" t="n"/>
      <c r="Y565" s="183" t="n"/>
      <c r="Z565" s="183" t="n"/>
      <c r="AA565" s="183" t="n"/>
    </row>
    <row r="566">
      <c r="A566" s="183" t="n"/>
      <c r="B566" s="183" t="n"/>
      <c r="C566" s="183" t="n"/>
      <c r="D566" s="183" t="n"/>
      <c r="E566" s="183" t="n"/>
      <c r="F566" s="183" t="n"/>
      <c r="G566" s="183" t="n"/>
      <c r="H566" s="183" t="n"/>
      <c r="I566" s="183" t="n"/>
      <c r="J566" s="183" t="n"/>
      <c r="K566" s="183" t="n"/>
      <c r="L566" s="183" t="n"/>
      <c r="M566" s="183" t="n"/>
      <c r="N566" s="183" t="n"/>
      <c r="O566" s="183" t="n"/>
      <c r="P566" s="183" t="n"/>
      <c r="Q566" s="183" t="n"/>
      <c r="R566" s="183" t="n"/>
      <c r="S566" s="183" t="n"/>
      <c r="T566" s="183" t="n"/>
      <c r="U566" s="183" t="n"/>
      <c r="V566" s="183" t="n"/>
      <c r="W566" s="183" t="n"/>
      <c r="X566" s="183" t="n"/>
      <c r="Y566" s="183" t="n"/>
      <c r="Z566" s="183" t="n"/>
      <c r="AA566" s="183" t="n"/>
    </row>
    <row r="567">
      <c r="A567" s="183" t="n"/>
      <c r="B567" s="183" t="n"/>
      <c r="C567" s="183" t="n"/>
      <c r="D567" s="183" t="n"/>
      <c r="E567" s="183" t="n"/>
      <c r="F567" s="183" t="n"/>
      <c r="G567" s="183" t="n"/>
      <c r="H567" s="183" t="n"/>
      <c r="I567" s="183" t="n"/>
      <c r="J567" s="183" t="n"/>
      <c r="K567" s="183" t="n"/>
      <c r="L567" s="183" t="n"/>
      <c r="M567" s="183" t="n"/>
      <c r="N567" s="183" t="n"/>
      <c r="O567" s="183" t="n"/>
      <c r="P567" s="183" t="n"/>
      <c r="Q567" s="183" t="n"/>
      <c r="R567" s="183" t="n"/>
      <c r="S567" s="183" t="n"/>
      <c r="T567" s="183" t="n"/>
      <c r="U567" s="183" t="n"/>
      <c r="V567" s="183" t="n"/>
      <c r="W567" s="183" t="n"/>
      <c r="X567" s="183" t="n"/>
      <c r="Y567" s="183" t="n"/>
      <c r="Z567" s="183" t="n"/>
      <c r="AA567" s="183" t="n"/>
    </row>
    <row r="568">
      <c r="A568" s="183" t="n"/>
      <c r="B568" s="183" t="n"/>
      <c r="C568" s="183" t="n"/>
      <c r="D568" s="183" t="n"/>
      <c r="E568" s="183" t="n"/>
      <c r="F568" s="183" t="n"/>
      <c r="G568" s="183" t="n"/>
      <c r="H568" s="183" t="n"/>
      <c r="I568" s="183" t="n"/>
      <c r="J568" s="183" t="n"/>
      <c r="K568" s="183" t="n"/>
      <c r="L568" s="183" t="n"/>
      <c r="M568" s="183" t="n"/>
      <c r="N568" s="183" t="n"/>
      <c r="O568" s="183" t="n"/>
      <c r="P568" s="183" t="n"/>
      <c r="Q568" s="183" t="n"/>
      <c r="R568" s="183" t="n"/>
      <c r="S568" s="183" t="n"/>
      <c r="T568" s="183" t="n"/>
      <c r="U568" s="183" t="n"/>
      <c r="V568" s="183" t="n"/>
      <c r="W568" s="183" t="n"/>
      <c r="X568" s="183" t="n"/>
      <c r="Y568" s="183" t="n"/>
      <c r="Z568" s="183" t="n"/>
      <c r="AA568" s="183" t="n"/>
    </row>
    <row r="569">
      <c r="A569" s="183" t="n"/>
      <c r="B569" s="183" t="n"/>
      <c r="C569" s="183" t="n"/>
      <c r="D569" s="183" t="n"/>
      <c r="E569" s="183" t="n"/>
      <c r="F569" s="183" t="n"/>
      <c r="G569" s="183" t="n"/>
      <c r="H569" s="183" t="n"/>
      <c r="I569" s="183" t="n"/>
      <c r="J569" s="183" t="n"/>
      <c r="K569" s="183" t="n"/>
      <c r="L569" s="183" t="n"/>
      <c r="M569" s="183" t="n"/>
      <c r="N569" s="183" t="n"/>
      <c r="O569" s="183" t="n"/>
      <c r="P569" s="183" t="n"/>
      <c r="Q569" s="183" t="n"/>
      <c r="R569" s="183" t="n"/>
      <c r="S569" s="183" t="n"/>
      <c r="T569" s="183" t="n"/>
      <c r="U569" s="183" t="n"/>
      <c r="V569" s="183" t="n"/>
      <c r="W569" s="183" t="n"/>
      <c r="X569" s="183" t="n"/>
      <c r="Y569" s="183" t="n"/>
      <c r="Z569" s="183" t="n"/>
      <c r="AA569" s="183" t="n"/>
    </row>
    <row r="570">
      <c r="A570" s="183" t="n"/>
      <c r="B570" s="183" t="n"/>
      <c r="C570" s="183" t="n"/>
      <c r="D570" s="183" t="n"/>
      <c r="E570" s="183" t="n"/>
      <c r="F570" s="183" t="n"/>
      <c r="G570" s="183" t="n"/>
      <c r="H570" s="183" t="n"/>
      <c r="I570" s="183" t="n"/>
      <c r="J570" s="183" t="n"/>
      <c r="K570" s="183" t="n"/>
      <c r="L570" s="183" t="n"/>
      <c r="M570" s="183" t="n"/>
      <c r="N570" s="183" t="n"/>
      <c r="O570" s="183" t="n"/>
      <c r="P570" s="183" t="n"/>
      <c r="Q570" s="183" t="n"/>
      <c r="R570" s="183" t="n"/>
      <c r="S570" s="183" t="n"/>
      <c r="T570" s="183" t="n"/>
      <c r="U570" s="183" t="n"/>
      <c r="V570" s="183" t="n"/>
      <c r="W570" s="183" t="n"/>
      <c r="X570" s="183" t="n"/>
      <c r="Y570" s="183" t="n"/>
      <c r="Z570" s="183" t="n"/>
      <c r="AA570" s="183" t="n"/>
    </row>
    <row r="571">
      <c r="A571" s="183" t="n"/>
      <c r="B571" s="183" t="n"/>
      <c r="C571" s="183" t="n"/>
      <c r="D571" s="183" t="n"/>
      <c r="E571" s="183" t="n"/>
      <c r="F571" s="183" t="n"/>
      <c r="G571" s="183" t="n"/>
      <c r="H571" s="183" t="n"/>
      <c r="I571" s="183" t="n"/>
      <c r="J571" s="183" t="n"/>
      <c r="K571" s="183" t="n"/>
      <c r="L571" s="183" t="n"/>
      <c r="M571" s="183" t="n"/>
      <c r="N571" s="183" t="n"/>
      <c r="O571" s="183" t="n"/>
      <c r="P571" s="183" t="n"/>
      <c r="Q571" s="183" t="n"/>
      <c r="R571" s="183" t="n"/>
      <c r="S571" s="183" t="n"/>
      <c r="T571" s="183" t="n"/>
      <c r="U571" s="183" t="n"/>
      <c r="V571" s="183" t="n"/>
      <c r="W571" s="183" t="n"/>
      <c r="X571" s="183" t="n"/>
      <c r="Y571" s="183" t="n"/>
      <c r="Z571" s="183" t="n"/>
      <c r="AA571" s="183" t="n"/>
    </row>
    <row r="572">
      <c r="A572" s="183" t="n"/>
      <c r="B572" s="183" t="n"/>
      <c r="C572" s="183" t="n"/>
      <c r="D572" s="183" t="n"/>
      <c r="E572" s="183" t="n"/>
      <c r="F572" s="183" t="n"/>
      <c r="G572" s="183" t="n"/>
      <c r="H572" s="183" t="n"/>
      <c r="I572" s="183" t="n"/>
      <c r="J572" s="183" t="n"/>
      <c r="K572" s="183" t="n"/>
      <c r="L572" s="183" t="n"/>
      <c r="M572" s="183" t="n"/>
      <c r="N572" s="183" t="n"/>
      <c r="O572" s="183" t="n"/>
      <c r="P572" s="183" t="n"/>
      <c r="Q572" s="183" t="n"/>
      <c r="R572" s="183" t="n"/>
      <c r="S572" s="183" t="n"/>
      <c r="T572" s="183" t="n"/>
      <c r="U572" s="183" t="n"/>
      <c r="V572" s="183" t="n"/>
      <c r="W572" s="183" t="n"/>
      <c r="X572" s="183" t="n"/>
      <c r="Y572" s="183" t="n"/>
      <c r="Z572" s="183" t="n"/>
      <c r="AA572" s="183" t="n"/>
    </row>
    <row r="573">
      <c r="A573" s="183" t="n"/>
      <c r="B573" s="183" t="n"/>
      <c r="C573" s="183" t="n"/>
      <c r="D573" s="183" t="n"/>
      <c r="E573" s="183" t="n"/>
      <c r="F573" s="183" t="n"/>
      <c r="G573" s="183" t="n"/>
      <c r="H573" s="183" t="n"/>
      <c r="I573" s="183" t="n"/>
      <c r="J573" s="183" t="n"/>
      <c r="K573" s="183" t="n"/>
      <c r="L573" s="183" t="n"/>
      <c r="M573" s="183" t="n"/>
      <c r="N573" s="183" t="n"/>
      <c r="O573" s="183" t="n"/>
      <c r="P573" s="183" t="n"/>
      <c r="Q573" s="183" t="n"/>
      <c r="R573" s="183" t="n"/>
      <c r="S573" s="183" t="n"/>
      <c r="T573" s="183" t="n"/>
      <c r="U573" s="183" t="n"/>
      <c r="V573" s="183" t="n"/>
      <c r="W573" s="183" t="n"/>
      <c r="X573" s="183" t="n"/>
      <c r="Y573" s="183" t="n"/>
      <c r="Z573" s="183" t="n"/>
      <c r="AA573" s="183" t="n"/>
    </row>
    <row r="574">
      <c r="A574" s="183" t="n"/>
      <c r="B574" s="183" t="n"/>
      <c r="C574" s="183" t="n"/>
      <c r="D574" s="183" t="n"/>
      <c r="E574" s="183" t="n"/>
      <c r="F574" s="183" t="n"/>
      <c r="G574" s="183" t="n"/>
      <c r="H574" s="183" t="n"/>
      <c r="I574" s="183" t="n"/>
      <c r="J574" s="183" t="n"/>
      <c r="K574" s="183" t="n"/>
      <c r="L574" s="183" t="n"/>
      <c r="M574" s="183" t="n"/>
      <c r="N574" s="183" t="n"/>
      <c r="O574" s="183" t="n"/>
      <c r="P574" s="183" t="n"/>
      <c r="Q574" s="183" t="n"/>
      <c r="R574" s="183" t="n"/>
      <c r="S574" s="183" t="n"/>
      <c r="T574" s="183" t="n"/>
      <c r="U574" s="183" t="n"/>
      <c r="V574" s="183" t="n"/>
      <c r="W574" s="183" t="n"/>
      <c r="X574" s="183" t="n"/>
      <c r="Y574" s="183" t="n"/>
      <c r="Z574" s="183" t="n"/>
      <c r="AA574" s="183" t="n"/>
    </row>
    <row r="575">
      <c r="A575" s="183" t="n"/>
      <c r="B575" s="183" t="n"/>
      <c r="C575" s="183" t="n"/>
      <c r="D575" s="183" t="n"/>
      <c r="E575" s="183" t="n"/>
      <c r="F575" s="183" t="n"/>
      <c r="G575" s="183" t="n"/>
      <c r="H575" s="183" t="n"/>
      <c r="I575" s="183" t="n"/>
      <c r="J575" s="183" t="n"/>
      <c r="K575" s="183" t="n"/>
      <c r="L575" s="183" t="n"/>
      <c r="M575" s="183" t="n"/>
      <c r="N575" s="183" t="n"/>
      <c r="O575" s="183" t="n"/>
      <c r="P575" s="183" t="n"/>
      <c r="Q575" s="183" t="n"/>
      <c r="R575" s="183" t="n"/>
      <c r="S575" s="183" t="n"/>
      <c r="T575" s="183" t="n"/>
      <c r="U575" s="183" t="n"/>
      <c r="V575" s="183" t="n"/>
      <c r="W575" s="183" t="n"/>
      <c r="X575" s="183" t="n"/>
      <c r="Y575" s="183" t="n"/>
      <c r="Z575" s="183" t="n"/>
      <c r="AA575" s="183" t="n"/>
    </row>
    <row r="576">
      <c r="A576" s="183" t="n"/>
      <c r="B576" s="183" t="n"/>
      <c r="C576" s="183" t="n"/>
      <c r="D576" s="183" t="n"/>
      <c r="E576" s="183" t="n"/>
      <c r="F576" s="183" t="n"/>
      <c r="G576" s="183" t="n"/>
      <c r="H576" s="183" t="n"/>
      <c r="I576" s="183" t="n"/>
      <c r="J576" s="183" t="n"/>
      <c r="K576" s="183" t="n"/>
      <c r="L576" s="183" t="n"/>
      <c r="M576" s="183" t="n"/>
      <c r="N576" s="183" t="n"/>
      <c r="O576" s="183" t="n"/>
      <c r="P576" s="183" t="n"/>
      <c r="Q576" s="183" t="n"/>
      <c r="R576" s="183" t="n"/>
      <c r="S576" s="183" t="n"/>
      <c r="T576" s="183" t="n"/>
      <c r="U576" s="183" t="n"/>
      <c r="V576" s="183" t="n"/>
      <c r="W576" s="183" t="n"/>
      <c r="X576" s="183" t="n"/>
      <c r="Y576" s="183" t="n"/>
      <c r="Z576" s="183" t="n"/>
      <c r="AA576" s="183" t="n"/>
    </row>
    <row r="577">
      <c r="A577" s="183" t="n"/>
      <c r="B577" s="183" t="n"/>
      <c r="C577" s="183" t="n"/>
      <c r="D577" s="183" t="n"/>
      <c r="E577" s="183" t="n"/>
      <c r="F577" s="183" t="n"/>
      <c r="G577" s="183" t="n"/>
      <c r="H577" s="183" t="n"/>
      <c r="I577" s="183" t="n"/>
      <c r="J577" s="183" t="n"/>
      <c r="K577" s="183" t="n"/>
      <c r="L577" s="183" t="n"/>
      <c r="M577" s="183" t="n"/>
      <c r="N577" s="183" t="n"/>
      <c r="O577" s="183" t="n"/>
      <c r="P577" s="183" t="n"/>
      <c r="Q577" s="183" t="n"/>
      <c r="R577" s="183" t="n"/>
      <c r="S577" s="183" t="n"/>
      <c r="T577" s="183" t="n"/>
      <c r="U577" s="183" t="n"/>
      <c r="V577" s="183" t="n"/>
      <c r="W577" s="183" t="n"/>
      <c r="X577" s="183" t="n"/>
      <c r="Y577" s="183" t="n"/>
      <c r="Z577" s="183" t="n"/>
      <c r="AA577" s="183" t="n"/>
    </row>
    <row r="578">
      <c r="A578" s="183" t="n"/>
      <c r="B578" s="183" t="n"/>
      <c r="C578" s="183" t="n"/>
      <c r="D578" s="183" t="n"/>
      <c r="E578" s="183" t="n"/>
      <c r="F578" s="183" t="n"/>
      <c r="G578" s="183" t="n"/>
      <c r="H578" s="183" t="n"/>
      <c r="I578" s="183" t="n"/>
      <c r="J578" s="183" t="n"/>
      <c r="K578" s="183" t="n"/>
      <c r="L578" s="183" t="n"/>
      <c r="M578" s="183" t="n"/>
      <c r="N578" s="183" t="n"/>
      <c r="O578" s="183" t="n"/>
      <c r="P578" s="183" t="n"/>
      <c r="Q578" s="183" t="n"/>
      <c r="R578" s="183" t="n"/>
      <c r="S578" s="183" t="n"/>
      <c r="T578" s="183" t="n"/>
      <c r="U578" s="183" t="n"/>
      <c r="V578" s="183" t="n"/>
      <c r="W578" s="183" t="n"/>
      <c r="X578" s="183" t="n"/>
      <c r="Y578" s="183" t="n"/>
      <c r="Z578" s="183" t="n"/>
      <c r="AA578" s="183" t="n"/>
    </row>
    <row r="579">
      <c r="A579" s="183" t="n"/>
      <c r="B579" s="183" t="n"/>
      <c r="C579" s="183" t="n"/>
      <c r="D579" s="183" t="n"/>
      <c r="E579" s="183" t="n"/>
      <c r="F579" s="183" t="n"/>
      <c r="G579" s="183" t="n"/>
      <c r="H579" s="183" t="n"/>
      <c r="I579" s="183" t="n"/>
      <c r="J579" s="183" t="n"/>
      <c r="K579" s="183" t="n"/>
      <c r="L579" s="183" t="n"/>
      <c r="M579" s="183" t="n"/>
      <c r="N579" s="183" t="n"/>
      <c r="O579" s="183" t="n"/>
      <c r="P579" s="183" t="n"/>
      <c r="Q579" s="183" t="n"/>
      <c r="R579" s="183" t="n"/>
      <c r="S579" s="183" t="n"/>
      <c r="T579" s="183" t="n"/>
      <c r="U579" s="183" t="n"/>
      <c r="V579" s="183" t="n"/>
      <c r="W579" s="183" t="n"/>
      <c r="X579" s="183" t="n"/>
      <c r="Y579" s="183" t="n"/>
      <c r="Z579" s="183" t="n"/>
      <c r="AA579" s="183" t="n"/>
    </row>
    <row r="580">
      <c r="A580" s="183" t="n"/>
      <c r="B580" s="183" t="n"/>
      <c r="C580" s="183" t="n"/>
      <c r="D580" s="183" t="n"/>
      <c r="E580" s="183" t="n"/>
      <c r="F580" s="183" t="n"/>
      <c r="G580" s="183" t="n"/>
      <c r="H580" s="183" t="n"/>
      <c r="I580" s="183" t="n"/>
      <c r="J580" s="183" t="n"/>
      <c r="K580" s="183" t="n"/>
      <c r="L580" s="183" t="n"/>
      <c r="M580" s="183" t="n"/>
      <c r="N580" s="183" t="n"/>
      <c r="O580" s="183" t="n"/>
      <c r="P580" s="183" t="n"/>
      <c r="Q580" s="183" t="n"/>
      <c r="R580" s="183" t="n"/>
      <c r="S580" s="183" t="n"/>
      <c r="T580" s="183" t="n"/>
      <c r="U580" s="183" t="n"/>
      <c r="V580" s="183" t="n"/>
      <c r="W580" s="183" t="n"/>
      <c r="X580" s="183" t="n"/>
      <c r="Y580" s="183" t="n"/>
      <c r="Z580" s="183" t="n"/>
      <c r="AA580" s="183" t="n"/>
    </row>
    <row r="581">
      <c r="A581" s="183" t="n"/>
      <c r="B581" s="183" t="n"/>
      <c r="C581" s="183" t="n"/>
      <c r="D581" s="183" t="n"/>
      <c r="E581" s="183" t="n"/>
      <c r="F581" s="183" t="n"/>
      <c r="G581" s="183" t="n"/>
      <c r="H581" s="183" t="n"/>
      <c r="I581" s="183" t="n"/>
      <c r="J581" s="183" t="n"/>
      <c r="K581" s="183" t="n"/>
      <c r="L581" s="183" t="n"/>
      <c r="M581" s="183" t="n"/>
      <c r="N581" s="183" t="n"/>
      <c r="O581" s="183" t="n"/>
      <c r="P581" s="183" t="n"/>
      <c r="Q581" s="183" t="n"/>
      <c r="R581" s="183" t="n"/>
      <c r="S581" s="183" t="n"/>
      <c r="T581" s="183" t="n"/>
      <c r="U581" s="183" t="n"/>
      <c r="V581" s="183" t="n"/>
      <c r="W581" s="183" t="n"/>
      <c r="X581" s="183" t="n"/>
      <c r="Y581" s="183" t="n"/>
      <c r="Z581" s="183" t="n"/>
      <c r="AA581" s="183" t="n"/>
    </row>
    <row r="582">
      <c r="A582" s="183" t="n"/>
      <c r="B582" s="183" t="n"/>
      <c r="C582" s="183" t="n"/>
      <c r="D582" s="183" t="n"/>
      <c r="E582" s="183" t="n"/>
      <c r="F582" s="183" t="n"/>
      <c r="G582" s="183" t="n"/>
      <c r="H582" s="183" t="n"/>
      <c r="I582" s="183" t="n"/>
      <c r="J582" s="183" t="n"/>
      <c r="K582" s="183" t="n"/>
      <c r="L582" s="183" t="n"/>
      <c r="M582" s="183" t="n"/>
      <c r="N582" s="183" t="n"/>
      <c r="O582" s="183" t="n"/>
      <c r="P582" s="183" t="n"/>
      <c r="Q582" s="183" t="n"/>
      <c r="R582" s="183" t="n"/>
      <c r="S582" s="183" t="n"/>
      <c r="T582" s="183" t="n"/>
      <c r="U582" s="183" t="n"/>
      <c r="V582" s="183" t="n"/>
      <c r="W582" s="183" t="n"/>
      <c r="X582" s="183" t="n"/>
      <c r="Y582" s="183" t="n"/>
      <c r="Z582" s="183" t="n"/>
      <c r="AA582" s="183" t="n"/>
    </row>
    <row r="583">
      <c r="A583" s="183" t="n"/>
      <c r="B583" s="183" t="n"/>
      <c r="C583" s="183" t="n"/>
      <c r="D583" s="183" t="n"/>
      <c r="E583" s="183" t="n"/>
      <c r="F583" s="183" t="n"/>
      <c r="G583" s="183" t="n"/>
      <c r="H583" s="183" t="n"/>
      <c r="I583" s="183" t="n"/>
      <c r="J583" s="183" t="n"/>
      <c r="K583" s="183" t="n"/>
      <c r="L583" s="183" t="n"/>
      <c r="M583" s="183" t="n"/>
      <c r="N583" s="183" t="n"/>
      <c r="O583" s="183" t="n"/>
      <c r="P583" s="183" t="n"/>
      <c r="Q583" s="183" t="n"/>
      <c r="R583" s="183" t="n"/>
      <c r="S583" s="183" t="n"/>
      <c r="T583" s="183" t="n"/>
      <c r="U583" s="183" t="n"/>
      <c r="V583" s="183" t="n"/>
      <c r="W583" s="183" t="n"/>
      <c r="X583" s="183" t="n"/>
      <c r="Y583" s="183" t="n"/>
      <c r="Z583" s="183" t="n"/>
      <c r="AA583" s="183" t="n"/>
    </row>
    <row r="584">
      <c r="A584" s="183" t="n"/>
      <c r="B584" s="183" t="n"/>
      <c r="C584" s="183" t="n"/>
      <c r="D584" s="183" t="n"/>
      <c r="E584" s="183" t="n"/>
      <c r="F584" s="183" t="n"/>
      <c r="G584" s="183" t="n"/>
      <c r="H584" s="183" t="n"/>
      <c r="I584" s="183" t="n"/>
      <c r="J584" s="183" t="n"/>
      <c r="K584" s="183" t="n"/>
      <c r="L584" s="183" t="n"/>
      <c r="M584" s="183" t="n"/>
      <c r="N584" s="183" t="n"/>
      <c r="O584" s="183" t="n"/>
      <c r="P584" s="183" t="n"/>
      <c r="Q584" s="183" t="n"/>
      <c r="R584" s="183" t="n"/>
      <c r="S584" s="183" t="n"/>
      <c r="T584" s="183" t="n"/>
      <c r="U584" s="183" t="n"/>
      <c r="V584" s="183" t="n"/>
      <c r="W584" s="183" t="n"/>
      <c r="X584" s="183" t="n"/>
      <c r="Y584" s="183" t="n"/>
      <c r="Z584" s="183" t="n"/>
      <c r="AA584" s="183" t="n"/>
    </row>
    <row r="585">
      <c r="A585" s="183" t="n"/>
      <c r="B585" s="183" t="n"/>
      <c r="C585" s="183" t="n"/>
      <c r="D585" s="183" t="n"/>
      <c r="E585" s="183" t="n"/>
      <c r="F585" s="183" t="n"/>
      <c r="G585" s="183" t="n"/>
      <c r="H585" s="183" t="n"/>
      <c r="I585" s="183" t="n"/>
      <c r="J585" s="183" t="n"/>
      <c r="K585" s="183" t="n"/>
      <c r="L585" s="183" t="n"/>
      <c r="M585" s="183" t="n"/>
      <c r="N585" s="183" t="n"/>
      <c r="O585" s="183" t="n"/>
      <c r="P585" s="183" t="n"/>
      <c r="Q585" s="183" t="n"/>
      <c r="R585" s="183" t="n"/>
      <c r="S585" s="183" t="n"/>
      <c r="T585" s="183" t="n"/>
      <c r="U585" s="183" t="n"/>
      <c r="V585" s="183" t="n"/>
      <c r="W585" s="183" t="n"/>
      <c r="X585" s="183" t="n"/>
      <c r="Y585" s="183" t="n"/>
      <c r="Z585" s="183" t="n"/>
      <c r="AA585" s="183" t="n"/>
    </row>
    <row r="586">
      <c r="A586" s="183" t="n"/>
      <c r="B586" s="183" t="n"/>
      <c r="C586" s="183" t="n"/>
      <c r="D586" s="183" t="n"/>
      <c r="E586" s="183" t="n"/>
      <c r="F586" s="183" t="n"/>
      <c r="G586" s="183" t="n"/>
      <c r="H586" s="183" t="n"/>
      <c r="I586" s="183" t="n"/>
      <c r="J586" s="183" t="n"/>
      <c r="K586" s="183" t="n"/>
      <c r="L586" s="183" t="n"/>
      <c r="M586" s="183" t="n"/>
      <c r="N586" s="183" t="n"/>
      <c r="O586" s="183" t="n"/>
      <c r="P586" s="183" t="n"/>
      <c r="Q586" s="183" t="n"/>
      <c r="R586" s="183" t="n"/>
      <c r="S586" s="183" t="n"/>
      <c r="T586" s="183" t="n"/>
      <c r="U586" s="183" t="n"/>
      <c r="V586" s="183" t="n"/>
      <c r="W586" s="183" t="n"/>
      <c r="X586" s="183" t="n"/>
      <c r="Y586" s="183" t="n"/>
      <c r="Z586" s="183" t="n"/>
      <c r="AA586" s="183" t="n"/>
    </row>
    <row r="587">
      <c r="A587" s="183" t="n"/>
      <c r="B587" s="183" t="n"/>
      <c r="C587" s="183" t="n"/>
      <c r="D587" s="183" t="n"/>
      <c r="E587" s="183" t="n"/>
      <c r="F587" s="183" t="n"/>
      <c r="G587" s="183" t="n"/>
      <c r="H587" s="183" t="n"/>
      <c r="I587" s="183" t="n"/>
      <c r="J587" s="183" t="n"/>
      <c r="K587" s="183" t="n"/>
      <c r="L587" s="183" t="n"/>
      <c r="M587" s="183" t="n"/>
      <c r="N587" s="183" t="n"/>
      <c r="O587" s="183" t="n"/>
      <c r="P587" s="183" t="n"/>
      <c r="Q587" s="183" t="n"/>
      <c r="R587" s="183" t="n"/>
      <c r="S587" s="183" t="n"/>
      <c r="T587" s="183" t="n"/>
      <c r="U587" s="183" t="n"/>
      <c r="V587" s="183" t="n"/>
      <c r="W587" s="183" t="n"/>
      <c r="X587" s="183" t="n"/>
      <c r="Y587" s="183" t="n"/>
      <c r="Z587" s="183" t="n"/>
      <c r="AA587" s="183" t="n"/>
    </row>
    <row r="588">
      <c r="A588" s="183" t="n"/>
      <c r="B588" s="183" t="n"/>
      <c r="C588" s="183" t="n"/>
      <c r="D588" s="183" t="n"/>
      <c r="E588" s="183" t="n"/>
      <c r="F588" s="183" t="n"/>
      <c r="G588" s="183" t="n"/>
      <c r="H588" s="183" t="n"/>
      <c r="I588" s="183" t="n"/>
      <c r="J588" s="183" t="n"/>
      <c r="K588" s="183" t="n"/>
      <c r="L588" s="183" t="n"/>
      <c r="M588" s="183" t="n"/>
      <c r="N588" s="183" t="n"/>
      <c r="O588" s="183" t="n"/>
      <c r="P588" s="183" t="n"/>
      <c r="Q588" s="183" t="n"/>
      <c r="R588" s="183" t="n"/>
      <c r="S588" s="183" t="n"/>
      <c r="T588" s="183" t="n"/>
      <c r="U588" s="183" t="n"/>
      <c r="V588" s="183" t="n"/>
      <c r="W588" s="183" t="n"/>
      <c r="X588" s="183" t="n"/>
      <c r="Y588" s="183" t="n"/>
      <c r="Z588" s="183" t="n"/>
      <c r="AA588" s="183" t="n"/>
    </row>
    <row r="589">
      <c r="A589" s="183" t="n"/>
      <c r="B589" s="183" t="n"/>
      <c r="C589" s="183" t="n"/>
      <c r="D589" s="183" t="n"/>
      <c r="E589" s="183" t="n"/>
      <c r="F589" s="183" t="n"/>
      <c r="G589" s="183" t="n"/>
      <c r="H589" s="183" t="n"/>
      <c r="I589" s="183" t="n"/>
      <c r="J589" s="183" t="n"/>
      <c r="K589" s="183" t="n"/>
      <c r="L589" s="183" t="n"/>
      <c r="M589" s="183" t="n"/>
      <c r="N589" s="183" t="n"/>
      <c r="O589" s="183" t="n"/>
      <c r="P589" s="183" t="n"/>
      <c r="Q589" s="183" t="n"/>
      <c r="R589" s="183" t="n"/>
      <c r="S589" s="183" t="n"/>
      <c r="T589" s="183" t="n"/>
      <c r="U589" s="183" t="n"/>
      <c r="V589" s="183" t="n"/>
      <c r="W589" s="183" t="n"/>
      <c r="X589" s="183" t="n"/>
      <c r="Y589" s="183" t="n"/>
      <c r="Z589" s="183" t="n"/>
      <c r="AA589" s="183" t="n"/>
    </row>
    <row r="590">
      <c r="A590" s="183" t="n"/>
      <c r="B590" s="183" t="n"/>
      <c r="C590" s="183" t="n"/>
      <c r="D590" s="183" t="n"/>
      <c r="E590" s="183" t="n"/>
      <c r="F590" s="183" t="n"/>
      <c r="G590" s="183" t="n"/>
      <c r="H590" s="183" t="n"/>
      <c r="I590" s="183" t="n"/>
      <c r="J590" s="183" t="n"/>
      <c r="K590" s="183" t="n"/>
      <c r="L590" s="183" t="n"/>
      <c r="M590" s="183" t="n"/>
      <c r="N590" s="183" t="n"/>
      <c r="O590" s="183" t="n"/>
      <c r="P590" s="183" t="n"/>
      <c r="Q590" s="183" t="n"/>
      <c r="R590" s="183" t="n"/>
      <c r="S590" s="183" t="n"/>
      <c r="T590" s="183" t="n"/>
      <c r="U590" s="183" t="n"/>
      <c r="V590" s="183" t="n"/>
      <c r="W590" s="183" t="n"/>
      <c r="X590" s="183" t="n"/>
      <c r="Y590" s="183" t="n"/>
      <c r="Z590" s="183" t="n"/>
      <c r="AA590" s="183" t="n"/>
    </row>
    <row r="591">
      <c r="A591" s="183" t="n"/>
      <c r="B591" s="183" t="n"/>
      <c r="C591" s="183" t="n"/>
      <c r="D591" s="183" t="n"/>
      <c r="E591" s="183" t="n"/>
      <c r="F591" s="183" t="n"/>
      <c r="G591" s="183" t="n"/>
      <c r="H591" s="183" t="n"/>
      <c r="I591" s="183" t="n"/>
      <c r="J591" s="183" t="n"/>
      <c r="K591" s="183" t="n"/>
      <c r="L591" s="183" t="n"/>
      <c r="M591" s="183" t="n"/>
      <c r="N591" s="183" t="n"/>
      <c r="O591" s="183" t="n"/>
      <c r="P591" s="183" t="n"/>
      <c r="Q591" s="183" t="n"/>
      <c r="R591" s="183" t="n"/>
      <c r="S591" s="183" t="n"/>
      <c r="T591" s="183" t="n"/>
      <c r="U591" s="183" t="n"/>
      <c r="V591" s="183" t="n"/>
      <c r="W591" s="183" t="n"/>
      <c r="X591" s="183" t="n"/>
      <c r="Y591" s="183" t="n"/>
      <c r="Z591" s="183" t="n"/>
      <c r="AA591" s="183" t="n"/>
    </row>
    <row r="592">
      <c r="A592" s="183" t="n"/>
      <c r="B592" s="183" t="n"/>
      <c r="C592" s="183" t="n"/>
      <c r="D592" s="183" t="n"/>
      <c r="E592" s="183" t="n"/>
      <c r="F592" s="183" t="n"/>
      <c r="G592" s="183" t="n"/>
      <c r="H592" s="183" t="n"/>
      <c r="I592" s="183" t="n"/>
      <c r="J592" s="183" t="n"/>
      <c r="K592" s="183" t="n"/>
      <c r="L592" s="183" t="n"/>
      <c r="M592" s="183" t="n"/>
      <c r="N592" s="183" t="n"/>
      <c r="O592" s="183" t="n"/>
      <c r="P592" s="183" t="n"/>
      <c r="Q592" s="183" t="n"/>
      <c r="R592" s="183" t="n"/>
      <c r="S592" s="183" t="n"/>
      <c r="T592" s="183" t="n"/>
      <c r="U592" s="183" t="n"/>
      <c r="V592" s="183" t="n"/>
      <c r="W592" s="183" t="n"/>
      <c r="X592" s="183" t="n"/>
      <c r="Y592" s="183" t="n"/>
      <c r="Z592" s="183" t="n"/>
      <c r="AA592" s="183" t="n"/>
    </row>
    <row r="593">
      <c r="A593" s="183" t="n"/>
      <c r="B593" s="183" t="n"/>
      <c r="C593" s="183" t="n"/>
      <c r="D593" s="183" t="n"/>
      <c r="E593" s="183" t="n"/>
      <c r="F593" s="183" t="n"/>
      <c r="G593" s="183" t="n"/>
      <c r="H593" s="183" t="n"/>
      <c r="I593" s="183" t="n"/>
      <c r="J593" s="183" t="n"/>
      <c r="K593" s="183" t="n"/>
      <c r="L593" s="183" t="n"/>
      <c r="M593" s="183" t="n"/>
      <c r="N593" s="183" t="n"/>
      <c r="O593" s="183" t="n"/>
      <c r="P593" s="183" t="n"/>
      <c r="Q593" s="183" t="n"/>
      <c r="R593" s="183" t="n"/>
      <c r="S593" s="183" t="n"/>
      <c r="T593" s="183" t="n"/>
      <c r="U593" s="183" t="n"/>
      <c r="V593" s="183" t="n"/>
      <c r="W593" s="183" t="n"/>
      <c r="X593" s="183" t="n"/>
      <c r="Y593" s="183" t="n"/>
      <c r="Z593" s="183" t="n"/>
      <c r="AA593" s="183" t="n"/>
    </row>
    <row r="594">
      <c r="A594" s="183" t="n"/>
      <c r="B594" s="183" t="n"/>
      <c r="C594" s="183" t="n"/>
      <c r="D594" s="183" t="n"/>
      <c r="E594" s="183" t="n"/>
      <c r="F594" s="183" t="n"/>
      <c r="G594" s="183" t="n"/>
      <c r="H594" s="183" t="n"/>
      <c r="I594" s="183" t="n"/>
      <c r="J594" s="183" t="n"/>
      <c r="K594" s="183" t="n"/>
      <c r="L594" s="183" t="n"/>
      <c r="M594" s="183" t="n"/>
      <c r="N594" s="183" t="n"/>
      <c r="O594" s="183" t="n"/>
      <c r="P594" s="183" t="n"/>
      <c r="Q594" s="183" t="n"/>
      <c r="R594" s="183" t="n"/>
      <c r="S594" s="183" t="n"/>
      <c r="T594" s="183" t="n"/>
      <c r="U594" s="183" t="n"/>
      <c r="V594" s="183" t="n"/>
      <c r="W594" s="183" t="n"/>
      <c r="X594" s="183" t="n"/>
      <c r="Y594" s="183" t="n"/>
      <c r="Z594" s="183" t="n"/>
      <c r="AA594" s="183" t="n"/>
    </row>
    <row r="595">
      <c r="A595" s="183" t="n"/>
      <c r="B595" s="183" t="n"/>
      <c r="C595" s="183" t="n"/>
      <c r="D595" s="183" t="n"/>
      <c r="E595" s="183" t="n"/>
      <c r="F595" s="183" t="n"/>
      <c r="G595" s="183" t="n"/>
      <c r="H595" s="183" t="n"/>
      <c r="I595" s="183" t="n"/>
      <c r="J595" s="183" t="n"/>
      <c r="K595" s="183" t="n"/>
      <c r="L595" s="183" t="n"/>
      <c r="M595" s="183" t="n"/>
      <c r="N595" s="183" t="n"/>
      <c r="O595" s="183" t="n"/>
      <c r="P595" s="183" t="n"/>
      <c r="Q595" s="183" t="n"/>
      <c r="R595" s="183" t="n"/>
      <c r="S595" s="183" t="n"/>
      <c r="T595" s="183" t="n"/>
      <c r="U595" s="183" t="n"/>
      <c r="V595" s="183" t="n"/>
      <c r="W595" s="183" t="n"/>
      <c r="X595" s="183" t="n"/>
      <c r="Y595" s="183" t="n"/>
      <c r="Z595" s="183" t="n"/>
      <c r="AA595" s="183" t="n"/>
    </row>
    <row r="596">
      <c r="A596" s="183" t="n"/>
      <c r="B596" s="183" t="n"/>
      <c r="C596" s="183" t="n"/>
      <c r="D596" s="183" t="n"/>
      <c r="E596" s="183" t="n"/>
      <c r="F596" s="183" t="n"/>
      <c r="G596" s="183" t="n"/>
      <c r="H596" s="183" t="n"/>
      <c r="I596" s="183" t="n"/>
      <c r="J596" s="183" t="n"/>
      <c r="K596" s="183" t="n"/>
      <c r="L596" s="183" t="n"/>
      <c r="M596" s="183" t="n"/>
      <c r="N596" s="183" t="n"/>
      <c r="O596" s="183" t="n"/>
      <c r="P596" s="183" t="n"/>
      <c r="Q596" s="183" t="n"/>
      <c r="R596" s="183" t="n"/>
      <c r="S596" s="183" t="n"/>
      <c r="T596" s="183" t="n"/>
      <c r="U596" s="183" t="n"/>
      <c r="V596" s="183" t="n"/>
      <c r="W596" s="183" t="n"/>
      <c r="X596" s="183" t="n"/>
      <c r="Y596" s="183" t="n"/>
      <c r="Z596" s="183" t="n"/>
      <c r="AA596" s="183" t="n"/>
    </row>
    <row r="597">
      <c r="A597" s="183" t="n"/>
      <c r="B597" s="183" t="n"/>
      <c r="C597" s="183" t="n"/>
      <c r="D597" s="183" t="n"/>
      <c r="E597" s="183" t="n"/>
      <c r="F597" s="183" t="n"/>
      <c r="G597" s="183" t="n"/>
      <c r="H597" s="183" t="n"/>
      <c r="I597" s="183" t="n"/>
      <c r="J597" s="183" t="n"/>
      <c r="K597" s="183" t="n"/>
      <c r="L597" s="183" t="n"/>
      <c r="M597" s="183" t="n"/>
      <c r="N597" s="183" t="n"/>
      <c r="O597" s="183" t="n"/>
      <c r="P597" s="183" t="n"/>
      <c r="Q597" s="183" t="n"/>
      <c r="R597" s="183" t="n"/>
      <c r="S597" s="183" t="n"/>
      <c r="T597" s="183" t="n"/>
      <c r="U597" s="183" t="n"/>
      <c r="V597" s="183" t="n"/>
      <c r="W597" s="183" t="n"/>
      <c r="X597" s="183" t="n"/>
      <c r="Y597" s="183" t="n"/>
      <c r="Z597" s="183" t="n"/>
      <c r="AA597" s="183" t="n"/>
    </row>
    <row r="598">
      <c r="A598" s="183" t="n"/>
      <c r="B598" s="183" t="n"/>
      <c r="C598" s="183" t="n"/>
      <c r="D598" s="183" t="n"/>
      <c r="E598" s="183" t="n"/>
      <c r="F598" s="183" t="n"/>
      <c r="G598" s="183" t="n"/>
      <c r="H598" s="183" t="n"/>
      <c r="I598" s="183" t="n"/>
      <c r="J598" s="183" t="n"/>
      <c r="K598" s="183" t="n"/>
      <c r="L598" s="183" t="n"/>
      <c r="M598" s="183" t="n"/>
      <c r="N598" s="183" t="n"/>
      <c r="O598" s="183" t="n"/>
      <c r="P598" s="183" t="n"/>
      <c r="Q598" s="183" t="n"/>
      <c r="R598" s="183" t="n"/>
      <c r="S598" s="183" t="n"/>
      <c r="T598" s="183" t="n"/>
      <c r="U598" s="183" t="n"/>
      <c r="V598" s="183" t="n"/>
      <c r="W598" s="183" t="n"/>
      <c r="X598" s="183" t="n"/>
      <c r="Y598" s="183" t="n"/>
      <c r="Z598" s="183" t="n"/>
      <c r="AA598" s="183" t="n"/>
    </row>
    <row r="599">
      <c r="A599" s="183" t="n"/>
      <c r="B599" s="183" t="n"/>
      <c r="C599" s="183" t="n"/>
      <c r="D599" s="183" t="n"/>
      <c r="E599" s="183" t="n"/>
      <c r="F599" s="183" t="n"/>
      <c r="G599" s="183" t="n"/>
      <c r="H599" s="183" t="n"/>
      <c r="I599" s="183" t="n"/>
      <c r="J599" s="183" t="n"/>
      <c r="K599" s="183" t="n"/>
      <c r="L599" s="183" t="n"/>
      <c r="M599" s="183" t="n"/>
      <c r="N599" s="183" t="n"/>
      <c r="O599" s="183" t="n"/>
      <c r="P599" s="183" t="n"/>
      <c r="Q599" s="183" t="n"/>
      <c r="R599" s="183" t="n"/>
      <c r="S599" s="183" t="n"/>
      <c r="T599" s="183" t="n"/>
      <c r="U599" s="183" t="n"/>
      <c r="V599" s="183" t="n"/>
      <c r="W599" s="183" t="n"/>
      <c r="X599" s="183" t="n"/>
      <c r="Y599" s="183" t="n"/>
      <c r="Z599" s="183" t="n"/>
      <c r="AA599" s="183" t="n"/>
    </row>
    <row r="600">
      <c r="A600" s="183" t="n"/>
      <c r="B600" s="183" t="n"/>
      <c r="C600" s="183" t="n"/>
      <c r="D600" s="183" t="n"/>
      <c r="E600" s="183" t="n"/>
      <c r="F600" s="183" t="n"/>
      <c r="G600" s="183" t="n"/>
      <c r="H600" s="183" t="n"/>
      <c r="I600" s="183" t="n"/>
      <c r="J600" s="183" t="n"/>
      <c r="K600" s="183" t="n"/>
      <c r="L600" s="183" t="n"/>
      <c r="M600" s="183" t="n"/>
      <c r="N600" s="183" t="n"/>
      <c r="O600" s="183" t="n"/>
      <c r="P600" s="183" t="n"/>
      <c r="Q600" s="183" t="n"/>
      <c r="R600" s="183" t="n"/>
      <c r="S600" s="183" t="n"/>
      <c r="T600" s="183" t="n"/>
      <c r="U600" s="183" t="n"/>
      <c r="V600" s="183" t="n"/>
      <c r="W600" s="183" t="n"/>
      <c r="X600" s="183" t="n"/>
      <c r="Y600" s="183" t="n"/>
      <c r="Z600" s="183" t="n"/>
      <c r="AA600" s="183" t="n"/>
    </row>
    <row r="601">
      <c r="A601" s="183" t="n"/>
      <c r="B601" s="183" t="n"/>
      <c r="C601" s="183" t="n"/>
      <c r="D601" s="183" t="n"/>
      <c r="E601" s="183" t="n"/>
      <c r="F601" s="183" t="n"/>
      <c r="G601" s="183" t="n"/>
      <c r="H601" s="183" t="n"/>
      <c r="I601" s="183" t="n"/>
      <c r="J601" s="183" t="n"/>
      <c r="K601" s="183" t="n"/>
      <c r="L601" s="183" t="n"/>
      <c r="M601" s="183" t="n"/>
      <c r="N601" s="183" t="n"/>
      <c r="O601" s="183" t="n"/>
      <c r="P601" s="183" t="n"/>
      <c r="Q601" s="183" t="n"/>
      <c r="R601" s="183" t="n"/>
      <c r="S601" s="183" t="n"/>
      <c r="T601" s="183" t="n"/>
      <c r="U601" s="183" t="n"/>
      <c r="V601" s="183" t="n"/>
      <c r="W601" s="183" t="n"/>
      <c r="X601" s="183" t="n"/>
      <c r="Y601" s="183" t="n"/>
      <c r="Z601" s="183" t="n"/>
      <c r="AA601" s="183" t="n"/>
    </row>
    <row r="602">
      <c r="A602" s="183" t="n"/>
      <c r="B602" s="183" t="n"/>
      <c r="C602" s="183" t="n"/>
      <c r="D602" s="183" t="n"/>
      <c r="E602" s="183" t="n"/>
      <c r="F602" s="183" t="n"/>
      <c r="G602" s="183" t="n"/>
      <c r="H602" s="183" t="n"/>
      <c r="I602" s="183" t="n"/>
      <c r="J602" s="183" t="n"/>
      <c r="K602" s="183" t="n"/>
      <c r="L602" s="183" t="n"/>
      <c r="M602" s="183" t="n"/>
      <c r="N602" s="183" t="n"/>
      <c r="O602" s="183" t="n"/>
      <c r="P602" s="183" t="n"/>
      <c r="Q602" s="183" t="n"/>
      <c r="R602" s="183" t="n"/>
      <c r="S602" s="183" t="n"/>
      <c r="T602" s="183" t="n"/>
      <c r="U602" s="183" t="n"/>
      <c r="V602" s="183" t="n"/>
      <c r="W602" s="183" t="n"/>
      <c r="X602" s="183" t="n"/>
      <c r="Y602" s="183" t="n"/>
      <c r="Z602" s="183" t="n"/>
      <c r="AA602" s="183" t="n"/>
    </row>
    <row r="603">
      <c r="A603" s="183" t="n"/>
      <c r="B603" s="183" t="n"/>
      <c r="C603" s="183" t="n"/>
      <c r="D603" s="183" t="n"/>
      <c r="E603" s="183" t="n"/>
      <c r="F603" s="183" t="n"/>
      <c r="G603" s="183" t="n"/>
      <c r="H603" s="183" t="n"/>
      <c r="I603" s="183" t="n"/>
      <c r="J603" s="183" t="n"/>
      <c r="K603" s="183" t="n"/>
      <c r="L603" s="183" t="n"/>
      <c r="M603" s="183" t="n"/>
      <c r="N603" s="183" t="n"/>
      <c r="O603" s="183" t="n"/>
      <c r="P603" s="183" t="n"/>
      <c r="Q603" s="183" t="n"/>
      <c r="R603" s="183" t="n"/>
      <c r="S603" s="183" t="n"/>
      <c r="T603" s="183" t="n"/>
      <c r="U603" s="183" t="n"/>
      <c r="V603" s="183" t="n"/>
      <c r="W603" s="183" t="n"/>
      <c r="X603" s="183" t="n"/>
      <c r="Y603" s="183" t="n"/>
      <c r="Z603" s="183" t="n"/>
      <c r="AA603" s="183" t="n"/>
    </row>
    <row r="604">
      <c r="A604" s="183" t="n"/>
      <c r="B604" s="183" t="n"/>
      <c r="C604" s="183" t="n"/>
      <c r="D604" s="183" t="n"/>
      <c r="E604" s="183" t="n"/>
      <c r="F604" s="183" t="n"/>
      <c r="G604" s="183" t="n"/>
      <c r="H604" s="183" t="n"/>
      <c r="I604" s="183" t="n"/>
      <c r="J604" s="183" t="n"/>
      <c r="K604" s="183" t="n"/>
      <c r="L604" s="183" t="n"/>
      <c r="M604" s="183" t="n"/>
      <c r="N604" s="183" t="n"/>
      <c r="O604" s="183" t="n"/>
      <c r="P604" s="183" t="n"/>
      <c r="Q604" s="183" t="n"/>
      <c r="R604" s="183" t="n"/>
      <c r="S604" s="183" t="n"/>
      <c r="T604" s="183" t="n"/>
      <c r="U604" s="183" t="n"/>
      <c r="V604" s="183" t="n"/>
      <c r="W604" s="183" t="n"/>
      <c r="X604" s="183" t="n"/>
      <c r="Y604" s="183" t="n"/>
      <c r="Z604" s="183" t="n"/>
      <c r="AA604" s="183" t="n"/>
    </row>
    <row r="605">
      <c r="A605" s="183" t="n"/>
      <c r="B605" s="183" t="n"/>
      <c r="C605" s="183" t="n"/>
      <c r="D605" s="183" t="n"/>
      <c r="E605" s="183" t="n"/>
      <c r="F605" s="183" t="n"/>
      <c r="G605" s="183" t="n"/>
      <c r="H605" s="183" t="n"/>
      <c r="I605" s="183" t="n"/>
      <c r="J605" s="183" t="n"/>
      <c r="K605" s="183" t="n"/>
      <c r="L605" s="183" t="n"/>
      <c r="M605" s="183" t="n"/>
      <c r="N605" s="183" t="n"/>
      <c r="O605" s="183" t="n"/>
      <c r="P605" s="183" t="n"/>
      <c r="Q605" s="183" t="n"/>
      <c r="R605" s="183" t="n"/>
      <c r="S605" s="183" t="n"/>
      <c r="T605" s="183" t="n"/>
      <c r="U605" s="183" t="n"/>
      <c r="V605" s="183" t="n"/>
      <c r="W605" s="183" t="n"/>
      <c r="X605" s="183" t="n"/>
      <c r="Y605" s="183" t="n"/>
      <c r="Z605" s="183" t="n"/>
      <c r="AA605" s="183" t="n"/>
    </row>
    <row r="606">
      <c r="A606" s="183" t="n"/>
      <c r="B606" s="183" t="n"/>
      <c r="C606" s="183" t="n"/>
      <c r="D606" s="183" t="n"/>
      <c r="E606" s="183" t="n"/>
      <c r="F606" s="183" t="n"/>
      <c r="G606" s="183" t="n"/>
      <c r="H606" s="183" t="n"/>
      <c r="I606" s="183" t="n"/>
      <c r="J606" s="183" t="n"/>
      <c r="K606" s="183" t="n"/>
      <c r="L606" s="183" t="n"/>
      <c r="M606" s="183" t="n"/>
      <c r="N606" s="183" t="n"/>
      <c r="O606" s="183" t="n"/>
      <c r="P606" s="183" t="n"/>
      <c r="Q606" s="183" t="n"/>
      <c r="R606" s="183" t="n"/>
      <c r="S606" s="183" t="n"/>
      <c r="T606" s="183" t="n"/>
      <c r="U606" s="183" t="n"/>
      <c r="V606" s="183" t="n"/>
      <c r="W606" s="183" t="n"/>
      <c r="X606" s="183" t="n"/>
      <c r="Y606" s="183" t="n"/>
      <c r="Z606" s="183" t="n"/>
      <c r="AA606" s="183" t="n"/>
    </row>
    <row r="607">
      <c r="A607" s="183" t="n"/>
      <c r="B607" s="183" t="n"/>
      <c r="C607" s="183" t="n"/>
      <c r="D607" s="183" t="n"/>
      <c r="E607" s="183" t="n"/>
      <c r="F607" s="183" t="n"/>
      <c r="G607" s="183" t="n"/>
      <c r="H607" s="183" t="n"/>
      <c r="I607" s="183" t="n"/>
      <c r="J607" s="183" t="n"/>
      <c r="K607" s="183" t="n"/>
      <c r="L607" s="183" t="n"/>
      <c r="M607" s="183" t="n"/>
      <c r="N607" s="183" t="n"/>
      <c r="O607" s="183" t="n"/>
      <c r="P607" s="183" t="n"/>
      <c r="Q607" s="183" t="n"/>
      <c r="R607" s="183" t="n"/>
      <c r="S607" s="183" t="n"/>
      <c r="T607" s="183" t="n"/>
      <c r="U607" s="183" t="n"/>
      <c r="V607" s="183" t="n"/>
      <c r="W607" s="183" t="n"/>
      <c r="X607" s="183" t="n"/>
      <c r="Y607" s="183" t="n"/>
      <c r="Z607" s="183" t="n"/>
      <c r="AA607" s="183" t="n"/>
    </row>
    <row r="608">
      <c r="A608" s="183" t="n"/>
      <c r="B608" s="183" t="n"/>
      <c r="C608" s="183" t="n"/>
      <c r="D608" s="183" t="n"/>
      <c r="E608" s="183" t="n"/>
      <c r="F608" s="183" t="n"/>
      <c r="G608" s="183" t="n"/>
      <c r="H608" s="183" t="n"/>
      <c r="I608" s="183" t="n"/>
      <c r="J608" s="183" t="n"/>
      <c r="K608" s="183" t="n"/>
      <c r="L608" s="183" t="n"/>
      <c r="M608" s="183" t="n"/>
      <c r="N608" s="183" t="n"/>
      <c r="O608" s="183" t="n"/>
      <c r="P608" s="183" t="n"/>
      <c r="Q608" s="183" t="n"/>
      <c r="R608" s="183" t="n"/>
      <c r="S608" s="183" t="n"/>
      <c r="T608" s="183" t="n"/>
      <c r="U608" s="183" t="n"/>
      <c r="V608" s="183" t="n"/>
      <c r="W608" s="183" t="n"/>
      <c r="X608" s="183" t="n"/>
      <c r="Y608" s="183" t="n"/>
      <c r="Z608" s="183" t="n"/>
      <c r="AA608" s="183" t="n"/>
    </row>
    <row r="609">
      <c r="A609" s="183" t="n"/>
      <c r="B609" s="183" t="n"/>
      <c r="C609" s="183" t="n"/>
      <c r="D609" s="183" t="n"/>
      <c r="E609" s="183" t="n"/>
      <c r="F609" s="183" t="n"/>
      <c r="G609" s="183" t="n"/>
      <c r="H609" s="183" t="n"/>
      <c r="I609" s="183" t="n"/>
      <c r="J609" s="183" t="n"/>
      <c r="K609" s="183" t="n"/>
      <c r="L609" s="183" t="n"/>
      <c r="M609" s="183" t="n"/>
      <c r="N609" s="183" t="n"/>
      <c r="O609" s="183" t="n"/>
      <c r="P609" s="183" t="n"/>
      <c r="Q609" s="183" t="n"/>
      <c r="R609" s="183" t="n"/>
      <c r="S609" s="183" t="n"/>
      <c r="T609" s="183" t="n"/>
      <c r="U609" s="183" t="n"/>
      <c r="V609" s="183" t="n"/>
      <c r="W609" s="183" t="n"/>
      <c r="X609" s="183" t="n"/>
      <c r="Y609" s="183" t="n"/>
      <c r="Z609" s="183" t="n"/>
      <c r="AA609" s="183" t="n"/>
    </row>
    <row r="610">
      <c r="A610" s="183" t="n"/>
      <c r="B610" s="183" t="n"/>
      <c r="C610" s="183" t="n"/>
      <c r="D610" s="183" t="n"/>
      <c r="E610" s="183" t="n"/>
      <c r="F610" s="183" t="n"/>
      <c r="G610" s="183" t="n"/>
      <c r="H610" s="183" t="n"/>
      <c r="I610" s="183" t="n"/>
      <c r="J610" s="183" t="n"/>
      <c r="K610" s="183" t="n"/>
      <c r="L610" s="183" t="n"/>
      <c r="M610" s="183" t="n"/>
      <c r="N610" s="183" t="n"/>
      <c r="O610" s="183" t="n"/>
      <c r="P610" s="183" t="n"/>
      <c r="Q610" s="183" t="n"/>
      <c r="R610" s="183" t="n"/>
      <c r="S610" s="183" t="n"/>
      <c r="T610" s="183" t="n"/>
      <c r="U610" s="183" t="n"/>
      <c r="V610" s="183" t="n"/>
      <c r="W610" s="183" t="n"/>
      <c r="X610" s="183" t="n"/>
      <c r="Y610" s="183" t="n"/>
      <c r="Z610" s="183" t="n"/>
      <c r="AA610" s="183" t="n"/>
    </row>
    <row r="611">
      <c r="A611" s="183" t="n"/>
      <c r="B611" s="183" t="n"/>
      <c r="C611" s="183" t="n"/>
      <c r="D611" s="183" t="n"/>
      <c r="E611" s="183" t="n"/>
      <c r="F611" s="183" t="n"/>
      <c r="G611" s="183" t="n"/>
      <c r="H611" s="183" t="n"/>
      <c r="I611" s="183" t="n"/>
      <c r="J611" s="183" t="n"/>
      <c r="K611" s="183" t="n"/>
      <c r="L611" s="183" t="n"/>
      <c r="M611" s="183" t="n"/>
      <c r="N611" s="183" t="n"/>
      <c r="O611" s="183" t="n"/>
      <c r="P611" s="183" t="n"/>
      <c r="Q611" s="183" t="n"/>
      <c r="R611" s="183" t="n"/>
      <c r="S611" s="183" t="n"/>
      <c r="T611" s="183" t="n"/>
      <c r="U611" s="183" t="n"/>
      <c r="V611" s="183" t="n"/>
      <c r="W611" s="183" t="n"/>
      <c r="X611" s="183" t="n"/>
      <c r="Y611" s="183" t="n"/>
      <c r="Z611" s="183" t="n"/>
      <c r="AA611" s="183" t="n"/>
    </row>
    <row r="612">
      <c r="A612" s="183" t="n"/>
      <c r="B612" s="183" t="n"/>
      <c r="C612" s="183" t="n"/>
      <c r="D612" s="183" t="n"/>
      <c r="E612" s="183" t="n"/>
      <c r="F612" s="183" t="n"/>
      <c r="G612" s="183" t="n"/>
      <c r="H612" s="183" t="n"/>
      <c r="I612" s="183" t="n"/>
      <c r="J612" s="183" t="n"/>
      <c r="K612" s="183" t="n"/>
      <c r="L612" s="183" t="n"/>
      <c r="M612" s="183" t="n"/>
      <c r="N612" s="183" t="n"/>
      <c r="O612" s="183" t="n"/>
      <c r="P612" s="183" t="n"/>
      <c r="Q612" s="183" t="n"/>
      <c r="R612" s="183" t="n"/>
      <c r="S612" s="183" t="n"/>
      <c r="T612" s="183" t="n"/>
      <c r="U612" s="183" t="n"/>
      <c r="V612" s="183" t="n"/>
      <c r="W612" s="183" t="n"/>
      <c r="X612" s="183" t="n"/>
      <c r="Y612" s="183" t="n"/>
      <c r="Z612" s="183" t="n"/>
      <c r="AA612" s="183" t="n"/>
    </row>
    <row r="613">
      <c r="A613" s="183" t="n"/>
      <c r="B613" s="183" t="n"/>
      <c r="C613" s="183" t="n"/>
      <c r="D613" s="183" t="n"/>
      <c r="E613" s="183" t="n"/>
      <c r="F613" s="183" t="n"/>
      <c r="G613" s="183" t="n"/>
      <c r="H613" s="183" t="n"/>
      <c r="I613" s="183" t="n"/>
      <c r="J613" s="183" t="n"/>
      <c r="K613" s="183" t="n"/>
      <c r="L613" s="183" t="n"/>
      <c r="M613" s="183" t="n"/>
      <c r="N613" s="183" t="n"/>
      <c r="O613" s="183" t="n"/>
      <c r="P613" s="183" t="n"/>
      <c r="Q613" s="183" t="n"/>
      <c r="R613" s="183" t="n"/>
      <c r="S613" s="183" t="n"/>
      <c r="T613" s="183" t="n"/>
      <c r="U613" s="183" t="n"/>
      <c r="V613" s="183" t="n"/>
      <c r="W613" s="183" t="n"/>
      <c r="X613" s="183" t="n"/>
      <c r="Y613" s="183" t="n"/>
      <c r="Z613" s="183" t="n"/>
      <c r="AA613" s="183" t="n"/>
    </row>
    <row r="614">
      <c r="A614" s="183" t="n"/>
      <c r="B614" s="183" t="n"/>
      <c r="C614" s="183" t="n"/>
      <c r="D614" s="183" t="n"/>
      <c r="E614" s="183" t="n"/>
      <c r="F614" s="183" t="n"/>
      <c r="G614" s="183" t="n"/>
      <c r="H614" s="183" t="n"/>
      <c r="I614" s="183" t="n"/>
      <c r="J614" s="183" t="n"/>
      <c r="K614" s="183" t="n"/>
      <c r="L614" s="183" t="n"/>
      <c r="M614" s="183" t="n"/>
      <c r="N614" s="183" t="n"/>
      <c r="O614" s="183" t="n"/>
      <c r="P614" s="183" t="n"/>
      <c r="Q614" s="183" t="n"/>
      <c r="R614" s="183" t="n"/>
      <c r="S614" s="183" t="n"/>
      <c r="T614" s="183" t="n"/>
      <c r="U614" s="183" t="n"/>
      <c r="V614" s="183" t="n"/>
      <c r="W614" s="183" t="n"/>
      <c r="X614" s="183" t="n"/>
      <c r="Y614" s="183" t="n"/>
      <c r="Z614" s="183" t="n"/>
      <c r="AA614" s="183" t="n"/>
    </row>
    <row r="615">
      <c r="A615" s="183" t="n"/>
      <c r="B615" s="183" t="n"/>
      <c r="C615" s="183" t="n"/>
      <c r="D615" s="183" t="n"/>
      <c r="E615" s="183" t="n"/>
      <c r="F615" s="183" t="n"/>
      <c r="G615" s="183" t="n"/>
      <c r="H615" s="183" t="n"/>
      <c r="I615" s="183" t="n"/>
      <c r="J615" s="183" t="n"/>
      <c r="K615" s="183" t="n"/>
      <c r="L615" s="183" t="n"/>
      <c r="M615" s="183" t="n"/>
      <c r="N615" s="183" t="n"/>
      <c r="O615" s="183" t="n"/>
      <c r="P615" s="183" t="n"/>
      <c r="Q615" s="183" t="n"/>
      <c r="R615" s="183" t="n"/>
      <c r="S615" s="183" t="n"/>
      <c r="T615" s="183" t="n"/>
      <c r="U615" s="183" t="n"/>
      <c r="V615" s="183" t="n"/>
      <c r="W615" s="183" t="n"/>
      <c r="X615" s="183" t="n"/>
      <c r="Y615" s="183" t="n"/>
      <c r="Z615" s="183" t="n"/>
      <c r="AA615" s="183" t="n"/>
    </row>
    <row r="616">
      <c r="A616" s="183" t="n"/>
      <c r="B616" s="183" t="n"/>
      <c r="C616" s="183" t="n"/>
      <c r="D616" s="183" t="n"/>
      <c r="E616" s="183" t="n"/>
      <c r="F616" s="183" t="n"/>
      <c r="G616" s="183" t="n"/>
      <c r="H616" s="183" t="n"/>
      <c r="I616" s="183" t="n"/>
      <c r="J616" s="183" t="n"/>
      <c r="K616" s="183" t="n"/>
      <c r="L616" s="183" t="n"/>
      <c r="M616" s="183" t="n"/>
      <c r="N616" s="183" t="n"/>
      <c r="O616" s="183" t="n"/>
      <c r="P616" s="183" t="n"/>
      <c r="Q616" s="183" t="n"/>
      <c r="R616" s="183" t="n"/>
      <c r="S616" s="183" t="n"/>
      <c r="T616" s="183" t="n"/>
      <c r="U616" s="183" t="n"/>
      <c r="V616" s="183" t="n"/>
      <c r="W616" s="183" t="n"/>
      <c r="X616" s="183" t="n"/>
      <c r="Y616" s="183" t="n"/>
      <c r="Z616" s="183" t="n"/>
      <c r="AA616" s="183" t="n"/>
    </row>
    <row r="617">
      <c r="A617" s="183" t="n"/>
      <c r="B617" s="183" t="n"/>
      <c r="C617" s="183" t="n"/>
      <c r="D617" s="183" t="n"/>
      <c r="E617" s="183" t="n"/>
      <c r="F617" s="183" t="n"/>
      <c r="G617" s="183" t="n"/>
      <c r="H617" s="183" t="n"/>
      <c r="I617" s="183" t="n"/>
      <c r="J617" s="183" t="n"/>
      <c r="K617" s="183" t="n"/>
      <c r="L617" s="183" t="n"/>
      <c r="M617" s="183" t="n"/>
      <c r="N617" s="183" t="n"/>
      <c r="O617" s="183" t="n"/>
      <c r="P617" s="183" t="n"/>
      <c r="Q617" s="183" t="n"/>
      <c r="R617" s="183" t="n"/>
      <c r="S617" s="183" t="n"/>
      <c r="T617" s="183" t="n"/>
      <c r="U617" s="183" t="n"/>
      <c r="V617" s="183" t="n"/>
      <c r="W617" s="183" t="n"/>
      <c r="X617" s="183" t="n"/>
      <c r="Y617" s="183" t="n"/>
      <c r="Z617" s="183" t="n"/>
      <c r="AA617" s="183" t="n"/>
    </row>
    <row r="618">
      <c r="A618" s="183" t="n"/>
      <c r="B618" s="183" t="n"/>
      <c r="C618" s="183" t="n"/>
      <c r="D618" s="183" t="n"/>
      <c r="E618" s="183" t="n"/>
      <c r="F618" s="183" t="n"/>
      <c r="G618" s="183" t="n"/>
      <c r="H618" s="183" t="n"/>
      <c r="I618" s="183" t="n"/>
      <c r="J618" s="183" t="n"/>
      <c r="K618" s="183" t="n"/>
      <c r="L618" s="183" t="n"/>
      <c r="M618" s="183" t="n"/>
      <c r="N618" s="183" t="n"/>
      <c r="O618" s="183" t="n"/>
      <c r="P618" s="183" t="n"/>
      <c r="Q618" s="183" t="n"/>
      <c r="R618" s="183" t="n"/>
      <c r="S618" s="183" t="n"/>
      <c r="T618" s="183" t="n"/>
      <c r="U618" s="183" t="n"/>
      <c r="V618" s="183" t="n"/>
      <c r="W618" s="183" t="n"/>
      <c r="X618" s="183" t="n"/>
      <c r="Y618" s="183" t="n"/>
      <c r="Z618" s="183" t="n"/>
      <c r="AA618" s="183" t="n"/>
    </row>
    <row r="619">
      <c r="A619" s="183" t="n"/>
      <c r="B619" s="183" t="n"/>
      <c r="C619" s="183" t="n"/>
      <c r="D619" s="183" t="n"/>
      <c r="E619" s="183" t="n"/>
      <c r="F619" s="183" t="n"/>
      <c r="G619" s="183" t="n"/>
      <c r="H619" s="183" t="n"/>
      <c r="I619" s="183" t="n"/>
      <c r="J619" s="183" t="n"/>
      <c r="K619" s="183" t="n"/>
      <c r="L619" s="183" t="n"/>
      <c r="M619" s="183" t="n"/>
      <c r="N619" s="183" t="n"/>
      <c r="O619" s="183" t="n"/>
      <c r="P619" s="183" t="n"/>
      <c r="Q619" s="183" t="n"/>
      <c r="R619" s="183" t="n"/>
      <c r="S619" s="183" t="n"/>
      <c r="T619" s="183" t="n"/>
      <c r="U619" s="183" t="n"/>
      <c r="V619" s="183" t="n"/>
      <c r="W619" s="183" t="n"/>
      <c r="X619" s="183" t="n"/>
      <c r="Y619" s="183" t="n"/>
      <c r="Z619" s="183" t="n"/>
      <c r="AA619" s="183" t="n"/>
    </row>
    <row r="620">
      <c r="A620" s="183" t="n"/>
      <c r="B620" s="183" t="n"/>
      <c r="C620" s="183" t="n"/>
      <c r="D620" s="183" t="n"/>
      <c r="E620" s="183" t="n"/>
      <c r="F620" s="183" t="n"/>
      <c r="G620" s="183" t="n"/>
      <c r="H620" s="183" t="n"/>
      <c r="I620" s="183" t="n"/>
      <c r="J620" s="183" t="n"/>
      <c r="K620" s="183" t="n"/>
      <c r="L620" s="183" t="n"/>
      <c r="M620" s="183" t="n"/>
      <c r="N620" s="183" t="n"/>
      <c r="O620" s="183" t="n"/>
      <c r="P620" s="183" t="n"/>
      <c r="Q620" s="183" t="n"/>
      <c r="R620" s="183" t="n"/>
      <c r="S620" s="183" t="n"/>
      <c r="T620" s="183" t="n"/>
      <c r="U620" s="183" t="n"/>
      <c r="V620" s="183" t="n"/>
      <c r="W620" s="183" t="n"/>
      <c r="X620" s="183" t="n"/>
      <c r="Y620" s="183" t="n"/>
      <c r="Z620" s="183" t="n"/>
      <c r="AA620" s="183" t="n"/>
    </row>
    <row r="621">
      <c r="A621" s="183" t="n"/>
      <c r="B621" s="183" t="n"/>
      <c r="C621" s="183" t="n"/>
      <c r="D621" s="183" t="n"/>
      <c r="E621" s="183" t="n"/>
      <c r="F621" s="183" t="n"/>
      <c r="G621" s="183" t="n"/>
      <c r="H621" s="183" t="n"/>
      <c r="I621" s="183" t="n"/>
      <c r="J621" s="183" t="n"/>
      <c r="K621" s="183" t="n"/>
      <c r="L621" s="183" t="n"/>
      <c r="M621" s="183" t="n"/>
      <c r="N621" s="183" t="n"/>
      <c r="O621" s="183" t="n"/>
      <c r="P621" s="183" t="n"/>
      <c r="Q621" s="183" t="n"/>
      <c r="R621" s="183" t="n"/>
      <c r="S621" s="183" t="n"/>
      <c r="T621" s="183" t="n"/>
      <c r="U621" s="183" t="n"/>
      <c r="V621" s="183" t="n"/>
      <c r="W621" s="183" t="n"/>
      <c r="X621" s="183" t="n"/>
      <c r="Y621" s="183" t="n"/>
      <c r="Z621" s="183" t="n"/>
      <c r="AA621" s="183" t="n"/>
    </row>
    <row r="622">
      <c r="A622" s="183" t="n"/>
      <c r="B622" s="183" t="n"/>
      <c r="C622" s="183" t="n"/>
      <c r="D622" s="183" t="n"/>
      <c r="E622" s="183" t="n"/>
      <c r="F622" s="183" t="n"/>
      <c r="G622" s="183" t="n"/>
      <c r="H622" s="183" t="n"/>
      <c r="I622" s="183" t="n"/>
      <c r="J622" s="183" t="n"/>
      <c r="K622" s="183" t="n"/>
      <c r="L622" s="183" t="n"/>
      <c r="M622" s="183" t="n"/>
      <c r="N622" s="183" t="n"/>
      <c r="O622" s="183" t="n"/>
      <c r="P622" s="183" t="n"/>
      <c r="Q622" s="183" t="n"/>
      <c r="R622" s="183" t="n"/>
      <c r="S622" s="183" t="n"/>
      <c r="T622" s="183" t="n"/>
      <c r="U622" s="183" t="n"/>
      <c r="V622" s="183" t="n"/>
      <c r="W622" s="183" t="n"/>
      <c r="X622" s="183" t="n"/>
      <c r="Y622" s="183" t="n"/>
      <c r="Z622" s="183" t="n"/>
      <c r="AA622" s="183" t="n"/>
    </row>
    <row r="623">
      <c r="A623" s="183" t="n"/>
      <c r="B623" s="183" t="n"/>
      <c r="C623" s="183" t="n"/>
      <c r="D623" s="183" t="n"/>
      <c r="E623" s="183" t="n"/>
      <c r="F623" s="183" t="n"/>
      <c r="G623" s="183" t="n"/>
      <c r="H623" s="183" t="n"/>
      <c r="I623" s="183" t="n"/>
      <c r="J623" s="183" t="n"/>
      <c r="K623" s="183" t="n"/>
      <c r="L623" s="183" t="n"/>
      <c r="M623" s="183" t="n"/>
      <c r="N623" s="183" t="n"/>
      <c r="O623" s="183" t="n"/>
      <c r="P623" s="183" t="n"/>
      <c r="Q623" s="183" t="n"/>
      <c r="R623" s="183" t="n"/>
      <c r="S623" s="183" t="n"/>
      <c r="T623" s="183" t="n"/>
      <c r="U623" s="183" t="n"/>
      <c r="V623" s="183" t="n"/>
      <c r="W623" s="183" t="n"/>
      <c r="X623" s="183" t="n"/>
      <c r="Y623" s="183" t="n"/>
      <c r="Z623" s="183" t="n"/>
      <c r="AA623" s="183" t="n"/>
    </row>
    <row r="624">
      <c r="A624" s="183" t="n"/>
      <c r="B624" s="183" t="n"/>
      <c r="C624" s="183" t="n"/>
      <c r="D624" s="183" t="n"/>
      <c r="E624" s="183" t="n"/>
      <c r="F624" s="183" t="n"/>
      <c r="G624" s="183" t="n"/>
      <c r="H624" s="183" t="n"/>
      <c r="I624" s="183" t="n"/>
      <c r="J624" s="183" t="n"/>
      <c r="K624" s="183" t="n"/>
      <c r="L624" s="183" t="n"/>
      <c r="M624" s="183" t="n"/>
      <c r="N624" s="183" t="n"/>
      <c r="O624" s="183" t="n"/>
      <c r="P624" s="183" t="n"/>
      <c r="Q624" s="183" t="n"/>
      <c r="R624" s="183" t="n"/>
      <c r="S624" s="183" t="n"/>
      <c r="T624" s="183" t="n"/>
      <c r="U624" s="183" t="n"/>
      <c r="V624" s="183" t="n"/>
      <c r="W624" s="183" t="n"/>
      <c r="X624" s="183" t="n"/>
      <c r="Y624" s="183" t="n"/>
      <c r="Z624" s="183" t="n"/>
      <c r="AA624" s="183" t="n"/>
    </row>
    <row r="625">
      <c r="A625" s="183" t="n"/>
      <c r="B625" s="183" t="n"/>
      <c r="C625" s="183" t="n"/>
      <c r="D625" s="183" t="n"/>
      <c r="E625" s="183" t="n"/>
      <c r="F625" s="183" t="n"/>
      <c r="G625" s="183" t="n"/>
      <c r="H625" s="183" t="n"/>
      <c r="I625" s="183" t="n"/>
      <c r="J625" s="183" t="n"/>
      <c r="K625" s="183" t="n"/>
      <c r="L625" s="183" t="n"/>
      <c r="M625" s="183" t="n"/>
      <c r="N625" s="183" t="n"/>
      <c r="O625" s="183" t="n"/>
      <c r="P625" s="183" t="n"/>
      <c r="Q625" s="183" t="n"/>
      <c r="R625" s="183" t="n"/>
      <c r="S625" s="183" t="n"/>
      <c r="T625" s="183" t="n"/>
      <c r="U625" s="183" t="n"/>
      <c r="V625" s="183" t="n"/>
      <c r="W625" s="183" t="n"/>
      <c r="X625" s="183" t="n"/>
      <c r="Y625" s="183" t="n"/>
      <c r="Z625" s="183" t="n"/>
      <c r="AA625" s="183" t="n"/>
    </row>
    <row r="626">
      <c r="A626" s="183" t="n"/>
      <c r="B626" s="183" t="n"/>
      <c r="C626" s="183" t="n"/>
      <c r="D626" s="183" t="n"/>
      <c r="E626" s="183" t="n"/>
      <c r="F626" s="183" t="n"/>
      <c r="G626" s="183" t="n"/>
      <c r="H626" s="183" t="n"/>
      <c r="I626" s="183" t="n"/>
      <c r="J626" s="183" t="n"/>
      <c r="K626" s="183" t="n"/>
      <c r="L626" s="183" t="n"/>
      <c r="M626" s="183" t="n"/>
      <c r="N626" s="183" t="n"/>
      <c r="O626" s="183" t="n"/>
      <c r="P626" s="183" t="n"/>
      <c r="Q626" s="183" t="n"/>
      <c r="R626" s="183" t="n"/>
      <c r="S626" s="183" t="n"/>
      <c r="T626" s="183" t="n"/>
      <c r="U626" s="183" t="n"/>
      <c r="V626" s="183" t="n"/>
      <c r="W626" s="183" t="n"/>
      <c r="X626" s="183" t="n"/>
      <c r="Y626" s="183" t="n"/>
      <c r="Z626" s="183" t="n"/>
      <c r="AA626" s="183" t="n"/>
    </row>
    <row r="627">
      <c r="A627" s="183" t="n"/>
      <c r="B627" s="183" t="n"/>
      <c r="C627" s="183" t="n"/>
      <c r="D627" s="183" t="n"/>
      <c r="E627" s="183" t="n"/>
      <c r="F627" s="183" t="n"/>
      <c r="G627" s="183" t="n"/>
      <c r="H627" s="183" t="n"/>
      <c r="I627" s="183" t="n"/>
      <c r="J627" s="183" t="n"/>
      <c r="K627" s="183" t="n"/>
      <c r="L627" s="183" t="n"/>
      <c r="M627" s="183" t="n"/>
      <c r="N627" s="183" t="n"/>
      <c r="O627" s="183" t="n"/>
      <c r="P627" s="183" t="n"/>
      <c r="Q627" s="183" t="n"/>
      <c r="R627" s="183" t="n"/>
      <c r="S627" s="183" t="n"/>
      <c r="T627" s="183" t="n"/>
      <c r="U627" s="183" t="n"/>
      <c r="V627" s="183" t="n"/>
      <c r="W627" s="183" t="n"/>
      <c r="X627" s="183" t="n"/>
      <c r="Y627" s="183" t="n"/>
      <c r="Z627" s="183" t="n"/>
      <c r="AA627" s="183" t="n"/>
    </row>
    <row r="628">
      <c r="A628" s="183" t="n"/>
      <c r="B628" s="183" t="n"/>
      <c r="C628" s="183" t="n"/>
      <c r="D628" s="183" t="n"/>
      <c r="E628" s="183" t="n"/>
      <c r="F628" s="183" t="n"/>
      <c r="G628" s="183" t="n"/>
      <c r="H628" s="183" t="n"/>
      <c r="I628" s="183" t="n"/>
      <c r="J628" s="183" t="n"/>
      <c r="K628" s="183" t="n"/>
      <c r="L628" s="183" t="n"/>
      <c r="M628" s="183" t="n"/>
      <c r="N628" s="183" t="n"/>
      <c r="O628" s="183" t="n"/>
      <c r="P628" s="183" t="n"/>
      <c r="Q628" s="183" t="n"/>
      <c r="R628" s="183" t="n"/>
      <c r="S628" s="183" t="n"/>
      <c r="T628" s="183" t="n"/>
      <c r="U628" s="183" t="n"/>
      <c r="V628" s="183" t="n"/>
      <c r="W628" s="183" t="n"/>
      <c r="X628" s="183" t="n"/>
      <c r="Y628" s="183" t="n"/>
      <c r="Z628" s="183" t="n"/>
      <c r="AA628" s="183" t="n"/>
    </row>
    <row r="629">
      <c r="A629" s="183" t="n"/>
      <c r="B629" s="183" t="n"/>
      <c r="C629" s="183" t="n"/>
      <c r="D629" s="183" t="n"/>
      <c r="E629" s="183" t="n"/>
      <c r="F629" s="183" t="n"/>
      <c r="G629" s="183" t="n"/>
      <c r="H629" s="183" t="n"/>
      <c r="I629" s="183" t="n"/>
      <c r="J629" s="183" t="n"/>
      <c r="K629" s="183" t="n"/>
      <c r="L629" s="183" t="n"/>
      <c r="M629" s="183" t="n"/>
      <c r="N629" s="183" t="n"/>
      <c r="O629" s="183" t="n"/>
      <c r="P629" s="183" t="n"/>
      <c r="Q629" s="183" t="n"/>
      <c r="R629" s="183" t="n"/>
      <c r="S629" s="183" t="n"/>
      <c r="T629" s="183" t="n"/>
      <c r="U629" s="183" t="n"/>
      <c r="V629" s="183" t="n"/>
      <c r="W629" s="183" t="n"/>
      <c r="X629" s="183" t="n"/>
      <c r="Y629" s="183" t="n"/>
      <c r="Z629" s="183" t="n"/>
      <c r="AA629" s="183" t="n"/>
    </row>
    <row r="630">
      <c r="A630" s="183" t="n"/>
      <c r="B630" s="183" t="n"/>
      <c r="C630" s="183" t="n"/>
      <c r="D630" s="183" t="n"/>
      <c r="E630" s="183" t="n"/>
      <c r="F630" s="183" t="n"/>
      <c r="G630" s="183" t="n"/>
      <c r="H630" s="183" t="n"/>
      <c r="I630" s="183" t="n"/>
      <c r="J630" s="183" t="n"/>
      <c r="K630" s="183" t="n"/>
      <c r="L630" s="183" t="n"/>
      <c r="M630" s="183" t="n"/>
      <c r="N630" s="183" t="n"/>
      <c r="O630" s="183" t="n"/>
      <c r="P630" s="183" t="n"/>
      <c r="Q630" s="183" t="n"/>
      <c r="R630" s="183" t="n"/>
      <c r="S630" s="183" t="n"/>
      <c r="T630" s="183" t="n"/>
      <c r="U630" s="183" t="n"/>
      <c r="V630" s="183" t="n"/>
      <c r="W630" s="183" t="n"/>
      <c r="X630" s="183" t="n"/>
      <c r="Y630" s="183" t="n"/>
      <c r="Z630" s="183" t="n"/>
      <c r="AA630" s="183" t="n"/>
    </row>
    <row r="631">
      <c r="A631" s="183" t="n"/>
      <c r="B631" s="183" t="n"/>
      <c r="C631" s="183" t="n"/>
      <c r="D631" s="183" t="n"/>
      <c r="E631" s="183" t="n"/>
      <c r="F631" s="183" t="n"/>
      <c r="G631" s="183" t="n"/>
      <c r="H631" s="183" t="n"/>
      <c r="I631" s="183" t="n"/>
      <c r="J631" s="183" t="n"/>
      <c r="K631" s="183" t="n"/>
      <c r="L631" s="183" t="n"/>
      <c r="M631" s="183" t="n"/>
      <c r="N631" s="183" t="n"/>
      <c r="O631" s="183" t="n"/>
      <c r="P631" s="183" t="n"/>
      <c r="Q631" s="183" t="n"/>
      <c r="R631" s="183" t="n"/>
      <c r="S631" s="183" t="n"/>
      <c r="T631" s="183" t="n"/>
      <c r="U631" s="183" t="n"/>
      <c r="V631" s="183" t="n"/>
      <c r="W631" s="183" t="n"/>
      <c r="X631" s="183" t="n"/>
      <c r="Y631" s="183" t="n"/>
      <c r="Z631" s="183" t="n"/>
      <c r="AA631" s="183" t="n"/>
    </row>
    <row r="632">
      <c r="A632" s="183" t="n"/>
      <c r="B632" s="183" t="n"/>
      <c r="C632" s="183" t="n"/>
      <c r="D632" s="183" t="n"/>
      <c r="E632" s="183" t="n"/>
      <c r="F632" s="183" t="n"/>
      <c r="G632" s="183" t="n"/>
      <c r="H632" s="183" t="n"/>
      <c r="I632" s="183" t="n"/>
      <c r="J632" s="183" t="n"/>
      <c r="K632" s="183" t="n"/>
      <c r="L632" s="183" t="n"/>
      <c r="M632" s="183" t="n"/>
      <c r="N632" s="183" t="n"/>
      <c r="O632" s="183" t="n"/>
      <c r="P632" s="183" t="n"/>
      <c r="Q632" s="183" t="n"/>
      <c r="R632" s="183" t="n"/>
      <c r="S632" s="183" t="n"/>
      <c r="T632" s="183" t="n"/>
      <c r="U632" s="183" t="n"/>
      <c r="V632" s="183" t="n"/>
      <c r="W632" s="183" t="n"/>
      <c r="X632" s="183" t="n"/>
      <c r="Y632" s="183" t="n"/>
      <c r="Z632" s="183" t="n"/>
      <c r="AA632" s="183" t="n"/>
    </row>
    <row r="633">
      <c r="A633" s="183" t="n"/>
      <c r="B633" s="183" t="n"/>
      <c r="C633" s="183" t="n"/>
      <c r="D633" s="183" t="n"/>
      <c r="E633" s="183" t="n"/>
      <c r="F633" s="183" t="n"/>
      <c r="G633" s="183" t="n"/>
      <c r="H633" s="183" t="n"/>
      <c r="I633" s="183" t="n"/>
      <c r="J633" s="183" t="n"/>
      <c r="K633" s="183" t="n"/>
      <c r="L633" s="183" t="n"/>
      <c r="M633" s="183" t="n"/>
      <c r="N633" s="183" t="n"/>
      <c r="O633" s="183" t="n"/>
      <c r="P633" s="183" t="n"/>
      <c r="Q633" s="183" t="n"/>
      <c r="R633" s="183" t="n"/>
      <c r="S633" s="183" t="n"/>
      <c r="T633" s="183" t="n"/>
      <c r="U633" s="183" t="n"/>
      <c r="V633" s="183" t="n"/>
      <c r="W633" s="183" t="n"/>
      <c r="X633" s="183" t="n"/>
      <c r="Y633" s="183" t="n"/>
      <c r="Z633" s="183" t="n"/>
      <c r="AA633" s="183" t="n"/>
    </row>
    <row r="634">
      <c r="A634" s="183" t="n"/>
      <c r="B634" s="183" t="n"/>
      <c r="C634" s="183" t="n"/>
      <c r="D634" s="183" t="n"/>
      <c r="E634" s="183" t="n"/>
      <c r="F634" s="183" t="n"/>
      <c r="G634" s="183" t="n"/>
      <c r="H634" s="183" t="n"/>
      <c r="I634" s="183" t="n"/>
      <c r="J634" s="183" t="n"/>
      <c r="K634" s="183" t="n"/>
      <c r="L634" s="183" t="n"/>
      <c r="M634" s="183" t="n"/>
      <c r="N634" s="183" t="n"/>
      <c r="O634" s="183" t="n"/>
      <c r="P634" s="183" t="n"/>
      <c r="Q634" s="183" t="n"/>
      <c r="R634" s="183" t="n"/>
      <c r="S634" s="183" t="n"/>
      <c r="T634" s="183" t="n"/>
      <c r="U634" s="183" t="n"/>
      <c r="V634" s="183" t="n"/>
      <c r="W634" s="183" t="n"/>
      <c r="X634" s="183" t="n"/>
      <c r="Y634" s="183" t="n"/>
      <c r="Z634" s="183" t="n"/>
      <c r="AA634" s="183" t="n"/>
    </row>
    <row r="635">
      <c r="A635" s="183" t="n"/>
      <c r="B635" s="183" t="n"/>
      <c r="C635" s="183" t="n"/>
      <c r="D635" s="183" t="n"/>
      <c r="E635" s="183" t="n"/>
      <c r="F635" s="183" t="n"/>
      <c r="G635" s="183" t="n"/>
      <c r="H635" s="183" t="n"/>
      <c r="I635" s="183" t="n"/>
      <c r="J635" s="183" t="n"/>
      <c r="K635" s="183" t="n"/>
      <c r="L635" s="183" t="n"/>
      <c r="M635" s="183" t="n"/>
      <c r="N635" s="183" t="n"/>
      <c r="O635" s="183" t="n"/>
      <c r="P635" s="183" t="n"/>
      <c r="Q635" s="183" t="n"/>
      <c r="R635" s="183" t="n"/>
      <c r="S635" s="183" t="n"/>
      <c r="T635" s="183" t="n"/>
      <c r="U635" s="183" t="n"/>
      <c r="V635" s="183" t="n"/>
      <c r="W635" s="183" t="n"/>
      <c r="X635" s="183" t="n"/>
      <c r="Y635" s="183" t="n"/>
      <c r="Z635" s="183" t="n"/>
      <c r="AA635" s="183" t="n"/>
    </row>
    <row r="636">
      <c r="A636" s="183" t="n"/>
      <c r="B636" s="183" t="n"/>
      <c r="C636" s="183" t="n"/>
      <c r="D636" s="183" t="n"/>
      <c r="E636" s="183" t="n"/>
      <c r="F636" s="183" t="n"/>
      <c r="G636" s="183" t="n"/>
      <c r="H636" s="183" t="n"/>
      <c r="I636" s="183" t="n"/>
      <c r="J636" s="183" t="n"/>
      <c r="K636" s="183" t="n"/>
      <c r="L636" s="183" t="n"/>
      <c r="M636" s="183" t="n"/>
      <c r="N636" s="183" t="n"/>
      <c r="O636" s="183" t="n"/>
      <c r="P636" s="183" t="n"/>
      <c r="Q636" s="183" t="n"/>
      <c r="R636" s="183" t="n"/>
      <c r="S636" s="183" t="n"/>
      <c r="T636" s="183" t="n"/>
      <c r="U636" s="183" t="n"/>
      <c r="V636" s="183" t="n"/>
      <c r="W636" s="183" t="n"/>
      <c r="X636" s="183" t="n"/>
      <c r="Y636" s="183" t="n"/>
      <c r="Z636" s="183" t="n"/>
      <c r="AA636" s="183" t="n"/>
    </row>
    <row r="637">
      <c r="A637" s="183" t="n"/>
      <c r="B637" s="183" t="n"/>
      <c r="C637" s="183" t="n"/>
      <c r="D637" s="183" t="n"/>
      <c r="E637" s="183" t="n"/>
      <c r="F637" s="183" t="n"/>
      <c r="G637" s="183" t="n"/>
      <c r="H637" s="183" t="n"/>
      <c r="I637" s="183" t="n"/>
      <c r="J637" s="183" t="n"/>
      <c r="K637" s="183" t="n"/>
      <c r="L637" s="183" t="n"/>
      <c r="M637" s="183" t="n"/>
      <c r="N637" s="183" t="n"/>
      <c r="O637" s="183" t="n"/>
      <c r="P637" s="183" t="n"/>
      <c r="Q637" s="183" t="n"/>
      <c r="R637" s="183" t="n"/>
      <c r="S637" s="183" t="n"/>
      <c r="T637" s="183" t="n"/>
      <c r="U637" s="183" t="n"/>
      <c r="V637" s="183" t="n"/>
      <c r="W637" s="183" t="n"/>
      <c r="X637" s="183" t="n"/>
      <c r="Y637" s="183" t="n"/>
      <c r="Z637" s="183" t="n"/>
      <c r="AA637" s="183" t="n"/>
    </row>
    <row r="638">
      <c r="A638" s="183" t="n"/>
      <c r="B638" s="183" t="n"/>
      <c r="C638" s="183" t="n"/>
      <c r="D638" s="183" t="n"/>
      <c r="E638" s="183" t="n"/>
      <c r="F638" s="183" t="n"/>
      <c r="G638" s="183" t="n"/>
      <c r="H638" s="183" t="n"/>
      <c r="I638" s="183" t="n"/>
      <c r="J638" s="183" t="n"/>
      <c r="K638" s="183" t="n"/>
      <c r="L638" s="183" t="n"/>
      <c r="M638" s="183" t="n"/>
      <c r="N638" s="183" t="n"/>
      <c r="O638" s="183" t="n"/>
      <c r="P638" s="183" t="n"/>
      <c r="Q638" s="183" t="n"/>
      <c r="R638" s="183" t="n"/>
      <c r="S638" s="183" t="n"/>
      <c r="T638" s="183" t="n"/>
      <c r="U638" s="183" t="n"/>
      <c r="V638" s="183" t="n"/>
      <c r="W638" s="183" t="n"/>
      <c r="X638" s="183" t="n"/>
      <c r="Y638" s="183" t="n"/>
      <c r="Z638" s="183" t="n"/>
      <c r="AA638" s="183" t="n"/>
    </row>
    <row r="639">
      <c r="A639" s="183" t="n"/>
      <c r="B639" s="183" t="n"/>
      <c r="C639" s="183" t="n"/>
      <c r="D639" s="183" t="n"/>
      <c r="E639" s="183" t="n"/>
      <c r="F639" s="183" t="n"/>
      <c r="G639" s="183" t="n"/>
      <c r="H639" s="183" t="n"/>
      <c r="I639" s="183" t="n"/>
      <c r="J639" s="183" t="n"/>
      <c r="K639" s="183" t="n"/>
      <c r="L639" s="183" t="n"/>
      <c r="M639" s="183" t="n"/>
      <c r="N639" s="183" t="n"/>
      <c r="O639" s="183" t="n"/>
      <c r="P639" s="183" t="n"/>
      <c r="Q639" s="183" t="n"/>
      <c r="R639" s="183" t="n"/>
      <c r="S639" s="183" t="n"/>
      <c r="T639" s="183" t="n"/>
      <c r="U639" s="183" t="n"/>
      <c r="V639" s="183" t="n"/>
      <c r="W639" s="183" t="n"/>
      <c r="X639" s="183" t="n"/>
      <c r="Y639" s="183" t="n"/>
      <c r="Z639" s="183" t="n"/>
      <c r="AA639" s="183" t="n"/>
    </row>
    <row r="640">
      <c r="A640" s="183" t="n"/>
      <c r="B640" s="183" t="n"/>
      <c r="C640" s="183" t="n"/>
      <c r="D640" s="183" t="n"/>
      <c r="E640" s="183" t="n"/>
      <c r="F640" s="183" t="n"/>
      <c r="G640" s="183" t="n"/>
      <c r="H640" s="183" t="n"/>
      <c r="I640" s="183" t="n"/>
      <c r="J640" s="183" t="n"/>
      <c r="K640" s="183" t="n"/>
      <c r="L640" s="183" t="n"/>
      <c r="M640" s="183" t="n"/>
      <c r="N640" s="183" t="n"/>
      <c r="O640" s="183" t="n"/>
      <c r="P640" s="183" t="n"/>
      <c r="Q640" s="183" t="n"/>
      <c r="R640" s="183" t="n"/>
      <c r="S640" s="183" t="n"/>
      <c r="T640" s="183" t="n"/>
      <c r="U640" s="183" t="n"/>
      <c r="V640" s="183" t="n"/>
      <c r="W640" s="183" t="n"/>
      <c r="X640" s="183" t="n"/>
      <c r="Y640" s="183" t="n"/>
      <c r="Z640" s="183" t="n"/>
      <c r="AA640" s="183" t="n"/>
    </row>
    <row r="641">
      <c r="A641" s="183" t="n"/>
      <c r="B641" s="183" t="n"/>
      <c r="C641" s="183" t="n"/>
      <c r="D641" s="183" t="n"/>
      <c r="E641" s="183" t="n"/>
      <c r="F641" s="183" t="n"/>
      <c r="G641" s="183" t="n"/>
      <c r="H641" s="183" t="n"/>
      <c r="I641" s="183" t="n"/>
      <c r="J641" s="183" t="n"/>
      <c r="K641" s="183" t="n"/>
      <c r="L641" s="183" t="n"/>
      <c r="M641" s="183" t="n"/>
      <c r="N641" s="183" t="n"/>
      <c r="O641" s="183" t="n"/>
      <c r="P641" s="183" t="n"/>
      <c r="Q641" s="183" t="n"/>
      <c r="R641" s="183" t="n"/>
      <c r="S641" s="183" t="n"/>
      <c r="T641" s="183" t="n"/>
      <c r="U641" s="183" t="n"/>
      <c r="V641" s="183" t="n"/>
      <c r="W641" s="183" t="n"/>
      <c r="X641" s="183" t="n"/>
      <c r="Y641" s="183" t="n"/>
      <c r="Z641" s="183" t="n"/>
      <c r="AA641" s="183" t="n"/>
    </row>
    <row r="642">
      <c r="A642" s="183" t="n"/>
      <c r="B642" s="183" t="n"/>
      <c r="C642" s="183" t="n"/>
      <c r="D642" s="183" t="n"/>
      <c r="E642" s="183" t="n"/>
      <c r="F642" s="183" t="n"/>
      <c r="G642" s="183" t="n"/>
      <c r="H642" s="183" t="n"/>
      <c r="I642" s="183" t="n"/>
      <c r="J642" s="183" t="n"/>
      <c r="K642" s="183" t="n"/>
      <c r="L642" s="183" t="n"/>
      <c r="M642" s="183" t="n"/>
      <c r="N642" s="183" t="n"/>
      <c r="O642" s="183" t="n"/>
      <c r="P642" s="183" t="n"/>
      <c r="Q642" s="183" t="n"/>
      <c r="R642" s="183" t="n"/>
      <c r="S642" s="183" t="n"/>
      <c r="T642" s="183" t="n"/>
      <c r="U642" s="183" t="n"/>
      <c r="V642" s="183" t="n"/>
      <c r="W642" s="183" t="n"/>
      <c r="X642" s="183" t="n"/>
      <c r="Y642" s="183" t="n"/>
      <c r="Z642" s="183" t="n"/>
      <c r="AA642" s="183" t="n"/>
    </row>
    <row r="643">
      <c r="A643" s="183" t="n"/>
      <c r="B643" s="183" t="n"/>
      <c r="C643" s="183" t="n"/>
      <c r="D643" s="183" t="n"/>
      <c r="E643" s="183" t="n"/>
      <c r="F643" s="183" t="n"/>
      <c r="G643" s="183" t="n"/>
      <c r="H643" s="183" t="n"/>
      <c r="I643" s="183" t="n"/>
      <c r="J643" s="183" t="n"/>
      <c r="K643" s="183" t="n"/>
      <c r="L643" s="183" t="n"/>
      <c r="M643" s="183" t="n"/>
      <c r="N643" s="183" t="n"/>
      <c r="O643" s="183" t="n"/>
      <c r="P643" s="183" t="n"/>
      <c r="Q643" s="183" t="n"/>
      <c r="R643" s="183" t="n"/>
      <c r="S643" s="183" t="n"/>
      <c r="T643" s="183" t="n"/>
      <c r="U643" s="183" t="n"/>
      <c r="V643" s="183" t="n"/>
      <c r="W643" s="183" t="n"/>
      <c r="X643" s="183" t="n"/>
      <c r="Y643" s="183" t="n"/>
      <c r="Z643" s="183" t="n"/>
      <c r="AA643" s="183" t="n"/>
    </row>
    <row r="644">
      <c r="A644" s="183" t="n"/>
      <c r="B644" s="183" t="n"/>
      <c r="C644" s="183" t="n"/>
      <c r="D644" s="183" t="n"/>
      <c r="E644" s="183" t="n"/>
      <c r="F644" s="183" t="n"/>
      <c r="G644" s="183" t="n"/>
      <c r="H644" s="183" t="n"/>
      <c r="I644" s="183" t="n"/>
      <c r="J644" s="183" t="n"/>
      <c r="K644" s="183" t="n"/>
      <c r="L644" s="183" t="n"/>
      <c r="M644" s="183" t="n"/>
      <c r="N644" s="183" t="n"/>
      <c r="O644" s="183" t="n"/>
      <c r="P644" s="183" t="n"/>
      <c r="Q644" s="183" t="n"/>
      <c r="R644" s="183" t="n"/>
      <c r="S644" s="183" t="n"/>
      <c r="T644" s="183" t="n"/>
      <c r="U644" s="183" t="n"/>
      <c r="V644" s="183" t="n"/>
      <c r="W644" s="183" t="n"/>
      <c r="X644" s="183" t="n"/>
      <c r="Y644" s="183" t="n"/>
      <c r="Z644" s="183" t="n"/>
      <c r="AA644" s="183" t="n"/>
    </row>
    <row r="645">
      <c r="A645" s="183" t="n"/>
      <c r="B645" s="183" t="n"/>
      <c r="C645" s="183" t="n"/>
      <c r="D645" s="183" t="n"/>
      <c r="E645" s="183" t="n"/>
      <c r="F645" s="183" t="n"/>
      <c r="G645" s="183" t="n"/>
      <c r="H645" s="183" t="n"/>
      <c r="I645" s="183" t="n"/>
      <c r="J645" s="183" t="n"/>
      <c r="K645" s="183" t="n"/>
      <c r="L645" s="183" t="n"/>
      <c r="M645" s="183" t="n"/>
      <c r="N645" s="183" t="n"/>
      <c r="O645" s="183" t="n"/>
      <c r="P645" s="183" t="n"/>
      <c r="Q645" s="183" t="n"/>
      <c r="R645" s="183" t="n"/>
      <c r="S645" s="183" t="n"/>
      <c r="T645" s="183" t="n"/>
      <c r="U645" s="183" t="n"/>
      <c r="V645" s="183" t="n"/>
      <c r="W645" s="183" t="n"/>
      <c r="X645" s="183" t="n"/>
      <c r="Y645" s="183" t="n"/>
      <c r="Z645" s="183" t="n"/>
      <c r="AA645" s="183" t="n"/>
    </row>
    <row r="646">
      <c r="A646" s="183" t="n"/>
      <c r="B646" s="183" t="n"/>
      <c r="C646" s="183" t="n"/>
      <c r="D646" s="183" t="n"/>
      <c r="E646" s="183" t="n"/>
      <c r="F646" s="183" t="n"/>
      <c r="G646" s="183" t="n"/>
      <c r="H646" s="183" t="n"/>
      <c r="I646" s="183" t="n"/>
      <c r="J646" s="183" t="n"/>
      <c r="K646" s="183" t="n"/>
      <c r="L646" s="183" t="n"/>
      <c r="M646" s="183" t="n"/>
      <c r="N646" s="183" t="n"/>
      <c r="O646" s="183" t="n"/>
      <c r="P646" s="183" t="n"/>
      <c r="Q646" s="183" t="n"/>
      <c r="R646" s="183" t="n"/>
      <c r="S646" s="183" t="n"/>
      <c r="T646" s="183" t="n"/>
      <c r="U646" s="183" t="n"/>
      <c r="V646" s="183" t="n"/>
      <c r="W646" s="183" t="n"/>
      <c r="X646" s="183" t="n"/>
      <c r="Y646" s="183" t="n"/>
      <c r="Z646" s="183" t="n"/>
      <c r="AA646" s="183" t="n"/>
    </row>
    <row r="647">
      <c r="A647" s="183" t="n"/>
      <c r="B647" s="183" t="n"/>
      <c r="C647" s="183" t="n"/>
      <c r="D647" s="183" t="n"/>
      <c r="E647" s="183" t="n"/>
      <c r="F647" s="183" t="n"/>
      <c r="G647" s="183" t="n"/>
      <c r="H647" s="183" t="n"/>
      <c r="I647" s="183" t="n"/>
      <c r="J647" s="183" t="n"/>
      <c r="K647" s="183" t="n"/>
      <c r="L647" s="183" t="n"/>
      <c r="M647" s="183" t="n"/>
      <c r="N647" s="183" t="n"/>
      <c r="O647" s="183" t="n"/>
      <c r="P647" s="183" t="n"/>
      <c r="Q647" s="183" t="n"/>
      <c r="R647" s="183" t="n"/>
      <c r="S647" s="183" t="n"/>
      <c r="T647" s="183" t="n"/>
      <c r="U647" s="183" t="n"/>
      <c r="V647" s="183" t="n"/>
      <c r="W647" s="183" t="n"/>
      <c r="X647" s="183" t="n"/>
      <c r="Y647" s="183" t="n"/>
      <c r="Z647" s="183" t="n"/>
      <c r="AA647" s="183" t="n"/>
    </row>
    <row r="648">
      <c r="A648" s="183" t="n"/>
      <c r="B648" s="183" t="n"/>
      <c r="C648" s="183" t="n"/>
      <c r="D648" s="183" t="n"/>
      <c r="E648" s="183" t="n"/>
      <c r="F648" s="183" t="n"/>
      <c r="G648" s="183" t="n"/>
      <c r="H648" s="183" t="n"/>
      <c r="I648" s="183" t="n"/>
      <c r="J648" s="183" t="n"/>
      <c r="K648" s="183" t="n"/>
      <c r="L648" s="183" t="n"/>
      <c r="M648" s="183" t="n"/>
      <c r="N648" s="183" t="n"/>
      <c r="O648" s="183" t="n"/>
      <c r="P648" s="183" t="n"/>
      <c r="Q648" s="183" t="n"/>
      <c r="R648" s="183" t="n"/>
      <c r="S648" s="183" t="n"/>
      <c r="T648" s="183" t="n"/>
      <c r="U648" s="183" t="n"/>
      <c r="V648" s="183" t="n"/>
      <c r="W648" s="183" t="n"/>
      <c r="X648" s="183" t="n"/>
      <c r="Y648" s="183" t="n"/>
      <c r="Z648" s="183" t="n"/>
      <c r="AA648" s="183" t="n"/>
    </row>
    <row r="649">
      <c r="A649" s="183" t="n"/>
      <c r="B649" s="183" t="n"/>
      <c r="C649" s="183" t="n"/>
      <c r="D649" s="183" t="n"/>
      <c r="E649" s="183" t="n"/>
      <c r="F649" s="183" t="n"/>
      <c r="G649" s="183" t="n"/>
      <c r="H649" s="183" t="n"/>
      <c r="I649" s="183" t="n"/>
      <c r="J649" s="183" t="n"/>
      <c r="K649" s="183" t="n"/>
      <c r="L649" s="183" t="n"/>
      <c r="M649" s="183" t="n"/>
      <c r="N649" s="183" t="n"/>
      <c r="O649" s="183" t="n"/>
      <c r="P649" s="183" t="n"/>
      <c r="Q649" s="183" t="n"/>
      <c r="R649" s="183" t="n"/>
      <c r="S649" s="183" t="n"/>
      <c r="T649" s="183" t="n"/>
      <c r="U649" s="183" t="n"/>
      <c r="V649" s="183" t="n"/>
      <c r="W649" s="183" t="n"/>
      <c r="X649" s="183" t="n"/>
      <c r="Y649" s="183" t="n"/>
      <c r="Z649" s="183" t="n"/>
      <c r="AA649" s="183" t="n"/>
    </row>
    <row r="650">
      <c r="A650" s="183" t="n"/>
      <c r="B650" s="183" t="n"/>
      <c r="C650" s="183" t="n"/>
      <c r="D650" s="183" t="n"/>
      <c r="E650" s="183" t="n"/>
      <c r="F650" s="183" t="n"/>
      <c r="G650" s="183" t="n"/>
      <c r="H650" s="183" t="n"/>
      <c r="I650" s="183" t="n"/>
      <c r="J650" s="183" t="n"/>
      <c r="K650" s="183" t="n"/>
      <c r="L650" s="183" t="n"/>
      <c r="M650" s="183" t="n"/>
      <c r="N650" s="183" t="n"/>
      <c r="O650" s="183" t="n"/>
      <c r="P650" s="183" t="n"/>
      <c r="Q650" s="183" t="n"/>
      <c r="R650" s="183" t="n"/>
      <c r="S650" s="183" t="n"/>
      <c r="T650" s="183" t="n"/>
      <c r="U650" s="183" t="n"/>
      <c r="V650" s="183" t="n"/>
      <c r="W650" s="183" t="n"/>
      <c r="X650" s="183" t="n"/>
      <c r="Y650" s="183" t="n"/>
      <c r="Z650" s="183" t="n"/>
      <c r="AA650" s="183" t="n"/>
    </row>
    <row r="651">
      <c r="A651" s="183" t="n"/>
      <c r="B651" s="183" t="n"/>
      <c r="C651" s="183" t="n"/>
      <c r="D651" s="183" t="n"/>
      <c r="E651" s="183" t="n"/>
      <c r="F651" s="183" t="n"/>
      <c r="G651" s="183" t="n"/>
      <c r="H651" s="183" t="n"/>
      <c r="I651" s="183" t="n"/>
      <c r="J651" s="183" t="n"/>
      <c r="K651" s="183" t="n"/>
      <c r="L651" s="183" t="n"/>
      <c r="M651" s="183" t="n"/>
      <c r="N651" s="183" t="n"/>
      <c r="O651" s="183" t="n"/>
      <c r="P651" s="183" t="n"/>
      <c r="Q651" s="183" t="n"/>
      <c r="R651" s="183" t="n"/>
      <c r="S651" s="183" t="n"/>
      <c r="T651" s="183" t="n"/>
      <c r="U651" s="183" t="n"/>
      <c r="V651" s="183" t="n"/>
      <c r="W651" s="183" t="n"/>
      <c r="X651" s="183" t="n"/>
      <c r="Y651" s="183" t="n"/>
      <c r="Z651" s="183" t="n"/>
      <c r="AA651" s="183" t="n"/>
    </row>
    <row r="652">
      <c r="A652" s="183" t="n"/>
      <c r="B652" s="183" t="n"/>
      <c r="C652" s="183" t="n"/>
      <c r="D652" s="183" t="n"/>
      <c r="E652" s="183" t="n"/>
      <c r="F652" s="183" t="n"/>
      <c r="G652" s="183" t="n"/>
      <c r="H652" s="183" t="n"/>
      <c r="I652" s="183" t="n"/>
      <c r="J652" s="183" t="n"/>
      <c r="K652" s="183" t="n"/>
      <c r="L652" s="183" t="n"/>
      <c r="M652" s="183" t="n"/>
      <c r="N652" s="183" t="n"/>
      <c r="O652" s="183" t="n"/>
      <c r="P652" s="183" t="n"/>
      <c r="Q652" s="183" t="n"/>
      <c r="R652" s="183" t="n"/>
      <c r="S652" s="183" t="n"/>
      <c r="T652" s="183" t="n"/>
      <c r="U652" s="183" t="n"/>
      <c r="V652" s="183" t="n"/>
      <c r="W652" s="183" t="n"/>
      <c r="X652" s="183" t="n"/>
      <c r="Y652" s="183" t="n"/>
      <c r="Z652" s="183" t="n"/>
      <c r="AA652" s="183" t="n"/>
    </row>
    <row r="653">
      <c r="A653" s="183" t="n"/>
      <c r="B653" s="183" t="n"/>
      <c r="C653" s="183" t="n"/>
      <c r="D653" s="183" t="n"/>
      <c r="E653" s="183" t="n"/>
      <c r="F653" s="183" t="n"/>
      <c r="G653" s="183" t="n"/>
      <c r="H653" s="183" t="n"/>
      <c r="I653" s="183" t="n"/>
      <c r="J653" s="183" t="n"/>
      <c r="K653" s="183" t="n"/>
      <c r="L653" s="183" t="n"/>
      <c r="M653" s="183" t="n"/>
      <c r="N653" s="183" t="n"/>
      <c r="O653" s="183" t="n"/>
      <c r="P653" s="183" t="n"/>
      <c r="Q653" s="183" t="n"/>
      <c r="R653" s="183" t="n"/>
      <c r="S653" s="183" t="n"/>
      <c r="T653" s="183" t="n"/>
      <c r="U653" s="183" t="n"/>
      <c r="V653" s="183" t="n"/>
      <c r="W653" s="183" t="n"/>
      <c r="X653" s="183" t="n"/>
      <c r="Y653" s="183" t="n"/>
      <c r="Z653" s="183" t="n"/>
      <c r="AA653" s="183" t="n"/>
    </row>
    <row r="654">
      <c r="A654" s="183" t="n"/>
      <c r="B654" s="183" t="n"/>
      <c r="C654" s="183" t="n"/>
      <c r="D654" s="183" t="n"/>
      <c r="E654" s="183" t="n"/>
      <c r="F654" s="183" t="n"/>
      <c r="G654" s="183" t="n"/>
      <c r="H654" s="183" t="n"/>
      <c r="I654" s="183" t="n"/>
      <c r="J654" s="183" t="n"/>
      <c r="K654" s="183" t="n"/>
      <c r="L654" s="183" t="n"/>
      <c r="M654" s="183" t="n"/>
      <c r="N654" s="183" t="n"/>
      <c r="O654" s="183" t="n"/>
      <c r="P654" s="183" t="n"/>
      <c r="Q654" s="183" t="n"/>
      <c r="R654" s="183" t="n"/>
      <c r="S654" s="183" t="n"/>
      <c r="T654" s="183" t="n"/>
      <c r="U654" s="183" t="n"/>
      <c r="V654" s="183" t="n"/>
      <c r="W654" s="183" t="n"/>
      <c r="X654" s="183" t="n"/>
      <c r="Y654" s="183" t="n"/>
      <c r="Z654" s="183" t="n"/>
      <c r="AA654" s="183" t="n"/>
    </row>
    <row r="655">
      <c r="A655" s="183" t="n"/>
      <c r="B655" s="183" t="n"/>
      <c r="C655" s="183" t="n"/>
      <c r="D655" s="183" t="n"/>
      <c r="E655" s="183" t="n"/>
      <c r="F655" s="183" t="n"/>
      <c r="G655" s="183" t="n"/>
      <c r="H655" s="183" t="n"/>
      <c r="I655" s="183" t="n"/>
      <c r="J655" s="183" t="n"/>
      <c r="K655" s="183" t="n"/>
      <c r="L655" s="183" t="n"/>
      <c r="M655" s="183" t="n"/>
      <c r="N655" s="183" t="n"/>
      <c r="O655" s="183" t="n"/>
      <c r="P655" s="183" t="n"/>
      <c r="Q655" s="183" t="n"/>
      <c r="R655" s="183" t="n"/>
      <c r="S655" s="183" t="n"/>
      <c r="T655" s="183" t="n"/>
      <c r="U655" s="183" t="n"/>
      <c r="V655" s="183" t="n"/>
      <c r="W655" s="183" t="n"/>
      <c r="X655" s="183" t="n"/>
      <c r="Y655" s="183" t="n"/>
      <c r="Z655" s="183" t="n"/>
      <c r="AA655" s="183" t="n"/>
    </row>
    <row r="656">
      <c r="A656" s="183" t="n"/>
      <c r="B656" s="183" t="n"/>
      <c r="C656" s="183" t="n"/>
      <c r="D656" s="183" t="n"/>
      <c r="E656" s="183" t="n"/>
      <c r="F656" s="183" t="n"/>
      <c r="G656" s="183" t="n"/>
      <c r="H656" s="183" t="n"/>
      <c r="I656" s="183" t="n"/>
      <c r="J656" s="183" t="n"/>
      <c r="K656" s="183" t="n"/>
      <c r="L656" s="183" t="n"/>
      <c r="M656" s="183" t="n"/>
      <c r="N656" s="183" t="n"/>
      <c r="O656" s="183" t="n"/>
      <c r="P656" s="183" t="n"/>
      <c r="Q656" s="183" t="n"/>
      <c r="R656" s="183" t="n"/>
      <c r="S656" s="183" t="n"/>
      <c r="T656" s="183" t="n"/>
      <c r="U656" s="183" t="n"/>
      <c r="V656" s="183" t="n"/>
      <c r="W656" s="183" t="n"/>
      <c r="X656" s="183" t="n"/>
      <c r="Y656" s="183" t="n"/>
      <c r="Z656" s="183" t="n"/>
      <c r="AA656" s="183" t="n"/>
    </row>
    <row r="657">
      <c r="A657" s="183" t="n"/>
      <c r="B657" s="183" t="n"/>
      <c r="C657" s="183" t="n"/>
      <c r="D657" s="183" t="n"/>
      <c r="E657" s="183" t="n"/>
      <c r="F657" s="183" t="n"/>
      <c r="G657" s="183" t="n"/>
      <c r="H657" s="183" t="n"/>
      <c r="I657" s="183" t="n"/>
      <c r="J657" s="183" t="n"/>
      <c r="K657" s="183" t="n"/>
      <c r="L657" s="183" t="n"/>
      <c r="M657" s="183" t="n"/>
      <c r="N657" s="183" t="n"/>
      <c r="O657" s="183" t="n"/>
      <c r="P657" s="183" t="n"/>
      <c r="Q657" s="183" t="n"/>
      <c r="R657" s="183" t="n"/>
      <c r="S657" s="183" t="n"/>
      <c r="T657" s="183" t="n"/>
      <c r="U657" s="183" t="n"/>
      <c r="V657" s="183" t="n"/>
      <c r="W657" s="183" t="n"/>
      <c r="X657" s="183" t="n"/>
      <c r="Y657" s="183" t="n"/>
      <c r="Z657" s="183" t="n"/>
      <c r="AA657" s="183" t="n"/>
    </row>
    <row r="658">
      <c r="A658" s="183" t="n"/>
      <c r="B658" s="183" t="n"/>
      <c r="C658" s="183" t="n"/>
      <c r="D658" s="183" t="n"/>
      <c r="E658" s="183" t="n"/>
      <c r="F658" s="183" t="n"/>
      <c r="G658" s="183" t="n"/>
      <c r="H658" s="183" t="n"/>
      <c r="I658" s="183" t="n"/>
      <c r="J658" s="183" t="n"/>
      <c r="K658" s="183" t="n"/>
      <c r="L658" s="183" t="n"/>
      <c r="M658" s="183" t="n"/>
      <c r="N658" s="183" t="n"/>
      <c r="O658" s="183" t="n"/>
      <c r="P658" s="183" t="n"/>
      <c r="Q658" s="183" t="n"/>
      <c r="R658" s="183" t="n"/>
      <c r="S658" s="183" t="n"/>
      <c r="T658" s="183" t="n"/>
      <c r="U658" s="183" t="n"/>
      <c r="V658" s="183" t="n"/>
      <c r="W658" s="183" t="n"/>
      <c r="X658" s="183" t="n"/>
      <c r="Y658" s="183" t="n"/>
      <c r="Z658" s="183" t="n"/>
      <c r="AA658" s="183" t="n"/>
    </row>
    <row r="659">
      <c r="A659" s="183" t="n"/>
      <c r="B659" s="183" t="n"/>
      <c r="C659" s="183" t="n"/>
      <c r="D659" s="183" t="n"/>
      <c r="E659" s="183" t="n"/>
      <c r="F659" s="183" t="n"/>
      <c r="G659" s="183" t="n"/>
      <c r="H659" s="183" t="n"/>
      <c r="I659" s="183" t="n"/>
      <c r="J659" s="183" t="n"/>
      <c r="K659" s="183" t="n"/>
      <c r="L659" s="183" t="n"/>
      <c r="M659" s="183" t="n"/>
      <c r="N659" s="183" t="n"/>
      <c r="O659" s="183" t="n"/>
      <c r="P659" s="183" t="n"/>
      <c r="Q659" s="183" t="n"/>
      <c r="R659" s="183" t="n"/>
      <c r="S659" s="183" t="n"/>
      <c r="T659" s="183" t="n"/>
      <c r="U659" s="183" t="n"/>
      <c r="V659" s="183" t="n"/>
      <c r="W659" s="183" t="n"/>
      <c r="X659" s="183" t="n"/>
      <c r="Y659" s="183" t="n"/>
      <c r="Z659" s="183" t="n"/>
      <c r="AA659" s="183" t="n"/>
    </row>
    <row r="660">
      <c r="A660" s="183" t="n"/>
      <c r="B660" s="183" t="n"/>
      <c r="C660" s="183" t="n"/>
      <c r="D660" s="183" t="n"/>
      <c r="E660" s="183" t="n"/>
      <c r="F660" s="183" t="n"/>
      <c r="G660" s="183" t="n"/>
      <c r="H660" s="183" t="n"/>
      <c r="I660" s="183" t="n"/>
      <c r="J660" s="183" t="n"/>
      <c r="K660" s="183" t="n"/>
      <c r="L660" s="183" t="n"/>
      <c r="M660" s="183" t="n"/>
      <c r="N660" s="183" t="n"/>
      <c r="O660" s="183" t="n"/>
      <c r="P660" s="183" t="n"/>
      <c r="Q660" s="183" t="n"/>
      <c r="R660" s="183" t="n"/>
      <c r="S660" s="183" t="n"/>
      <c r="T660" s="183" t="n"/>
      <c r="U660" s="183" t="n"/>
      <c r="V660" s="183" t="n"/>
      <c r="W660" s="183" t="n"/>
      <c r="X660" s="183" t="n"/>
      <c r="Y660" s="183" t="n"/>
      <c r="Z660" s="183" t="n"/>
      <c r="AA660" s="183" t="n"/>
    </row>
    <row r="661">
      <c r="A661" s="183" t="n"/>
      <c r="B661" s="183" t="n"/>
      <c r="C661" s="183" t="n"/>
      <c r="D661" s="183" t="n"/>
      <c r="E661" s="183" t="n"/>
      <c r="F661" s="183" t="n"/>
      <c r="G661" s="183" t="n"/>
      <c r="H661" s="183" t="n"/>
      <c r="I661" s="183" t="n"/>
      <c r="J661" s="183" t="n"/>
      <c r="K661" s="183" t="n"/>
      <c r="L661" s="183" t="n"/>
      <c r="M661" s="183" t="n"/>
      <c r="N661" s="183" t="n"/>
      <c r="O661" s="183" t="n"/>
      <c r="P661" s="183" t="n"/>
      <c r="Q661" s="183" t="n"/>
      <c r="R661" s="183" t="n"/>
      <c r="S661" s="183" t="n"/>
      <c r="T661" s="183" t="n"/>
      <c r="U661" s="183" t="n"/>
      <c r="V661" s="183" t="n"/>
      <c r="W661" s="183" t="n"/>
      <c r="X661" s="183" t="n"/>
      <c r="Y661" s="183" t="n"/>
      <c r="Z661" s="183" t="n"/>
      <c r="AA661" s="183" t="n"/>
    </row>
    <row r="662">
      <c r="A662" s="183" t="n"/>
      <c r="B662" s="183" t="n"/>
      <c r="C662" s="183" t="n"/>
      <c r="D662" s="183" t="n"/>
      <c r="E662" s="183" t="n"/>
      <c r="F662" s="183" t="n"/>
      <c r="G662" s="183" t="n"/>
      <c r="H662" s="183" t="n"/>
      <c r="I662" s="183" t="n"/>
      <c r="J662" s="183" t="n"/>
      <c r="K662" s="183" t="n"/>
      <c r="L662" s="183" t="n"/>
      <c r="M662" s="183" t="n"/>
      <c r="N662" s="183" t="n"/>
      <c r="O662" s="183" t="n"/>
      <c r="P662" s="183" t="n"/>
      <c r="Q662" s="183" t="n"/>
      <c r="R662" s="183" t="n"/>
      <c r="S662" s="183" t="n"/>
      <c r="T662" s="183" t="n"/>
      <c r="U662" s="183" t="n"/>
      <c r="V662" s="183" t="n"/>
      <c r="W662" s="183" t="n"/>
      <c r="X662" s="183" t="n"/>
      <c r="Y662" s="183" t="n"/>
      <c r="Z662" s="183" t="n"/>
      <c r="AA662" s="183" t="n"/>
    </row>
    <row r="663">
      <c r="A663" s="183" t="n"/>
      <c r="B663" s="183" t="n"/>
      <c r="C663" s="183" t="n"/>
      <c r="D663" s="183" t="n"/>
      <c r="E663" s="183" t="n"/>
      <c r="F663" s="183" t="n"/>
      <c r="G663" s="183" t="n"/>
      <c r="H663" s="183" t="n"/>
      <c r="I663" s="183" t="n"/>
      <c r="J663" s="183" t="n"/>
      <c r="K663" s="183" t="n"/>
      <c r="L663" s="183" t="n"/>
      <c r="M663" s="183" t="n"/>
      <c r="N663" s="183" t="n"/>
      <c r="O663" s="183" t="n"/>
      <c r="P663" s="183" t="n"/>
      <c r="Q663" s="183" t="n"/>
      <c r="R663" s="183" t="n"/>
      <c r="S663" s="183" t="n"/>
      <c r="T663" s="183" t="n"/>
      <c r="U663" s="183" t="n"/>
      <c r="V663" s="183" t="n"/>
      <c r="W663" s="183" t="n"/>
      <c r="X663" s="183" t="n"/>
      <c r="Y663" s="183" t="n"/>
      <c r="Z663" s="183" t="n"/>
      <c r="AA663" s="183" t="n"/>
    </row>
    <row r="664">
      <c r="A664" s="183" t="n"/>
      <c r="B664" s="183" t="n"/>
      <c r="C664" s="183" t="n"/>
      <c r="D664" s="183" t="n"/>
      <c r="E664" s="183" t="n"/>
      <c r="F664" s="183" t="n"/>
      <c r="G664" s="183" t="n"/>
      <c r="H664" s="183" t="n"/>
      <c r="I664" s="183" t="n"/>
      <c r="J664" s="183" t="n"/>
      <c r="K664" s="183" t="n"/>
      <c r="L664" s="183" t="n"/>
      <c r="M664" s="183" t="n"/>
      <c r="N664" s="183" t="n"/>
      <c r="O664" s="183" t="n"/>
      <c r="P664" s="183" t="n"/>
      <c r="Q664" s="183" t="n"/>
      <c r="R664" s="183" t="n"/>
      <c r="S664" s="183" t="n"/>
      <c r="T664" s="183" t="n"/>
      <c r="U664" s="183" t="n"/>
      <c r="V664" s="183" t="n"/>
      <c r="W664" s="183" t="n"/>
      <c r="X664" s="183" t="n"/>
      <c r="Y664" s="183" t="n"/>
      <c r="Z664" s="183" t="n"/>
      <c r="AA664" s="183" t="n"/>
    </row>
    <row r="665">
      <c r="A665" s="183" t="n"/>
      <c r="B665" s="183" t="n"/>
      <c r="C665" s="183" t="n"/>
      <c r="D665" s="183" t="n"/>
      <c r="E665" s="183" t="n"/>
      <c r="F665" s="183" t="n"/>
      <c r="G665" s="183" t="n"/>
      <c r="H665" s="183" t="n"/>
      <c r="I665" s="183" t="n"/>
      <c r="J665" s="183" t="n"/>
      <c r="K665" s="183" t="n"/>
      <c r="L665" s="183" t="n"/>
      <c r="M665" s="183" t="n"/>
      <c r="N665" s="183" t="n"/>
      <c r="O665" s="183" t="n"/>
      <c r="P665" s="183" t="n"/>
      <c r="Q665" s="183" t="n"/>
      <c r="R665" s="183" t="n"/>
      <c r="S665" s="183" t="n"/>
      <c r="T665" s="183" t="n"/>
      <c r="U665" s="183" t="n"/>
      <c r="V665" s="183" t="n"/>
      <c r="W665" s="183" t="n"/>
      <c r="X665" s="183" t="n"/>
      <c r="Y665" s="183" t="n"/>
      <c r="Z665" s="183" t="n"/>
      <c r="AA665" s="183" t="n"/>
    </row>
    <row r="666">
      <c r="A666" s="183" t="n"/>
      <c r="B666" s="183" t="n"/>
      <c r="C666" s="183" t="n"/>
      <c r="D666" s="183" t="n"/>
      <c r="E666" s="183" t="n"/>
      <c r="F666" s="183" t="n"/>
      <c r="G666" s="183" t="n"/>
      <c r="H666" s="183" t="n"/>
      <c r="I666" s="183" t="n"/>
      <c r="J666" s="183" t="n"/>
      <c r="K666" s="183" t="n"/>
      <c r="L666" s="183" t="n"/>
      <c r="M666" s="183" t="n"/>
      <c r="N666" s="183" t="n"/>
      <c r="O666" s="183" t="n"/>
      <c r="P666" s="183" t="n"/>
      <c r="Q666" s="183" t="n"/>
      <c r="R666" s="183" t="n"/>
      <c r="S666" s="183" t="n"/>
      <c r="T666" s="183" t="n"/>
      <c r="U666" s="183" t="n"/>
      <c r="V666" s="183" t="n"/>
      <c r="W666" s="183" t="n"/>
      <c r="X666" s="183" t="n"/>
      <c r="Y666" s="183" t="n"/>
      <c r="Z666" s="183" t="n"/>
      <c r="AA666" s="183" t="n"/>
    </row>
    <row r="667">
      <c r="A667" s="183" t="n"/>
      <c r="B667" s="183" t="n"/>
      <c r="C667" s="183" t="n"/>
      <c r="D667" s="183" t="n"/>
      <c r="E667" s="183" t="n"/>
      <c r="F667" s="183" t="n"/>
      <c r="G667" s="183" t="n"/>
      <c r="H667" s="183" t="n"/>
      <c r="I667" s="183" t="n"/>
      <c r="J667" s="183" t="n"/>
      <c r="K667" s="183" t="n"/>
      <c r="L667" s="183" t="n"/>
      <c r="M667" s="183" t="n"/>
      <c r="N667" s="183" t="n"/>
      <c r="O667" s="183" t="n"/>
      <c r="P667" s="183" t="n"/>
      <c r="Q667" s="183" t="n"/>
      <c r="R667" s="183" t="n"/>
      <c r="S667" s="183" t="n"/>
      <c r="T667" s="183" t="n"/>
      <c r="U667" s="183" t="n"/>
      <c r="V667" s="183" t="n"/>
      <c r="W667" s="183" t="n"/>
      <c r="X667" s="183" t="n"/>
      <c r="Y667" s="183" t="n"/>
      <c r="Z667" s="183" t="n"/>
      <c r="AA667" s="183" t="n"/>
    </row>
    <row r="668">
      <c r="A668" s="183" t="n"/>
      <c r="B668" s="183" t="n"/>
      <c r="C668" s="183" t="n"/>
      <c r="D668" s="183" t="n"/>
      <c r="E668" s="183" t="n"/>
      <c r="F668" s="183" t="n"/>
      <c r="G668" s="183" t="n"/>
      <c r="H668" s="183" t="n"/>
      <c r="I668" s="183" t="n"/>
      <c r="J668" s="183" t="n"/>
      <c r="K668" s="183" t="n"/>
      <c r="L668" s="183" t="n"/>
      <c r="M668" s="183" t="n"/>
      <c r="N668" s="183" t="n"/>
      <c r="O668" s="183" t="n"/>
      <c r="P668" s="183" t="n"/>
      <c r="Q668" s="183" t="n"/>
      <c r="R668" s="183" t="n"/>
      <c r="S668" s="183" t="n"/>
      <c r="T668" s="183" t="n"/>
      <c r="U668" s="183" t="n"/>
      <c r="V668" s="183" t="n"/>
      <c r="W668" s="183" t="n"/>
      <c r="X668" s="183" t="n"/>
      <c r="Y668" s="183" t="n"/>
      <c r="Z668" s="183" t="n"/>
      <c r="AA668" s="183" t="n"/>
    </row>
    <row r="669">
      <c r="A669" s="183" t="n"/>
      <c r="B669" s="183" t="n"/>
      <c r="C669" s="183" t="n"/>
      <c r="D669" s="183" t="n"/>
      <c r="E669" s="183" t="n"/>
      <c r="F669" s="183" t="n"/>
      <c r="G669" s="183" t="n"/>
      <c r="H669" s="183" t="n"/>
      <c r="I669" s="183" t="n"/>
      <c r="J669" s="183" t="n"/>
      <c r="K669" s="183" t="n"/>
      <c r="L669" s="183" t="n"/>
      <c r="M669" s="183" t="n"/>
      <c r="N669" s="183" t="n"/>
      <c r="O669" s="183" t="n"/>
      <c r="P669" s="183" t="n"/>
      <c r="Q669" s="183" t="n"/>
      <c r="R669" s="183" t="n"/>
      <c r="S669" s="183" t="n"/>
      <c r="T669" s="183" t="n"/>
      <c r="U669" s="183" t="n"/>
      <c r="V669" s="183" t="n"/>
      <c r="W669" s="183" t="n"/>
      <c r="X669" s="183" t="n"/>
      <c r="Y669" s="183" t="n"/>
      <c r="Z669" s="183" t="n"/>
      <c r="AA669" s="183" t="n"/>
    </row>
    <row r="670">
      <c r="A670" s="183" t="n"/>
      <c r="B670" s="183" t="n"/>
      <c r="C670" s="183" t="n"/>
      <c r="D670" s="183" t="n"/>
      <c r="E670" s="183" t="n"/>
      <c r="F670" s="183" t="n"/>
      <c r="G670" s="183" t="n"/>
      <c r="H670" s="183" t="n"/>
      <c r="I670" s="183" t="n"/>
      <c r="J670" s="183" t="n"/>
      <c r="K670" s="183" t="n"/>
      <c r="L670" s="183" t="n"/>
      <c r="M670" s="183" t="n"/>
      <c r="N670" s="183" t="n"/>
      <c r="O670" s="183" t="n"/>
      <c r="P670" s="183" t="n"/>
      <c r="Q670" s="183" t="n"/>
      <c r="R670" s="183" t="n"/>
      <c r="S670" s="183" t="n"/>
      <c r="T670" s="183" t="n"/>
      <c r="U670" s="183" t="n"/>
      <c r="V670" s="183" t="n"/>
      <c r="W670" s="183" t="n"/>
      <c r="X670" s="183" t="n"/>
      <c r="Y670" s="183" t="n"/>
      <c r="Z670" s="183" t="n"/>
      <c r="AA670" s="183" t="n"/>
    </row>
    <row r="671">
      <c r="A671" s="183" t="n"/>
      <c r="B671" s="183" t="n"/>
      <c r="C671" s="183" t="n"/>
      <c r="D671" s="183" t="n"/>
      <c r="E671" s="183" t="n"/>
      <c r="F671" s="183" t="n"/>
      <c r="G671" s="183" t="n"/>
      <c r="H671" s="183" t="n"/>
      <c r="I671" s="183" t="n"/>
      <c r="J671" s="183" t="n"/>
      <c r="K671" s="183" t="n"/>
      <c r="L671" s="183" t="n"/>
      <c r="M671" s="183" t="n"/>
      <c r="N671" s="183" t="n"/>
      <c r="O671" s="183" t="n"/>
      <c r="P671" s="183" t="n"/>
      <c r="Q671" s="183" t="n"/>
      <c r="R671" s="183" t="n"/>
      <c r="S671" s="183" t="n"/>
      <c r="T671" s="183" t="n"/>
      <c r="U671" s="183" t="n"/>
      <c r="V671" s="183" t="n"/>
      <c r="W671" s="183" t="n"/>
      <c r="X671" s="183" t="n"/>
      <c r="Y671" s="183" t="n"/>
      <c r="Z671" s="183" t="n"/>
      <c r="AA671" s="183" t="n"/>
    </row>
    <row r="672">
      <c r="A672" s="183" t="n"/>
      <c r="B672" s="183" t="n"/>
      <c r="C672" s="183" t="n"/>
      <c r="D672" s="183" t="n"/>
      <c r="E672" s="183" t="n"/>
      <c r="F672" s="183" t="n"/>
      <c r="G672" s="183" t="n"/>
      <c r="H672" s="183" t="n"/>
      <c r="I672" s="183" t="n"/>
      <c r="J672" s="183" t="n"/>
      <c r="K672" s="183" t="n"/>
      <c r="L672" s="183" t="n"/>
      <c r="M672" s="183" t="n"/>
      <c r="N672" s="183" t="n"/>
      <c r="O672" s="183" t="n"/>
      <c r="P672" s="183" t="n"/>
      <c r="Q672" s="183" t="n"/>
      <c r="R672" s="183" t="n"/>
      <c r="S672" s="183" t="n"/>
      <c r="T672" s="183" t="n"/>
      <c r="U672" s="183" t="n"/>
      <c r="V672" s="183" t="n"/>
      <c r="W672" s="183" t="n"/>
      <c r="X672" s="183" t="n"/>
      <c r="Y672" s="183" t="n"/>
      <c r="Z672" s="183" t="n"/>
      <c r="AA672" s="183" t="n"/>
    </row>
    <row r="673">
      <c r="A673" s="183" t="n"/>
      <c r="B673" s="183" t="n"/>
      <c r="C673" s="183" t="n"/>
      <c r="D673" s="183" t="n"/>
      <c r="E673" s="183" t="n"/>
      <c r="F673" s="183" t="n"/>
      <c r="G673" s="183" t="n"/>
      <c r="H673" s="183" t="n"/>
      <c r="I673" s="183" t="n"/>
      <c r="J673" s="183" t="n"/>
      <c r="K673" s="183" t="n"/>
      <c r="L673" s="183" t="n"/>
      <c r="M673" s="183" t="n"/>
      <c r="N673" s="183" t="n"/>
      <c r="O673" s="183" t="n"/>
      <c r="P673" s="183" t="n"/>
      <c r="Q673" s="183" t="n"/>
      <c r="R673" s="183" t="n"/>
      <c r="S673" s="183" t="n"/>
      <c r="T673" s="183" t="n"/>
      <c r="U673" s="183" t="n"/>
      <c r="V673" s="183" t="n"/>
      <c r="W673" s="183" t="n"/>
      <c r="X673" s="183" t="n"/>
      <c r="Y673" s="183" t="n"/>
      <c r="Z673" s="183" t="n"/>
      <c r="AA673" s="183" t="n"/>
    </row>
    <row r="674">
      <c r="A674" s="183" t="n"/>
      <c r="B674" s="183" t="n"/>
      <c r="C674" s="183" t="n"/>
      <c r="D674" s="183" t="n"/>
      <c r="E674" s="183" t="n"/>
      <c r="F674" s="183" t="n"/>
      <c r="G674" s="183" t="n"/>
      <c r="H674" s="183" t="n"/>
      <c r="I674" s="183" t="n"/>
      <c r="J674" s="183" t="n"/>
      <c r="K674" s="183" t="n"/>
      <c r="L674" s="183" t="n"/>
      <c r="M674" s="183" t="n"/>
      <c r="N674" s="183" t="n"/>
      <c r="O674" s="183" t="n"/>
      <c r="P674" s="183" t="n"/>
      <c r="Q674" s="183" t="n"/>
      <c r="R674" s="183" t="n"/>
      <c r="S674" s="183" t="n"/>
      <c r="T674" s="183" t="n"/>
      <c r="U674" s="183" t="n"/>
      <c r="V674" s="183" t="n"/>
      <c r="W674" s="183" t="n"/>
      <c r="X674" s="183" t="n"/>
      <c r="Y674" s="183" t="n"/>
      <c r="Z674" s="183" t="n"/>
      <c r="AA674" s="183" t="n"/>
    </row>
    <row r="675">
      <c r="A675" s="183" t="n"/>
      <c r="B675" s="183" t="n"/>
      <c r="C675" s="183" t="n"/>
      <c r="D675" s="183" t="n"/>
      <c r="E675" s="183" t="n"/>
      <c r="F675" s="183" t="n"/>
      <c r="G675" s="183" t="n"/>
      <c r="H675" s="183" t="n"/>
      <c r="I675" s="183" t="n"/>
      <c r="J675" s="183" t="n"/>
      <c r="K675" s="183" t="n"/>
      <c r="L675" s="183" t="n"/>
      <c r="M675" s="183" t="n"/>
      <c r="N675" s="183" t="n"/>
      <c r="O675" s="183" t="n"/>
      <c r="P675" s="183" t="n"/>
      <c r="Q675" s="183" t="n"/>
      <c r="R675" s="183" t="n"/>
      <c r="S675" s="183" t="n"/>
      <c r="T675" s="183" t="n"/>
      <c r="U675" s="183" t="n"/>
      <c r="V675" s="183" t="n"/>
      <c r="W675" s="183" t="n"/>
      <c r="X675" s="183" t="n"/>
      <c r="Y675" s="183" t="n"/>
      <c r="Z675" s="183" t="n"/>
      <c r="AA675" s="183" t="n"/>
    </row>
    <row r="676">
      <c r="A676" s="183" t="n"/>
      <c r="B676" s="183" t="n"/>
      <c r="C676" s="183" t="n"/>
      <c r="D676" s="183" t="n"/>
      <c r="E676" s="183" t="n"/>
      <c r="F676" s="183" t="n"/>
      <c r="G676" s="183" t="n"/>
      <c r="H676" s="183" t="n"/>
      <c r="I676" s="183" t="n"/>
      <c r="J676" s="183" t="n"/>
      <c r="K676" s="183" t="n"/>
      <c r="L676" s="183" t="n"/>
      <c r="M676" s="183" t="n"/>
      <c r="N676" s="183" t="n"/>
      <c r="O676" s="183" t="n"/>
      <c r="P676" s="183" t="n"/>
      <c r="Q676" s="183" t="n"/>
      <c r="R676" s="183" t="n"/>
      <c r="S676" s="183" t="n"/>
      <c r="T676" s="183" t="n"/>
      <c r="U676" s="183" t="n"/>
      <c r="V676" s="183" t="n"/>
      <c r="W676" s="183" t="n"/>
      <c r="X676" s="183" t="n"/>
      <c r="Y676" s="183" t="n"/>
      <c r="Z676" s="183" t="n"/>
      <c r="AA676" s="183" t="n"/>
    </row>
    <row r="677">
      <c r="A677" s="183" t="n"/>
      <c r="B677" s="183" t="n"/>
      <c r="C677" s="183" t="n"/>
      <c r="D677" s="183" t="n"/>
      <c r="E677" s="183" t="n"/>
      <c r="F677" s="183" t="n"/>
      <c r="G677" s="183" t="n"/>
      <c r="H677" s="183" t="n"/>
      <c r="I677" s="183" t="n"/>
      <c r="J677" s="183" t="n"/>
      <c r="K677" s="183" t="n"/>
      <c r="L677" s="183" t="n"/>
      <c r="M677" s="183" t="n"/>
      <c r="N677" s="183" t="n"/>
      <c r="O677" s="183" t="n"/>
      <c r="P677" s="183" t="n"/>
      <c r="Q677" s="183" t="n"/>
      <c r="R677" s="183" t="n"/>
      <c r="S677" s="183" t="n"/>
      <c r="T677" s="183" t="n"/>
      <c r="U677" s="183" t="n"/>
      <c r="V677" s="183" t="n"/>
      <c r="W677" s="183" t="n"/>
      <c r="X677" s="183" t="n"/>
      <c r="Y677" s="183" t="n"/>
      <c r="Z677" s="183" t="n"/>
      <c r="AA677" s="183" t="n"/>
    </row>
    <row r="678">
      <c r="A678" s="183" t="n"/>
      <c r="B678" s="183" t="n"/>
      <c r="C678" s="183" t="n"/>
      <c r="D678" s="183" t="n"/>
      <c r="E678" s="183" t="n"/>
      <c r="F678" s="183" t="n"/>
      <c r="G678" s="183" t="n"/>
      <c r="H678" s="183" t="n"/>
      <c r="I678" s="183" t="n"/>
      <c r="J678" s="183" t="n"/>
      <c r="K678" s="183" t="n"/>
      <c r="L678" s="183" t="n"/>
      <c r="M678" s="183" t="n"/>
      <c r="N678" s="183" t="n"/>
      <c r="O678" s="183" t="n"/>
      <c r="P678" s="183" t="n"/>
      <c r="Q678" s="183" t="n"/>
      <c r="R678" s="183" t="n"/>
      <c r="S678" s="183" t="n"/>
      <c r="T678" s="183" t="n"/>
      <c r="U678" s="183" t="n"/>
      <c r="V678" s="183" t="n"/>
      <c r="W678" s="183" t="n"/>
      <c r="X678" s="183" t="n"/>
      <c r="Y678" s="183" t="n"/>
      <c r="Z678" s="183" t="n"/>
      <c r="AA678" s="183" t="n"/>
    </row>
    <row r="679">
      <c r="A679" s="183" t="n"/>
      <c r="B679" s="183" t="n"/>
      <c r="C679" s="183" t="n"/>
      <c r="D679" s="183" t="n"/>
      <c r="E679" s="183" t="n"/>
      <c r="F679" s="183" t="n"/>
      <c r="G679" s="183" t="n"/>
      <c r="H679" s="183" t="n"/>
      <c r="I679" s="183" t="n"/>
      <c r="J679" s="183" t="n"/>
      <c r="K679" s="183" t="n"/>
      <c r="L679" s="183" t="n"/>
      <c r="M679" s="183" t="n"/>
      <c r="N679" s="183" t="n"/>
      <c r="O679" s="183" t="n"/>
      <c r="P679" s="183" t="n"/>
      <c r="Q679" s="183" t="n"/>
      <c r="R679" s="183" t="n"/>
      <c r="S679" s="183" t="n"/>
      <c r="T679" s="183" t="n"/>
      <c r="U679" s="183" t="n"/>
      <c r="V679" s="183" t="n"/>
      <c r="W679" s="183" t="n"/>
      <c r="X679" s="183" t="n"/>
      <c r="Y679" s="183" t="n"/>
      <c r="Z679" s="183" t="n"/>
      <c r="AA679" s="183" t="n"/>
    </row>
    <row r="680">
      <c r="A680" s="183" t="n"/>
      <c r="B680" s="183" t="n"/>
      <c r="C680" s="183" t="n"/>
      <c r="D680" s="183" t="n"/>
      <c r="E680" s="183" t="n"/>
      <c r="F680" s="183" t="n"/>
      <c r="G680" s="183" t="n"/>
      <c r="H680" s="183" t="n"/>
      <c r="I680" s="183" t="n"/>
      <c r="J680" s="183" t="n"/>
      <c r="K680" s="183" t="n"/>
      <c r="L680" s="183" t="n"/>
      <c r="M680" s="183" t="n"/>
      <c r="N680" s="183" t="n"/>
      <c r="O680" s="183" t="n"/>
      <c r="P680" s="183" t="n"/>
      <c r="Q680" s="183" t="n"/>
      <c r="R680" s="183" t="n"/>
      <c r="S680" s="183" t="n"/>
      <c r="T680" s="183" t="n"/>
      <c r="U680" s="183" t="n"/>
      <c r="V680" s="183" t="n"/>
      <c r="W680" s="183" t="n"/>
      <c r="X680" s="183" t="n"/>
      <c r="Y680" s="183" t="n"/>
      <c r="Z680" s="183" t="n"/>
      <c r="AA680" s="183" t="n"/>
    </row>
    <row r="681">
      <c r="A681" s="183" t="n"/>
      <c r="B681" s="183" t="n"/>
      <c r="C681" s="183" t="n"/>
      <c r="D681" s="183" t="n"/>
      <c r="E681" s="183" t="n"/>
      <c r="F681" s="183" t="n"/>
      <c r="G681" s="183" t="n"/>
      <c r="H681" s="183" t="n"/>
      <c r="I681" s="183" t="n"/>
      <c r="J681" s="183" t="n"/>
      <c r="K681" s="183" t="n"/>
      <c r="L681" s="183" t="n"/>
      <c r="M681" s="183" t="n"/>
      <c r="N681" s="183" t="n"/>
      <c r="O681" s="183" t="n"/>
      <c r="P681" s="183" t="n"/>
      <c r="Q681" s="183" t="n"/>
      <c r="R681" s="183" t="n"/>
      <c r="S681" s="183" t="n"/>
      <c r="T681" s="183" t="n"/>
      <c r="U681" s="183" t="n"/>
      <c r="V681" s="183" t="n"/>
      <c r="W681" s="183" t="n"/>
      <c r="X681" s="183" t="n"/>
      <c r="Y681" s="183" t="n"/>
      <c r="Z681" s="183" t="n"/>
      <c r="AA681" s="183" t="n"/>
    </row>
    <row r="682">
      <c r="A682" s="183" t="n"/>
      <c r="B682" s="183" t="n"/>
      <c r="C682" s="183" t="n"/>
      <c r="D682" s="183" t="n"/>
      <c r="E682" s="183" t="n"/>
      <c r="F682" s="183" t="n"/>
      <c r="G682" s="183" t="n"/>
      <c r="H682" s="183" t="n"/>
      <c r="I682" s="183" t="n"/>
      <c r="J682" s="183" t="n"/>
      <c r="K682" s="183" t="n"/>
      <c r="L682" s="183" t="n"/>
      <c r="M682" s="183" t="n"/>
      <c r="N682" s="183" t="n"/>
      <c r="O682" s="183" t="n"/>
      <c r="P682" s="183" t="n"/>
      <c r="Q682" s="183" t="n"/>
      <c r="R682" s="183" t="n"/>
      <c r="S682" s="183" t="n"/>
      <c r="T682" s="183" t="n"/>
      <c r="U682" s="183" t="n"/>
      <c r="V682" s="183" t="n"/>
      <c r="W682" s="183" t="n"/>
      <c r="X682" s="183" t="n"/>
      <c r="Y682" s="183" t="n"/>
      <c r="Z682" s="183" t="n"/>
      <c r="AA682" s="183" t="n"/>
    </row>
    <row r="683">
      <c r="A683" s="183" t="n"/>
      <c r="B683" s="183" t="n"/>
      <c r="C683" s="183" t="n"/>
      <c r="D683" s="183" t="n"/>
      <c r="E683" s="183" t="n"/>
      <c r="F683" s="183" t="n"/>
      <c r="G683" s="183" t="n"/>
      <c r="H683" s="183" t="n"/>
      <c r="I683" s="183" t="n"/>
      <c r="J683" s="183" t="n"/>
      <c r="K683" s="183" t="n"/>
      <c r="L683" s="183" t="n"/>
      <c r="M683" s="183" t="n"/>
      <c r="N683" s="183" t="n"/>
      <c r="O683" s="183" t="n"/>
      <c r="P683" s="183" t="n"/>
      <c r="Q683" s="183" t="n"/>
      <c r="R683" s="183" t="n"/>
      <c r="S683" s="183" t="n"/>
      <c r="T683" s="183" t="n"/>
      <c r="U683" s="183" t="n"/>
      <c r="V683" s="183" t="n"/>
      <c r="W683" s="183" t="n"/>
      <c r="X683" s="183" t="n"/>
      <c r="Y683" s="183" t="n"/>
      <c r="Z683" s="183" t="n"/>
      <c r="AA683" s="183" t="n"/>
    </row>
    <row r="684">
      <c r="A684" s="183" t="n"/>
      <c r="B684" s="183" t="n"/>
      <c r="C684" s="183" t="n"/>
      <c r="D684" s="183" t="n"/>
      <c r="E684" s="183" t="n"/>
      <c r="F684" s="183" t="n"/>
      <c r="G684" s="183" t="n"/>
      <c r="H684" s="183" t="n"/>
      <c r="I684" s="183" t="n"/>
      <c r="J684" s="183" t="n"/>
      <c r="K684" s="183" t="n"/>
      <c r="L684" s="183" t="n"/>
      <c r="M684" s="183" t="n"/>
      <c r="N684" s="183" t="n"/>
      <c r="O684" s="183" t="n"/>
      <c r="P684" s="183" t="n"/>
      <c r="Q684" s="183" t="n"/>
      <c r="R684" s="183" t="n"/>
      <c r="S684" s="183" t="n"/>
      <c r="T684" s="183" t="n"/>
      <c r="U684" s="183" t="n"/>
      <c r="V684" s="183" t="n"/>
      <c r="W684" s="183" t="n"/>
      <c r="X684" s="183" t="n"/>
      <c r="Y684" s="183" t="n"/>
      <c r="Z684" s="183" t="n"/>
      <c r="AA684" s="183" t="n"/>
    </row>
    <row r="685">
      <c r="A685" s="183" t="n"/>
      <c r="B685" s="183" t="n"/>
      <c r="C685" s="183" t="n"/>
      <c r="D685" s="183" t="n"/>
      <c r="E685" s="183" t="n"/>
      <c r="F685" s="183" t="n"/>
      <c r="G685" s="183" t="n"/>
      <c r="H685" s="183" t="n"/>
      <c r="I685" s="183" t="n"/>
      <c r="J685" s="183" t="n"/>
      <c r="K685" s="183" t="n"/>
      <c r="L685" s="183" t="n"/>
      <c r="M685" s="183" t="n"/>
      <c r="N685" s="183" t="n"/>
      <c r="O685" s="183" t="n"/>
      <c r="P685" s="183" t="n"/>
      <c r="Q685" s="183" t="n"/>
      <c r="R685" s="183" t="n"/>
      <c r="S685" s="183" t="n"/>
      <c r="T685" s="183" t="n"/>
      <c r="U685" s="183" t="n"/>
      <c r="V685" s="183" t="n"/>
      <c r="W685" s="183" t="n"/>
      <c r="X685" s="183" t="n"/>
      <c r="Y685" s="183" t="n"/>
      <c r="Z685" s="183" t="n"/>
      <c r="AA685" s="183" t="n"/>
    </row>
    <row r="686">
      <c r="A686" s="183" t="n"/>
      <c r="B686" s="183" t="n"/>
      <c r="C686" s="183" t="n"/>
      <c r="D686" s="183" t="n"/>
      <c r="E686" s="183" t="n"/>
      <c r="F686" s="183" t="n"/>
      <c r="G686" s="183" t="n"/>
      <c r="H686" s="183" t="n"/>
      <c r="I686" s="183" t="n"/>
      <c r="J686" s="183" t="n"/>
      <c r="K686" s="183" t="n"/>
      <c r="L686" s="183" t="n"/>
      <c r="M686" s="183" t="n"/>
      <c r="N686" s="183" t="n"/>
      <c r="O686" s="183" t="n"/>
      <c r="P686" s="183" t="n"/>
      <c r="Q686" s="183" t="n"/>
      <c r="R686" s="183" t="n"/>
      <c r="S686" s="183" t="n"/>
      <c r="T686" s="183" t="n"/>
      <c r="U686" s="183" t="n"/>
      <c r="V686" s="183" t="n"/>
      <c r="W686" s="183" t="n"/>
      <c r="X686" s="183" t="n"/>
      <c r="Y686" s="183" t="n"/>
      <c r="Z686" s="183" t="n"/>
      <c r="AA686" s="183" t="n"/>
    </row>
    <row r="687">
      <c r="A687" s="183" t="n"/>
      <c r="B687" s="183" t="n"/>
      <c r="C687" s="183" t="n"/>
      <c r="D687" s="183" t="n"/>
      <c r="E687" s="183" t="n"/>
      <c r="F687" s="183" t="n"/>
      <c r="G687" s="183" t="n"/>
      <c r="H687" s="183" t="n"/>
      <c r="I687" s="183" t="n"/>
      <c r="J687" s="183" t="n"/>
      <c r="K687" s="183" t="n"/>
      <c r="L687" s="183" t="n"/>
      <c r="M687" s="183" t="n"/>
      <c r="N687" s="183" t="n"/>
      <c r="O687" s="183" t="n"/>
      <c r="P687" s="183" t="n"/>
      <c r="Q687" s="183" t="n"/>
      <c r="R687" s="183" t="n"/>
      <c r="S687" s="183" t="n"/>
      <c r="T687" s="183" t="n"/>
      <c r="U687" s="183" t="n"/>
      <c r="V687" s="183" t="n"/>
      <c r="W687" s="183" t="n"/>
      <c r="X687" s="183" t="n"/>
      <c r="Y687" s="183" t="n"/>
      <c r="Z687" s="183" t="n"/>
      <c r="AA687" s="183" t="n"/>
    </row>
    <row r="688">
      <c r="A688" s="183" t="n"/>
      <c r="B688" s="183" t="n"/>
      <c r="C688" s="183" t="n"/>
      <c r="D688" s="183" t="n"/>
      <c r="E688" s="183" t="n"/>
      <c r="F688" s="183" t="n"/>
      <c r="G688" s="183" t="n"/>
      <c r="H688" s="183" t="n"/>
      <c r="I688" s="183" t="n"/>
      <c r="J688" s="183" t="n"/>
      <c r="K688" s="183" t="n"/>
      <c r="L688" s="183" t="n"/>
      <c r="M688" s="183" t="n"/>
      <c r="N688" s="183" t="n"/>
      <c r="O688" s="183" t="n"/>
      <c r="P688" s="183" t="n"/>
      <c r="Q688" s="183" t="n"/>
      <c r="R688" s="183" t="n"/>
      <c r="S688" s="183" t="n"/>
      <c r="T688" s="183" t="n"/>
      <c r="U688" s="183" t="n"/>
      <c r="V688" s="183" t="n"/>
      <c r="W688" s="183" t="n"/>
      <c r="X688" s="183" t="n"/>
      <c r="Y688" s="183" t="n"/>
      <c r="Z688" s="183" t="n"/>
      <c r="AA688" s="183" t="n"/>
    </row>
    <row r="689">
      <c r="A689" s="183" t="n"/>
      <c r="B689" s="183" t="n"/>
      <c r="C689" s="183" t="n"/>
      <c r="D689" s="183" t="n"/>
      <c r="E689" s="183" t="n"/>
      <c r="F689" s="183" t="n"/>
      <c r="G689" s="183" t="n"/>
      <c r="H689" s="183" t="n"/>
      <c r="I689" s="183" t="n"/>
      <c r="J689" s="183" t="n"/>
      <c r="K689" s="183" t="n"/>
      <c r="L689" s="183" t="n"/>
      <c r="M689" s="183" t="n"/>
      <c r="N689" s="183" t="n"/>
      <c r="O689" s="183" t="n"/>
      <c r="P689" s="183" t="n"/>
      <c r="Q689" s="183" t="n"/>
      <c r="R689" s="183" t="n"/>
      <c r="S689" s="183" t="n"/>
      <c r="T689" s="183" t="n"/>
      <c r="U689" s="183" t="n"/>
      <c r="V689" s="183" t="n"/>
      <c r="W689" s="183" t="n"/>
      <c r="X689" s="183" t="n"/>
      <c r="Y689" s="183" t="n"/>
      <c r="Z689" s="183" t="n"/>
      <c r="AA689" s="183" t="n"/>
    </row>
    <row r="690">
      <c r="A690" s="183" t="n"/>
      <c r="B690" s="183" t="n"/>
      <c r="C690" s="183" t="n"/>
      <c r="D690" s="183" t="n"/>
      <c r="E690" s="183" t="n"/>
      <c r="F690" s="183" t="n"/>
      <c r="G690" s="183" t="n"/>
      <c r="H690" s="183" t="n"/>
      <c r="I690" s="183" t="n"/>
      <c r="J690" s="183" t="n"/>
      <c r="K690" s="183" t="n"/>
      <c r="L690" s="183" t="n"/>
      <c r="M690" s="183" t="n"/>
      <c r="N690" s="183" t="n"/>
      <c r="O690" s="183" t="n"/>
      <c r="P690" s="183" t="n"/>
      <c r="Q690" s="183" t="n"/>
      <c r="R690" s="183" t="n"/>
      <c r="S690" s="183" t="n"/>
      <c r="T690" s="183" t="n"/>
      <c r="U690" s="183" t="n"/>
      <c r="V690" s="183" t="n"/>
      <c r="W690" s="183" t="n"/>
      <c r="X690" s="183" t="n"/>
      <c r="Y690" s="183" t="n"/>
      <c r="Z690" s="183" t="n"/>
      <c r="AA690" s="183" t="n"/>
    </row>
    <row r="691">
      <c r="A691" s="183" t="n"/>
      <c r="B691" s="183" t="n"/>
      <c r="C691" s="183" t="n"/>
      <c r="D691" s="183" t="n"/>
      <c r="E691" s="183" t="n"/>
      <c r="F691" s="183" t="n"/>
      <c r="G691" s="183" t="n"/>
      <c r="H691" s="183" t="n"/>
      <c r="I691" s="183" t="n"/>
      <c r="J691" s="183" t="n"/>
      <c r="K691" s="183" t="n"/>
      <c r="L691" s="183" t="n"/>
      <c r="M691" s="183" t="n"/>
      <c r="N691" s="183" t="n"/>
      <c r="O691" s="183" t="n"/>
      <c r="P691" s="183" t="n"/>
      <c r="Q691" s="183" t="n"/>
      <c r="R691" s="183" t="n"/>
      <c r="S691" s="183" t="n"/>
      <c r="T691" s="183" t="n"/>
      <c r="U691" s="183" t="n"/>
      <c r="V691" s="183" t="n"/>
      <c r="W691" s="183" t="n"/>
      <c r="X691" s="183" t="n"/>
      <c r="Y691" s="183" t="n"/>
      <c r="Z691" s="183" t="n"/>
      <c r="AA691" s="183" t="n"/>
    </row>
    <row r="692">
      <c r="A692" s="183" t="n"/>
      <c r="B692" s="183" t="n"/>
      <c r="C692" s="183" t="n"/>
      <c r="D692" s="183" t="n"/>
      <c r="E692" s="183" t="n"/>
      <c r="F692" s="183" t="n"/>
      <c r="G692" s="183" t="n"/>
      <c r="H692" s="183" t="n"/>
      <c r="I692" s="183" t="n"/>
      <c r="J692" s="183" t="n"/>
      <c r="K692" s="183" t="n"/>
      <c r="L692" s="183" t="n"/>
      <c r="M692" s="183" t="n"/>
      <c r="N692" s="183" t="n"/>
      <c r="O692" s="183" t="n"/>
      <c r="P692" s="183" t="n"/>
      <c r="Q692" s="183" t="n"/>
      <c r="R692" s="183" t="n"/>
      <c r="S692" s="183" t="n"/>
      <c r="T692" s="183" t="n"/>
      <c r="U692" s="183" t="n"/>
      <c r="V692" s="183" t="n"/>
      <c r="W692" s="183" t="n"/>
      <c r="X692" s="183" t="n"/>
      <c r="Y692" s="183" t="n"/>
      <c r="Z692" s="183" t="n"/>
      <c r="AA692" s="183" t="n"/>
    </row>
    <row r="693">
      <c r="A693" s="183" t="n"/>
      <c r="B693" s="183" t="n"/>
      <c r="C693" s="183" t="n"/>
      <c r="D693" s="183" t="n"/>
      <c r="E693" s="183" t="n"/>
      <c r="F693" s="183" t="n"/>
      <c r="G693" s="183" t="n"/>
      <c r="H693" s="183" t="n"/>
      <c r="I693" s="183" t="n"/>
      <c r="J693" s="183" t="n"/>
      <c r="K693" s="183" t="n"/>
      <c r="L693" s="183" t="n"/>
      <c r="M693" s="183" t="n"/>
      <c r="N693" s="183" t="n"/>
      <c r="O693" s="183" t="n"/>
      <c r="P693" s="183" t="n"/>
      <c r="Q693" s="183" t="n"/>
      <c r="R693" s="183" t="n"/>
      <c r="S693" s="183" t="n"/>
      <c r="T693" s="183" t="n"/>
      <c r="U693" s="183" t="n"/>
      <c r="V693" s="183" t="n"/>
      <c r="W693" s="183" t="n"/>
      <c r="X693" s="183" t="n"/>
      <c r="Y693" s="183" t="n"/>
      <c r="Z693" s="183" t="n"/>
      <c r="AA693" s="183" t="n"/>
    </row>
    <row r="694">
      <c r="A694" s="183" t="n"/>
      <c r="B694" s="183" t="n"/>
      <c r="C694" s="183" t="n"/>
      <c r="D694" s="183" t="n"/>
      <c r="E694" s="183" t="n"/>
      <c r="F694" s="183" t="n"/>
      <c r="G694" s="183" t="n"/>
      <c r="H694" s="183" t="n"/>
      <c r="I694" s="183" t="n"/>
      <c r="J694" s="183" t="n"/>
      <c r="K694" s="183" t="n"/>
      <c r="L694" s="183" t="n"/>
      <c r="M694" s="183" t="n"/>
      <c r="N694" s="183" t="n"/>
      <c r="O694" s="183" t="n"/>
      <c r="P694" s="183" t="n"/>
      <c r="Q694" s="183" t="n"/>
      <c r="R694" s="183" t="n"/>
      <c r="S694" s="183" t="n"/>
      <c r="T694" s="183" t="n"/>
      <c r="U694" s="183" t="n"/>
      <c r="V694" s="183" t="n"/>
      <c r="W694" s="183" t="n"/>
      <c r="X694" s="183" t="n"/>
      <c r="Y694" s="183" t="n"/>
      <c r="Z694" s="183" t="n"/>
      <c r="AA694" s="183" t="n"/>
    </row>
    <row r="695">
      <c r="A695" s="183" t="n"/>
      <c r="B695" s="183" t="n"/>
      <c r="C695" s="183" t="n"/>
      <c r="D695" s="183" t="n"/>
      <c r="E695" s="183" t="n"/>
      <c r="F695" s="183" t="n"/>
      <c r="G695" s="183" t="n"/>
      <c r="H695" s="183" t="n"/>
      <c r="I695" s="183" t="n"/>
      <c r="J695" s="183" t="n"/>
      <c r="K695" s="183" t="n"/>
      <c r="L695" s="183" t="n"/>
      <c r="M695" s="183" t="n"/>
      <c r="N695" s="183" t="n"/>
      <c r="O695" s="183" t="n"/>
      <c r="P695" s="183" t="n"/>
      <c r="Q695" s="183" t="n"/>
      <c r="R695" s="183" t="n"/>
      <c r="S695" s="183" t="n"/>
      <c r="T695" s="183" t="n"/>
      <c r="U695" s="183" t="n"/>
      <c r="V695" s="183" t="n"/>
      <c r="W695" s="183" t="n"/>
      <c r="X695" s="183" t="n"/>
      <c r="Y695" s="183" t="n"/>
      <c r="Z695" s="183" t="n"/>
      <c r="AA695" s="183" t="n"/>
    </row>
    <row r="696">
      <c r="A696" s="183" t="n"/>
      <c r="B696" s="183" t="n"/>
      <c r="C696" s="183" t="n"/>
      <c r="D696" s="183" t="n"/>
      <c r="E696" s="183" t="n"/>
      <c r="F696" s="183" t="n"/>
      <c r="G696" s="183" t="n"/>
      <c r="H696" s="183" t="n"/>
      <c r="I696" s="183" t="n"/>
      <c r="J696" s="183" t="n"/>
      <c r="K696" s="183" t="n"/>
      <c r="L696" s="183" t="n"/>
      <c r="M696" s="183" t="n"/>
      <c r="N696" s="183" t="n"/>
      <c r="O696" s="183" t="n"/>
      <c r="P696" s="183" t="n"/>
      <c r="Q696" s="183" t="n"/>
      <c r="R696" s="183" t="n"/>
      <c r="S696" s="183" t="n"/>
      <c r="T696" s="183" t="n"/>
      <c r="U696" s="183" t="n"/>
      <c r="V696" s="183" t="n"/>
      <c r="W696" s="183" t="n"/>
      <c r="X696" s="183" t="n"/>
      <c r="Y696" s="183" t="n"/>
      <c r="Z696" s="183" t="n"/>
      <c r="AA696" s="183" t="n"/>
    </row>
    <row r="697">
      <c r="A697" s="183" t="n"/>
      <c r="B697" s="183" t="n"/>
      <c r="C697" s="183" t="n"/>
      <c r="D697" s="183" t="n"/>
      <c r="E697" s="183" t="n"/>
      <c r="F697" s="183" t="n"/>
      <c r="G697" s="183" t="n"/>
      <c r="H697" s="183" t="n"/>
      <c r="I697" s="183" t="n"/>
      <c r="J697" s="183" t="n"/>
      <c r="K697" s="183" t="n"/>
      <c r="L697" s="183" t="n"/>
      <c r="M697" s="183" t="n"/>
      <c r="N697" s="183" t="n"/>
      <c r="O697" s="183" t="n"/>
      <c r="P697" s="183" t="n"/>
      <c r="Q697" s="183" t="n"/>
      <c r="R697" s="183" t="n"/>
      <c r="S697" s="183" t="n"/>
      <c r="T697" s="183" t="n"/>
      <c r="U697" s="183" t="n"/>
      <c r="V697" s="183" t="n"/>
      <c r="W697" s="183" t="n"/>
      <c r="X697" s="183" t="n"/>
      <c r="Y697" s="183" t="n"/>
      <c r="Z697" s="183" t="n"/>
      <c r="AA697" s="183" t="n"/>
    </row>
    <row r="698">
      <c r="A698" s="183" t="n"/>
      <c r="B698" s="183" t="n"/>
      <c r="C698" s="183" t="n"/>
      <c r="D698" s="183" t="n"/>
      <c r="E698" s="183" t="n"/>
      <c r="F698" s="183" t="n"/>
      <c r="G698" s="183" t="n"/>
      <c r="H698" s="183" t="n"/>
      <c r="I698" s="183" t="n"/>
      <c r="J698" s="183" t="n"/>
      <c r="K698" s="183" t="n"/>
      <c r="L698" s="183" t="n"/>
      <c r="M698" s="183" t="n"/>
      <c r="N698" s="183" t="n"/>
      <c r="O698" s="183" t="n"/>
      <c r="P698" s="183" t="n"/>
      <c r="Q698" s="183" t="n"/>
      <c r="R698" s="183" t="n"/>
      <c r="S698" s="183" t="n"/>
      <c r="T698" s="183" t="n"/>
      <c r="U698" s="183" t="n"/>
      <c r="V698" s="183" t="n"/>
      <c r="W698" s="183" t="n"/>
      <c r="X698" s="183" t="n"/>
      <c r="Y698" s="183" t="n"/>
      <c r="Z698" s="183" t="n"/>
      <c r="AA698" s="183" t="n"/>
    </row>
    <row r="699">
      <c r="A699" s="183" t="n"/>
      <c r="B699" s="183" t="n"/>
      <c r="C699" s="183" t="n"/>
      <c r="D699" s="183" t="n"/>
      <c r="E699" s="183" t="n"/>
      <c r="F699" s="183" t="n"/>
      <c r="G699" s="183" t="n"/>
      <c r="H699" s="183" t="n"/>
      <c r="I699" s="183" t="n"/>
      <c r="J699" s="183" t="n"/>
      <c r="K699" s="183" t="n"/>
      <c r="L699" s="183" t="n"/>
      <c r="M699" s="183" t="n"/>
      <c r="N699" s="183" t="n"/>
      <c r="O699" s="183" t="n"/>
      <c r="P699" s="183" t="n"/>
      <c r="Q699" s="183" t="n"/>
      <c r="R699" s="183" t="n"/>
      <c r="S699" s="183" t="n"/>
      <c r="T699" s="183" t="n"/>
      <c r="U699" s="183" t="n"/>
      <c r="V699" s="183" t="n"/>
      <c r="W699" s="183" t="n"/>
      <c r="X699" s="183" t="n"/>
      <c r="Y699" s="183" t="n"/>
      <c r="Z699" s="183" t="n"/>
      <c r="AA699" s="183" t="n"/>
    </row>
    <row r="700">
      <c r="A700" s="183" t="n"/>
      <c r="B700" s="183" t="n"/>
      <c r="C700" s="183" t="n"/>
      <c r="D700" s="183" t="n"/>
      <c r="E700" s="183" t="n"/>
      <c r="F700" s="183" t="n"/>
      <c r="G700" s="183" t="n"/>
      <c r="H700" s="183" t="n"/>
      <c r="I700" s="183" t="n"/>
      <c r="J700" s="183" t="n"/>
      <c r="K700" s="183" t="n"/>
      <c r="L700" s="183" t="n"/>
      <c r="M700" s="183" t="n"/>
      <c r="N700" s="183" t="n"/>
      <c r="O700" s="183" t="n"/>
      <c r="P700" s="183" t="n"/>
      <c r="Q700" s="183" t="n"/>
      <c r="R700" s="183" t="n"/>
      <c r="S700" s="183" t="n"/>
      <c r="T700" s="183" t="n"/>
      <c r="U700" s="183" t="n"/>
      <c r="V700" s="183" t="n"/>
      <c r="W700" s="183" t="n"/>
      <c r="X700" s="183" t="n"/>
      <c r="Y700" s="183" t="n"/>
      <c r="Z700" s="183" t="n"/>
      <c r="AA700" s="183" t="n"/>
    </row>
    <row r="701">
      <c r="A701" s="183" t="n"/>
      <c r="B701" s="183" t="n"/>
      <c r="C701" s="183" t="n"/>
      <c r="D701" s="183" t="n"/>
      <c r="E701" s="183" t="n"/>
      <c r="F701" s="183" t="n"/>
      <c r="G701" s="183" t="n"/>
      <c r="H701" s="183" t="n"/>
      <c r="I701" s="183" t="n"/>
      <c r="J701" s="183" t="n"/>
      <c r="K701" s="183" t="n"/>
      <c r="L701" s="183" t="n"/>
      <c r="M701" s="183" t="n"/>
      <c r="N701" s="183" t="n"/>
      <c r="O701" s="183" t="n"/>
      <c r="P701" s="183" t="n"/>
      <c r="Q701" s="183" t="n"/>
      <c r="R701" s="183" t="n"/>
      <c r="S701" s="183" t="n"/>
      <c r="T701" s="183" t="n"/>
      <c r="U701" s="183" t="n"/>
      <c r="V701" s="183" t="n"/>
      <c r="W701" s="183" t="n"/>
      <c r="X701" s="183" t="n"/>
      <c r="Y701" s="183" t="n"/>
      <c r="Z701" s="183" t="n"/>
      <c r="AA701" s="183" t="n"/>
    </row>
    <row r="702">
      <c r="A702" s="183" t="n"/>
      <c r="B702" s="183" t="n"/>
      <c r="C702" s="183" t="n"/>
      <c r="D702" s="183" t="n"/>
      <c r="E702" s="183" t="n"/>
      <c r="F702" s="183" t="n"/>
      <c r="G702" s="183" t="n"/>
      <c r="H702" s="183" t="n"/>
      <c r="I702" s="183" t="n"/>
      <c r="J702" s="183" t="n"/>
      <c r="K702" s="183" t="n"/>
      <c r="L702" s="183" t="n"/>
      <c r="M702" s="183" t="n"/>
      <c r="N702" s="183" t="n"/>
      <c r="O702" s="183" t="n"/>
      <c r="P702" s="183" t="n"/>
      <c r="Q702" s="183" t="n"/>
      <c r="R702" s="183" t="n"/>
      <c r="S702" s="183" t="n"/>
      <c r="T702" s="183" t="n"/>
      <c r="U702" s="183" t="n"/>
      <c r="V702" s="183" t="n"/>
      <c r="W702" s="183" t="n"/>
      <c r="X702" s="183" t="n"/>
      <c r="Y702" s="183" t="n"/>
      <c r="Z702" s="183" t="n"/>
      <c r="AA702" s="183" t="n"/>
    </row>
    <row r="703">
      <c r="A703" s="183" t="n"/>
      <c r="B703" s="183" t="n"/>
      <c r="C703" s="183" t="n"/>
      <c r="D703" s="183" t="n"/>
      <c r="E703" s="183" t="n"/>
      <c r="F703" s="183" t="n"/>
      <c r="G703" s="183" t="n"/>
      <c r="H703" s="183" t="n"/>
      <c r="I703" s="183" t="n"/>
      <c r="J703" s="183" t="n"/>
      <c r="K703" s="183" t="n"/>
      <c r="L703" s="183" t="n"/>
      <c r="M703" s="183" t="n"/>
      <c r="N703" s="183" t="n"/>
      <c r="O703" s="183" t="n"/>
      <c r="P703" s="183" t="n"/>
      <c r="Q703" s="183" t="n"/>
      <c r="R703" s="183" t="n"/>
      <c r="S703" s="183" t="n"/>
      <c r="T703" s="183" t="n"/>
      <c r="U703" s="183" t="n"/>
      <c r="V703" s="183" t="n"/>
      <c r="W703" s="183" t="n"/>
      <c r="X703" s="183" t="n"/>
      <c r="Y703" s="183" t="n"/>
      <c r="Z703" s="183" t="n"/>
      <c r="AA703" s="183" t="n"/>
    </row>
    <row r="704">
      <c r="A704" s="183" t="n"/>
      <c r="B704" s="183" t="n"/>
      <c r="C704" s="183" t="n"/>
      <c r="D704" s="183" t="n"/>
      <c r="E704" s="183" t="n"/>
      <c r="F704" s="183" t="n"/>
      <c r="G704" s="183" t="n"/>
      <c r="H704" s="183" t="n"/>
      <c r="I704" s="183" t="n"/>
      <c r="J704" s="183" t="n"/>
      <c r="K704" s="183" t="n"/>
      <c r="L704" s="183" t="n"/>
      <c r="M704" s="183" t="n"/>
      <c r="N704" s="183" t="n"/>
      <c r="O704" s="183" t="n"/>
      <c r="P704" s="183" t="n"/>
      <c r="Q704" s="183" t="n"/>
      <c r="R704" s="183" t="n"/>
      <c r="S704" s="183" t="n"/>
      <c r="T704" s="183" t="n"/>
      <c r="U704" s="183" t="n"/>
      <c r="V704" s="183" t="n"/>
      <c r="W704" s="183" t="n"/>
      <c r="X704" s="183" t="n"/>
      <c r="Y704" s="183" t="n"/>
      <c r="Z704" s="183" t="n"/>
      <c r="AA704" s="183" t="n"/>
    </row>
    <row r="705">
      <c r="A705" s="183" t="n"/>
      <c r="B705" s="183" t="n"/>
      <c r="C705" s="183" t="n"/>
      <c r="D705" s="183" t="n"/>
      <c r="E705" s="183" t="n"/>
      <c r="F705" s="183" t="n"/>
      <c r="G705" s="183" t="n"/>
      <c r="H705" s="183" t="n"/>
      <c r="I705" s="183" t="n"/>
      <c r="J705" s="183" t="n"/>
      <c r="K705" s="183" t="n"/>
      <c r="L705" s="183" t="n"/>
      <c r="M705" s="183" t="n"/>
      <c r="N705" s="183" t="n"/>
      <c r="O705" s="183" t="n"/>
      <c r="P705" s="183" t="n"/>
      <c r="Q705" s="183" t="n"/>
      <c r="R705" s="183" t="n"/>
      <c r="S705" s="183" t="n"/>
      <c r="T705" s="183" t="n"/>
      <c r="U705" s="183" t="n"/>
      <c r="V705" s="183" t="n"/>
      <c r="W705" s="183" t="n"/>
      <c r="X705" s="183" t="n"/>
      <c r="Y705" s="183" t="n"/>
      <c r="Z705" s="183" t="n"/>
      <c r="AA705" s="183" t="n"/>
    </row>
    <row r="706">
      <c r="A706" s="183" t="n"/>
      <c r="B706" s="183" t="n"/>
      <c r="C706" s="183" t="n"/>
      <c r="D706" s="183" t="n"/>
      <c r="E706" s="183" t="n"/>
      <c r="F706" s="183" t="n"/>
      <c r="G706" s="183" t="n"/>
      <c r="H706" s="183" t="n"/>
      <c r="I706" s="183" t="n"/>
      <c r="J706" s="183" t="n"/>
      <c r="K706" s="183" t="n"/>
      <c r="L706" s="183" t="n"/>
      <c r="M706" s="183" t="n"/>
      <c r="N706" s="183" t="n"/>
      <c r="O706" s="183" t="n"/>
      <c r="P706" s="183" t="n"/>
      <c r="Q706" s="183" t="n"/>
      <c r="R706" s="183" t="n"/>
      <c r="S706" s="183" t="n"/>
      <c r="T706" s="183" t="n"/>
      <c r="U706" s="183" t="n"/>
      <c r="V706" s="183" t="n"/>
      <c r="W706" s="183" t="n"/>
      <c r="X706" s="183" t="n"/>
      <c r="Y706" s="183" t="n"/>
      <c r="Z706" s="183" t="n"/>
      <c r="AA706" s="183" t="n"/>
    </row>
    <row r="707">
      <c r="A707" s="183" t="n"/>
      <c r="B707" s="183" t="n"/>
      <c r="C707" s="183" t="n"/>
      <c r="D707" s="183" t="n"/>
      <c r="E707" s="183" t="n"/>
      <c r="F707" s="183" t="n"/>
      <c r="G707" s="183" t="n"/>
      <c r="H707" s="183" t="n"/>
      <c r="I707" s="183" t="n"/>
      <c r="J707" s="183" t="n"/>
      <c r="K707" s="183" t="n"/>
      <c r="L707" s="183" t="n"/>
      <c r="M707" s="183" t="n"/>
      <c r="N707" s="183" t="n"/>
      <c r="O707" s="183" t="n"/>
      <c r="P707" s="183" t="n"/>
      <c r="Q707" s="183" t="n"/>
      <c r="R707" s="183" t="n"/>
      <c r="S707" s="183" t="n"/>
      <c r="T707" s="183" t="n"/>
      <c r="U707" s="183" t="n"/>
      <c r="V707" s="183" t="n"/>
      <c r="W707" s="183" t="n"/>
      <c r="X707" s="183" t="n"/>
      <c r="Y707" s="183" t="n"/>
      <c r="Z707" s="183" t="n"/>
      <c r="AA707" s="183" t="n"/>
    </row>
    <row r="708">
      <c r="A708" s="183" t="n"/>
      <c r="B708" s="183" t="n"/>
      <c r="C708" s="183" t="n"/>
      <c r="D708" s="183" t="n"/>
      <c r="E708" s="183" t="n"/>
      <c r="F708" s="183" t="n"/>
      <c r="G708" s="183" t="n"/>
      <c r="H708" s="183" t="n"/>
      <c r="I708" s="183" t="n"/>
      <c r="J708" s="183" t="n"/>
      <c r="K708" s="183" t="n"/>
      <c r="L708" s="183" t="n"/>
      <c r="M708" s="183" t="n"/>
      <c r="N708" s="183" t="n"/>
      <c r="O708" s="183" t="n"/>
      <c r="P708" s="183" t="n"/>
      <c r="Q708" s="183" t="n"/>
      <c r="R708" s="183" t="n"/>
      <c r="S708" s="183" t="n"/>
      <c r="T708" s="183" t="n"/>
      <c r="U708" s="183" t="n"/>
      <c r="V708" s="183" t="n"/>
      <c r="W708" s="183" t="n"/>
      <c r="X708" s="183" t="n"/>
      <c r="Y708" s="183" t="n"/>
      <c r="Z708" s="183" t="n"/>
      <c r="AA708" s="183" t="n"/>
    </row>
    <row r="709">
      <c r="A709" s="183" t="n"/>
      <c r="B709" s="183" t="n"/>
      <c r="C709" s="183" t="n"/>
      <c r="D709" s="183" t="n"/>
      <c r="E709" s="183" t="n"/>
      <c r="F709" s="183" t="n"/>
      <c r="G709" s="183" t="n"/>
      <c r="H709" s="183" t="n"/>
      <c r="I709" s="183" t="n"/>
      <c r="J709" s="183" t="n"/>
      <c r="K709" s="183" t="n"/>
      <c r="L709" s="183" t="n"/>
      <c r="M709" s="183" t="n"/>
      <c r="N709" s="183" t="n"/>
      <c r="O709" s="183" t="n"/>
      <c r="P709" s="183" t="n"/>
      <c r="Q709" s="183" t="n"/>
      <c r="R709" s="183" t="n"/>
      <c r="S709" s="183" t="n"/>
      <c r="T709" s="183" t="n"/>
      <c r="U709" s="183" t="n"/>
      <c r="V709" s="183" t="n"/>
      <c r="W709" s="183" t="n"/>
      <c r="X709" s="183" t="n"/>
      <c r="Y709" s="183" t="n"/>
      <c r="Z709" s="183" t="n"/>
      <c r="AA709" s="183" t="n"/>
    </row>
    <row r="710">
      <c r="A710" s="183" t="n"/>
      <c r="B710" s="183" t="n"/>
      <c r="C710" s="183" t="n"/>
      <c r="D710" s="183" t="n"/>
      <c r="E710" s="183" t="n"/>
      <c r="F710" s="183" t="n"/>
      <c r="G710" s="183" t="n"/>
      <c r="H710" s="183" t="n"/>
      <c r="I710" s="183" t="n"/>
      <c r="J710" s="183" t="n"/>
      <c r="K710" s="183" t="n"/>
      <c r="L710" s="183" t="n"/>
      <c r="M710" s="183" t="n"/>
      <c r="N710" s="183" t="n"/>
      <c r="O710" s="183" t="n"/>
      <c r="P710" s="183" t="n"/>
      <c r="Q710" s="183" t="n"/>
      <c r="R710" s="183" t="n"/>
      <c r="S710" s="183" t="n"/>
      <c r="T710" s="183" t="n"/>
      <c r="U710" s="183" t="n"/>
      <c r="V710" s="183" t="n"/>
      <c r="W710" s="183" t="n"/>
      <c r="X710" s="183" t="n"/>
      <c r="Y710" s="183" t="n"/>
      <c r="Z710" s="183" t="n"/>
      <c r="AA710" s="183" t="n"/>
    </row>
    <row r="711">
      <c r="A711" s="183" t="n"/>
      <c r="B711" s="183" t="n"/>
      <c r="C711" s="183" t="n"/>
      <c r="D711" s="183" t="n"/>
      <c r="E711" s="183" t="n"/>
      <c r="F711" s="183" t="n"/>
      <c r="G711" s="183" t="n"/>
      <c r="H711" s="183" t="n"/>
      <c r="I711" s="183" t="n"/>
      <c r="J711" s="183" t="n"/>
      <c r="K711" s="183" t="n"/>
      <c r="L711" s="183" t="n"/>
      <c r="M711" s="183" t="n"/>
      <c r="N711" s="183" t="n"/>
      <c r="O711" s="183" t="n"/>
      <c r="P711" s="183" t="n"/>
      <c r="Q711" s="183" t="n"/>
      <c r="R711" s="183" t="n"/>
      <c r="S711" s="183" t="n"/>
      <c r="T711" s="183" t="n"/>
      <c r="U711" s="183" t="n"/>
      <c r="V711" s="183" t="n"/>
      <c r="W711" s="183" t="n"/>
      <c r="X711" s="183" t="n"/>
      <c r="Y711" s="183" t="n"/>
      <c r="Z711" s="183" t="n"/>
      <c r="AA711" s="183" t="n"/>
    </row>
    <row r="712">
      <c r="A712" s="183" t="n"/>
      <c r="B712" s="183" t="n"/>
      <c r="C712" s="183" t="n"/>
      <c r="D712" s="183" t="n"/>
      <c r="E712" s="183" t="n"/>
      <c r="F712" s="183" t="n"/>
      <c r="G712" s="183" t="n"/>
      <c r="H712" s="183" t="n"/>
      <c r="I712" s="183" t="n"/>
      <c r="J712" s="183" t="n"/>
      <c r="K712" s="183" t="n"/>
      <c r="L712" s="183" t="n"/>
      <c r="M712" s="183" t="n"/>
      <c r="N712" s="183" t="n"/>
      <c r="O712" s="183" t="n"/>
      <c r="P712" s="183" t="n"/>
      <c r="Q712" s="183" t="n"/>
      <c r="R712" s="183" t="n"/>
      <c r="S712" s="183" t="n"/>
      <c r="T712" s="183" t="n"/>
      <c r="U712" s="183" t="n"/>
      <c r="V712" s="183" t="n"/>
      <c r="W712" s="183" t="n"/>
      <c r="X712" s="183" t="n"/>
      <c r="Y712" s="183" t="n"/>
      <c r="Z712" s="183" t="n"/>
      <c r="AA712" s="183" t="n"/>
    </row>
    <row r="713">
      <c r="A713" s="183" t="n"/>
      <c r="B713" s="183" t="n"/>
      <c r="C713" s="183" t="n"/>
      <c r="D713" s="183" t="n"/>
      <c r="E713" s="183" t="n"/>
      <c r="F713" s="183" t="n"/>
      <c r="G713" s="183" t="n"/>
      <c r="H713" s="183" t="n"/>
      <c r="I713" s="183" t="n"/>
      <c r="J713" s="183" t="n"/>
      <c r="K713" s="183" t="n"/>
      <c r="L713" s="183" t="n"/>
      <c r="M713" s="183" t="n"/>
      <c r="N713" s="183" t="n"/>
      <c r="O713" s="183" t="n"/>
      <c r="P713" s="183" t="n"/>
      <c r="Q713" s="183" t="n"/>
      <c r="R713" s="183" t="n"/>
      <c r="S713" s="183" t="n"/>
      <c r="T713" s="183" t="n"/>
      <c r="U713" s="183" t="n"/>
      <c r="V713" s="183" t="n"/>
      <c r="W713" s="183" t="n"/>
      <c r="X713" s="183" t="n"/>
      <c r="Y713" s="183" t="n"/>
      <c r="Z713" s="183" t="n"/>
      <c r="AA713" s="183" t="n"/>
    </row>
    <row r="714">
      <c r="A714" s="183" t="n"/>
      <c r="B714" s="183" t="n"/>
      <c r="C714" s="183" t="n"/>
      <c r="D714" s="183" t="n"/>
      <c r="E714" s="183" t="n"/>
      <c r="F714" s="183" t="n"/>
      <c r="G714" s="183" t="n"/>
      <c r="H714" s="183" t="n"/>
      <c r="I714" s="183" t="n"/>
      <c r="J714" s="183" t="n"/>
      <c r="K714" s="183" t="n"/>
      <c r="L714" s="183" t="n"/>
      <c r="M714" s="183" t="n"/>
      <c r="N714" s="183" t="n"/>
      <c r="O714" s="183" t="n"/>
      <c r="P714" s="183" t="n"/>
      <c r="Q714" s="183" t="n"/>
      <c r="R714" s="183" t="n"/>
      <c r="S714" s="183" t="n"/>
      <c r="T714" s="183" t="n"/>
      <c r="U714" s="183" t="n"/>
      <c r="V714" s="183" t="n"/>
      <c r="W714" s="183" t="n"/>
      <c r="X714" s="183" t="n"/>
      <c r="Y714" s="183" t="n"/>
      <c r="Z714" s="183" t="n"/>
      <c r="AA714" s="183" t="n"/>
    </row>
    <row r="715">
      <c r="A715" s="183" t="n"/>
      <c r="B715" s="183" t="n"/>
      <c r="C715" s="183" t="n"/>
      <c r="D715" s="183" t="n"/>
      <c r="E715" s="183" t="n"/>
      <c r="F715" s="183" t="n"/>
      <c r="G715" s="183" t="n"/>
      <c r="H715" s="183" t="n"/>
      <c r="I715" s="183" t="n"/>
      <c r="J715" s="183" t="n"/>
      <c r="K715" s="183" t="n"/>
      <c r="L715" s="183" t="n"/>
      <c r="M715" s="183" t="n"/>
      <c r="N715" s="183" t="n"/>
      <c r="O715" s="183" t="n"/>
      <c r="P715" s="183" t="n"/>
      <c r="Q715" s="183" t="n"/>
      <c r="R715" s="183" t="n"/>
      <c r="S715" s="183" t="n"/>
      <c r="T715" s="183" t="n"/>
      <c r="U715" s="183" t="n"/>
      <c r="V715" s="183" t="n"/>
      <c r="W715" s="183" t="n"/>
      <c r="X715" s="183" t="n"/>
      <c r="Y715" s="183" t="n"/>
      <c r="Z715" s="183" t="n"/>
      <c r="AA715" s="183" t="n"/>
    </row>
    <row r="716">
      <c r="A716" s="183" t="n"/>
      <c r="B716" s="183" t="n"/>
      <c r="C716" s="183" t="n"/>
      <c r="D716" s="183" t="n"/>
      <c r="E716" s="183" t="n"/>
      <c r="F716" s="183" t="n"/>
      <c r="G716" s="183" t="n"/>
      <c r="H716" s="183" t="n"/>
      <c r="I716" s="183" t="n"/>
      <c r="J716" s="183" t="n"/>
      <c r="K716" s="183" t="n"/>
      <c r="L716" s="183" t="n"/>
      <c r="M716" s="183" t="n"/>
      <c r="N716" s="183" t="n"/>
      <c r="O716" s="183" t="n"/>
      <c r="P716" s="183" t="n"/>
      <c r="Q716" s="183" t="n"/>
      <c r="R716" s="183" t="n"/>
      <c r="S716" s="183" t="n"/>
      <c r="T716" s="183" t="n"/>
      <c r="U716" s="183" t="n"/>
      <c r="V716" s="183" t="n"/>
      <c r="W716" s="183" t="n"/>
      <c r="X716" s="183" t="n"/>
      <c r="Y716" s="183" t="n"/>
      <c r="Z716" s="183" t="n"/>
      <c r="AA716" s="183" t="n"/>
    </row>
    <row r="717">
      <c r="A717" s="183" t="n"/>
      <c r="B717" s="183" t="n"/>
      <c r="C717" s="183" t="n"/>
      <c r="D717" s="183" t="n"/>
      <c r="E717" s="183" t="n"/>
      <c r="F717" s="183" t="n"/>
      <c r="G717" s="183" t="n"/>
      <c r="H717" s="183" t="n"/>
      <c r="I717" s="183" t="n"/>
      <c r="J717" s="183" t="n"/>
      <c r="K717" s="183" t="n"/>
      <c r="L717" s="183" t="n"/>
      <c r="M717" s="183" t="n"/>
      <c r="N717" s="183" t="n"/>
      <c r="O717" s="183" t="n"/>
      <c r="P717" s="183" t="n"/>
      <c r="Q717" s="183" t="n"/>
      <c r="R717" s="183" t="n"/>
      <c r="S717" s="183" t="n"/>
      <c r="T717" s="183" t="n"/>
      <c r="U717" s="183" t="n"/>
      <c r="V717" s="183" t="n"/>
      <c r="W717" s="183" t="n"/>
      <c r="X717" s="183" t="n"/>
      <c r="Y717" s="183" t="n"/>
      <c r="Z717" s="183" t="n"/>
      <c r="AA717" s="183" t="n"/>
    </row>
    <row r="718">
      <c r="A718" s="183" t="n"/>
      <c r="B718" s="183" t="n"/>
      <c r="C718" s="183" t="n"/>
      <c r="D718" s="183" t="n"/>
      <c r="E718" s="183" t="n"/>
      <c r="F718" s="183" t="n"/>
      <c r="G718" s="183" t="n"/>
      <c r="H718" s="183" t="n"/>
      <c r="I718" s="183" t="n"/>
      <c r="J718" s="183" t="n"/>
      <c r="K718" s="183" t="n"/>
      <c r="L718" s="183" t="n"/>
      <c r="M718" s="183" t="n"/>
      <c r="N718" s="183" t="n"/>
      <c r="O718" s="183" t="n"/>
      <c r="P718" s="183" t="n"/>
      <c r="Q718" s="183" t="n"/>
      <c r="R718" s="183" t="n"/>
      <c r="S718" s="183" t="n"/>
      <c r="T718" s="183" t="n"/>
      <c r="U718" s="183" t="n"/>
      <c r="V718" s="183" t="n"/>
      <c r="W718" s="183" t="n"/>
      <c r="X718" s="183" t="n"/>
      <c r="Y718" s="183" t="n"/>
      <c r="Z718" s="183" t="n"/>
      <c r="AA718" s="183" t="n"/>
    </row>
    <row r="719">
      <c r="A719" s="183" t="n"/>
      <c r="B719" s="183" t="n"/>
      <c r="C719" s="183" t="n"/>
      <c r="D719" s="183" t="n"/>
      <c r="E719" s="183" t="n"/>
      <c r="F719" s="183" t="n"/>
      <c r="G719" s="183" t="n"/>
      <c r="H719" s="183" t="n"/>
      <c r="I719" s="183" t="n"/>
      <c r="J719" s="183" t="n"/>
      <c r="K719" s="183" t="n"/>
      <c r="L719" s="183" t="n"/>
      <c r="M719" s="183" t="n"/>
      <c r="N719" s="183" t="n"/>
      <c r="O719" s="183" t="n"/>
      <c r="P719" s="183" t="n"/>
      <c r="Q719" s="183" t="n"/>
      <c r="R719" s="183" t="n"/>
      <c r="S719" s="183" t="n"/>
      <c r="T719" s="183" t="n"/>
      <c r="U719" s="183" t="n"/>
      <c r="V719" s="183" t="n"/>
      <c r="W719" s="183" t="n"/>
      <c r="X719" s="183" t="n"/>
      <c r="Y719" s="183" t="n"/>
      <c r="Z719" s="183" t="n"/>
      <c r="AA719" s="183" t="n"/>
    </row>
    <row r="720">
      <c r="A720" s="183" t="n"/>
      <c r="B720" s="183" t="n"/>
      <c r="C720" s="183" t="n"/>
      <c r="D720" s="183" t="n"/>
      <c r="E720" s="183" t="n"/>
      <c r="F720" s="183" t="n"/>
      <c r="G720" s="183" t="n"/>
      <c r="H720" s="183" t="n"/>
      <c r="I720" s="183" t="n"/>
      <c r="J720" s="183" t="n"/>
      <c r="K720" s="183" t="n"/>
      <c r="L720" s="183" t="n"/>
      <c r="M720" s="183" t="n"/>
      <c r="N720" s="183" t="n"/>
      <c r="O720" s="183" t="n"/>
      <c r="P720" s="183" t="n"/>
      <c r="Q720" s="183" t="n"/>
      <c r="R720" s="183" t="n"/>
      <c r="S720" s="183" t="n"/>
      <c r="T720" s="183" t="n"/>
      <c r="U720" s="183" t="n"/>
      <c r="V720" s="183" t="n"/>
      <c r="W720" s="183" t="n"/>
      <c r="X720" s="183" t="n"/>
      <c r="Y720" s="183" t="n"/>
      <c r="Z720" s="183" t="n"/>
      <c r="AA720" s="183" t="n"/>
    </row>
    <row r="721">
      <c r="A721" s="183" t="n"/>
      <c r="B721" s="183" t="n"/>
      <c r="C721" s="183" t="n"/>
      <c r="D721" s="183" t="n"/>
      <c r="E721" s="183" t="n"/>
      <c r="F721" s="183" t="n"/>
      <c r="G721" s="183" t="n"/>
      <c r="H721" s="183" t="n"/>
      <c r="I721" s="183" t="n"/>
      <c r="J721" s="183" t="n"/>
      <c r="K721" s="183" t="n"/>
      <c r="L721" s="183" t="n"/>
      <c r="M721" s="183" t="n"/>
      <c r="N721" s="183" t="n"/>
      <c r="O721" s="183" t="n"/>
      <c r="P721" s="183" t="n"/>
      <c r="Q721" s="183" t="n"/>
      <c r="R721" s="183" t="n"/>
      <c r="S721" s="183" t="n"/>
      <c r="T721" s="183" t="n"/>
      <c r="U721" s="183" t="n"/>
      <c r="V721" s="183" t="n"/>
      <c r="W721" s="183" t="n"/>
      <c r="X721" s="183" t="n"/>
      <c r="Y721" s="183" t="n"/>
      <c r="Z721" s="183" t="n"/>
      <c r="AA721" s="183" t="n"/>
    </row>
    <row r="722">
      <c r="A722" s="183" t="n"/>
      <c r="B722" s="183" t="n"/>
      <c r="C722" s="183" t="n"/>
      <c r="D722" s="183" t="n"/>
      <c r="E722" s="183" t="n"/>
      <c r="F722" s="183" t="n"/>
      <c r="G722" s="183" t="n"/>
      <c r="H722" s="183" t="n"/>
      <c r="I722" s="183" t="n"/>
      <c r="J722" s="183" t="n"/>
      <c r="K722" s="183" t="n"/>
      <c r="L722" s="183" t="n"/>
      <c r="M722" s="183" t="n"/>
      <c r="N722" s="183" t="n"/>
      <c r="O722" s="183" t="n"/>
      <c r="P722" s="183" t="n"/>
      <c r="Q722" s="183" t="n"/>
      <c r="R722" s="183" t="n"/>
      <c r="S722" s="183" t="n"/>
      <c r="T722" s="183" t="n"/>
      <c r="U722" s="183" t="n"/>
      <c r="V722" s="183" t="n"/>
      <c r="W722" s="183" t="n"/>
      <c r="X722" s="183" t="n"/>
      <c r="Y722" s="183" t="n"/>
      <c r="Z722" s="183" t="n"/>
      <c r="AA722" s="183" t="n"/>
    </row>
    <row r="723">
      <c r="A723" s="183" t="n"/>
      <c r="B723" s="183" t="n"/>
      <c r="C723" s="183" t="n"/>
      <c r="D723" s="183" t="n"/>
      <c r="E723" s="183" t="n"/>
      <c r="F723" s="183" t="n"/>
      <c r="G723" s="183" t="n"/>
      <c r="H723" s="183" t="n"/>
      <c r="I723" s="183" t="n"/>
      <c r="J723" s="183" t="n"/>
      <c r="K723" s="183" t="n"/>
      <c r="L723" s="183" t="n"/>
      <c r="M723" s="183" t="n"/>
      <c r="N723" s="183" t="n"/>
      <c r="O723" s="183" t="n"/>
      <c r="P723" s="183" t="n"/>
      <c r="Q723" s="183" t="n"/>
      <c r="R723" s="183" t="n"/>
      <c r="S723" s="183" t="n"/>
      <c r="T723" s="183" t="n"/>
      <c r="U723" s="183" t="n"/>
      <c r="V723" s="183" t="n"/>
      <c r="W723" s="183" t="n"/>
      <c r="X723" s="183" t="n"/>
      <c r="Y723" s="183" t="n"/>
      <c r="Z723" s="183" t="n"/>
      <c r="AA723" s="183" t="n"/>
    </row>
    <row r="724">
      <c r="A724" s="183" t="n"/>
      <c r="B724" s="183" t="n"/>
      <c r="C724" s="183" t="n"/>
      <c r="D724" s="183" t="n"/>
      <c r="E724" s="183" t="n"/>
      <c r="F724" s="183" t="n"/>
      <c r="G724" s="183" t="n"/>
      <c r="H724" s="183" t="n"/>
      <c r="I724" s="183" t="n"/>
      <c r="J724" s="183" t="n"/>
      <c r="K724" s="183" t="n"/>
      <c r="L724" s="183" t="n"/>
      <c r="M724" s="183" t="n"/>
      <c r="N724" s="183" t="n"/>
      <c r="O724" s="183" t="n"/>
      <c r="P724" s="183" t="n"/>
      <c r="Q724" s="183" t="n"/>
      <c r="R724" s="183" t="n"/>
      <c r="S724" s="183" t="n"/>
      <c r="T724" s="183" t="n"/>
      <c r="U724" s="183" t="n"/>
      <c r="V724" s="183" t="n"/>
      <c r="W724" s="183" t="n"/>
      <c r="X724" s="183" t="n"/>
      <c r="Y724" s="183" t="n"/>
      <c r="Z724" s="183" t="n"/>
      <c r="AA724" s="183" t="n"/>
    </row>
    <row r="725">
      <c r="A725" s="183" t="n"/>
      <c r="B725" s="183" t="n"/>
      <c r="C725" s="183" t="n"/>
      <c r="D725" s="183" t="n"/>
      <c r="E725" s="183" t="n"/>
      <c r="F725" s="183" t="n"/>
      <c r="G725" s="183" t="n"/>
      <c r="H725" s="183" t="n"/>
      <c r="I725" s="183" t="n"/>
      <c r="J725" s="183" t="n"/>
      <c r="K725" s="183" t="n"/>
      <c r="L725" s="183" t="n"/>
      <c r="M725" s="183" t="n"/>
      <c r="N725" s="183" t="n"/>
      <c r="O725" s="183" t="n"/>
      <c r="P725" s="183" t="n"/>
      <c r="Q725" s="183" t="n"/>
      <c r="R725" s="183" t="n"/>
      <c r="S725" s="183" t="n"/>
      <c r="T725" s="183" t="n"/>
      <c r="U725" s="183" t="n"/>
      <c r="V725" s="183" t="n"/>
      <c r="W725" s="183" t="n"/>
      <c r="X725" s="183" t="n"/>
      <c r="Y725" s="183" t="n"/>
      <c r="Z725" s="183" t="n"/>
      <c r="AA725" s="183" t="n"/>
    </row>
    <row r="726">
      <c r="A726" s="183" t="n"/>
      <c r="B726" s="183" t="n"/>
      <c r="C726" s="183" t="n"/>
      <c r="D726" s="183" t="n"/>
      <c r="E726" s="183" t="n"/>
      <c r="F726" s="183" t="n"/>
      <c r="G726" s="183" t="n"/>
      <c r="H726" s="183" t="n"/>
      <c r="I726" s="183" t="n"/>
      <c r="J726" s="183" t="n"/>
      <c r="K726" s="183" t="n"/>
      <c r="L726" s="183" t="n"/>
      <c r="M726" s="183" t="n"/>
      <c r="N726" s="183" t="n"/>
      <c r="O726" s="183" t="n"/>
      <c r="P726" s="183" t="n"/>
      <c r="Q726" s="183" t="n"/>
      <c r="R726" s="183" t="n"/>
      <c r="S726" s="183" t="n"/>
      <c r="T726" s="183" t="n"/>
      <c r="U726" s="183" t="n"/>
      <c r="V726" s="183" t="n"/>
      <c r="W726" s="183" t="n"/>
      <c r="X726" s="183" t="n"/>
      <c r="Y726" s="183" t="n"/>
      <c r="Z726" s="183" t="n"/>
      <c r="AA726" s="183" t="n"/>
    </row>
    <row r="727">
      <c r="A727" s="183" t="n"/>
      <c r="B727" s="183" t="n"/>
      <c r="C727" s="183" t="n"/>
      <c r="D727" s="183" t="n"/>
      <c r="E727" s="183" t="n"/>
      <c r="F727" s="183" t="n"/>
      <c r="G727" s="183" t="n"/>
      <c r="H727" s="183" t="n"/>
      <c r="I727" s="183" t="n"/>
      <c r="J727" s="183" t="n"/>
      <c r="K727" s="183" t="n"/>
      <c r="L727" s="183" t="n"/>
      <c r="M727" s="183" t="n"/>
      <c r="N727" s="183" t="n"/>
      <c r="O727" s="183" t="n"/>
      <c r="P727" s="183" t="n"/>
      <c r="Q727" s="183" t="n"/>
      <c r="R727" s="183" t="n"/>
      <c r="S727" s="183" t="n"/>
      <c r="T727" s="183" t="n"/>
      <c r="U727" s="183" t="n"/>
      <c r="V727" s="183" t="n"/>
      <c r="W727" s="183" t="n"/>
      <c r="X727" s="183" t="n"/>
      <c r="Y727" s="183" t="n"/>
      <c r="Z727" s="183" t="n"/>
      <c r="AA727" s="183" t="n"/>
    </row>
    <row r="728">
      <c r="A728" s="183" t="n"/>
      <c r="B728" s="183" t="n"/>
      <c r="C728" s="183" t="n"/>
      <c r="D728" s="183" t="n"/>
      <c r="E728" s="183" t="n"/>
      <c r="F728" s="183" t="n"/>
      <c r="G728" s="183" t="n"/>
      <c r="H728" s="183" t="n"/>
      <c r="I728" s="183" t="n"/>
      <c r="J728" s="183" t="n"/>
      <c r="K728" s="183" t="n"/>
      <c r="L728" s="183" t="n"/>
      <c r="M728" s="183" t="n"/>
      <c r="N728" s="183" t="n"/>
      <c r="O728" s="183" t="n"/>
      <c r="P728" s="183" t="n"/>
      <c r="Q728" s="183" t="n"/>
      <c r="R728" s="183" t="n"/>
      <c r="S728" s="183" t="n"/>
      <c r="T728" s="183" t="n"/>
      <c r="U728" s="183" t="n"/>
      <c r="V728" s="183" t="n"/>
      <c r="W728" s="183" t="n"/>
      <c r="X728" s="183" t="n"/>
      <c r="Y728" s="183" t="n"/>
      <c r="Z728" s="183" t="n"/>
      <c r="AA728" s="183" t="n"/>
    </row>
    <row r="729">
      <c r="A729" s="183" t="n"/>
      <c r="B729" s="183" t="n"/>
      <c r="C729" s="183" t="n"/>
      <c r="D729" s="183" t="n"/>
      <c r="E729" s="183" t="n"/>
      <c r="F729" s="183" t="n"/>
      <c r="G729" s="183" t="n"/>
      <c r="H729" s="183" t="n"/>
      <c r="I729" s="183" t="n"/>
      <c r="J729" s="183" t="n"/>
      <c r="K729" s="183" t="n"/>
      <c r="L729" s="183" t="n"/>
      <c r="M729" s="183" t="n"/>
      <c r="N729" s="183" t="n"/>
      <c r="O729" s="183" t="n"/>
      <c r="P729" s="183" t="n"/>
      <c r="Q729" s="183" t="n"/>
      <c r="R729" s="183" t="n"/>
      <c r="S729" s="183" t="n"/>
      <c r="T729" s="183" t="n"/>
      <c r="U729" s="183" t="n"/>
      <c r="V729" s="183" t="n"/>
      <c r="W729" s="183" t="n"/>
      <c r="X729" s="183" t="n"/>
      <c r="Y729" s="183" t="n"/>
      <c r="Z729" s="183" t="n"/>
      <c r="AA729" s="183" t="n"/>
    </row>
    <row r="730">
      <c r="A730" s="183" t="n"/>
      <c r="B730" s="183" t="n"/>
      <c r="C730" s="183" t="n"/>
      <c r="D730" s="183" t="n"/>
      <c r="E730" s="183" t="n"/>
      <c r="F730" s="183" t="n"/>
      <c r="G730" s="183" t="n"/>
      <c r="H730" s="183" t="n"/>
      <c r="I730" s="183" t="n"/>
      <c r="J730" s="183" t="n"/>
      <c r="K730" s="183" t="n"/>
      <c r="L730" s="183" t="n"/>
      <c r="M730" s="183" t="n"/>
      <c r="N730" s="183" t="n"/>
      <c r="O730" s="183" t="n"/>
      <c r="P730" s="183" t="n"/>
      <c r="Q730" s="183" t="n"/>
      <c r="R730" s="183" t="n"/>
      <c r="S730" s="183" t="n"/>
      <c r="T730" s="183" t="n"/>
      <c r="U730" s="183" t="n"/>
      <c r="V730" s="183" t="n"/>
      <c r="W730" s="183" t="n"/>
      <c r="X730" s="183" t="n"/>
      <c r="Y730" s="183" t="n"/>
      <c r="Z730" s="183" t="n"/>
      <c r="AA730" s="183" t="n"/>
    </row>
    <row r="731">
      <c r="A731" s="183" t="n"/>
      <c r="B731" s="183" t="n"/>
      <c r="C731" s="183" t="n"/>
      <c r="D731" s="183" t="n"/>
      <c r="E731" s="183" t="n"/>
      <c r="F731" s="183" t="n"/>
      <c r="G731" s="183" t="n"/>
      <c r="H731" s="183" t="n"/>
      <c r="I731" s="183" t="n"/>
      <c r="J731" s="183" t="n"/>
      <c r="K731" s="183" t="n"/>
      <c r="L731" s="183" t="n"/>
      <c r="M731" s="183" t="n"/>
      <c r="N731" s="183" t="n"/>
      <c r="O731" s="183" t="n"/>
      <c r="P731" s="183" t="n"/>
      <c r="Q731" s="183" t="n"/>
      <c r="R731" s="183" t="n"/>
      <c r="S731" s="183" t="n"/>
      <c r="T731" s="183" t="n"/>
      <c r="U731" s="183" t="n"/>
      <c r="V731" s="183" t="n"/>
      <c r="W731" s="183" t="n"/>
      <c r="X731" s="183" t="n"/>
      <c r="Y731" s="183" t="n"/>
      <c r="Z731" s="183" t="n"/>
      <c r="AA731" s="183" t="n"/>
    </row>
    <row r="732">
      <c r="A732" s="183" t="n"/>
      <c r="B732" s="183" t="n"/>
      <c r="C732" s="183" t="n"/>
      <c r="D732" s="183" t="n"/>
      <c r="E732" s="183" t="n"/>
      <c r="F732" s="183" t="n"/>
      <c r="G732" s="183" t="n"/>
      <c r="H732" s="183" t="n"/>
      <c r="I732" s="183" t="n"/>
      <c r="J732" s="183" t="n"/>
      <c r="K732" s="183" t="n"/>
      <c r="L732" s="183" t="n"/>
      <c r="M732" s="183" t="n"/>
      <c r="N732" s="183" t="n"/>
      <c r="O732" s="183" t="n"/>
      <c r="P732" s="183" t="n"/>
      <c r="Q732" s="183" t="n"/>
      <c r="R732" s="183" t="n"/>
      <c r="S732" s="183" t="n"/>
      <c r="T732" s="183" t="n"/>
      <c r="U732" s="183" t="n"/>
      <c r="V732" s="183" t="n"/>
      <c r="W732" s="183" t="n"/>
      <c r="X732" s="183" t="n"/>
      <c r="Y732" s="183" t="n"/>
      <c r="Z732" s="183" t="n"/>
      <c r="AA732" s="183" t="n"/>
    </row>
    <row r="733">
      <c r="A733" s="183" t="n"/>
      <c r="B733" s="183" t="n"/>
      <c r="C733" s="183" t="n"/>
      <c r="D733" s="183" t="n"/>
      <c r="E733" s="183" t="n"/>
      <c r="F733" s="183" t="n"/>
      <c r="G733" s="183" t="n"/>
      <c r="H733" s="183" t="n"/>
      <c r="I733" s="183" t="n"/>
      <c r="J733" s="183" t="n"/>
      <c r="K733" s="183" t="n"/>
      <c r="L733" s="183" t="n"/>
      <c r="M733" s="183" t="n"/>
      <c r="N733" s="183" t="n"/>
      <c r="O733" s="183" t="n"/>
      <c r="P733" s="183" t="n"/>
      <c r="Q733" s="183" t="n"/>
      <c r="R733" s="183" t="n"/>
      <c r="S733" s="183" t="n"/>
      <c r="T733" s="183" t="n"/>
      <c r="U733" s="183" t="n"/>
      <c r="V733" s="183" t="n"/>
      <c r="W733" s="183" t="n"/>
      <c r="X733" s="183" t="n"/>
      <c r="Y733" s="183" t="n"/>
      <c r="Z733" s="183" t="n"/>
      <c r="AA733" s="183" t="n"/>
    </row>
    <row r="734">
      <c r="A734" s="183" t="n"/>
      <c r="B734" s="183" t="n"/>
      <c r="C734" s="183" t="n"/>
      <c r="D734" s="183" t="n"/>
      <c r="E734" s="183" t="n"/>
      <c r="F734" s="183" t="n"/>
      <c r="G734" s="183" t="n"/>
      <c r="H734" s="183" t="n"/>
      <c r="I734" s="183" t="n"/>
      <c r="J734" s="183" t="n"/>
      <c r="K734" s="183" t="n"/>
      <c r="L734" s="183" t="n"/>
      <c r="M734" s="183" t="n"/>
      <c r="N734" s="183" t="n"/>
      <c r="O734" s="183" t="n"/>
      <c r="P734" s="183" t="n"/>
      <c r="Q734" s="183" t="n"/>
      <c r="R734" s="183" t="n"/>
      <c r="S734" s="183" t="n"/>
      <c r="T734" s="183" t="n"/>
      <c r="U734" s="183" t="n"/>
      <c r="V734" s="183" t="n"/>
      <c r="W734" s="183" t="n"/>
      <c r="X734" s="183" t="n"/>
      <c r="Y734" s="183" t="n"/>
      <c r="Z734" s="183" t="n"/>
      <c r="AA734" s="183" t="n"/>
    </row>
    <row r="735">
      <c r="A735" s="183" t="n"/>
      <c r="B735" s="183" t="n"/>
      <c r="C735" s="183" t="n"/>
      <c r="D735" s="183" t="n"/>
      <c r="E735" s="183" t="n"/>
      <c r="F735" s="183" t="n"/>
      <c r="G735" s="183" t="n"/>
      <c r="H735" s="183" t="n"/>
      <c r="I735" s="183" t="n"/>
      <c r="J735" s="183" t="n"/>
      <c r="K735" s="183" t="n"/>
      <c r="L735" s="183" t="n"/>
      <c r="M735" s="183" t="n"/>
      <c r="N735" s="183" t="n"/>
      <c r="O735" s="183" t="n"/>
      <c r="P735" s="183" t="n"/>
      <c r="Q735" s="183" t="n"/>
      <c r="R735" s="183" t="n"/>
      <c r="S735" s="183" t="n"/>
      <c r="T735" s="183" t="n"/>
      <c r="U735" s="183" t="n"/>
      <c r="V735" s="183" t="n"/>
      <c r="W735" s="183" t="n"/>
      <c r="X735" s="183" t="n"/>
      <c r="Y735" s="183" t="n"/>
      <c r="Z735" s="183" t="n"/>
      <c r="AA735" s="183" t="n"/>
    </row>
    <row r="736">
      <c r="A736" s="183" t="n"/>
      <c r="B736" s="183" t="n"/>
      <c r="C736" s="183" t="n"/>
      <c r="D736" s="183" t="n"/>
      <c r="E736" s="183" t="n"/>
      <c r="F736" s="183" t="n"/>
      <c r="G736" s="183" t="n"/>
      <c r="H736" s="183" t="n"/>
      <c r="I736" s="183" t="n"/>
      <c r="J736" s="183" t="n"/>
      <c r="K736" s="183" t="n"/>
      <c r="L736" s="183" t="n"/>
      <c r="M736" s="183" t="n"/>
      <c r="N736" s="183" t="n"/>
      <c r="O736" s="183" t="n"/>
      <c r="P736" s="183" t="n"/>
      <c r="Q736" s="183" t="n"/>
      <c r="R736" s="183" t="n"/>
      <c r="S736" s="183" t="n"/>
      <c r="T736" s="183" t="n"/>
      <c r="U736" s="183" t="n"/>
      <c r="V736" s="183" t="n"/>
      <c r="W736" s="183" t="n"/>
      <c r="X736" s="183" t="n"/>
      <c r="Y736" s="183" t="n"/>
      <c r="Z736" s="183" t="n"/>
      <c r="AA736" s="183" t="n"/>
    </row>
    <row r="737">
      <c r="A737" s="183" t="n"/>
      <c r="B737" s="183" t="n"/>
      <c r="C737" s="183" t="n"/>
      <c r="D737" s="183" t="n"/>
      <c r="E737" s="183" t="n"/>
      <c r="F737" s="183" t="n"/>
      <c r="G737" s="183" t="n"/>
      <c r="H737" s="183" t="n"/>
      <c r="I737" s="183" t="n"/>
      <c r="J737" s="183" t="n"/>
      <c r="K737" s="183" t="n"/>
      <c r="L737" s="183" t="n"/>
      <c r="M737" s="183" t="n"/>
      <c r="N737" s="183" t="n"/>
      <c r="O737" s="183" t="n"/>
      <c r="P737" s="183" t="n"/>
      <c r="Q737" s="183" t="n"/>
      <c r="R737" s="183" t="n"/>
      <c r="S737" s="183" t="n"/>
      <c r="T737" s="183" t="n"/>
      <c r="U737" s="183" t="n"/>
      <c r="V737" s="183" t="n"/>
      <c r="W737" s="183" t="n"/>
      <c r="X737" s="183" t="n"/>
      <c r="Y737" s="183" t="n"/>
      <c r="Z737" s="183" t="n"/>
      <c r="AA737" s="183" t="n"/>
    </row>
    <row r="738">
      <c r="A738" s="183" t="n"/>
      <c r="B738" s="183" t="n"/>
      <c r="C738" s="183" t="n"/>
      <c r="D738" s="183" t="n"/>
      <c r="E738" s="183" t="n"/>
      <c r="F738" s="183" t="n"/>
      <c r="G738" s="183" t="n"/>
      <c r="H738" s="183" t="n"/>
      <c r="I738" s="183" t="n"/>
      <c r="J738" s="183" t="n"/>
      <c r="K738" s="183" t="n"/>
      <c r="L738" s="183" t="n"/>
      <c r="M738" s="183" t="n"/>
      <c r="N738" s="183" t="n"/>
      <c r="O738" s="183" t="n"/>
      <c r="P738" s="183" t="n"/>
      <c r="Q738" s="183" t="n"/>
      <c r="R738" s="183" t="n"/>
      <c r="S738" s="183" t="n"/>
      <c r="T738" s="183" t="n"/>
      <c r="U738" s="183" t="n"/>
      <c r="V738" s="183" t="n"/>
      <c r="W738" s="183" t="n"/>
      <c r="X738" s="183" t="n"/>
      <c r="Y738" s="183" t="n"/>
      <c r="Z738" s="183" t="n"/>
      <c r="AA738" s="183" t="n"/>
    </row>
    <row r="739">
      <c r="A739" s="183" t="n"/>
      <c r="B739" s="183" t="n"/>
      <c r="C739" s="183" t="n"/>
      <c r="D739" s="183" t="n"/>
      <c r="E739" s="183" t="n"/>
      <c r="F739" s="183" t="n"/>
      <c r="G739" s="183" t="n"/>
      <c r="H739" s="183" t="n"/>
      <c r="I739" s="183" t="n"/>
      <c r="J739" s="183" t="n"/>
      <c r="K739" s="183" t="n"/>
      <c r="L739" s="183" t="n"/>
      <c r="M739" s="183" t="n"/>
      <c r="N739" s="183" t="n"/>
      <c r="O739" s="183" t="n"/>
      <c r="P739" s="183" t="n"/>
      <c r="Q739" s="183" t="n"/>
      <c r="R739" s="183" t="n"/>
      <c r="S739" s="183" t="n"/>
      <c r="T739" s="183" t="n"/>
      <c r="U739" s="183" t="n"/>
      <c r="V739" s="183" t="n"/>
      <c r="W739" s="183" t="n"/>
      <c r="X739" s="183" t="n"/>
      <c r="Y739" s="183" t="n"/>
      <c r="Z739" s="183" t="n"/>
      <c r="AA739" s="183" t="n"/>
    </row>
    <row r="740">
      <c r="A740" s="183" t="n"/>
      <c r="B740" s="183" t="n"/>
      <c r="C740" s="183" t="n"/>
      <c r="D740" s="183" t="n"/>
      <c r="E740" s="183" t="n"/>
      <c r="F740" s="183" t="n"/>
      <c r="G740" s="183" t="n"/>
      <c r="H740" s="183" t="n"/>
      <c r="I740" s="183" t="n"/>
      <c r="J740" s="183" t="n"/>
      <c r="K740" s="183" t="n"/>
      <c r="L740" s="183" t="n"/>
      <c r="M740" s="183" t="n"/>
      <c r="N740" s="183" t="n"/>
      <c r="O740" s="183" t="n"/>
      <c r="P740" s="183" t="n"/>
      <c r="Q740" s="183" t="n"/>
      <c r="R740" s="183" t="n"/>
      <c r="S740" s="183" t="n"/>
      <c r="T740" s="183" t="n"/>
      <c r="U740" s="183" t="n"/>
      <c r="V740" s="183" t="n"/>
      <c r="W740" s="183" t="n"/>
      <c r="X740" s="183" t="n"/>
      <c r="Y740" s="183" t="n"/>
      <c r="Z740" s="183" t="n"/>
      <c r="AA740" s="183" t="n"/>
    </row>
    <row r="741">
      <c r="A741" s="183" t="n"/>
      <c r="B741" s="183" t="n"/>
      <c r="C741" s="183" t="n"/>
      <c r="D741" s="183" t="n"/>
      <c r="E741" s="183" t="n"/>
      <c r="F741" s="183" t="n"/>
      <c r="G741" s="183" t="n"/>
      <c r="H741" s="183" t="n"/>
      <c r="I741" s="183" t="n"/>
      <c r="J741" s="183" t="n"/>
      <c r="K741" s="183" t="n"/>
      <c r="L741" s="183" t="n"/>
      <c r="M741" s="183" t="n"/>
      <c r="N741" s="183" t="n"/>
      <c r="O741" s="183" t="n"/>
      <c r="P741" s="183" t="n"/>
      <c r="Q741" s="183" t="n"/>
      <c r="R741" s="183" t="n"/>
      <c r="S741" s="183" t="n"/>
      <c r="T741" s="183" t="n"/>
      <c r="U741" s="183" t="n"/>
      <c r="V741" s="183" t="n"/>
      <c r="W741" s="183" t="n"/>
      <c r="X741" s="183" t="n"/>
      <c r="Y741" s="183" t="n"/>
      <c r="Z741" s="183" t="n"/>
      <c r="AA741" s="183" t="n"/>
    </row>
    <row r="742">
      <c r="A742" s="183" t="n"/>
      <c r="B742" s="183" t="n"/>
      <c r="C742" s="183" t="n"/>
      <c r="D742" s="183" t="n"/>
      <c r="E742" s="183" t="n"/>
      <c r="F742" s="183" t="n"/>
      <c r="G742" s="183" t="n"/>
      <c r="H742" s="183" t="n"/>
      <c r="I742" s="183" t="n"/>
      <c r="J742" s="183" t="n"/>
      <c r="K742" s="183" t="n"/>
      <c r="L742" s="183" t="n"/>
      <c r="M742" s="183" t="n"/>
      <c r="N742" s="183" t="n"/>
      <c r="O742" s="183" t="n"/>
      <c r="P742" s="183" t="n"/>
      <c r="Q742" s="183" t="n"/>
      <c r="R742" s="183" t="n"/>
      <c r="S742" s="183" t="n"/>
      <c r="T742" s="183" t="n"/>
      <c r="U742" s="183" t="n"/>
      <c r="V742" s="183" t="n"/>
      <c r="W742" s="183" t="n"/>
      <c r="X742" s="183" t="n"/>
      <c r="Y742" s="183" t="n"/>
      <c r="Z742" s="183" t="n"/>
      <c r="AA742" s="183" t="n"/>
    </row>
    <row r="743">
      <c r="A743" s="183" t="n"/>
      <c r="B743" s="183" t="n"/>
      <c r="C743" s="183" t="n"/>
      <c r="D743" s="183" t="n"/>
      <c r="E743" s="183" t="n"/>
      <c r="F743" s="183" t="n"/>
      <c r="G743" s="183" t="n"/>
      <c r="H743" s="183" t="n"/>
      <c r="I743" s="183" t="n"/>
      <c r="J743" s="183" t="n"/>
      <c r="K743" s="183" t="n"/>
      <c r="L743" s="183" t="n"/>
      <c r="M743" s="183" t="n"/>
      <c r="N743" s="183" t="n"/>
      <c r="O743" s="183" t="n"/>
      <c r="P743" s="183" t="n"/>
      <c r="Q743" s="183" t="n"/>
      <c r="R743" s="183" t="n"/>
      <c r="S743" s="183" t="n"/>
      <c r="T743" s="183" t="n"/>
      <c r="U743" s="183" t="n"/>
      <c r="V743" s="183" t="n"/>
      <c r="W743" s="183" t="n"/>
      <c r="X743" s="183" t="n"/>
      <c r="Y743" s="183" t="n"/>
      <c r="Z743" s="183" t="n"/>
      <c r="AA743" s="183" t="n"/>
    </row>
    <row r="744">
      <c r="A744" s="183" t="n"/>
      <c r="B744" s="183" t="n"/>
      <c r="C744" s="183" t="n"/>
      <c r="D744" s="183" t="n"/>
      <c r="E744" s="183" t="n"/>
      <c r="F744" s="183" t="n"/>
      <c r="G744" s="183" t="n"/>
      <c r="H744" s="183" t="n"/>
      <c r="I744" s="183" t="n"/>
      <c r="J744" s="183" t="n"/>
      <c r="K744" s="183" t="n"/>
      <c r="L744" s="183" t="n"/>
      <c r="M744" s="183" t="n"/>
      <c r="N744" s="183" t="n"/>
      <c r="O744" s="183" t="n"/>
      <c r="P744" s="183" t="n"/>
      <c r="Q744" s="183" t="n"/>
      <c r="R744" s="183" t="n"/>
      <c r="S744" s="183" t="n"/>
      <c r="T744" s="183" t="n"/>
      <c r="U744" s="183" t="n"/>
      <c r="V744" s="183" t="n"/>
      <c r="W744" s="183" t="n"/>
      <c r="X744" s="183" t="n"/>
      <c r="Y744" s="183" t="n"/>
      <c r="Z744" s="183" t="n"/>
      <c r="AA744" s="183" t="n"/>
    </row>
    <row r="745">
      <c r="A745" s="183" t="n"/>
      <c r="B745" s="183" t="n"/>
      <c r="C745" s="183" t="n"/>
      <c r="D745" s="183" t="n"/>
      <c r="E745" s="183" t="n"/>
      <c r="F745" s="183" t="n"/>
      <c r="G745" s="183" t="n"/>
      <c r="H745" s="183" t="n"/>
      <c r="I745" s="183" t="n"/>
      <c r="J745" s="183" t="n"/>
      <c r="K745" s="183" t="n"/>
      <c r="L745" s="183" t="n"/>
      <c r="M745" s="183" t="n"/>
      <c r="N745" s="183" t="n"/>
      <c r="O745" s="183" t="n"/>
      <c r="P745" s="183" t="n"/>
      <c r="Q745" s="183" t="n"/>
      <c r="R745" s="183" t="n"/>
      <c r="S745" s="183" t="n"/>
      <c r="T745" s="183" t="n"/>
      <c r="U745" s="183" t="n"/>
      <c r="V745" s="183" t="n"/>
      <c r="W745" s="183" t="n"/>
      <c r="X745" s="183" t="n"/>
      <c r="Y745" s="183" t="n"/>
      <c r="Z745" s="183" t="n"/>
      <c r="AA745" s="183" t="n"/>
    </row>
    <row r="746">
      <c r="A746" s="183" t="n"/>
      <c r="B746" s="183" t="n"/>
      <c r="C746" s="183" t="n"/>
      <c r="D746" s="183" t="n"/>
      <c r="E746" s="183" t="n"/>
      <c r="F746" s="183" t="n"/>
      <c r="G746" s="183" t="n"/>
      <c r="H746" s="183" t="n"/>
      <c r="I746" s="183" t="n"/>
      <c r="J746" s="183" t="n"/>
      <c r="K746" s="183" t="n"/>
      <c r="L746" s="183" t="n"/>
      <c r="M746" s="183" t="n"/>
      <c r="N746" s="183" t="n"/>
      <c r="O746" s="183" t="n"/>
      <c r="P746" s="183" t="n"/>
      <c r="Q746" s="183" t="n"/>
      <c r="R746" s="183" t="n"/>
      <c r="S746" s="183" t="n"/>
      <c r="T746" s="183" t="n"/>
      <c r="U746" s="183" t="n"/>
      <c r="V746" s="183" t="n"/>
      <c r="W746" s="183" t="n"/>
      <c r="X746" s="183" t="n"/>
      <c r="Y746" s="183" t="n"/>
      <c r="Z746" s="183" t="n"/>
      <c r="AA746" s="183" t="n"/>
    </row>
    <row r="747">
      <c r="A747" s="183" t="n"/>
      <c r="B747" s="183" t="n"/>
      <c r="C747" s="183" t="n"/>
      <c r="D747" s="183" t="n"/>
      <c r="E747" s="183" t="n"/>
      <c r="F747" s="183" t="n"/>
      <c r="G747" s="183" t="n"/>
      <c r="H747" s="183" t="n"/>
      <c r="I747" s="183" t="n"/>
      <c r="J747" s="183" t="n"/>
      <c r="K747" s="183" t="n"/>
      <c r="L747" s="183" t="n"/>
      <c r="M747" s="183" t="n"/>
      <c r="N747" s="183" t="n"/>
      <c r="O747" s="183" t="n"/>
      <c r="P747" s="183" t="n"/>
      <c r="Q747" s="183" t="n"/>
      <c r="R747" s="183" t="n"/>
      <c r="S747" s="183" t="n"/>
      <c r="T747" s="183" t="n"/>
      <c r="U747" s="183" t="n"/>
      <c r="V747" s="183" t="n"/>
      <c r="W747" s="183" t="n"/>
      <c r="X747" s="183" t="n"/>
      <c r="Y747" s="183" t="n"/>
      <c r="Z747" s="183" t="n"/>
      <c r="AA747" s="183" t="n"/>
    </row>
    <row r="748">
      <c r="A748" s="183" t="n"/>
      <c r="B748" s="183" t="n"/>
      <c r="C748" s="183" t="n"/>
      <c r="D748" s="183" t="n"/>
      <c r="E748" s="183" t="n"/>
      <c r="F748" s="183" t="n"/>
      <c r="G748" s="183" t="n"/>
      <c r="H748" s="183" t="n"/>
      <c r="I748" s="183" t="n"/>
      <c r="J748" s="183" t="n"/>
      <c r="K748" s="183" t="n"/>
      <c r="L748" s="183" t="n"/>
      <c r="M748" s="183" t="n"/>
      <c r="N748" s="183" t="n"/>
      <c r="O748" s="183" t="n"/>
      <c r="P748" s="183" t="n"/>
      <c r="Q748" s="183" t="n"/>
      <c r="R748" s="183" t="n"/>
      <c r="S748" s="183" t="n"/>
      <c r="T748" s="183" t="n"/>
      <c r="U748" s="183" t="n"/>
      <c r="V748" s="183" t="n"/>
      <c r="W748" s="183" t="n"/>
      <c r="X748" s="183" t="n"/>
      <c r="Y748" s="183" t="n"/>
      <c r="Z748" s="183" t="n"/>
      <c r="AA748" s="183" t="n"/>
    </row>
    <row r="749">
      <c r="A749" s="183" t="n"/>
      <c r="B749" s="183" t="n"/>
      <c r="C749" s="183" t="n"/>
      <c r="D749" s="183" t="n"/>
      <c r="E749" s="183" t="n"/>
      <c r="F749" s="183" t="n"/>
      <c r="G749" s="183" t="n"/>
      <c r="H749" s="183" t="n"/>
      <c r="I749" s="183" t="n"/>
      <c r="J749" s="183" t="n"/>
      <c r="K749" s="183" t="n"/>
      <c r="L749" s="183" t="n"/>
      <c r="M749" s="183" t="n"/>
      <c r="N749" s="183" t="n"/>
      <c r="O749" s="183" t="n"/>
      <c r="P749" s="183" t="n"/>
      <c r="Q749" s="183" t="n"/>
      <c r="R749" s="183" t="n"/>
      <c r="S749" s="183" t="n"/>
      <c r="T749" s="183" t="n"/>
      <c r="U749" s="183" t="n"/>
      <c r="V749" s="183" t="n"/>
      <c r="W749" s="183" t="n"/>
      <c r="X749" s="183" t="n"/>
      <c r="Y749" s="183" t="n"/>
      <c r="Z749" s="183" t="n"/>
      <c r="AA749" s="183" t="n"/>
    </row>
    <row r="750">
      <c r="A750" s="183" t="n"/>
      <c r="B750" s="183" t="n"/>
      <c r="C750" s="183" t="n"/>
      <c r="D750" s="183" t="n"/>
      <c r="E750" s="183" t="n"/>
      <c r="F750" s="183" t="n"/>
      <c r="G750" s="183" t="n"/>
      <c r="H750" s="183" t="n"/>
      <c r="I750" s="183" t="n"/>
      <c r="J750" s="183" t="n"/>
      <c r="K750" s="183" t="n"/>
      <c r="L750" s="183" t="n"/>
      <c r="M750" s="183" t="n"/>
      <c r="N750" s="183" t="n"/>
      <c r="O750" s="183" t="n"/>
      <c r="P750" s="183" t="n"/>
      <c r="Q750" s="183" t="n"/>
      <c r="R750" s="183" t="n"/>
      <c r="S750" s="183" t="n"/>
      <c r="T750" s="183" t="n"/>
      <c r="U750" s="183" t="n"/>
      <c r="V750" s="183" t="n"/>
      <c r="W750" s="183" t="n"/>
      <c r="X750" s="183" t="n"/>
      <c r="Y750" s="183" t="n"/>
      <c r="Z750" s="183" t="n"/>
      <c r="AA750" s="183" t="n"/>
    </row>
    <row r="751">
      <c r="A751" s="183" t="n"/>
      <c r="B751" s="183" t="n"/>
      <c r="C751" s="183" t="n"/>
      <c r="D751" s="183" t="n"/>
      <c r="E751" s="183" t="n"/>
      <c r="F751" s="183" t="n"/>
      <c r="G751" s="183" t="n"/>
      <c r="H751" s="183" t="n"/>
      <c r="I751" s="183" t="n"/>
      <c r="J751" s="183" t="n"/>
      <c r="K751" s="183" t="n"/>
      <c r="L751" s="183" t="n"/>
      <c r="M751" s="183" t="n"/>
      <c r="N751" s="183" t="n"/>
      <c r="O751" s="183" t="n"/>
      <c r="P751" s="183" t="n"/>
      <c r="Q751" s="183" t="n"/>
      <c r="R751" s="183" t="n"/>
      <c r="S751" s="183" t="n"/>
      <c r="T751" s="183" t="n"/>
      <c r="U751" s="183" t="n"/>
      <c r="V751" s="183" t="n"/>
      <c r="W751" s="183" t="n"/>
      <c r="X751" s="183" t="n"/>
      <c r="Y751" s="183" t="n"/>
      <c r="Z751" s="183" t="n"/>
      <c r="AA751" s="183" t="n"/>
    </row>
    <row r="752">
      <c r="A752" s="183" t="n"/>
      <c r="B752" s="183" t="n"/>
      <c r="C752" s="183" t="n"/>
      <c r="D752" s="183" t="n"/>
      <c r="E752" s="183" t="n"/>
      <c r="F752" s="183" t="n"/>
      <c r="G752" s="183" t="n"/>
      <c r="H752" s="183" t="n"/>
      <c r="I752" s="183" t="n"/>
      <c r="J752" s="183" t="n"/>
      <c r="K752" s="183" t="n"/>
      <c r="L752" s="183" t="n"/>
      <c r="M752" s="183" t="n"/>
      <c r="N752" s="183" t="n"/>
      <c r="O752" s="183" t="n"/>
      <c r="P752" s="183" t="n"/>
      <c r="Q752" s="183" t="n"/>
      <c r="R752" s="183" t="n"/>
      <c r="S752" s="183" t="n"/>
      <c r="T752" s="183" t="n"/>
      <c r="U752" s="183" t="n"/>
      <c r="V752" s="183" t="n"/>
      <c r="W752" s="183" t="n"/>
      <c r="X752" s="183" t="n"/>
      <c r="Y752" s="183" t="n"/>
      <c r="Z752" s="183" t="n"/>
      <c r="AA752" s="183" t="n"/>
    </row>
    <row r="753">
      <c r="A753" s="183" t="n"/>
      <c r="B753" s="183" t="n"/>
      <c r="C753" s="183" t="n"/>
      <c r="D753" s="183" t="n"/>
      <c r="E753" s="183" t="n"/>
      <c r="F753" s="183" t="n"/>
      <c r="G753" s="183" t="n"/>
      <c r="H753" s="183" t="n"/>
      <c r="I753" s="183" t="n"/>
      <c r="J753" s="183" t="n"/>
      <c r="K753" s="183" t="n"/>
      <c r="L753" s="183" t="n"/>
      <c r="M753" s="183" t="n"/>
      <c r="N753" s="183" t="n"/>
      <c r="O753" s="183" t="n"/>
      <c r="P753" s="183" t="n"/>
      <c r="Q753" s="183" t="n"/>
      <c r="R753" s="183" t="n"/>
      <c r="S753" s="183" t="n"/>
      <c r="T753" s="183" t="n"/>
      <c r="U753" s="183" t="n"/>
      <c r="V753" s="183" t="n"/>
      <c r="W753" s="183" t="n"/>
      <c r="X753" s="183" t="n"/>
      <c r="Y753" s="183" t="n"/>
      <c r="Z753" s="183" t="n"/>
      <c r="AA753" s="183" t="n"/>
    </row>
    <row r="754">
      <c r="A754" s="183" t="n"/>
      <c r="B754" s="183" t="n"/>
      <c r="C754" s="183" t="n"/>
      <c r="D754" s="183" t="n"/>
      <c r="E754" s="183" t="n"/>
      <c r="F754" s="183" t="n"/>
      <c r="G754" s="183" t="n"/>
      <c r="H754" s="183" t="n"/>
      <c r="I754" s="183" t="n"/>
      <c r="J754" s="183" t="n"/>
      <c r="K754" s="183" t="n"/>
      <c r="L754" s="183" t="n"/>
      <c r="M754" s="183" t="n"/>
      <c r="N754" s="183" t="n"/>
      <c r="O754" s="183" t="n"/>
      <c r="P754" s="183" t="n"/>
      <c r="Q754" s="183" t="n"/>
      <c r="R754" s="183" t="n"/>
      <c r="S754" s="183" t="n"/>
      <c r="T754" s="183" t="n"/>
      <c r="U754" s="183" t="n"/>
      <c r="V754" s="183" t="n"/>
      <c r="W754" s="183" t="n"/>
      <c r="X754" s="183" t="n"/>
      <c r="Y754" s="183" t="n"/>
      <c r="Z754" s="183" t="n"/>
      <c r="AA754" s="183" t="n"/>
    </row>
    <row r="755">
      <c r="A755" s="183" t="n"/>
      <c r="B755" s="183" t="n"/>
      <c r="C755" s="183" t="n"/>
      <c r="D755" s="183" t="n"/>
      <c r="E755" s="183" t="n"/>
      <c r="F755" s="183" t="n"/>
      <c r="G755" s="183" t="n"/>
      <c r="H755" s="183" t="n"/>
      <c r="I755" s="183" t="n"/>
      <c r="J755" s="183" t="n"/>
      <c r="K755" s="183" t="n"/>
      <c r="L755" s="183" t="n"/>
      <c r="M755" s="183" t="n"/>
      <c r="N755" s="183" t="n"/>
      <c r="O755" s="183" t="n"/>
      <c r="P755" s="183" t="n"/>
      <c r="Q755" s="183" t="n"/>
      <c r="R755" s="183" t="n"/>
      <c r="S755" s="183" t="n"/>
      <c r="T755" s="183" t="n"/>
      <c r="U755" s="183" t="n"/>
      <c r="V755" s="183" t="n"/>
      <c r="W755" s="183" t="n"/>
      <c r="X755" s="183" t="n"/>
      <c r="Y755" s="183" t="n"/>
      <c r="Z755" s="183" t="n"/>
      <c r="AA755" s="183" t="n"/>
    </row>
    <row r="756">
      <c r="A756" s="183" t="n"/>
      <c r="B756" s="183" t="n"/>
      <c r="C756" s="183" t="n"/>
      <c r="D756" s="183" t="n"/>
      <c r="E756" s="183" t="n"/>
      <c r="F756" s="183" t="n"/>
      <c r="G756" s="183" t="n"/>
      <c r="H756" s="183" t="n"/>
      <c r="I756" s="183" t="n"/>
      <c r="J756" s="183" t="n"/>
      <c r="K756" s="183" t="n"/>
      <c r="L756" s="183" t="n"/>
      <c r="M756" s="183" t="n"/>
      <c r="N756" s="183" t="n"/>
      <c r="O756" s="183" t="n"/>
      <c r="P756" s="183" t="n"/>
      <c r="Q756" s="183" t="n"/>
      <c r="R756" s="183" t="n"/>
      <c r="S756" s="183" t="n"/>
      <c r="T756" s="183" t="n"/>
      <c r="U756" s="183" t="n"/>
      <c r="V756" s="183" t="n"/>
      <c r="W756" s="183" t="n"/>
      <c r="X756" s="183" t="n"/>
      <c r="Y756" s="183" t="n"/>
      <c r="Z756" s="183" t="n"/>
      <c r="AA756" s="183" t="n"/>
    </row>
    <row r="757">
      <c r="A757" s="183" t="n"/>
      <c r="B757" s="183" t="n"/>
      <c r="C757" s="183" t="n"/>
      <c r="D757" s="183" t="n"/>
      <c r="E757" s="183" t="n"/>
      <c r="F757" s="183" t="n"/>
      <c r="G757" s="183" t="n"/>
      <c r="H757" s="183" t="n"/>
      <c r="I757" s="183" t="n"/>
      <c r="J757" s="183" t="n"/>
      <c r="K757" s="183" t="n"/>
      <c r="L757" s="183" t="n"/>
      <c r="M757" s="183" t="n"/>
      <c r="N757" s="183" t="n"/>
      <c r="O757" s="183" t="n"/>
      <c r="P757" s="183" t="n"/>
      <c r="Q757" s="183" t="n"/>
      <c r="R757" s="183" t="n"/>
      <c r="S757" s="183" t="n"/>
      <c r="T757" s="183" t="n"/>
      <c r="U757" s="183" t="n"/>
      <c r="V757" s="183" t="n"/>
      <c r="W757" s="183" t="n"/>
      <c r="X757" s="183" t="n"/>
      <c r="Y757" s="183" t="n"/>
      <c r="Z757" s="183" t="n"/>
      <c r="AA757" s="183" t="n"/>
    </row>
    <row r="758">
      <c r="A758" s="183" t="n"/>
      <c r="B758" s="183" t="n"/>
      <c r="C758" s="183" t="n"/>
      <c r="D758" s="183" t="n"/>
      <c r="E758" s="183" t="n"/>
      <c r="F758" s="183" t="n"/>
      <c r="G758" s="183" t="n"/>
      <c r="H758" s="183" t="n"/>
      <c r="I758" s="183" t="n"/>
      <c r="J758" s="183" t="n"/>
      <c r="K758" s="183" t="n"/>
      <c r="L758" s="183" t="n"/>
      <c r="M758" s="183" t="n"/>
      <c r="N758" s="183" t="n"/>
      <c r="O758" s="183" t="n"/>
      <c r="P758" s="183" t="n"/>
      <c r="Q758" s="183" t="n"/>
      <c r="R758" s="183" t="n"/>
      <c r="S758" s="183" t="n"/>
      <c r="T758" s="183" t="n"/>
      <c r="U758" s="183" t="n"/>
      <c r="V758" s="183" t="n"/>
      <c r="W758" s="183" t="n"/>
      <c r="X758" s="183" t="n"/>
      <c r="Y758" s="183" t="n"/>
      <c r="Z758" s="183" t="n"/>
      <c r="AA758" s="183" t="n"/>
    </row>
    <row r="759">
      <c r="A759" s="183" t="n"/>
      <c r="B759" s="183" t="n"/>
      <c r="C759" s="183" t="n"/>
      <c r="D759" s="183" t="n"/>
      <c r="E759" s="183" t="n"/>
      <c r="F759" s="183" t="n"/>
      <c r="G759" s="183" t="n"/>
      <c r="H759" s="183" t="n"/>
      <c r="I759" s="183" t="n"/>
      <c r="J759" s="183" t="n"/>
      <c r="K759" s="183" t="n"/>
      <c r="L759" s="183" t="n"/>
      <c r="M759" s="183" t="n"/>
      <c r="N759" s="183" t="n"/>
      <c r="O759" s="183" t="n"/>
      <c r="P759" s="183" t="n"/>
      <c r="Q759" s="183" t="n"/>
      <c r="R759" s="183" t="n"/>
      <c r="S759" s="183" t="n"/>
      <c r="T759" s="183" t="n"/>
      <c r="U759" s="183" t="n"/>
      <c r="V759" s="183" t="n"/>
      <c r="W759" s="183" t="n"/>
      <c r="X759" s="183" t="n"/>
      <c r="Y759" s="183" t="n"/>
      <c r="Z759" s="183" t="n"/>
      <c r="AA759" s="183" t="n"/>
    </row>
    <row r="760">
      <c r="A760" s="183" t="n"/>
      <c r="B760" s="183" t="n"/>
      <c r="C760" s="183" t="n"/>
      <c r="D760" s="183" t="n"/>
      <c r="E760" s="183" t="n"/>
      <c r="F760" s="183" t="n"/>
      <c r="G760" s="183" t="n"/>
      <c r="H760" s="183" t="n"/>
      <c r="I760" s="183" t="n"/>
      <c r="J760" s="183" t="n"/>
      <c r="K760" s="183" t="n"/>
      <c r="L760" s="183" t="n"/>
      <c r="M760" s="183" t="n"/>
      <c r="N760" s="183" t="n"/>
      <c r="O760" s="183" t="n"/>
      <c r="P760" s="183" t="n"/>
      <c r="Q760" s="183" t="n"/>
      <c r="R760" s="183" t="n"/>
      <c r="S760" s="183" t="n"/>
      <c r="T760" s="183" t="n"/>
      <c r="U760" s="183" t="n"/>
      <c r="V760" s="183" t="n"/>
      <c r="W760" s="183" t="n"/>
      <c r="X760" s="183" t="n"/>
      <c r="Y760" s="183" t="n"/>
      <c r="Z760" s="183" t="n"/>
      <c r="AA760" s="183" t="n"/>
    </row>
    <row r="761">
      <c r="A761" s="183" t="n"/>
      <c r="B761" s="183" t="n"/>
      <c r="C761" s="183" t="n"/>
      <c r="D761" s="183" t="n"/>
      <c r="E761" s="183" t="n"/>
      <c r="F761" s="183" t="n"/>
      <c r="G761" s="183" t="n"/>
      <c r="H761" s="183" t="n"/>
      <c r="I761" s="183" t="n"/>
      <c r="J761" s="183" t="n"/>
      <c r="K761" s="183" t="n"/>
      <c r="L761" s="183" t="n"/>
      <c r="M761" s="183" t="n"/>
      <c r="N761" s="183" t="n"/>
      <c r="O761" s="183" t="n"/>
      <c r="P761" s="183" t="n"/>
      <c r="Q761" s="183" t="n"/>
      <c r="R761" s="183" t="n"/>
      <c r="S761" s="183" t="n"/>
      <c r="T761" s="183" t="n"/>
      <c r="U761" s="183" t="n"/>
      <c r="V761" s="183" t="n"/>
      <c r="W761" s="183" t="n"/>
      <c r="X761" s="183" t="n"/>
      <c r="Y761" s="183" t="n"/>
      <c r="Z761" s="183" t="n"/>
      <c r="AA761" s="183" t="n"/>
    </row>
    <row r="762">
      <c r="A762" s="183" t="n"/>
      <c r="B762" s="183" t="n"/>
      <c r="C762" s="183" t="n"/>
      <c r="D762" s="183" t="n"/>
      <c r="E762" s="183" t="n"/>
      <c r="F762" s="183" t="n"/>
      <c r="G762" s="183" t="n"/>
      <c r="H762" s="183" t="n"/>
      <c r="I762" s="183" t="n"/>
      <c r="J762" s="183" t="n"/>
      <c r="K762" s="183" t="n"/>
      <c r="L762" s="183" t="n"/>
      <c r="M762" s="183" t="n"/>
      <c r="N762" s="183" t="n"/>
      <c r="O762" s="183" t="n"/>
      <c r="P762" s="183" t="n"/>
      <c r="Q762" s="183" t="n"/>
      <c r="R762" s="183" t="n"/>
      <c r="S762" s="183" t="n"/>
      <c r="T762" s="183" t="n"/>
      <c r="U762" s="183" t="n"/>
      <c r="V762" s="183" t="n"/>
      <c r="W762" s="183" t="n"/>
      <c r="X762" s="183" t="n"/>
      <c r="Y762" s="183" t="n"/>
      <c r="Z762" s="183" t="n"/>
      <c r="AA762" s="183" t="n"/>
    </row>
    <row r="763">
      <c r="A763" s="183" t="n"/>
      <c r="B763" s="183" t="n"/>
      <c r="C763" s="183" t="n"/>
      <c r="D763" s="183" t="n"/>
      <c r="E763" s="183" t="n"/>
      <c r="F763" s="183" t="n"/>
      <c r="G763" s="183" t="n"/>
      <c r="H763" s="183" t="n"/>
      <c r="I763" s="183" t="n"/>
      <c r="J763" s="183" t="n"/>
      <c r="K763" s="183" t="n"/>
      <c r="L763" s="183" t="n"/>
      <c r="M763" s="183" t="n"/>
      <c r="N763" s="183" t="n"/>
      <c r="O763" s="183" t="n"/>
      <c r="P763" s="183" t="n"/>
      <c r="Q763" s="183" t="n"/>
      <c r="R763" s="183" t="n"/>
      <c r="S763" s="183" t="n"/>
      <c r="T763" s="183" t="n"/>
      <c r="U763" s="183" t="n"/>
      <c r="V763" s="183" t="n"/>
      <c r="W763" s="183" t="n"/>
      <c r="X763" s="183" t="n"/>
      <c r="Y763" s="183" t="n"/>
      <c r="Z763" s="183" t="n"/>
      <c r="AA763" s="183" t="n"/>
    </row>
    <row r="764">
      <c r="A764" s="183" t="n"/>
      <c r="B764" s="183" t="n"/>
      <c r="C764" s="183" t="n"/>
      <c r="D764" s="183" t="n"/>
      <c r="E764" s="183" t="n"/>
      <c r="F764" s="183" t="n"/>
      <c r="G764" s="183" t="n"/>
      <c r="H764" s="183" t="n"/>
      <c r="I764" s="183" t="n"/>
      <c r="J764" s="183" t="n"/>
      <c r="K764" s="183" t="n"/>
      <c r="L764" s="183" t="n"/>
      <c r="M764" s="183" t="n"/>
      <c r="N764" s="183" t="n"/>
      <c r="O764" s="183" t="n"/>
      <c r="P764" s="183" t="n"/>
      <c r="Q764" s="183" t="n"/>
      <c r="R764" s="183" t="n"/>
      <c r="S764" s="183" t="n"/>
      <c r="T764" s="183" t="n"/>
      <c r="U764" s="183" t="n"/>
      <c r="V764" s="183" t="n"/>
      <c r="W764" s="183" t="n"/>
      <c r="X764" s="183" t="n"/>
      <c r="Y764" s="183" t="n"/>
      <c r="Z764" s="183" t="n"/>
      <c r="AA764" s="183" t="n"/>
    </row>
    <row r="765">
      <c r="A765" s="183" t="n"/>
      <c r="B765" s="183" t="n"/>
      <c r="C765" s="183" t="n"/>
      <c r="D765" s="183" t="n"/>
      <c r="E765" s="183" t="n"/>
      <c r="F765" s="183" t="n"/>
      <c r="G765" s="183" t="n"/>
      <c r="H765" s="183" t="n"/>
      <c r="I765" s="183" t="n"/>
      <c r="J765" s="183" t="n"/>
      <c r="K765" s="183" t="n"/>
      <c r="L765" s="183" t="n"/>
      <c r="M765" s="183" t="n"/>
      <c r="N765" s="183" t="n"/>
      <c r="O765" s="183" t="n"/>
      <c r="P765" s="183" t="n"/>
      <c r="Q765" s="183" t="n"/>
      <c r="R765" s="183" t="n"/>
      <c r="S765" s="183" t="n"/>
      <c r="T765" s="183" t="n"/>
      <c r="U765" s="183" t="n"/>
      <c r="V765" s="183" t="n"/>
      <c r="W765" s="183" t="n"/>
      <c r="X765" s="183" t="n"/>
      <c r="Y765" s="183" t="n"/>
      <c r="Z765" s="183" t="n"/>
      <c r="AA765" s="183" t="n"/>
    </row>
    <row r="766">
      <c r="A766" s="183" t="n"/>
      <c r="B766" s="183" t="n"/>
      <c r="C766" s="183" t="n"/>
      <c r="D766" s="183" t="n"/>
      <c r="E766" s="183" t="n"/>
      <c r="F766" s="183" t="n"/>
      <c r="G766" s="183" t="n"/>
      <c r="H766" s="183" t="n"/>
      <c r="I766" s="183" t="n"/>
      <c r="J766" s="183" t="n"/>
      <c r="K766" s="183" t="n"/>
      <c r="L766" s="183" t="n"/>
      <c r="M766" s="183" t="n"/>
      <c r="N766" s="183" t="n"/>
      <c r="O766" s="183" t="n"/>
      <c r="P766" s="183" t="n"/>
      <c r="Q766" s="183" t="n"/>
      <c r="R766" s="183" t="n"/>
      <c r="S766" s="183" t="n"/>
      <c r="T766" s="183" t="n"/>
      <c r="U766" s="183" t="n"/>
      <c r="V766" s="183" t="n"/>
      <c r="W766" s="183" t="n"/>
      <c r="X766" s="183" t="n"/>
      <c r="Y766" s="183" t="n"/>
      <c r="Z766" s="183" t="n"/>
      <c r="AA766" s="183" t="n"/>
    </row>
    <row r="767">
      <c r="A767" s="183" t="n"/>
      <c r="B767" s="183" t="n"/>
      <c r="C767" s="183" t="n"/>
      <c r="D767" s="183" t="n"/>
      <c r="E767" s="183" t="n"/>
      <c r="F767" s="183" t="n"/>
      <c r="G767" s="183" t="n"/>
      <c r="H767" s="183" t="n"/>
      <c r="I767" s="183" t="n"/>
      <c r="J767" s="183" t="n"/>
      <c r="K767" s="183" t="n"/>
      <c r="L767" s="183" t="n"/>
      <c r="M767" s="183" t="n"/>
      <c r="N767" s="183" t="n"/>
      <c r="O767" s="183" t="n"/>
      <c r="P767" s="183" t="n"/>
      <c r="Q767" s="183" t="n"/>
      <c r="R767" s="183" t="n"/>
      <c r="S767" s="183" t="n"/>
      <c r="T767" s="183" t="n"/>
      <c r="U767" s="183" t="n"/>
      <c r="V767" s="183" t="n"/>
      <c r="W767" s="183" t="n"/>
      <c r="X767" s="183" t="n"/>
      <c r="Y767" s="183" t="n"/>
      <c r="Z767" s="183" t="n"/>
      <c r="AA767" s="183" t="n"/>
    </row>
    <row r="768">
      <c r="A768" s="183" t="n"/>
      <c r="B768" s="183" t="n"/>
      <c r="C768" s="183" t="n"/>
      <c r="D768" s="183" t="n"/>
      <c r="E768" s="183" t="n"/>
      <c r="F768" s="183" t="n"/>
      <c r="G768" s="183" t="n"/>
      <c r="H768" s="183" t="n"/>
      <c r="I768" s="183" t="n"/>
      <c r="J768" s="183" t="n"/>
      <c r="K768" s="183" t="n"/>
      <c r="L768" s="183" t="n"/>
      <c r="M768" s="183" t="n"/>
      <c r="N768" s="183" t="n"/>
      <c r="O768" s="183" t="n"/>
      <c r="P768" s="183" t="n"/>
      <c r="Q768" s="183" t="n"/>
      <c r="R768" s="183" t="n"/>
      <c r="S768" s="183" t="n"/>
      <c r="T768" s="183" t="n"/>
      <c r="U768" s="183" t="n"/>
      <c r="V768" s="183" t="n"/>
      <c r="W768" s="183" t="n"/>
      <c r="X768" s="183" t="n"/>
      <c r="Y768" s="183" t="n"/>
      <c r="Z768" s="183" t="n"/>
      <c r="AA768" s="183" t="n"/>
    </row>
    <row r="769">
      <c r="A769" s="183" t="n"/>
      <c r="B769" s="183" t="n"/>
      <c r="C769" s="183" t="n"/>
      <c r="D769" s="183" t="n"/>
      <c r="E769" s="183" t="n"/>
      <c r="F769" s="183" t="n"/>
      <c r="G769" s="183" t="n"/>
      <c r="H769" s="183" t="n"/>
      <c r="I769" s="183" t="n"/>
      <c r="J769" s="183" t="n"/>
      <c r="K769" s="183" t="n"/>
      <c r="L769" s="183" t="n"/>
      <c r="M769" s="183" t="n"/>
      <c r="N769" s="183" t="n"/>
      <c r="O769" s="183" t="n"/>
      <c r="P769" s="183" t="n"/>
      <c r="Q769" s="183" t="n"/>
      <c r="R769" s="183" t="n"/>
      <c r="S769" s="183" t="n"/>
      <c r="T769" s="183" t="n"/>
      <c r="U769" s="183" t="n"/>
      <c r="V769" s="183" t="n"/>
      <c r="W769" s="183" t="n"/>
      <c r="X769" s="183" t="n"/>
      <c r="Y769" s="183" t="n"/>
      <c r="Z769" s="183" t="n"/>
      <c r="AA769" s="183" t="n"/>
    </row>
    <row r="770">
      <c r="A770" s="183" t="n"/>
      <c r="B770" s="183" t="n"/>
      <c r="C770" s="183" t="n"/>
      <c r="D770" s="183" t="n"/>
      <c r="E770" s="183" t="n"/>
      <c r="F770" s="183" t="n"/>
      <c r="G770" s="183" t="n"/>
      <c r="H770" s="183" t="n"/>
      <c r="I770" s="183" t="n"/>
      <c r="J770" s="183" t="n"/>
      <c r="K770" s="183" t="n"/>
      <c r="L770" s="183" t="n"/>
      <c r="M770" s="183" t="n"/>
      <c r="N770" s="183" t="n"/>
      <c r="O770" s="183" t="n"/>
      <c r="P770" s="183" t="n"/>
      <c r="Q770" s="183" t="n"/>
      <c r="R770" s="183" t="n"/>
      <c r="S770" s="183" t="n"/>
      <c r="T770" s="183" t="n"/>
      <c r="U770" s="183" t="n"/>
      <c r="V770" s="183" t="n"/>
      <c r="W770" s="183" t="n"/>
      <c r="X770" s="183" t="n"/>
      <c r="Y770" s="183" t="n"/>
      <c r="Z770" s="183" t="n"/>
      <c r="AA770" s="183" t="n"/>
    </row>
    <row r="771">
      <c r="A771" s="183" t="n"/>
      <c r="B771" s="183" t="n"/>
      <c r="C771" s="183" t="n"/>
      <c r="D771" s="183" t="n"/>
      <c r="E771" s="183" t="n"/>
      <c r="F771" s="183" t="n"/>
      <c r="G771" s="183" t="n"/>
      <c r="H771" s="183" t="n"/>
      <c r="I771" s="183" t="n"/>
      <c r="J771" s="183" t="n"/>
      <c r="K771" s="183" t="n"/>
      <c r="L771" s="183" t="n"/>
      <c r="M771" s="183" t="n"/>
      <c r="N771" s="183" t="n"/>
      <c r="O771" s="183" t="n"/>
      <c r="P771" s="183" t="n"/>
      <c r="Q771" s="183" t="n"/>
      <c r="R771" s="183" t="n"/>
      <c r="S771" s="183" t="n"/>
      <c r="T771" s="183" t="n"/>
      <c r="U771" s="183" t="n"/>
      <c r="V771" s="183" t="n"/>
      <c r="W771" s="183" t="n"/>
      <c r="X771" s="183" t="n"/>
      <c r="Y771" s="183" t="n"/>
      <c r="Z771" s="183" t="n"/>
      <c r="AA771" s="183" t="n"/>
    </row>
    <row r="772">
      <c r="A772" s="183" t="n"/>
      <c r="B772" s="183" t="n"/>
      <c r="C772" s="183" t="n"/>
      <c r="D772" s="183" t="n"/>
      <c r="E772" s="183" t="n"/>
      <c r="F772" s="183" t="n"/>
      <c r="G772" s="183" t="n"/>
      <c r="H772" s="183" t="n"/>
      <c r="I772" s="183" t="n"/>
      <c r="J772" s="183" t="n"/>
      <c r="K772" s="183" t="n"/>
      <c r="L772" s="183" t="n"/>
      <c r="M772" s="183" t="n"/>
      <c r="N772" s="183" t="n"/>
      <c r="O772" s="183" t="n"/>
      <c r="P772" s="183" t="n"/>
      <c r="Q772" s="183" t="n"/>
      <c r="R772" s="183" t="n"/>
      <c r="S772" s="183" t="n"/>
      <c r="T772" s="183" t="n"/>
      <c r="U772" s="183" t="n"/>
      <c r="V772" s="183" t="n"/>
      <c r="W772" s="183" t="n"/>
      <c r="X772" s="183" t="n"/>
      <c r="Y772" s="183" t="n"/>
      <c r="Z772" s="183" t="n"/>
      <c r="AA772" s="183" t="n"/>
    </row>
    <row r="773">
      <c r="A773" s="183" t="n"/>
      <c r="B773" s="183" t="n"/>
      <c r="C773" s="183" t="n"/>
      <c r="D773" s="183" t="n"/>
      <c r="E773" s="183" t="n"/>
      <c r="F773" s="183" t="n"/>
      <c r="G773" s="183" t="n"/>
      <c r="H773" s="183" t="n"/>
      <c r="I773" s="183" t="n"/>
      <c r="J773" s="183" t="n"/>
      <c r="K773" s="183" t="n"/>
      <c r="L773" s="183" t="n"/>
      <c r="M773" s="183" t="n"/>
      <c r="N773" s="183" t="n"/>
      <c r="O773" s="183" t="n"/>
      <c r="P773" s="183" t="n"/>
      <c r="Q773" s="183" t="n"/>
      <c r="R773" s="183" t="n"/>
      <c r="S773" s="183" t="n"/>
      <c r="T773" s="183" t="n"/>
      <c r="U773" s="183" t="n"/>
      <c r="V773" s="183" t="n"/>
      <c r="W773" s="183" t="n"/>
      <c r="X773" s="183" t="n"/>
      <c r="Y773" s="183" t="n"/>
      <c r="Z773" s="183" t="n"/>
      <c r="AA773" s="183" t="n"/>
    </row>
    <row r="774">
      <c r="A774" s="183" t="n"/>
      <c r="B774" s="183" t="n"/>
      <c r="C774" s="183" t="n"/>
      <c r="D774" s="183" t="n"/>
      <c r="E774" s="183" t="n"/>
      <c r="F774" s="183" t="n"/>
      <c r="G774" s="183" t="n"/>
      <c r="H774" s="183" t="n"/>
      <c r="I774" s="183" t="n"/>
      <c r="J774" s="183" t="n"/>
      <c r="K774" s="183" t="n"/>
      <c r="L774" s="183" t="n"/>
      <c r="M774" s="183" t="n"/>
      <c r="N774" s="183" t="n"/>
      <c r="O774" s="183" t="n"/>
      <c r="P774" s="183" t="n"/>
      <c r="Q774" s="183" t="n"/>
      <c r="R774" s="183" t="n"/>
      <c r="S774" s="183" t="n"/>
      <c r="T774" s="183" t="n"/>
      <c r="U774" s="183" t="n"/>
      <c r="V774" s="183" t="n"/>
      <c r="W774" s="183" t="n"/>
      <c r="X774" s="183" t="n"/>
      <c r="Y774" s="183" t="n"/>
      <c r="Z774" s="183" t="n"/>
      <c r="AA774" s="183" t="n"/>
    </row>
    <row r="775">
      <c r="A775" s="183" t="n"/>
      <c r="B775" s="183" t="n"/>
      <c r="C775" s="183" t="n"/>
      <c r="D775" s="183" t="n"/>
      <c r="E775" s="183" t="n"/>
      <c r="F775" s="183" t="n"/>
      <c r="G775" s="183" t="n"/>
      <c r="H775" s="183" t="n"/>
      <c r="I775" s="183" t="n"/>
      <c r="J775" s="183" t="n"/>
      <c r="K775" s="183" t="n"/>
      <c r="L775" s="183" t="n"/>
      <c r="M775" s="183" t="n"/>
      <c r="N775" s="183" t="n"/>
      <c r="O775" s="183" t="n"/>
      <c r="P775" s="183" t="n"/>
      <c r="Q775" s="183" t="n"/>
      <c r="R775" s="183" t="n"/>
      <c r="S775" s="183" t="n"/>
      <c r="T775" s="183" t="n"/>
      <c r="U775" s="183" t="n"/>
      <c r="V775" s="183" t="n"/>
      <c r="W775" s="183" t="n"/>
      <c r="X775" s="183" t="n"/>
      <c r="Y775" s="183" t="n"/>
      <c r="Z775" s="183" t="n"/>
      <c r="AA775" s="183" t="n"/>
    </row>
    <row r="776">
      <c r="A776" s="183" t="n"/>
      <c r="B776" s="183" t="n"/>
      <c r="C776" s="183" t="n"/>
      <c r="D776" s="183" t="n"/>
      <c r="E776" s="183" t="n"/>
      <c r="F776" s="183" t="n"/>
      <c r="G776" s="183" t="n"/>
      <c r="H776" s="183" t="n"/>
      <c r="I776" s="183" t="n"/>
      <c r="J776" s="183" t="n"/>
      <c r="K776" s="183" t="n"/>
      <c r="L776" s="183" t="n"/>
      <c r="M776" s="183" t="n"/>
      <c r="N776" s="183" t="n"/>
      <c r="O776" s="183" t="n"/>
      <c r="P776" s="183" t="n"/>
      <c r="Q776" s="183" t="n"/>
      <c r="R776" s="183" t="n"/>
      <c r="S776" s="183" t="n"/>
      <c r="T776" s="183" t="n"/>
      <c r="U776" s="183" t="n"/>
      <c r="V776" s="183" t="n"/>
      <c r="W776" s="183" t="n"/>
      <c r="X776" s="183" t="n"/>
      <c r="Y776" s="183" t="n"/>
      <c r="Z776" s="183" t="n"/>
      <c r="AA776" s="183" t="n"/>
    </row>
    <row r="777">
      <c r="A777" s="183" t="n"/>
      <c r="B777" s="183" t="n"/>
      <c r="C777" s="183" t="n"/>
      <c r="D777" s="183" t="n"/>
      <c r="E777" s="183" t="n"/>
      <c r="F777" s="183" t="n"/>
      <c r="G777" s="183" t="n"/>
      <c r="H777" s="183" t="n"/>
      <c r="I777" s="183" t="n"/>
      <c r="J777" s="183" t="n"/>
      <c r="K777" s="183" t="n"/>
      <c r="L777" s="183" t="n"/>
      <c r="M777" s="183" t="n"/>
      <c r="N777" s="183" t="n"/>
      <c r="O777" s="183" t="n"/>
      <c r="P777" s="183" t="n"/>
      <c r="Q777" s="183" t="n"/>
      <c r="R777" s="183" t="n"/>
      <c r="S777" s="183" t="n"/>
      <c r="T777" s="183" t="n"/>
      <c r="U777" s="183" t="n"/>
      <c r="V777" s="183" t="n"/>
      <c r="W777" s="183" t="n"/>
      <c r="X777" s="183" t="n"/>
      <c r="Y777" s="183" t="n"/>
      <c r="Z777" s="183" t="n"/>
      <c r="AA777" s="183" t="n"/>
    </row>
    <row r="778">
      <c r="A778" s="183" t="n"/>
      <c r="B778" s="183" t="n"/>
      <c r="C778" s="183" t="n"/>
      <c r="D778" s="183" t="n"/>
      <c r="E778" s="183" t="n"/>
      <c r="F778" s="183" t="n"/>
      <c r="G778" s="183" t="n"/>
      <c r="H778" s="183" t="n"/>
      <c r="I778" s="183" t="n"/>
      <c r="J778" s="183" t="n"/>
      <c r="K778" s="183" t="n"/>
      <c r="L778" s="183" t="n"/>
      <c r="M778" s="183" t="n"/>
      <c r="N778" s="183" t="n"/>
      <c r="O778" s="183" t="n"/>
      <c r="P778" s="183" t="n"/>
      <c r="Q778" s="183" t="n"/>
      <c r="R778" s="183" t="n"/>
      <c r="S778" s="183" t="n"/>
      <c r="T778" s="183" t="n"/>
      <c r="U778" s="183" t="n"/>
      <c r="V778" s="183" t="n"/>
      <c r="W778" s="183" t="n"/>
      <c r="X778" s="183" t="n"/>
      <c r="Y778" s="183" t="n"/>
      <c r="Z778" s="183" t="n"/>
      <c r="AA778" s="183" t="n"/>
    </row>
    <row r="779">
      <c r="A779" s="183" t="n"/>
      <c r="B779" s="183" t="n"/>
      <c r="C779" s="183" t="n"/>
      <c r="D779" s="183" t="n"/>
      <c r="E779" s="183" t="n"/>
      <c r="F779" s="183" t="n"/>
      <c r="G779" s="183" t="n"/>
      <c r="H779" s="183" t="n"/>
      <c r="I779" s="183" t="n"/>
      <c r="J779" s="183" t="n"/>
      <c r="K779" s="183" t="n"/>
      <c r="L779" s="183" t="n"/>
      <c r="M779" s="183" t="n"/>
      <c r="N779" s="183" t="n"/>
      <c r="O779" s="183" t="n"/>
      <c r="P779" s="183" t="n"/>
      <c r="Q779" s="183" t="n"/>
      <c r="R779" s="183" t="n"/>
      <c r="S779" s="183" t="n"/>
      <c r="T779" s="183" t="n"/>
      <c r="U779" s="183" t="n"/>
      <c r="V779" s="183" t="n"/>
      <c r="W779" s="183" t="n"/>
      <c r="X779" s="183" t="n"/>
      <c r="Y779" s="183" t="n"/>
      <c r="Z779" s="183" t="n"/>
      <c r="AA779" s="183" t="n"/>
    </row>
    <row r="780">
      <c r="A780" s="183" t="n"/>
      <c r="B780" s="183" t="n"/>
      <c r="C780" s="183" t="n"/>
      <c r="D780" s="183" t="n"/>
      <c r="E780" s="183" t="n"/>
      <c r="F780" s="183" t="n"/>
      <c r="G780" s="183" t="n"/>
      <c r="H780" s="183" t="n"/>
      <c r="I780" s="183" t="n"/>
      <c r="J780" s="183" t="n"/>
      <c r="K780" s="183" t="n"/>
      <c r="L780" s="183" t="n"/>
      <c r="M780" s="183" t="n"/>
      <c r="N780" s="183" t="n"/>
      <c r="O780" s="183" t="n"/>
      <c r="P780" s="183" t="n"/>
      <c r="Q780" s="183" t="n"/>
      <c r="R780" s="183" t="n"/>
      <c r="S780" s="183" t="n"/>
      <c r="T780" s="183" t="n"/>
      <c r="U780" s="183" t="n"/>
      <c r="V780" s="183" t="n"/>
      <c r="W780" s="183" t="n"/>
      <c r="X780" s="183" t="n"/>
      <c r="Y780" s="183" t="n"/>
      <c r="Z780" s="183" t="n"/>
      <c r="AA780" s="183" t="n"/>
    </row>
    <row r="781">
      <c r="A781" s="183" t="n"/>
      <c r="B781" s="183" t="n"/>
      <c r="C781" s="183" t="n"/>
      <c r="D781" s="183" t="n"/>
      <c r="E781" s="183" t="n"/>
      <c r="F781" s="183" t="n"/>
      <c r="G781" s="183" t="n"/>
      <c r="H781" s="183" t="n"/>
      <c r="I781" s="183" t="n"/>
      <c r="J781" s="183" t="n"/>
      <c r="K781" s="183" t="n"/>
      <c r="L781" s="183" t="n"/>
      <c r="M781" s="183" t="n"/>
      <c r="N781" s="183" t="n"/>
      <c r="O781" s="183" t="n"/>
      <c r="P781" s="183" t="n"/>
      <c r="Q781" s="183" t="n"/>
      <c r="R781" s="183" t="n"/>
      <c r="S781" s="183" t="n"/>
      <c r="T781" s="183" t="n"/>
      <c r="U781" s="183" t="n"/>
      <c r="V781" s="183" t="n"/>
      <c r="W781" s="183" t="n"/>
      <c r="X781" s="183" t="n"/>
      <c r="Y781" s="183" t="n"/>
      <c r="Z781" s="183" t="n"/>
      <c r="AA781" s="183" t="n"/>
    </row>
    <row r="782">
      <c r="A782" s="183" t="n"/>
      <c r="B782" s="183" t="n"/>
      <c r="C782" s="183" t="n"/>
      <c r="D782" s="183" t="n"/>
      <c r="E782" s="183" t="n"/>
      <c r="F782" s="183" t="n"/>
      <c r="G782" s="183" t="n"/>
      <c r="H782" s="183" t="n"/>
      <c r="I782" s="183" t="n"/>
      <c r="J782" s="183" t="n"/>
      <c r="K782" s="183" t="n"/>
      <c r="L782" s="183" t="n"/>
      <c r="M782" s="183" t="n"/>
      <c r="N782" s="183" t="n"/>
      <c r="O782" s="183" t="n"/>
      <c r="P782" s="183" t="n"/>
      <c r="Q782" s="183" t="n"/>
      <c r="R782" s="183" t="n"/>
      <c r="S782" s="183" t="n"/>
      <c r="T782" s="183" t="n"/>
      <c r="U782" s="183" t="n"/>
      <c r="V782" s="183" t="n"/>
      <c r="W782" s="183" t="n"/>
      <c r="X782" s="183" t="n"/>
      <c r="Y782" s="183" t="n"/>
      <c r="Z782" s="183" t="n"/>
      <c r="AA782" s="183" t="n"/>
    </row>
    <row r="783">
      <c r="A783" s="183" t="n"/>
      <c r="B783" s="183" t="n"/>
      <c r="C783" s="183" t="n"/>
      <c r="D783" s="183" t="n"/>
      <c r="E783" s="183" t="n"/>
      <c r="F783" s="183" t="n"/>
      <c r="G783" s="183" t="n"/>
      <c r="H783" s="183" t="n"/>
      <c r="I783" s="183" t="n"/>
      <c r="J783" s="183" t="n"/>
      <c r="K783" s="183" t="n"/>
      <c r="L783" s="183" t="n"/>
      <c r="M783" s="183" t="n"/>
      <c r="N783" s="183" t="n"/>
      <c r="O783" s="183" t="n"/>
      <c r="P783" s="183" t="n"/>
      <c r="Q783" s="183" t="n"/>
      <c r="R783" s="183" t="n"/>
      <c r="S783" s="183" t="n"/>
      <c r="T783" s="183" t="n"/>
      <c r="U783" s="183" t="n"/>
      <c r="V783" s="183" t="n"/>
      <c r="W783" s="183" t="n"/>
      <c r="X783" s="183" t="n"/>
      <c r="Y783" s="183" t="n"/>
      <c r="Z783" s="183" t="n"/>
      <c r="AA783" s="183" t="n"/>
    </row>
    <row r="784">
      <c r="A784" s="183" t="n"/>
      <c r="B784" s="183" t="n"/>
      <c r="C784" s="183" t="n"/>
      <c r="D784" s="183" t="n"/>
      <c r="E784" s="183" t="n"/>
      <c r="F784" s="183" t="n"/>
      <c r="G784" s="183" t="n"/>
      <c r="H784" s="183" t="n"/>
      <c r="I784" s="183" t="n"/>
      <c r="J784" s="183" t="n"/>
      <c r="K784" s="183" t="n"/>
      <c r="L784" s="183" t="n"/>
      <c r="M784" s="183" t="n"/>
      <c r="N784" s="183" t="n"/>
      <c r="O784" s="183" t="n"/>
      <c r="P784" s="183" t="n"/>
      <c r="Q784" s="183" t="n"/>
      <c r="R784" s="183" t="n"/>
      <c r="S784" s="183" t="n"/>
      <c r="T784" s="183" t="n"/>
      <c r="U784" s="183" t="n"/>
      <c r="V784" s="183" t="n"/>
      <c r="W784" s="183" t="n"/>
      <c r="X784" s="183" t="n"/>
      <c r="Y784" s="183" t="n"/>
      <c r="Z784" s="183" t="n"/>
      <c r="AA784" s="183" t="n"/>
    </row>
    <row r="785">
      <c r="A785" s="183" t="n"/>
      <c r="B785" s="183" t="n"/>
      <c r="C785" s="183" t="n"/>
      <c r="D785" s="183" t="n"/>
      <c r="E785" s="183" t="n"/>
      <c r="F785" s="183" t="n"/>
      <c r="G785" s="183" t="n"/>
      <c r="H785" s="183" t="n"/>
      <c r="I785" s="183" t="n"/>
      <c r="J785" s="183" t="n"/>
      <c r="K785" s="183" t="n"/>
      <c r="L785" s="183" t="n"/>
      <c r="M785" s="183" t="n"/>
      <c r="N785" s="183" t="n"/>
      <c r="O785" s="183" t="n"/>
      <c r="P785" s="183" t="n"/>
      <c r="Q785" s="183" t="n"/>
      <c r="R785" s="183" t="n"/>
      <c r="S785" s="183" t="n"/>
      <c r="T785" s="183" t="n"/>
      <c r="U785" s="183" t="n"/>
      <c r="V785" s="183" t="n"/>
      <c r="W785" s="183" t="n"/>
      <c r="X785" s="183" t="n"/>
      <c r="Y785" s="183" t="n"/>
      <c r="Z785" s="183" t="n"/>
      <c r="AA785" s="183" t="n"/>
    </row>
    <row r="786">
      <c r="A786" s="183" t="n"/>
      <c r="B786" s="183" t="n"/>
      <c r="C786" s="183" t="n"/>
      <c r="D786" s="183" t="n"/>
      <c r="E786" s="183" t="n"/>
      <c r="F786" s="183" t="n"/>
      <c r="G786" s="183" t="n"/>
      <c r="H786" s="183" t="n"/>
      <c r="I786" s="183" t="n"/>
      <c r="J786" s="183" t="n"/>
      <c r="K786" s="183" t="n"/>
      <c r="L786" s="183" t="n"/>
      <c r="M786" s="183" t="n"/>
      <c r="N786" s="183" t="n"/>
      <c r="O786" s="183" t="n"/>
      <c r="P786" s="183" t="n"/>
      <c r="Q786" s="183" t="n"/>
      <c r="R786" s="183" t="n"/>
      <c r="S786" s="183" t="n"/>
      <c r="T786" s="183" t="n"/>
      <c r="U786" s="183" t="n"/>
      <c r="V786" s="183" t="n"/>
      <c r="W786" s="183" t="n"/>
      <c r="X786" s="183" t="n"/>
      <c r="Y786" s="183" t="n"/>
      <c r="Z786" s="183" t="n"/>
      <c r="AA786" s="183" t="n"/>
    </row>
    <row r="787">
      <c r="A787" s="183" t="n"/>
      <c r="B787" s="183" t="n"/>
      <c r="C787" s="183" t="n"/>
      <c r="D787" s="183" t="n"/>
      <c r="E787" s="183" t="n"/>
      <c r="F787" s="183" t="n"/>
      <c r="G787" s="183" t="n"/>
      <c r="H787" s="183" t="n"/>
      <c r="I787" s="183" t="n"/>
      <c r="J787" s="183" t="n"/>
      <c r="K787" s="183" t="n"/>
      <c r="L787" s="183" t="n"/>
      <c r="M787" s="183" t="n"/>
      <c r="N787" s="183" t="n"/>
      <c r="O787" s="183" t="n"/>
      <c r="P787" s="183" t="n"/>
      <c r="Q787" s="183" t="n"/>
      <c r="R787" s="183" t="n"/>
      <c r="S787" s="183" t="n"/>
      <c r="T787" s="183" t="n"/>
      <c r="U787" s="183" t="n"/>
      <c r="V787" s="183" t="n"/>
      <c r="W787" s="183" t="n"/>
      <c r="X787" s="183" t="n"/>
      <c r="Y787" s="183" t="n"/>
      <c r="Z787" s="183" t="n"/>
      <c r="AA787" s="183" t="n"/>
    </row>
    <row r="788">
      <c r="A788" s="183" t="n"/>
      <c r="B788" s="183" t="n"/>
      <c r="C788" s="183" t="n"/>
      <c r="D788" s="183" t="n"/>
      <c r="E788" s="183" t="n"/>
      <c r="F788" s="183" t="n"/>
      <c r="G788" s="183" t="n"/>
      <c r="H788" s="183" t="n"/>
      <c r="I788" s="183" t="n"/>
      <c r="J788" s="183" t="n"/>
      <c r="K788" s="183" t="n"/>
      <c r="L788" s="183" t="n"/>
      <c r="M788" s="183" t="n"/>
      <c r="N788" s="183" t="n"/>
      <c r="O788" s="183" t="n"/>
      <c r="P788" s="183" t="n"/>
      <c r="Q788" s="183" t="n"/>
      <c r="R788" s="183" t="n"/>
      <c r="S788" s="183" t="n"/>
      <c r="T788" s="183" t="n"/>
      <c r="U788" s="183" t="n"/>
      <c r="V788" s="183" t="n"/>
      <c r="W788" s="183" t="n"/>
      <c r="X788" s="183" t="n"/>
      <c r="Y788" s="183" t="n"/>
      <c r="Z788" s="183" t="n"/>
      <c r="AA788" s="183" t="n"/>
    </row>
    <row r="789">
      <c r="A789" s="183" t="n"/>
      <c r="B789" s="183" t="n"/>
      <c r="C789" s="183" t="n"/>
      <c r="D789" s="183" t="n"/>
      <c r="E789" s="183" t="n"/>
      <c r="F789" s="183" t="n"/>
      <c r="G789" s="183" t="n"/>
      <c r="H789" s="183" t="n"/>
      <c r="I789" s="183" t="n"/>
      <c r="J789" s="183" t="n"/>
      <c r="K789" s="183" t="n"/>
      <c r="L789" s="183" t="n"/>
      <c r="M789" s="183" t="n"/>
      <c r="N789" s="183" t="n"/>
      <c r="O789" s="183" t="n"/>
      <c r="P789" s="183" t="n"/>
      <c r="Q789" s="183" t="n"/>
      <c r="R789" s="183" t="n"/>
      <c r="S789" s="183" t="n"/>
      <c r="T789" s="183" t="n"/>
      <c r="U789" s="183" t="n"/>
      <c r="V789" s="183" t="n"/>
      <c r="W789" s="183" t="n"/>
      <c r="X789" s="183" t="n"/>
      <c r="Y789" s="183" t="n"/>
      <c r="Z789" s="183" t="n"/>
      <c r="AA789" s="183" t="n"/>
    </row>
    <row r="790">
      <c r="A790" s="183" t="n"/>
      <c r="B790" s="183" t="n"/>
      <c r="C790" s="183" t="n"/>
      <c r="D790" s="183" t="n"/>
      <c r="E790" s="183" t="n"/>
      <c r="F790" s="183" t="n"/>
      <c r="G790" s="183" t="n"/>
      <c r="H790" s="183" t="n"/>
      <c r="I790" s="183" t="n"/>
      <c r="J790" s="183" t="n"/>
      <c r="K790" s="183" t="n"/>
      <c r="L790" s="183" t="n"/>
      <c r="M790" s="183" t="n"/>
      <c r="N790" s="183" t="n"/>
      <c r="O790" s="183" t="n"/>
      <c r="P790" s="183" t="n"/>
      <c r="Q790" s="183" t="n"/>
      <c r="R790" s="183" t="n"/>
      <c r="S790" s="183" t="n"/>
      <c r="T790" s="183" t="n"/>
      <c r="U790" s="183" t="n"/>
      <c r="V790" s="183" t="n"/>
      <c r="W790" s="183" t="n"/>
      <c r="X790" s="183" t="n"/>
      <c r="Y790" s="183" t="n"/>
      <c r="Z790" s="183" t="n"/>
      <c r="AA790" s="183" t="n"/>
    </row>
    <row r="791">
      <c r="A791" s="183" t="n"/>
      <c r="B791" s="183" t="n"/>
      <c r="C791" s="183" t="n"/>
      <c r="D791" s="183" t="n"/>
      <c r="E791" s="183" t="n"/>
      <c r="F791" s="183" t="n"/>
      <c r="G791" s="183" t="n"/>
      <c r="H791" s="183" t="n"/>
      <c r="I791" s="183" t="n"/>
      <c r="J791" s="183" t="n"/>
      <c r="K791" s="183" t="n"/>
      <c r="L791" s="183" t="n"/>
      <c r="M791" s="183" t="n"/>
      <c r="N791" s="183" t="n"/>
      <c r="O791" s="183" t="n"/>
      <c r="P791" s="183" t="n"/>
      <c r="Q791" s="183" t="n"/>
      <c r="R791" s="183" t="n"/>
      <c r="S791" s="183" t="n"/>
      <c r="T791" s="183" t="n"/>
      <c r="U791" s="183" t="n"/>
      <c r="V791" s="183" t="n"/>
      <c r="W791" s="183" t="n"/>
      <c r="X791" s="183" t="n"/>
      <c r="Y791" s="183" t="n"/>
      <c r="Z791" s="183" t="n"/>
      <c r="AA791" s="183" t="n"/>
    </row>
    <row r="792">
      <c r="A792" s="183" t="n"/>
      <c r="B792" s="183" t="n"/>
      <c r="C792" s="183" t="n"/>
      <c r="D792" s="183" t="n"/>
      <c r="E792" s="183" t="n"/>
      <c r="F792" s="183" t="n"/>
      <c r="G792" s="183" t="n"/>
      <c r="H792" s="183" t="n"/>
      <c r="I792" s="183" t="n"/>
      <c r="J792" s="183" t="n"/>
      <c r="K792" s="183" t="n"/>
      <c r="L792" s="183" t="n"/>
      <c r="M792" s="183" t="n"/>
      <c r="N792" s="183" t="n"/>
      <c r="O792" s="183" t="n"/>
      <c r="P792" s="183" t="n"/>
      <c r="Q792" s="183" t="n"/>
      <c r="R792" s="183" t="n"/>
      <c r="S792" s="183" t="n"/>
      <c r="T792" s="183" t="n"/>
      <c r="U792" s="183" t="n"/>
      <c r="V792" s="183" t="n"/>
      <c r="W792" s="183" t="n"/>
      <c r="X792" s="183" t="n"/>
      <c r="Y792" s="183" t="n"/>
      <c r="Z792" s="183" t="n"/>
      <c r="AA792" s="183" t="n"/>
    </row>
    <row r="793">
      <c r="A793" s="183" t="n"/>
      <c r="B793" s="183" t="n"/>
      <c r="C793" s="183" t="n"/>
      <c r="D793" s="183" t="n"/>
      <c r="E793" s="183" t="n"/>
      <c r="F793" s="183" t="n"/>
      <c r="G793" s="183" t="n"/>
      <c r="H793" s="183" t="n"/>
      <c r="I793" s="183" t="n"/>
      <c r="J793" s="183" t="n"/>
      <c r="K793" s="183" t="n"/>
      <c r="L793" s="183" t="n"/>
      <c r="M793" s="183" t="n"/>
      <c r="N793" s="183" t="n"/>
      <c r="O793" s="183" t="n"/>
      <c r="P793" s="183" t="n"/>
      <c r="Q793" s="183" t="n"/>
      <c r="R793" s="183" t="n"/>
      <c r="S793" s="183" t="n"/>
      <c r="T793" s="183" t="n"/>
      <c r="U793" s="183" t="n"/>
      <c r="V793" s="183" t="n"/>
      <c r="W793" s="183" t="n"/>
      <c r="X793" s="183" t="n"/>
      <c r="Y793" s="183" t="n"/>
      <c r="Z793" s="183" t="n"/>
      <c r="AA793" s="183" t="n"/>
    </row>
    <row r="794">
      <c r="A794" s="183" t="n"/>
      <c r="B794" s="183" t="n"/>
      <c r="C794" s="183" t="n"/>
      <c r="D794" s="183" t="n"/>
      <c r="E794" s="183" t="n"/>
      <c r="F794" s="183" t="n"/>
      <c r="G794" s="183" t="n"/>
      <c r="H794" s="183" t="n"/>
      <c r="I794" s="183" t="n"/>
      <c r="J794" s="183" t="n"/>
      <c r="K794" s="183" t="n"/>
      <c r="L794" s="183" t="n"/>
      <c r="M794" s="183" t="n"/>
      <c r="N794" s="183" t="n"/>
      <c r="O794" s="183" t="n"/>
      <c r="P794" s="183" t="n"/>
      <c r="Q794" s="183" t="n"/>
      <c r="R794" s="183" t="n"/>
      <c r="S794" s="183" t="n"/>
      <c r="T794" s="183" t="n"/>
      <c r="U794" s="183" t="n"/>
      <c r="V794" s="183" t="n"/>
      <c r="W794" s="183" t="n"/>
      <c r="X794" s="183" t="n"/>
      <c r="Y794" s="183" t="n"/>
      <c r="Z794" s="183" t="n"/>
      <c r="AA794" s="183" t="n"/>
    </row>
    <row r="795">
      <c r="A795" s="183" t="n"/>
      <c r="B795" s="183" t="n"/>
      <c r="C795" s="183" t="n"/>
      <c r="D795" s="183" t="n"/>
      <c r="E795" s="183" t="n"/>
      <c r="F795" s="183" t="n"/>
      <c r="G795" s="183" t="n"/>
      <c r="H795" s="183" t="n"/>
      <c r="I795" s="183" t="n"/>
      <c r="J795" s="183" t="n"/>
      <c r="K795" s="183" t="n"/>
      <c r="L795" s="183" t="n"/>
      <c r="M795" s="183" t="n"/>
      <c r="N795" s="183" t="n"/>
      <c r="O795" s="183" t="n"/>
      <c r="P795" s="183" t="n"/>
      <c r="Q795" s="183" t="n"/>
      <c r="R795" s="183" t="n"/>
      <c r="S795" s="183" t="n"/>
      <c r="T795" s="183" t="n"/>
      <c r="U795" s="183" t="n"/>
      <c r="V795" s="183" t="n"/>
      <c r="W795" s="183" t="n"/>
      <c r="X795" s="183" t="n"/>
      <c r="Y795" s="183" t="n"/>
      <c r="Z795" s="183" t="n"/>
      <c r="AA795" s="183" t="n"/>
    </row>
    <row r="796">
      <c r="A796" s="183" t="n"/>
      <c r="B796" s="183" t="n"/>
      <c r="C796" s="183" t="n"/>
      <c r="D796" s="183" t="n"/>
      <c r="E796" s="183" t="n"/>
      <c r="F796" s="183" t="n"/>
      <c r="G796" s="183" t="n"/>
      <c r="H796" s="183" t="n"/>
      <c r="I796" s="183" t="n"/>
      <c r="J796" s="183" t="n"/>
      <c r="K796" s="183" t="n"/>
      <c r="L796" s="183" t="n"/>
      <c r="M796" s="183" t="n"/>
      <c r="N796" s="183" t="n"/>
      <c r="O796" s="183" t="n"/>
      <c r="P796" s="183" t="n"/>
      <c r="Q796" s="183" t="n"/>
      <c r="R796" s="183" t="n"/>
      <c r="S796" s="183" t="n"/>
      <c r="T796" s="183" t="n"/>
      <c r="U796" s="183" t="n"/>
      <c r="V796" s="183" t="n"/>
      <c r="W796" s="183" t="n"/>
      <c r="X796" s="183" t="n"/>
      <c r="Y796" s="183" t="n"/>
      <c r="Z796" s="183" t="n"/>
      <c r="AA796" s="183" t="n"/>
    </row>
    <row r="797">
      <c r="A797" s="183" t="n"/>
      <c r="B797" s="183" t="n"/>
      <c r="C797" s="183" t="n"/>
      <c r="D797" s="183" t="n"/>
      <c r="E797" s="183" t="n"/>
      <c r="F797" s="183" t="n"/>
      <c r="G797" s="183" t="n"/>
      <c r="H797" s="183" t="n"/>
      <c r="I797" s="183" t="n"/>
      <c r="J797" s="183" t="n"/>
      <c r="K797" s="183" t="n"/>
      <c r="L797" s="183" t="n"/>
      <c r="M797" s="183" t="n"/>
      <c r="N797" s="183" t="n"/>
      <c r="O797" s="183" t="n"/>
      <c r="P797" s="183" t="n"/>
      <c r="Q797" s="183" t="n"/>
      <c r="R797" s="183" t="n"/>
      <c r="S797" s="183" t="n"/>
      <c r="T797" s="183" t="n"/>
      <c r="U797" s="183" t="n"/>
      <c r="V797" s="183" t="n"/>
      <c r="W797" s="183" t="n"/>
      <c r="X797" s="183" t="n"/>
      <c r="Y797" s="183" t="n"/>
      <c r="Z797" s="183" t="n"/>
      <c r="AA797" s="183" t="n"/>
    </row>
    <row r="798">
      <c r="A798" s="183" t="n"/>
      <c r="B798" s="183" t="n"/>
      <c r="C798" s="183" t="n"/>
      <c r="D798" s="183" t="n"/>
      <c r="E798" s="183" t="n"/>
      <c r="F798" s="183" t="n"/>
      <c r="G798" s="183" t="n"/>
      <c r="H798" s="183" t="n"/>
      <c r="I798" s="183" t="n"/>
      <c r="J798" s="183" t="n"/>
      <c r="K798" s="183" t="n"/>
      <c r="L798" s="183" t="n"/>
      <c r="M798" s="183" t="n"/>
      <c r="N798" s="183" t="n"/>
      <c r="O798" s="183" t="n"/>
      <c r="P798" s="183" t="n"/>
      <c r="Q798" s="183" t="n"/>
      <c r="R798" s="183" t="n"/>
      <c r="S798" s="183" t="n"/>
      <c r="T798" s="183" t="n"/>
      <c r="U798" s="183" t="n"/>
      <c r="V798" s="183" t="n"/>
      <c r="W798" s="183" t="n"/>
      <c r="X798" s="183" t="n"/>
      <c r="Y798" s="183" t="n"/>
      <c r="Z798" s="183" t="n"/>
      <c r="AA798" s="183" t="n"/>
    </row>
    <row r="799">
      <c r="A799" s="183" t="n"/>
      <c r="B799" s="183" t="n"/>
      <c r="C799" s="183" t="n"/>
      <c r="D799" s="183" t="n"/>
      <c r="E799" s="183" t="n"/>
      <c r="F799" s="183" t="n"/>
      <c r="G799" s="183" t="n"/>
      <c r="H799" s="183" t="n"/>
      <c r="I799" s="183" t="n"/>
      <c r="J799" s="183" t="n"/>
      <c r="K799" s="183" t="n"/>
      <c r="L799" s="183" t="n"/>
      <c r="M799" s="183" t="n"/>
      <c r="N799" s="183" t="n"/>
      <c r="O799" s="183" t="n"/>
      <c r="P799" s="183" t="n"/>
      <c r="Q799" s="183" t="n"/>
      <c r="R799" s="183" t="n"/>
      <c r="S799" s="183" t="n"/>
      <c r="T799" s="183" t="n"/>
      <c r="U799" s="183" t="n"/>
      <c r="V799" s="183" t="n"/>
      <c r="W799" s="183" t="n"/>
      <c r="X799" s="183" t="n"/>
      <c r="Y799" s="183" t="n"/>
      <c r="Z799" s="183" t="n"/>
      <c r="AA799" s="183" t="n"/>
    </row>
    <row r="800">
      <c r="A800" s="183" t="n"/>
      <c r="B800" s="183" t="n"/>
      <c r="C800" s="183" t="n"/>
      <c r="D800" s="183" t="n"/>
      <c r="E800" s="183" t="n"/>
      <c r="F800" s="183" t="n"/>
      <c r="G800" s="183" t="n"/>
      <c r="H800" s="183" t="n"/>
      <c r="I800" s="183" t="n"/>
      <c r="J800" s="183" t="n"/>
      <c r="K800" s="183" t="n"/>
      <c r="L800" s="183" t="n"/>
      <c r="M800" s="183" t="n"/>
      <c r="N800" s="183" t="n"/>
      <c r="O800" s="183" t="n"/>
      <c r="P800" s="183" t="n"/>
      <c r="Q800" s="183" t="n"/>
      <c r="R800" s="183" t="n"/>
      <c r="S800" s="183" t="n"/>
      <c r="T800" s="183" t="n"/>
      <c r="U800" s="183" t="n"/>
      <c r="V800" s="183" t="n"/>
      <c r="W800" s="183" t="n"/>
      <c r="X800" s="183" t="n"/>
      <c r="Y800" s="183" t="n"/>
      <c r="Z800" s="183" t="n"/>
      <c r="AA800" s="183" t="n"/>
    </row>
    <row r="801">
      <c r="A801" s="183" t="n"/>
      <c r="B801" s="183" t="n"/>
      <c r="C801" s="183" t="n"/>
      <c r="D801" s="183" t="n"/>
      <c r="E801" s="183" t="n"/>
      <c r="F801" s="183" t="n"/>
      <c r="G801" s="183" t="n"/>
      <c r="H801" s="183" t="n"/>
      <c r="I801" s="183" t="n"/>
      <c r="J801" s="183" t="n"/>
      <c r="K801" s="183" t="n"/>
      <c r="L801" s="183" t="n"/>
      <c r="M801" s="183" t="n"/>
      <c r="N801" s="183" t="n"/>
      <c r="O801" s="183" t="n"/>
      <c r="P801" s="183" t="n"/>
      <c r="Q801" s="183" t="n"/>
      <c r="R801" s="183" t="n"/>
      <c r="S801" s="183" t="n"/>
      <c r="T801" s="183" t="n"/>
      <c r="U801" s="183" t="n"/>
      <c r="V801" s="183" t="n"/>
      <c r="W801" s="183" t="n"/>
      <c r="X801" s="183" t="n"/>
      <c r="Y801" s="183" t="n"/>
      <c r="Z801" s="183" t="n"/>
      <c r="AA801" s="183" t="n"/>
    </row>
    <row r="802">
      <c r="A802" s="183" t="n"/>
      <c r="B802" s="183" t="n"/>
      <c r="C802" s="183" t="n"/>
      <c r="D802" s="183" t="n"/>
      <c r="E802" s="183" t="n"/>
      <c r="F802" s="183" t="n"/>
      <c r="G802" s="183" t="n"/>
      <c r="H802" s="183" t="n"/>
      <c r="I802" s="183" t="n"/>
      <c r="J802" s="183" t="n"/>
      <c r="K802" s="183" t="n"/>
      <c r="L802" s="183" t="n"/>
      <c r="M802" s="183" t="n"/>
      <c r="N802" s="183" t="n"/>
      <c r="O802" s="183" t="n"/>
      <c r="P802" s="183" t="n"/>
      <c r="Q802" s="183" t="n"/>
      <c r="R802" s="183" t="n"/>
      <c r="S802" s="183" t="n"/>
      <c r="T802" s="183" t="n"/>
      <c r="U802" s="183" t="n"/>
      <c r="V802" s="183" t="n"/>
      <c r="W802" s="183" t="n"/>
      <c r="X802" s="183" t="n"/>
      <c r="Y802" s="183" t="n"/>
      <c r="Z802" s="183" t="n"/>
      <c r="AA802" s="183" t="n"/>
    </row>
    <row r="803">
      <c r="A803" s="183" t="n"/>
      <c r="B803" s="183" t="n"/>
      <c r="C803" s="183" t="n"/>
      <c r="D803" s="183" t="n"/>
      <c r="E803" s="183" t="n"/>
      <c r="F803" s="183" t="n"/>
      <c r="G803" s="183" t="n"/>
      <c r="H803" s="183" t="n"/>
      <c r="I803" s="183" t="n"/>
      <c r="J803" s="183" t="n"/>
      <c r="K803" s="183" t="n"/>
      <c r="L803" s="183" t="n"/>
      <c r="M803" s="183" t="n"/>
      <c r="N803" s="183" t="n"/>
      <c r="O803" s="183" t="n"/>
      <c r="P803" s="183" t="n"/>
      <c r="Q803" s="183" t="n"/>
      <c r="R803" s="183" t="n"/>
      <c r="S803" s="183" t="n"/>
      <c r="T803" s="183" t="n"/>
      <c r="U803" s="183" t="n"/>
      <c r="V803" s="183" t="n"/>
      <c r="W803" s="183" t="n"/>
      <c r="X803" s="183" t="n"/>
      <c r="Y803" s="183" t="n"/>
      <c r="Z803" s="183" t="n"/>
      <c r="AA803" s="183" t="n"/>
    </row>
    <row r="804">
      <c r="A804" s="183" t="n"/>
      <c r="B804" s="183" t="n"/>
      <c r="C804" s="183" t="n"/>
      <c r="D804" s="183" t="n"/>
      <c r="E804" s="183" t="n"/>
      <c r="F804" s="183" t="n"/>
      <c r="G804" s="183" t="n"/>
      <c r="H804" s="183" t="n"/>
      <c r="I804" s="183" t="n"/>
      <c r="J804" s="183" t="n"/>
      <c r="K804" s="183" t="n"/>
      <c r="L804" s="183" t="n"/>
      <c r="M804" s="183" t="n"/>
      <c r="N804" s="183" t="n"/>
      <c r="O804" s="183" t="n"/>
      <c r="P804" s="183" t="n"/>
      <c r="Q804" s="183" t="n"/>
      <c r="R804" s="183" t="n"/>
      <c r="S804" s="183" t="n"/>
      <c r="T804" s="183" t="n"/>
      <c r="U804" s="183" t="n"/>
      <c r="V804" s="183" t="n"/>
      <c r="W804" s="183" t="n"/>
      <c r="X804" s="183" t="n"/>
      <c r="Y804" s="183" t="n"/>
      <c r="Z804" s="183" t="n"/>
      <c r="AA804" s="183" t="n"/>
    </row>
    <row r="805">
      <c r="A805" s="183" t="n"/>
      <c r="B805" s="183" t="n"/>
      <c r="C805" s="183" t="n"/>
      <c r="D805" s="183" t="n"/>
      <c r="E805" s="183" t="n"/>
      <c r="F805" s="183" t="n"/>
      <c r="G805" s="183" t="n"/>
      <c r="H805" s="183" t="n"/>
      <c r="I805" s="183" t="n"/>
      <c r="J805" s="183" t="n"/>
      <c r="K805" s="183" t="n"/>
      <c r="L805" s="183" t="n"/>
      <c r="M805" s="183" t="n"/>
      <c r="N805" s="183" t="n"/>
      <c r="O805" s="183" t="n"/>
      <c r="P805" s="183" t="n"/>
      <c r="Q805" s="183" t="n"/>
      <c r="R805" s="183" t="n"/>
      <c r="S805" s="183" t="n"/>
      <c r="T805" s="183" t="n"/>
      <c r="U805" s="183" t="n"/>
      <c r="V805" s="183" t="n"/>
      <c r="W805" s="183" t="n"/>
      <c r="X805" s="183" t="n"/>
      <c r="Y805" s="183" t="n"/>
      <c r="Z805" s="183" t="n"/>
      <c r="AA805" s="183" t="n"/>
    </row>
    <row r="806">
      <c r="A806" s="183" t="n"/>
      <c r="B806" s="183" t="n"/>
      <c r="C806" s="183" t="n"/>
      <c r="D806" s="183" t="n"/>
      <c r="E806" s="183" t="n"/>
      <c r="F806" s="183" t="n"/>
      <c r="G806" s="183" t="n"/>
      <c r="H806" s="183" t="n"/>
      <c r="I806" s="183" t="n"/>
      <c r="J806" s="183" t="n"/>
      <c r="K806" s="183" t="n"/>
      <c r="L806" s="183" t="n"/>
      <c r="M806" s="183" t="n"/>
      <c r="N806" s="183" t="n"/>
      <c r="O806" s="183" t="n"/>
      <c r="P806" s="183" t="n"/>
      <c r="Q806" s="183" t="n"/>
      <c r="R806" s="183" t="n"/>
      <c r="S806" s="183" t="n"/>
      <c r="T806" s="183" t="n"/>
      <c r="U806" s="183" t="n"/>
      <c r="V806" s="183" t="n"/>
      <c r="W806" s="183" t="n"/>
      <c r="X806" s="183" t="n"/>
      <c r="Y806" s="183" t="n"/>
      <c r="Z806" s="183" t="n"/>
      <c r="AA806" s="183" t="n"/>
    </row>
    <row r="807">
      <c r="A807" s="183" t="n"/>
      <c r="B807" s="183" t="n"/>
      <c r="C807" s="183" t="n"/>
      <c r="D807" s="183" t="n"/>
      <c r="E807" s="183" t="n"/>
      <c r="F807" s="183" t="n"/>
      <c r="G807" s="183" t="n"/>
      <c r="H807" s="183" t="n"/>
      <c r="I807" s="183" t="n"/>
      <c r="J807" s="183" t="n"/>
      <c r="K807" s="183" t="n"/>
      <c r="L807" s="183" t="n"/>
      <c r="M807" s="183" t="n"/>
      <c r="N807" s="183" t="n"/>
      <c r="O807" s="183" t="n"/>
      <c r="P807" s="183" t="n"/>
      <c r="Q807" s="183" t="n"/>
      <c r="R807" s="183" t="n"/>
      <c r="S807" s="183" t="n"/>
      <c r="T807" s="183" t="n"/>
      <c r="U807" s="183" t="n"/>
      <c r="V807" s="183" t="n"/>
      <c r="W807" s="183" t="n"/>
      <c r="X807" s="183" t="n"/>
      <c r="Y807" s="183" t="n"/>
      <c r="Z807" s="183" t="n"/>
      <c r="AA807" s="183" t="n"/>
    </row>
    <row r="808">
      <c r="A808" s="183" t="n"/>
      <c r="B808" s="183" t="n"/>
      <c r="C808" s="183" t="n"/>
      <c r="D808" s="183" t="n"/>
      <c r="E808" s="183" t="n"/>
      <c r="F808" s="183" t="n"/>
      <c r="G808" s="183" t="n"/>
      <c r="H808" s="183" t="n"/>
      <c r="I808" s="183" t="n"/>
      <c r="J808" s="183" t="n"/>
      <c r="K808" s="183" t="n"/>
      <c r="L808" s="183" t="n"/>
      <c r="M808" s="183" t="n"/>
      <c r="N808" s="183" t="n"/>
      <c r="O808" s="183" t="n"/>
      <c r="P808" s="183" t="n"/>
      <c r="Q808" s="183" t="n"/>
      <c r="R808" s="183" t="n"/>
      <c r="S808" s="183" t="n"/>
      <c r="T808" s="183" t="n"/>
      <c r="U808" s="183" t="n"/>
      <c r="V808" s="183" t="n"/>
      <c r="W808" s="183" t="n"/>
      <c r="X808" s="183" t="n"/>
      <c r="Y808" s="183" t="n"/>
      <c r="Z808" s="183" t="n"/>
      <c r="AA808" s="183" t="n"/>
    </row>
    <row r="809">
      <c r="A809" s="183" t="n"/>
      <c r="B809" s="183" t="n"/>
      <c r="C809" s="183" t="n"/>
      <c r="D809" s="183" t="n"/>
      <c r="E809" s="183" t="n"/>
      <c r="F809" s="183" t="n"/>
      <c r="G809" s="183" t="n"/>
      <c r="H809" s="183" t="n"/>
      <c r="I809" s="183" t="n"/>
      <c r="J809" s="183" t="n"/>
      <c r="K809" s="183" t="n"/>
      <c r="L809" s="183" t="n"/>
      <c r="M809" s="183" t="n"/>
      <c r="N809" s="183" t="n"/>
      <c r="O809" s="183" t="n"/>
      <c r="P809" s="183" t="n"/>
      <c r="Q809" s="183" t="n"/>
      <c r="R809" s="183" t="n"/>
      <c r="S809" s="183" t="n"/>
      <c r="T809" s="183" t="n"/>
      <c r="U809" s="183" t="n"/>
      <c r="V809" s="183" t="n"/>
      <c r="W809" s="183" t="n"/>
      <c r="X809" s="183" t="n"/>
      <c r="Y809" s="183" t="n"/>
      <c r="Z809" s="183" t="n"/>
      <c r="AA809" s="183" t="n"/>
    </row>
    <row r="810">
      <c r="A810" s="183" t="n"/>
      <c r="B810" s="183" t="n"/>
      <c r="C810" s="183" t="n"/>
      <c r="D810" s="183" t="n"/>
      <c r="E810" s="183" t="n"/>
      <c r="F810" s="183" t="n"/>
      <c r="G810" s="183" t="n"/>
      <c r="H810" s="183" t="n"/>
      <c r="I810" s="183" t="n"/>
      <c r="J810" s="183" t="n"/>
      <c r="K810" s="183" t="n"/>
      <c r="L810" s="183" t="n"/>
      <c r="M810" s="183" t="n"/>
      <c r="N810" s="183" t="n"/>
      <c r="O810" s="183" t="n"/>
      <c r="P810" s="183" t="n"/>
      <c r="Q810" s="183" t="n"/>
      <c r="R810" s="183" t="n"/>
      <c r="S810" s="183" t="n"/>
      <c r="T810" s="183" t="n"/>
      <c r="U810" s="183" t="n"/>
      <c r="V810" s="183" t="n"/>
      <c r="W810" s="183" t="n"/>
      <c r="X810" s="183" t="n"/>
      <c r="Y810" s="183" t="n"/>
      <c r="Z810" s="183" t="n"/>
      <c r="AA810" s="183" t="n"/>
    </row>
    <row r="811">
      <c r="A811" s="183" t="n"/>
      <c r="B811" s="183" t="n"/>
      <c r="C811" s="183" t="n"/>
      <c r="D811" s="183" t="n"/>
      <c r="E811" s="183" t="n"/>
      <c r="F811" s="183" t="n"/>
      <c r="G811" s="183" t="n"/>
      <c r="H811" s="183" t="n"/>
      <c r="I811" s="183" t="n"/>
      <c r="J811" s="183" t="n"/>
      <c r="K811" s="183" t="n"/>
      <c r="L811" s="183" t="n"/>
      <c r="M811" s="183" t="n"/>
      <c r="N811" s="183" t="n"/>
      <c r="O811" s="183" t="n"/>
      <c r="P811" s="183" t="n"/>
      <c r="Q811" s="183" t="n"/>
      <c r="R811" s="183" t="n"/>
      <c r="S811" s="183" t="n"/>
      <c r="T811" s="183" t="n"/>
      <c r="U811" s="183" t="n"/>
      <c r="V811" s="183" t="n"/>
      <c r="W811" s="183" t="n"/>
      <c r="X811" s="183" t="n"/>
      <c r="Y811" s="183" t="n"/>
      <c r="Z811" s="183" t="n"/>
      <c r="AA811" s="183" t="n"/>
    </row>
    <row r="812">
      <c r="A812" s="183" t="n"/>
      <c r="B812" s="183" t="n"/>
      <c r="C812" s="183" t="n"/>
      <c r="D812" s="183" t="n"/>
      <c r="E812" s="183" t="n"/>
      <c r="F812" s="183" t="n"/>
      <c r="G812" s="183" t="n"/>
      <c r="H812" s="183" t="n"/>
      <c r="I812" s="183" t="n"/>
      <c r="J812" s="183" t="n"/>
      <c r="K812" s="183" t="n"/>
      <c r="L812" s="183" t="n"/>
      <c r="M812" s="183" t="n"/>
      <c r="N812" s="183" t="n"/>
      <c r="O812" s="183" t="n"/>
      <c r="P812" s="183" t="n"/>
      <c r="Q812" s="183" t="n"/>
      <c r="R812" s="183" t="n"/>
      <c r="S812" s="183" t="n"/>
      <c r="T812" s="183" t="n"/>
      <c r="U812" s="183" t="n"/>
      <c r="V812" s="183" t="n"/>
      <c r="W812" s="183" t="n"/>
      <c r="X812" s="183" t="n"/>
      <c r="Y812" s="183" t="n"/>
      <c r="Z812" s="183" t="n"/>
      <c r="AA812" s="183" t="n"/>
    </row>
    <row r="813">
      <c r="A813" s="183" t="n"/>
      <c r="B813" s="183" t="n"/>
      <c r="C813" s="183" t="n"/>
      <c r="D813" s="183" t="n"/>
      <c r="E813" s="183" t="n"/>
      <c r="F813" s="183" t="n"/>
      <c r="G813" s="183" t="n"/>
      <c r="H813" s="183" t="n"/>
      <c r="I813" s="183" t="n"/>
      <c r="J813" s="183" t="n"/>
      <c r="K813" s="183" t="n"/>
      <c r="L813" s="183" t="n"/>
      <c r="M813" s="183" t="n"/>
      <c r="N813" s="183" t="n"/>
      <c r="O813" s="183" t="n"/>
      <c r="P813" s="183" t="n"/>
      <c r="Q813" s="183" t="n"/>
      <c r="R813" s="183" t="n"/>
      <c r="S813" s="183" t="n"/>
      <c r="T813" s="183" t="n"/>
      <c r="U813" s="183" t="n"/>
      <c r="V813" s="183" t="n"/>
      <c r="W813" s="183" t="n"/>
      <c r="X813" s="183" t="n"/>
      <c r="Y813" s="183" t="n"/>
      <c r="Z813" s="183" t="n"/>
      <c r="AA813" s="183" t="n"/>
    </row>
    <row r="814">
      <c r="A814" s="183" t="n"/>
      <c r="B814" s="183" t="n"/>
      <c r="C814" s="183" t="n"/>
      <c r="D814" s="183" t="n"/>
      <c r="E814" s="183" t="n"/>
      <c r="F814" s="183" t="n"/>
      <c r="G814" s="183" t="n"/>
      <c r="H814" s="183" t="n"/>
      <c r="I814" s="183" t="n"/>
      <c r="J814" s="183" t="n"/>
      <c r="K814" s="183" t="n"/>
      <c r="L814" s="183" t="n"/>
      <c r="M814" s="183" t="n"/>
      <c r="N814" s="183" t="n"/>
      <c r="O814" s="183" t="n"/>
      <c r="P814" s="183" t="n"/>
      <c r="Q814" s="183" t="n"/>
      <c r="R814" s="183" t="n"/>
      <c r="S814" s="183" t="n"/>
      <c r="T814" s="183" t="n"/>
      <c r="U814" s="183" t="n"/>
      <c r="V814" s="183" t="n"/>
      <c r="W814" s="183" t="n"/>
      <c r="X814" s="183" t="n"/>
      <c r="Y814" s="183" t="n"/>
      <c r="Z814" s="183" t="n"/>
      <c r="AA814" s="183" t="n"/>
    </row>
    <row r="815">
      <c r="A815" s="183" t="n"/>
      <c r="B815" s="183" t="n"/>
      <c r="C815" s="183" t="n"/>
      <c r="D815" s="183" t="n"/>
      <c r="E815" s="183" t="n"/>
      <c r="F815" s="183" t="n"/>
      <c r="G815" s="183" t="n"/>
      <c r="H815" s="183" t="n"/>
      <c r="I815" s="183" t="n"/>
      <c r="J815" s="183" t="n"/>
      <c r="K815" s="183" t="n"/>
      <c r="L815" s="183" t="n"/>
      <c r="M815" s="183" t="n"/>
      <c r="N815" s="183" t="n"/>
      <c r="O815" s="183" t="n"/>
      <c r="P815" s="183" t="n"/>
      <c r="Q815" s="183" t="n"/>
      <c r="R815" s="183" t="n"/>
      <c r="S815" s="183" t="n"/>
      <c r="T815" s="183" t="n"/>
      <c r="U815" s="183" t="n"/>
      <c r="V815" s="183" t="n"/>
      <c r="W815" s="183" t="n"/>
      <c r="X815" s="183" t="n"/>
      <c r="Y815" s="183" t="n"/>
      <c r="Z815" s="183" t="n"/>
      <c r="AA815" s="183" t="n"/>
    </row>
    <row r="816">
      <c r="A816" s="183" t="n"/>
      <c r="B816" s="183" t="n"/>
      <c r="C816" s="183" t="n"/>
      <c r="D816" s="183" t="n"/>
      <c r="E816" s="183" t="n"/>
      <c r="F816" s="183" t="n"/>
      <c r="G816" s="183" t="n"/>
      <c r="H816" s="183" t="n"/>
      <c r="I816" s="183" t="n"/>
      <c r="J816" s="183" t="n"/>
      <c r="K816" s="183" t="n"/>
      <c r="L816" s="183" t="n"/>
      <c r="M816" s="183" t="n"/>
      <c r="N816" s="183" t="n"/>
      <c r="O816" s="183" t="n"/>
      <c r="P816" s="183" t="n"/>
      <c r="Q816" s="183" t="n"/>
      <c r="R816" s="183" t="n"/>
      <c r="S816" s="183" t="n"/>
      <c r="T816" s="183" t="n"/>
      <c r="U816" s="183" t="n"/>
      <c r="V816" s="183" t="n"/>
      <c r="W816" s="183" t="n"/>
      <c r="X816" s="183" t="n"/>
      <c r="Y816" s="183" t="n"/>
      <c r="Z816" s="183" t="n"/>
      <c r="AA816" s="183" t="n"/>
    </row>
    <row r="817">
      <c r="A817" s="183" t="n"/>
      <c r="B817" s="183" t="n"/>
      <c r="C817" s="183" t="n"/>
      <c r="D817" s="183" t="n"/>
      <c r="E817" s="183" t="n"/>
      <c r="F817" s="183" t="n"/>
      <c r="G817" s="183" t="n"/>
      <c r="H817" s="183" t="n"/>
      <c r="I817" s="183" t="n"/>
      <c r="J817" s="183" t="n"/>
      <c r="K817" s="183" t="n"/>
      <c r="L817" s="183" t="n"/>
      <c r="M817" s="183" t="n"/>
      <c r="N817" s="183" t="n"/>
      <c r="O817" s="183" t="n"/>
      <c r="P817" s="183" t="n"/>
      <c r="Q817" s="183" t="n"/>
      <c r="R817" s="183" t="n"/>
      <c r="S817" s="183" t="n"/>
      <c r="T817" s="183" t="n"/>
      <c r="U817" s="183" t="n"/>
      <c r="V817" s="183" t="n"/>
      <c r="W817" s="183" t="n"/>
      <c r="X817" s="183" t="n"/>
      <c r="Y817" s="183" t="n"/>
      <c r="Z817" s="183" t="n"/>
      <c r="AA817" s="183" t="n"/>
    </row>
    <row r="818">
      <c r="A818" s="183" t="n"/>
      <c r="B818" s="183" t="n"/>
      <c r="C818" s="183" t="n"/>
      <c r="D818" s="183" t="n"/>
      <c r="E818" s="183" t="n"/>
      <c r="F818" s="183" t="n"/>
      <c r="G818" s="183" t="n"/>
      <c r="H818" s="183" t="n"/>
      <c r="I818" s="183" t="n"/>
      <c r="J818" s="183" t="n"/>
      <c r="K818" s="183" t="n"/>
      <c r="L818" s="183" t="n"/>
      <c r="M818" s="183" t="n"/>
      <c r="N818" s="183" t="n"/>
      <c r="O818" s="183" t="n"/>
      <c r="P818" s="183" t="n"/>
      <c r="Q818" s="183" t="n"/>
      <c r="R818" s="183" t="n"/>
      <c r="S818" s="183" t="n"/>
      <c r="T818" s="183" t="n"/>
      <c r="U818" s="183" t="n"/>
      <c r="V818" s="183" t="n"/>
      <c r="W818" s="183" t="n"/>
      <c r="X818" s="183" t="n"/>
      <c r="Y818" s="183" t="n"/>
      <c r="Z818" s="183" t="n"/>
      <c r="AA818" s="183" t="n"/>
    </row>
    <row r="819">
      <c r="A819" s="183" t="n"/>
      <c r="B819" s="183" t="n"/>
      <c r="C819" s="183" t="n"/>
      <c r="D819" s="183" t="n"/>
      <c r="E819" s="183" t="n"/>
      <c r="F819" s="183" t="n"/>
      <c r="G819" s="183" t="n"/>
      <c r="H819" s="183" t="n"/>
      <c r="I819" s="183" t="n"/>
      <c r="J819" s="183" t="n"/>
      <c r="K819" s="183" t="n"/>
      <c r="L819" s="183" t="n"/>
      <c r="M819" s="183" t="n"/>
      <c r="N819" s="183" t="n"/>
      <c r="O819" s="183" t="n"/>
      <c r="P819" s="183" t="n"/>
      <c r="Q819" s="183" t="n"/>
      <c r="R819" s="183" t="n"/>
      <c r="S819" s="183" t="n"/>
      <c r="T819" s="183" t="n"/>
      <c r="U819" s="183" t="n"/>
      <c r="V819" s="183" t="n"/>
      <c r="W819" s="183" t="n"/>
      <c r="X819" s="183" t="n"/>
      <c r="Y819" s="183" t="n"/>
      <c r="Z819" s="183" t="n"/>
      <c r="AA819" s="183" t="n"/>
    </row>
    <row r="820">
      <c r="A820" s="183" t="n"/>
      <c r="B820" s="183" t="n"/>
      <c r="C820" s="183" t="n"/>
      <c r="D820" s="183" t="n"/>
      <c r="E820" s="183" t="n"/>
      <c r="F820" s="183" t="n"/>
      <c r="G820" s="183" t="n"/>
      <c r="H820" s="183" t="n"/>
      <c r="I820" s="183" t="n"/>
      <c r="J820" s="183" t="n"/>
      <c r="K820" s="183" t="n"/>
      <c r="L820" s="183" t="n"/>
      <c r="M820" s="183" t="n"/>
      <c r="N820" s="183" t="n"/>
      <c r="O820" s="183" t="n"/>
      <c r="P820" s="183" t="n"/>
      <c r="Q820" s="183" t="n"/>
      <c r="R820" s="183" t="n"/>
      <c r="S820" s="183" t="n"/>
      <c r="T820" s="183" t="n"/>
      <c r="U820" s="183" t="n"/>
      <c r="V820" s="183" t="n"/>
      <c r="W820" s="183" t="n"/>
      <c r="X820" s="183" t="n"/>
      <c r="Y820" s="183" t="n"/>
      <c r="Z820" s="183" t="n"/>
      <c r="AA820" s="183" t="n"/>
    </row>
    <row r="821">
      <c r="A821" s="183" t="n"/>
      <c r="B821" s="183" t="n"/>
      <c r="C821" s="183" t="n"/>
      <c r="D821" s="183" t="n"/>
      <c r="E821" s="183" t="n"/>
      <c r="F821" s="183" t="n"/>
      <c r="G821" s="183" t="n"/>
      <c r="H821" s="183" t="n"/>
      <c r="I821" s="183" t="n"/>
      <c r="J821" s="183" t="n"/>
      <c r="K821" s="183" t="n"/>
      <c r="L821" s="183" t="n"/>
      <c r="M821" s="183" t="n"/>
      <c r="N821" s="183" t="n"/>
      <c r="O821" s="183" t="n"/>
      <c r="P821" s="183" t="n"/>
      <c r="Q821" s="183" t="n"/>
      <c r="R821" s="183" t="n"/>
      <c r="S821" s="183" t="n"/>
      <c r="T821" s="183" t="n"/>
      <c r="U821" s="183" t="n"/>
      <c r="V821" s="183" t="n"/>
      <c r="W821" s="183" t="n"/>
      <c r="X821" s="183" t="n"/>
      <c r="Y821" s="183" t="n"/>
      <c r="Z821" s="183" t="n"/>
      <c r="AA821" s="183" t="n"/>
    </row>
    <row r="822">
      <c r="A822" s="183" t="n"/>
      <c r="B822" s="183" t="n"/>
      <c r="C822" s="183" t="n"/>
      <c r="D822" s="183" t="n"/>
      <c r="E822" s="183" t="n"/>
      <c r="F822" s="183" t="n"/>
      <c r="G822" s="183" t="n"/>
      <c r="H822" s="183" t="n"/>
      <c r="I822" s="183" t="n"/>
      <c r="J822" s="183" t="n"/>
      <c r="K822" s="183" t="n"/>
      <c r="L822" s="183" t="n"/>
      <c r="M822" s="183" t="n"/>
      <c r="N822" s="183" t="n"/>
      <c r="O822" s="183" t="n"/>
      <c r="P822" s="183" t="n"/>
      <c r="Q822" s="183" t="n"/>
      <c r="R822" s="183" t="n"/>
      <c r="S822" s="183" t="n"/>
      <c r="T822" s="183" t="n"/>
      <c r="U822" s="183" t="n"/>
      <c r="V822" s="183" t="n"/>
      <c r="W822" s="183" t="n"/>
      <c r="X822" s="183" t="n"/>
      <c r="Y822" s="183" t="n"/>
      <c r="Z822" s="183" t="n"/>
      <c r="AA822" s="183" t="n"/>
    </row>
    <row r="823">
      <c r="A823" s="183" t="n"/>
      <c r="B823" s="183" t="n"/>
      <c r="C823" s="183" t="n"/>
      <c r="D823" s="183" t="n"/>
      <c r="E823" s="183" t="n"/>
      <c r="F823" s="183" t="n"/>
      <c r="G823" s="183" t="n"/>
      <c r="H823" s="183" t="n"/>
      <c r="I823" s="183" t="n"/>
      <c r="J823" s="183" t="n"/>
      <c r="K823" s="183" t="n"/>
      <c r="L823" s="183" t="n"/>
      <c r="M823" s="183" t="n"/>
      <c r="N823" s="183" t="n"/>
      <c r="O823" s="183" t="n"/>
      <c r="P823" s="183" t="n"/>
      <c r="Q823" s="183" t="n"/>
      <c r="R823" s="183" t="n"/>
      <c r="S823" s="183" t="n"/>
      <c r="T823" s="183" t="n"/>
      <c r="U823" s="183" t="n"/>
      <c r="V823" s="183" t="n"/>
      <c r="W823" s="183" t="n"/>
      <c r="X823" s="183" t="n"/>
      <c r="Y823" s="183" t="n"/>
      <c r="Z823" s="183" t="n"/>
      <c r="AA823" s="183" t="n"/>
    </row>
    <row r="824">
      <c r="A824" s="183" t="n"/>
      <c r="B824" s="183" t="n"/>
      <c r="C824" s="183" t="n"/>
      <c r="D824" s="183" t="n"/>
      <c r="E824" s="183" t="n"/>
      <c r="F824" s="183" t="n"/>
      <c r="G824" s="183" t="n"/>
      <c r="H824" s="183" t="n"/>
      <c r="I824" s="183" t="n"/>
      <c r="J824" s="183" t="n"/>
      <c r="K824" s="183" t="n"/>
      <c r="L824" s="183" t="n"/>
      <c r="M824" s="183" t="n"/>
      <c r="N824" s="183" t="n"/>
      <c r="O824" s="183" t="n"/>
      <c r="P824" s="183" t="n"/>
      <c r="Q824" s="183" t="n"/>
      <c r="R824" s="183" t="n"/>
      <c r="S824" s="183" t="n"/>
      <c r="T824" s="183" t="n"/>
      <c r="U824" s="183" t="n"/>
      <c r="V824" s="183" t="n"/>
      <c r="W824" s="183" t="n"/>
      <c r="X824" s="183" t="n"/>
      <c r="Y824" s="183" t="n"/>
      <c r="Z824" s="183" t="n"/>
      <c r="AA824" s="183" t="n"/>
    </row>
    <row r="825">
      <c r="A825" s="183" t="n"/>
      <c r="B825" s="183" t="n"/>
      <c r="C825" s="183" t="n"/>
      <c r="D825" s="183" t="n"/>
      <c r="E825" s="183" t="n"/>
      <c r="F825" s="183" t="n"/>
      <c r="G825" s="183" t="n"/>
      <c r="H825" s="183" t="n"/>
      <c r="I825" s="183" t="n"/>
      <c r="J825" s="183" t="n"/>
      <c r="K825" s="183" t="n"/>
      <c r="L825" s="183" t="n"/>
      <c r="M825" s="183" t="n"/>
      <c r="N825" s="183" t="n"/>
      <c r="O825" s="183" t="n"/>
      <c r="P825" s="183" t="n"/>
      <c r="Q825" s="183" t="n"/>
      <c r="R825" s="183" t="n"/>
      <c r="S825" s="183" t="n"/>
      <c r="T825" s="183" t="n"/>
      <c r="U825" s="183" t="n"/>
      <c r="V825" s="183" t="n"/>
      <c r="W825" s="183" t="n"/>
      <c r="X825" s="183" t="n"/>
      <c r="Y825" s="183" t="n"/>
      <c r="Z825" s="183" t="n"/>
      <c r="AA825" s="183" t="n"/>
    </row>
    <row r="826">
      <c r="A826" s="183" t="n"/>
      <c r="B826" s="183" t="n"/>
      <c r="C826" s="183" t="n"/>
      <c r="D826" s="183" t="n"/>
      <c r="E826" s="183" t="n"/>
      <c r="F826" s="183" t="n"/>
      <c r="G826" s="183" t="n"/>
      <c r="H826" s="183" t="n"/>
      <c r="I826" s="183" t="n"/>
      <c r="J826" s="183" t="n"/>
      <c r="K826" s="183" t="n"/>
      <c r="L826" s="183" t="n"/>
      <c r="M826" s="183" t="n"/>
      <c r="N826" s="183" t="n"/>
      <c r="O826" s="183" t="n"/>
      <c r="P826" s="183" t="n"/>
      <c r="Q826" s="183" t="n"/>
      <c r="R826" s="183" t="n"/>
      <c r="S826" s="183" t="n"/>
      <c r="T826" s="183" t="n"/>
      <c r="U826" s="183" t="n"/>
      <c r="V826" s="183" t="n"/>
      <c r="W826" s="183" t="n"/>
      <c r="X826" s="183" t="n"/>
      <c r="Y826" s="183" t="n"/>
      <c r="Z826" s="183" t="n"/>
      <c r="AA826" s="183" t="n"/>
    </row>
    <row r="827">
      <c r="A827" s="183" t="n"/>
      <c r="B827" s="183" t="n"/>
      <c r="C827" s="183" t="n"/>
      <c r="D827" s="183" t="n"/>
      <c r="E827" s="183" t="n"/>
      <c r="F827" s="183" t="n"/>
      <c r="G827" s="183" t="n"/>
      <c r="H827" s="183" t="n"/>
      <c r="I827" s="183" t="n"/>
      <c r="J827" s="183" t="n"/>
      <c r="K827" s="183" t="n"/>
      <c r="L827" s="183" t="n"/>
      <c r="M827" s="183" t="n"/>
      <c r="N827" s="183" t="n"/>
      <c r="O827" s="183" t="n"/>
      <c r="P827" s="183" t="n"/>
      <c r="Q827" s="183" t="n"/>
      <c r="R827" s="183" t="n"/>
      <c r="S827" s="183" t="n"/>
      <c r="T827" s="183" t="n"/>
      <c r="U827" s="183" t="n"/>
      <c r="V827" s="183" t="n"/>
      <c r="W827" s="183" t="n"/>
      <c r="X827" s="183" t="n"/>
      <c r="Y827" s="183" t="n"/>
      <c r="Z827" s="183" t="n"/>
      <c r="AA827" s="183" t="n"/>
    </row>
    <row r="828">
      <c r="A828" s="183" t="n"/>
      <c r="B828" s="183" t="n"/>
      <c r="C828" s="183" t="n"/>
      <c r="D828" s="183" t="n"/>
      <c r="E828" s="183" t="n"/>
      <c r="F828" s="183" t="n"/>
      <c r="G828" s="183" t="n"/>
      <c r="H828" s="183" t="n"/>
      <c r="I828" s="183" t="n"/>
      <c r="J828" s="183" t="n"/>
      <c r="K828" s="183" t="n"/>
      <c r="L828" s="183" t="n"/>
      <c r="M828" s="183" t="n"/>
      <c r="N828" s="183" t="n"/>
      <c r="O828" s="183" t="n"/>
      <c r="P828" s="183" t="n"/>
      <c r="Q828" s="183" t="n"/>
      <c r="R828" s="183" t="n"/>
      <c r="S828" s="183" t="n"/>
      <c r="T828" s="183" t="n"/>
      <c r="U828" s="183" t="n"/>
      <c r="V828" s="183" t="n"/>
      <c r="W828" s="183" t="n"/>
      <c r="X828" s="183" t="n"/>
      <c r="Y828" s="183" t="n"/>
      <c r="Z828" s="183" t="n"/>
      <c r="AA828" s="183" t="n"/>
    </row>
    <row r="829">
      <c r="A829" s="183" t="n"/>
      <c r="B829" s="183" t="n"/>
      <c r="C829" s="183" t="n"/>
      <c r="D829" s="183" t="n"/>
      <c r="E829" s="183" t="n"/>
      <c r="F829" s="183" t="n"/>
      <c r="G829" s="183" t="n"/>
      <c r="H829" s="183" t="n"/>
      <c r="I829" s="183" t="n"/>
      <c r="J829" s="183" t="n"/>
      <c r="K829" s="183" t="n"/>
      <c r="L829" s="183" t="n"/>
      <c r="M829" s="183" t="n"/>
      <c r="N829" s="183" t="n"/>
      <c r="O829" s="183" t="n"/>
      <c r="P829" s="183" t="n"/>
      <c r="Q829" s="183" t="n"/>
      <c r="R829" s="183" t="n"/>
      <c r="S829" s="183" t="n"/>
      <c r="T829" s="183" t="n"/>
      <c r="U829" s="183" t="n"/>
      <c r="V829" s="183" t="n"/>
      <c r="W829" s="183" t="n"/>
      <c r="X829" s="183" t="n"/>
      <c r="Y829" s="183" t="n"/>
      <c r="Z829" s="183" t="n"/>
      <c r="AA829" s="183" t="n"/>
    </row>
    <row r="830">
      <c r="A830" s="183" t="n"/>
      <c r="B830" s="183" t="n"/>
      <c r="C830" s="183" t="n"/>
      <c r="D830" s="183" t="n"/>
      <c r="E830" s="183" t="n"/>
      <c r="F830" s="183" t="n"/>
      <c r="G830" s="183" t="n"/>
      <c r="H830" s="183" t="n"/>
      <c r="I830" s="183" t="n"/>
      <c r="J830" s="183" t="n"/>
      <c r="K830" s="183" t="n"/>
      <c r="L830" s="183" t="n"/>
      <c r="M830" s="183" t="n"/>
      <c r="N830" s="183" t="n"/>
      <c r="O830" s="183" t="n"/>
      <c r="P830" s="183" t="n"/>
      <c r="Q830" s="183" t="n"/>
      <c r="R830" s="183" t="n"/>
      <c r="S830" s="183" t="n"/>
      <c r="T830" s="183" t="n"/>
      <c r="U830" s="183" t="n"/>
      <c r="V830" s="183" t="n"/>
      <c r="W830" s="183" t="n"/>
      <c r="X830" s="183" t="n"/>
      <c r="Y830" s="183" t="n"/>
      <c r="Z830" s="183" t="n"/>
      <c r="AA830" s="183" t="n"/>
    </row>
    <row r="831">
      <c r="A831" s="183" t="n"/>
      <c r="B831" s="183" t="n"/>
      <c r="C831" s="183" t="n"/>
      <c r="D831" s="183" t="n"/>
      <c r="E831" s="183" t="n"/>
      <c r="F831" s="183" t="n"/>
      <c r="G831" s="183" t="n"/>
      <c r="H831" s="183" t="n"/>
      <c r="I831" s="183" t="n"/>
      <c r="J831" s="183" t="n"/>
      <c r="K831" s="183" t="n"/>
      <c r="L831" s="183" t="n"/>
      <c r="M831" s="183" t="n"/>
      <c r="N831" s="183" t="n"/>
      <c r="O831" s="183" t="n"/>
      <c r="P831" s="183" t="n"/>
      <c r="Q831" s="183" t="n"/>
      <c r="R831" s="183" t="n"/>
      <c r="S831" s="183" t="n"/>
      <c r="T831" s="183" t="n"/>
      <c r="U831" s="183" t="n"/>
      <c r="V831" s="183" t="n"/>
      <c r="W831" s="183" t="n"/>
      <c r="X831" s="183" t="n"/>
      <c r="Y831" s="183" t="n"/>
      <c r="Z831" s="183" t="n"/>
      <c r="AA831" s="183" t="n"/>
    </row>
    <row r="832">
      <c r="A832" s="183" t="n"/>
      <c r="B832" s="183" t="n"/>
      <c r="C832" s="183" t="n"/>
      <c r="D832" s="183" t="n"/>
      <c r="E832" s="183" t="n"/>
      <c r="F832" s="183" t="n"/>
      <c r="G832" s="183" t="n"/>
      <c r="H832" s="183" t="n"/>
      <c r="I832" s="183" t="n"/>
      <c r="J832" s="183" t="n"/>
      <c r="K832" s="183" t="n"/>
      <c r="L832" s="183" t="n"/>
      <c r="M832" s="183" t="n"/>
      <c r="N832" s="183" t="n"/>
      <c r="O832" s="183" t="n"/>
      <c r="P832" s="183" t="n"/>
      <c r="Q832" s="183" t="n"/>
      <c r="R832" s="183" t="n"/>
      <c r="S832" s="183" t="n"/>
      <c r="T832" s="183" t="n"/>
      <c r="U832" s="183" t="n"/>
      <c r="V832" s="183" t="n"/>
      <c r="W832" s="183" t="n"/>
      <c r="X832" s="183" t="n"/>
      <c r="Y832" s="183" t="n"/>
      <c r="Z832" s="183" t="n"/>
      <c r="AA832" s="183" t="n"/>
    </row>
    <row r="833">
      <c r="A833" s="183" t="n"/>
      <c r="B833" s="183" t="n"/>
      <c r="C833" s="183" t="n"/>
      <c r="D833" s="183" t="n"/>
      <c r="E833" s="183" t="n"/>
      <c r="F833" s="183" t="n"/>
      <c r="G833" s="183" t="n"/>
      <c r="H833" s="183" t="n"/>
      <c r="I833" s="183" t="n"/>
      <c r="J833" s="183" t="n"/>
      <c r="K833" s="183" t="n"/>
      <c r="L833" s="183" t="n"/>
      <c r="M833" s="183" t="n"/>
      <c r="N833" s="183" t="n"/>
      <c r="O833" s="183" t="n"/>
      <c r="P833" s="183" t="n"/>
      <c r="Q833" s="183" t="n"/>
      <c r="R833" s="183" t="n"/>
      <c r="S833" s="183" t="n"/>
      <c r="T833" s="183" t="n"/>
      <c r="U833" s="183" t="n"/>
      <c r="V833" s="183" t="n"/>
      <c r="W833" s="183" t="n"/>
      <c r="X833" s="183" t="n"/>
      <c r="Y833" s="183" t="n"/>
      <c r="Z833" s="183" t="n"/>
      <c r="AA833" s="183" t="n"/>
    </row>
    <row r="834">
      <c r="A834" s="183" t="n"/>
      <c r="B834" s="183" t="n"/>
      <c r="C834" s="183" t="n"/>
      <c r="D834" s="183" t="n"/>
      <c r="E834" s="183" t="n"/>
      <c r="F834" s="183" t="n"/>
      <c r="G834" s="183" t="n"/>
      <c r="H834" s="183" t="n"/>
      <c r="I834" s="183" t="n"/>
      <c r="J834" s="183" t="n"/>
      <c r="K834" s="183" t="n"/>
      <c r="L834" s="183" t="n"/>
      <c r="M834" s="183" t="n"/>
      <c r="N834" s="183" t="n"/>
      <c r="O834" s="183" t="n"/>
      <c r="P834" s="183" t="n"/>
      <c r="Q834" s="183" t="n"/>
      <c r="R834" s="183" t="n"/>
      <c r="S834" s="183" t="n"/>
      <c r="T834" s="183" t="n"/>
      <c r="U834" s="183" t="n"/>
      <c r="V834" s="183" t="n"/>
      <c r="W834" s="183" t="n"/>
      <c r="X834" s="183" t="n"/>
      <c r="Y834" s="183" t="n"/>
      <c r="Z834" s="183" t="n"/>
      <c r="AA834" s="183" t="n"/>
    </row>
    <row r="835">
      <c r="A835" s="183" t="n"/>
      <c r="B835" s="183" t="n"/>
      <c r="C835" s="183" t="n"/>
      <c r="D835" s="183" t="n"/>
      <c r="E835" s="183" t="n"/>
      <c r="F835" s="183" t="n"/>
      <c r="G835" s="183" t="n"/>
      <c r="H835" s="183" t="n"/>
      <c r="I835" s="183" t="n"/>
      <c r="J835" s="183" t="n"/>
      <c r="K835" s="183" t="n"/>
      <c r="L835" s="183" t="n"/>
      <c r="M835" s="183" t="n"/>
      <c r="N835" s="183" t="n"/>
      <c r="O835" s="183" t="n"/>
      <c r="P835" s="183" t="n"/>
      <c r="Q835" s="183" t="n"/>
      <c r="R835" s="183" t="n"/>
      <c r="S835" s="183" t="n"/>
      <c r="T835" s="183" t="n"/>
      <c r="U835" s="183" t="n"/>
      <c r="V835" s="183" t="n"/>
      <c r="W835" s="183" t="n"/>
      <c r="X835" s="183" t="n"/>
      <c r="Y835" s="183" t="n"/>
      <c r="Z835" s="183" t="n"/>
      <c r="AA835" s="183" t="n"/>
    </row>
    <row r="836">
      <c r="A836" s="183" t="n"/>
      <c r="B836" s="183" t="n"/>
      <c r="C836" s="183" t="n"/>
      <c r="D836" s="183" t="n"/>
      <c r="E836" s="183" t="n"/>
      <c r="F836" s="183" t="n"/>
      <c r="G836" s="183" t="n"/>
      <c r="H836" s="183" t="n"/>
      <c r="I836" s="183" t="n"/>
      <c r="J836" s="183" t="n"/>
      <c r="K836" s="183" t="n"/>
      <c r="L836" s="183" t="n"/>
      <c r="M836" s="183" t="n"/>
      <c r="N836" s="183" t="n"/>
      <c r="O836" s="183" t="n"/>
      <c r="P836" s="183" t="n"/>
      <c r="Q836" s="183" t="n"/>
      <c r="R836" s="183" t="n"/>
      <c r="S836" s="183" t="n"/>
      <c r="T836" s="183" t="n"/>
      <c r="U836" s="183" t="n"/>
      <c r="V836" s="183" t="n"/>
      <c r="W836" s="183" t="n"/>
      <c r="X836" s="183" t="n"/>
      <c r="Y836" s="183" t="n"/>
      <c r="Z836" s="183" t="n"/>
      <c r="AA836" s="183" t="n"/>
    </row>
    <row r="837">
      <c r="A837" s="183" t="n"/>
      <c r="B837" s="183" t="n"/>
      <c r="C837" s="183" t="n"/>
      <c r="D837" s="183" t="n"/>
      <c r="E837" s="183" t="n"/>
      <c r="F837" s="183" t="n"/>
      <c r="G837" s="183" t="n"/>
      <c r="H837" s="183" t="n"/>
      <c r="I837" s="183" t="n"/>
      <c r="J837" s="183" t="n"/>
      <c r="K837" s="183" t="n"/>
      <c r="L837" s="183" t="n"/>
      <c r="M837" s="183" t="n"/>
      <c r="N837" s="183" t="n"/>
      <c r="O837" s="183" t="n"/>
      <c r="P837" s="183" t="n"/>
      <c r="Q837" s="183" t="n"/>
      <c r="R837" s="183" t="n"/>
      <c r="S837" s="183" t="n"/>
      <c r="T837" s="183" t="n"/>
      <c r="U837" s="183" t="n"/>
      <c r="V837" s="183" t="n"/>
      <c r="W837" s="183" t="n"/>
      <c r="X837" s="183" t="n"/>
      <c r="Y837" s="183" t="n"/>
      <c r="Z837" s="183" t="n"/>
      <c r="AA837" s="183" t="n"/>
    </row>
    <row r="838">
      <c r="A838" s="183" t="n"/>
      <c r="B838" s="183" t="n"/>
      <c r="C838" s="183" t="n"/>
      <c r="D838" s="183" t="n"/>
      <c r="E838" s="183" t="n"/>
      <c r="F838" s="183" t="n"/>
      <c r="G838" s="183" t="n"/>
      <c r="H838" s="183" t="n"/>
      <c r="I838" s="183" t="n"/>
      <c r="J838" s="183" t="n"/>
      <c r="K838" s="183" t="n"/>
      <c r="L838" s="183" t="n"/>
      <c r="M838" s="183" t="n"/>
      <c r="N838" s="183" t="n"/>
      <c r="O838" s="183" t="n"/>
      <c r="P838" s="183" t="n"/>
      <c r="Q838" s="183" t="n"/>
      <c r="R838" s="183" t="n"/>
      <c r="S838" s="183" t="n"/>
      <c r="T838" s="183" t="n"/>
      <c r="U838" s="183" t="n"/>
      <c r="V838" s="183" t="n"/>
      <c r="W838" s="183" t="n"/>
      <c r="X838" s="183" t="n"/>
      <c r="Y838" s="183" t="n"/>
      <c r="Z838" s="183" t="n"/>
      <c r="AA838" s="183" t="n"/>
    </row>
    <row r="839">
      <c r="A839" s="183" t="n"/>
      <c r="B839" s="183" t="n"/>
      <c r="C839" s="183" t="n"/>
      <c r="D839" s="183" t="n"/>
      <c r="E839" s="183" t="n"/>
      <c r="F839" s="183" t="n"/>
      <c r="G839" s="183" t="n"/>
      <c r="H839" s="183" t="n"/>
      <c r="I839" s="183" t="n"/>
      <c r="J839" s="183" t="n"/>
      <c r="K839" s="183" t="n"/>
      <c r="L839" s="183" t="n"/>
      <c r="M839" s="183" t="n"/>
      <c r="N839" s="183" t="n"/>
      <c r="O839" s="183" t="n"/>
      <c r="P839" s="183" t="n"/>
      <c r="Q839" s="183" t="n"/>
      <c r="R839" s="183" t="n"/>
      <c r="S839" s="183" t="n"/>
      <c r="T839" s="183" t="n"/>
      <c r="U839" s="183" t="n"/>
      <c r="V839" s="183" t="n"/>
      <c r="W839" s="183" t="n"/>
      <c r="X839" s="183" t="n"/>
      <c r="Y839" s="183" t="n"/>
      <c r="Z839" s="183" t="n"/>
      <c r="AA839" s="183" t="n"/>
    </row>
    <row r="840">
      <c r="A840" s="183" t="n"/>
      <c r="B840" s="183" t="n"/>
      <c r="C840" s="183" t="n"/>
      <c r="D840" s="183" t="n"/>
      <c r="E840" s="183" t="n"/>
      <c r="F840" s="183" t="n"/>
      <c r="G840" s="183" t="n"/>
      <c r="H840" s="183" t="n"/>
      <c r="I840" s="183" t="n"/>
      <c r="J840" s="183" t="n"/>
      <c r="K840" s="183" t="n"/>
      <c r="L840" s="183" t="n"/>
      <c r="M840" s="183" t="n"/>
      <c r="N840" s="183" t="n"/>
      <c r="O840" s="183" t="n"/>
      <c r="P840" s="183" t="n"/>
      <c r="Q840" s="183" t="n"/>
      <c r="R840" s="183" t="n"/>
      <c r="S840" s="183" t="n"/>
      <c r="T840" s="183" t="n"/>
      <c r="U840" s="183" t="n"/>
      <c r="V840" s="183" t="n"/>
      <c r="W840" s="183" t="n"/>
      <c r="X840" s="183" t="n"/>
      <c r="Y840" s="183" t="n"/>
      <c r="Z840" s="183" t="n"/>
      <c r="AA840" s="183" t="n"/>
    </row>
    <row r="841">
      <c r="A841" s="183" t="n"/>
      <c r="B841" s="183" t="n"/>
      <c r="C841" s="183" t="n"/>
      <c r="D841" s="183" t="n"/>
      <c r="E841" s="183" t="n"/>
      <c r="F841" s="183" t="n"/>
      <c r="G841" s="183" t="n"/>
      <c r="H841" s="183" t="n"/>
      <c r="I841" s="183" t="n"/>
      <c r="J841" s="183" t="n"/>
      <c r="K841" s="183" t="n"/>
      <c r="L841" s="183" t="n"/>
      <c r="M841" s="183" t="n"/>
      <c r="N841" s="183" t="n"/>
      <c r="O841" s="183" t="n"/>
      <c r="P841" s="183" t="n"/>
      <c r="Q841" s="183" t="n"/>
      <c r="R841" s="183" t="n"/>
      <c r="S841" s="183" t="n"/>
      <c r="T841" s="183" t="n"/>
      <c r="U841" s="183" t="n"/>
      <c r="V841" s="183" t="n"/>
      <c r="W841" s="183" t="n"/>
      <c r="X841" s="183" t="n"/>
      <c r="Y841" s="183" t="n"/>
      <c r="Z841" s="183" t="n"/>
      <c r="AA841" s="183" t="n"/>
    </row>
    <row r="842">
      <c r="A842" s="183" t="n"/>
      <c r="B842" s="183" t="n"/>
      <c r="C842" s="183" t="n"/>
      <c r="D842" s="183" t="n"/>
      <c r="E842" s="183" t="n"/>
      <c r="F842" s="183" t="n"/>
      <c r="G842" s="183" t="n"/>
      <c r="H842" s="183" t="n"/>
      <c r="I842" s="183" t="n"/>
      <c r="J842" s="183" t="n"/>
      <c r="K842" s="183" t="n"/>
      <c r="L842" s="183" t="n"/>
      <c r="M842" s="183" t="n"/>
      <c r="N842" s="183" t="n"/>
      <c r="O842" s="183" t="n"/>
      <c r="P842" s="183" t="n"/>
      <c r="Q842" s="183" t="n"/>
      <c r="R842" s="183" t="n"/>
      <c r="S842" s="183" t="n"/>
      <c r="T842" s="183" t="n"/>
      <c r="U842" s="183" t="n"/>
      <c r="V842" s="183" t="n"/>
      <c r="W842" s="183" t="n"/>
      <c r="X842" s="183" t="n"/>
      <c r="Y842" s="183" t="n"/>
      <c r="Z842" s="183" t="n"/>
      <c r="AA842" s="183" t="n"/>
    </row>
    <row r="843">
      <c r="A843" s="183" t="n"/>
      <c r="B843" s="183" t="n"/>
      <c r="C843" s="183" t="n"/>
      <c r="D843" s="183" t="n"/>
      <c r="E843" s="183" t="n"/>
      <c r="F843" s="183" t="n"/>
      <c r="G843" s="183" t="n"/>
      <c r="H843" s="183" t="n"/>
      <c r="I843" s="183" t="n"/>
      <c r="J843" s="183" t="n"/>
      <c r="K843" s="183" t="n"/>
      <c r="L843" s="183" t="n"/>
      <c r="M843" s="183" t="n"/>
      <c r="N843" s="183" t="n"/>
      <c r="O843" s="183" t="n"/>
      <c r="P843" s="183" t="n"/>
      <c r="Q843" s="183" t="n"/>
      <c r="R843" s="183" t="n"/>
      <c r="S843" s="183" t="n"/>
      <c r="T843" s="183" t="n"/>
      <c r="U843" s="183" t="n"/>
      <c r="V843" s="183" t="n"/>
      <c r="W843" s="183" t="n"/>
      <c r="X843" s="183" t="n"/>
      <c r="Y843" s="183" t="n"/>
      <c r="Z843" s="183" t="n"/>
      <c r="AA843" s="183" t="n"/>
    </row>
    <row r="844">
      <c r="A844" s="183" t="n"/>
      <c r="B844" s="183" t="n"/>
      <c r="C844" s="183" t="n"/>
      <c r="D844" s="183" t="n"/>
      <c r="E844" s="183" t="n"/>
      <c r="F844" s="183" t="n"/>
      <c r="G844" s="183" t="n"/>
      <c r="H844" s="183" t="n"/>
      <c r="I844" s="183" t="n"/>
      <c r="J844" s="183" t="n"/>
      <c r="K844" s="183" t="n"/>
      <c r="L844" s="183" t="n"/>
      <c r="M844" s="183" t="n"/>
      <c r="N844" s="183" t="n"/>
      <c r="O844" s="183" t="n"/>
      <c r="P844" s="183" t="n"/>
      <c r="Q844" s="183" t="n"/>
      <c r="R844" s="183" t="n"/>
      <c r="S844" s="183" t="n"/>
      <c r="T844" s="183" t="n"/>
      <c r="U844" s="183" t="n"/>
      <c r="V844" s="183" t="n"/>
      <c r="W844" s="183" t="n"/>
      <c r="X844" s="183" t="n"/>
      <c r="Y844" s="183" t="n"/>
      <c r="Z844" s="183" t="n"/>
      <c r="AA844" s="183" t="n"/>
    </row>
    <row r="845">
      <c r="A845" s="183" t="n"/>
      <c r="B845" s="183" t="n"/>
      <c r="C845" s="183" t="n"/>
      <c r="D845" s="183" t="n"/>
      <c r="E845" s="183" t="n"/>
      <c r="F845" s="183" t="n"/>
      <c r="G845" s="183" t="n"/>
      <c r="H845" s="183" t="n"/>
      <c r="I845" s="183" t="n"/>
      <c r="J845" s="183" t="n"/>
      <c r="K845" s="183" t="n"/>
      <c r="L845" s="183" t="n"/>
      <c r="M845" s="183" t="n"/>
      <c r="N845" s="183" t="n"/>
      <c r="O845" s="183" t="n"/>
      <c r="P845" s="183" t="n"/>
      <c r="Q845" s="183" t="n"/>
      <c r="R845" s="183" t="n"/>
      <c r="S845" s="183" t="n"/>
      <c r="T845" s="183" t="n"/>
      <c r="U845" s="183" t="n"/>
      <c r="V845" s="183" t="n"/>
      <c r="W845" s="183" t="n"/>
      <c r="X845" s="183" t="n"/>
      <c r="Y845" s="183" t="n"/>
      <c r="Z845" s="183" t="n"/>
      <c r="AA845" s="183" t="n"/>
    </row>
    <row r="846">
      <c r="A846" s="183" t="n"/>
      <c r="B846" s="183" t="n"/>
      <c r="C846" s="183" t="n"/>
      <c r="D846" s="183" t="n"/>
      <c r="E846" s="183" t="n"/>
      <c r="F846" s="183" t="n"/>
      <c r="G846" s="183" t="n"/>
      <c r="H846" s="183" t="n"/>
      <c r="I846" s="183" t="n"/>
      <c r="J846" s="183" t="n"/>
      <c r="K846" s="183" t="n"/>
      <c r="L846" s="183" t="n"/>
      <c r="M846" s="183" t="n"/>
      <c r="N846" s="183" t="n"/>
      <c r="O846" s="183" t="n"/>
      <c r="P846" s="183" t="n"/>
      <c r="Q846" s="183" t="n"/>
      <c r="R846" s="183" t="n"/>
      <c r="S846" s="183" t="n"/>
      <c r="T846" s="183" t="n"/>
      <c r="U846" s="183" t="n"/>
      <c r="V846" s="183" t="n"/>
      <c r="W846" s="183" t="n"/>
      <c r="X846" s="183" t="n"/>
      <c r="Y846" s="183" t="n"/>
      <c r="Z846" s="183" t="n"/>
      <c r="AA846" s="183" t="n"/>
    </row>
    <row r="847">
      <c r="A847" s="183" t="n"/>
      <c r="B847" s="183" t="n"/>
      <c r="C847" s="183" t="n"/>
      <c r="D847" s="183" t="n"/>
      <c r="E847" s="183" t="n"/>
      <c r="F847" s="183" t="n"/>
      <c r="G847" s="183" t="n"/>
      <c r="H847" s="183" t="n"/>
      <c r="I847" s="183" t="n"/>
      <c r="J847" s="183" t="n"/>
      <c r="K847" s="183" t="n"/>
      <c r="L847" s="183" t="n"/>
      <c r="M847" s="183" t="n"/>
      <c r="N847" s="183" t="n"/>
      <c r="O847" s="183" t="n"/>
      <c r="P847" s="183" t="n"/>
      <c r="Q847" s="183" t="n"/>
      <c r="R847" s="183" t="n"/>
      <c r="S847" s="183" t="n"/>
      <c r="T847" s="183" t="n"/>
      <c r="U847" s="183" t="n"/>
      <c r="V847" s="183" t="n"/>
      <c r="W847" s="183" t="n"/>
      <c r="X847" s="183" t="n"/>
      <c r="Y847" s="183" t="n"/>
      <c r="Z847" s="183" t="n"/>
      <c r="AA847" s="183" t="n"/>
    </row>
    <row r="848">
      <c r="A848" s="183" t="n"/>
      <c r="B848" s="183" t="n"/>
      <c r="C848" s="183" t="n"/>
      <c r="D848" s="183" t="n"/>
      <c r="E848" s="183" t="n"/>
      <c r="F848" s="183" t="n"/>
      <c r="G848" s="183" t="n"/>
      <c r="H848" s="183" t="n"/>
      <c r="I848" s="183" t="n"/>
      <c r="J848" s="183" t="n"/>
      <c r="K848" s="183" t="n"/>
      <c r="L848" s="183" t="n"/>
      <c r="M848" s="183" t="n"/>
      <c r="N848" s="183" t="n"/>
      <c r="O848" s="183" t="n"/>
      <c r="P848" s="183" t="n"/>
      <c r="Q848" s="183" t="n"/>
      <c r="R848" s="183" t="n"/>
      <c r="S848" s="183" t="n"/>
      <c r="T848" s="183" t="n"/>
      <c r="U848" s="183" t="n"/>
      <c r="V848" s="183" t="n"/>
      <c r="W848" s="183" t="n"/>
      <c r="X848" s="183" t="n"/>
      <c r="Y848" s="183" t="n"/>
      <c r="Z848" s="183" t="n"/>
      <c r="AA848" s="183" t="n"/>
    </row>
    <row r="849">
      <c r="A849" s="183" t="n"/>
      <c r="B849" s="183" t="n"/>
      <c r="C849" s="183" t="n"/>
      <c r="D849" s="183" t="n"/>
      <c r="E849" s="183" t="n"/>
      <c r="F849" s="183" t="n"/>
      <c r="G849" s="183" t="n"/>
      <c r="H849" s="183" t="n"/>
      <c r="I849" s="183" t="n"/>
      <c r="J849" s="183" t="n"/>
      <c r="K849" s="183" t="n"/>
      <c r="L849" s="183" t="n"/>
      <c r="M849" s="183" t="n"/>
      <c r="N849" s="183" t="n"/>
      <c r="O849" s="183" t="n"/>
      <c r="P849" s="183" t="n"/>
      <c r="Q849" s="183" t="n"/>
      <c r="R849" s="183" t="n"/>
      <c r="S849" s="183" t="n"/>
      <c r="T849" s="183" t="n"/>
      <c r="U849" s="183" t="n"/>
      <c r="V849" s="183" t="n"/>
      <c r="W849" s="183" t="n"/>
      <c r="X849" s="183" t="n"/>
      <c r="Y849" s="183" t="n"/>
      <c r="Z849" s="183" t="n"/>
      <c r="AA849" s="183" t="n"/>
    </row>
    <row r="850">
      <c r="A850" s="183" t="n"/>
      <c r="B850" s="183" t="n"/>
      <c r="C850" s="183" t="n"/>
      <c r="D850" s="183" t="n"/>
      <c r="E850" s="183" t="n"/>
      <c r="F850" s="183" t="n"/>
      <c r="G850" s="183" t="n"/>
      <c r="H850" s="183" t="n"/>
      <c r="I850" s="183" t="n"/>
      <c r="J850" s="183" t="n"/>
      <c r="K850" s="183" t="n"/>
      <c r="L850" s="183" t="n"/>
      <c r="M850" s="183" t="n"/>
      <c r="N850" s="183" t="n"/>
      <c r="O850" s="183" t="n"/>
      <c r="P850" s="183" t="n"/>
      <c r="Q850" s="183" t="n"/>
      <c r="R850" s="183" t="n"/>
      <c r="S850" s="183" t="n"/>
      <c r="T850" s="183" t="n"/>
      <c r="U850" s="183" t="n"/>
      <c r="V850" s="183" t="n"/>
      <c r="W850" s="183" t="n"/>
      <c r="X850" s="183" t="n"/>
      <c r="Y850" s="183" t="n"/>
      <c r="Z850" s="183" t="n"/>
      <c r="AA850" s="183" t="n"/>
    </row>
    <row r="851">
      <c r="A851" s="183" t="n"/>
      <c r="B851" s="183" t="n"/>
      <c r="C851" s="183" t="n"/>
      <c r="D851" s="183" t="n"/>
      <c r="E851" s="183" t="n"/>
      <c r="F851" s="183" t="n"/>
      <c r="G851" s="183" t="n"/>
      <c r="H851" s="183" t="n"/>
      <c r="I851" s="183" t="n"/>
      <c r="J851" s="183" t="n"/>
      <c r="K851" s="183" t="n"/>
      <c r="L851" s="183" t="n"/>
      <c r="M851" s="183" t="n"/>
      <c r="N851" s="183" t="n"/>
      <c r="O851" s="183" t="n"/>
      <c r="P851" s="183" t="n"/>
      <c r="Q851" s="183" t="n"/>
      <c r="R851" s="183" t="n"/>
      <c r="S851" s="183" t="n"/>
      <c r="T851" s="183" t="n"/>
      <c r="U851" s="183" t="n"/>
      <c r="V851" s="183" t="n"/>
      <c r="W851" s="183" t="n"/>
      <c r="X851" s="183" t="n"/>
      <c r="Y851" s="183" t="n"/>
      <c r="Z851" s="183" t="n"/>
      <c r="AA851" s="183" t="n"/>
    </row>
    <row r="852">
      <c r="A852" s="183" t="n"/>
      <c r="B852" s="183" t="n"/>
      <c r="C852" s="183" t="n"/>
      <c r="D852" s="183" t="n"/>
      <c r="E852" s="183" t="n"/>
      <c r="F852" s="183" t="n"/>
      <c r="G852" s="183" t="n"/>
      <c r="H852" s="183" t="n"/>
      <c r="I852" s="183" t="n"/>
      <c r="J852" s="183" t="n"/>
      <c r="K852" s="183" t="n"/>
      <c r="L852" s="183" t="n"/>
      <c r="M852" s="183" t="n"/>
      <c r="N852" s="183" t="n"/>
      <c r="O852" s="183" t="n"/>
      <c r="P852" s="183" t="n"/>
      <c r="Q852" s="183" t="n"/>
      <c r="R852" s="183" t="n"/>
      <c r="S852" s="183" t="n"/>
      <c r="T852" s="183" t="n"/>
      <c r="U852" s="183" t="n"/>
      <c r="V852" s="183" t="n"/>
      <c r="W852" s="183" t="n"/>
      <c r="X852" s="183" t="n"/>
      <c r="Y852" s="183" t="n"/>
      <c r="Z852" s="183" t="n"/>
      <c r="AA852" s="183" t="n"/>
    </row>
    <row r="853">
      <c r="A853" s="183" t="n"/>
      <c r="B853" s="183" t="n"/>
      <c r="C853" s="183" t="n"/>
      <c r="D853" s="183" t="n"/>
      <c r="E853" s="183" t="n"/>
      <c r="F853" s="183" t="n"/>
      <c r="G853" s="183" t="n"/>
      <c r="H853" s="183" t="n"/>
      <c r="I853" s="183" t="n"/>
      <c r="J853" s="183" t="n"/>
      <c r="K853" s="183" t="n"/>
      <c r="L853" s="183" t="n"/>
      <c r="M853" s="183" t="n"/>
      <c r="N853" s="183" t="n"/>
      <c r="O853" s="183" t="n"/>
      <c r="P853" s="183" t="n"/>
      <c r="Q853" s="183" t="n"/>
      <c r="R853" s="183" t="n"/>
      <c r="S853" s="183" t="n"/>
      <c r="T853" s="183" t="n"/>
      <c r="U853" s="183" t="n"/>
      <c r="V853" s="183" t="n"/>
      <c r="W853" s="183" t="n"/>
      <c r="X853" s="183" t="n"/>
      <c r="Y853" s="183" t="n"/>
      <c r="Z853" s="183" t="n"/>
      <c r="AA853" s="183" t="n"/>
    </row>
    <row r="854">
      <c r="A854" s="183" t="n"/>
      <c r="B854" s="183" t="n"/>
      <c r="C854" s="183" t="n"/>
      <c r="D854" s="183" t="n"/>
      <c r="E854" s="183" t="n"/>
      <c r="F854" s="183" t="n"/>
      <c r="G854" s="183" t="n"/>
      <c r="H854" s="183" t="n"/>
      <c r="I854" s="183" t="n"/>
      <c r="J854" s="183" t="n"/>
      <c r="K854" s="183" t="n"/>
      <c r="L854" s="183" t="n"/>
      <c r="M854" s="183" t="n"/>
      <c r="N854" s="183" t="n"/>
      <c r="O854" s="183" t="n"/>
      <c r="P854" s="183" t="n"/>
      <c r="Q854" s="183" t="n"/>
      <c r="R854" s="183" t="n"/>
      <c r="S854" s="183" t="n"/>
      <c r="T854" s="183" t="n"/>
      <c r="U854" s="183" t="n"/>
      <c r="V854" s="183" t="n"/>
      <c r="W854" s="183" t="n"/>
      <c r="X854" s="183" t="n"/>
      <c r="Y854" s="183" t="n"/>
      <c r="Z854" s="183" t="n"/>
      <c r="AA854" s="183" t="n"/>
    </row>
    <row r="855">
      <c r="A855" s="183" t="n"/>
      <c r="B855" s="183" t="n"/>
      <c r="C855" s="183" t="n"/>
      <c r="D855" s="183" t="n"/>
      <c r="E855" s="183" t="n"/>
      <c r="F855" s="183" t="n"/>
      <c r="G855" s="183" t="n"/>
      <c r="H855" s="183" t="n"/>
      <c r="I855" s="183" t="n"/>
      <c r="J855" s="183" t="n"/>
      <c r="K855" s="183" t="n"/>
      <c r="L855" s="183" t="n"/>
      <c r="M855" s="183" t="n"/>
      <c r="N855" s="183" t="n"/>
      <c r="O855" s="183" t="n"/>
      <c r="P855" s="183" t="n"/>
      <c r="Q855" s="183" t="n"/>
      <c r="R855" s="183" t="n"/>
      <c r="S855" s="183" t="n"/>
      <c r="T855" s="183" t="n"/>
      <c r="U855" s="183" t="n"/>
      <c r="V855" s="183" t="n"/>
      <c r="W855" s="183" t="n"/>
      <c r="X855" s="183" t="n"/>
      <c r="Y855" s="183" t="n"/>
      <c r="Z855" s="183" t="n"/>
      <c r="AA855" s="183" t="n"/>
    </row>
    <row r="856">
      <c r="A856" s="183" t="n"/>
      <c r="B856" s="183" t="n"/>
      <c r="C856" s="183" t="n"/>
      <c r="D856" s="183" t="n"/>
      <c r="E856" s="183" t="n"/>
      <c r="F856" s="183" t="n"/>
      <c r="G856" s="183" t="n"/>
      <c r="H856" s="183" t="n"/>
      <c r="I856" s="183" t="n"/>
      <c r="J856" s="183" t="n"/>
      <c r="K856" s="183" t="n"/>
      <c r="L856" s="183" t="n"/>
      <c r="M856" s="183" t="n"/>
      <c r="N856" s="183" t="n"/>
      <c r="O856" s="183" t="n"/>
      <c r="P856" s="183" t="n"/>
      <c r="Q856" s="183" t="n"/>
      <c r="R856" s="183" t="n"/>
      <c r="S856" s="183" t="n"/>
      <c r="T856" s="183" t="n"/>
      <c r="U856" s="183" t="n"/>
      <c r="V856" s="183" t="n"/>
      <c r="W856" s="183" t="n"/>
      <c r="X856" s="183" t="n"/>
      <c r="Y856" s="183" t="n"/>
      <c r="Z856" s="183" t="n"/>
      <c r="AA856" s="183" t="n"/>
    </row>
    <row r="857">
      <c r="A857" s="183" t="n"/>
      <c r="B857" s="183" t="n"/>
      <c r="C857" s="183" t="n"/>
      <c r="D857" s="183" t="n"/>
      <c r="E857" s="183" t="n"/>
      <c r="F857" s="183" t="n"/>
      <c r="G857" s="183" t="n"/>
      <c r="H857" s="183" t="n"/>
      <c r="I857" s="183" t="n"/>
      <c r="J857" s="183" t="n"/>
      <c r="K857" s="183" t="n"/>
      <c r="L857" s="183" t="n"/>
      <c r="M857" s="183" t="n"/>
      <c r="N857" s="183" t="n"/>
      <c r="O857" s="183" t="n"/>
      <c r="P857" s="183" t="n"/>
      <c r="Q857" s="183" t="n"/>
      <c r="R857" s="183" t="n"/>
      <c r="S857" s="183" t="n"/>
      <c r="T857" s="183" t="n"/>
      <c r="U857" s="183" t="n"/>
      <c r="V857" s="183" t="n"/>
      <c r="W857" s="183" t="n"/>
      <c r="X857" s="183" t="n"/>
      <c r="Y857" s="183" t="n"/>
      <c r="Z857" s="183" t="n"/>
      <c r="AA857" s="183" t="n"/>
    </row>
    <row r="858">
      <c r="A858" s="183" t="n"/>
      <c r="B858" s="183" t="n"/>
      <c r="C858" s="183" t="n"/>
      <c r="D858" s="183" t="n"/>
      <c r="E858" s="183" t="n"/>
      <c r="F858" s="183" t="n"/>
      <c r="G858" s="183" t="n"/>
      <c r="H858" s="183" t="n"/>
      <c r="I858" s="183" t="n"/>
      <c r="J858" s="183" t="n"/>
      <c r="K858" s="183" t="n"/>
      <c r="L858" s="183" t="n"/>
      <c r="M858" s="183" t="n"/>
      <c r="N858" s="183" t="n"/>
      <c r="O858" s="183" t="n"/>
      <c r="P858" s="183" t="n"/>
      <c r="Q858" s="183" t="n"/>
      <c r="R858" s="183" t="n"/>
      <c r="S858" s="183" t="n"/>
      <c r="T858" s="183" t="n"/>
      <c r="U858" s="183" t="n"/>
      <c r="V858" s="183" t="n"/>
      <c r="W858" s="183" t="n"/>
      <c r="X858" s="183" t="n"/>
      <c r="Y858" s="183" t="n"/>
      <c r="Z858" s="183" t="n"/>
      <c r="AA858" s="183" t="n"/>
    </row>
    <row r="859">
      <c r="A859" s="183" t="n"/>
      <c r="B859" s="183" t="n"/>
      <c r="C859" s="183" t="n"/>
      <c r="D859" s="183" t="n"/>
      <c r="E859" s="183" t="n"/>
      <c r="F859" s="183" t="n"/>
      <c r="G859" s="183" t="n"/>
      <c r="H859" s="183" t="n"/>
      <c r="I859" s="183" t="n"/>
      <c r="J859" s="183" t="n"/>
      <c r="K859" s="183" t="n"/>
      <c r="L859" s="183" t="n"/>
      <c r="M859" s="183" t="n"/>
      <c r="N859" s="183" t="n"/>
      <c r="O859" s="183" t="n"/>
      <c r="P859" s="183" t="n"/>
      <c r="Q859" s="183" t="n"/>
      <c r="R859" s="183" t="n"/>
      <c r="S859" s="183" t="n"/>
      <c r="T859" s="183" t="n"/>
      <c r="U859" s="183" t="n"/>
      <c r="V859" s="183" t="n"/>
      <c r="W859" s="183" t="n"/>
      <c r="X859" s="183" t="n"/>
      <c r="Y859" s="183" t="n"/>
      <c r="Z859" s="183" t="n"/>
      <c r="AA859" s="183" t="n"/>
    </row>
    <row r="860">
      <c r="A860" s="183" t="n"/>
      <c r="B860" s="183" t="n"/>
      <c r="C860" s="183" t="n"/>
      <c r="D860" s="183" t="n"/>
      <c r="E860" s="183" t="n"/>
      <c r="F860" s="183" t="n"/>
      <c r="G860" s="183" t="n"/>
      <c r="H860" s="183" t="n"/>
      <c r="I860" s="183" t="n"/>
      <c r="J860" s="183" t="n"/>
      <c r="K860" s="183" t="n"/>
      <c r="L860" s="183" t="n"/>
      <c r="M860" s="183" t="n"/>
      <c r="N860" s="183" t="n"/>
      <c r="O860" s="183" t="n"/>
      <c r="P860" s="183" t="n"/>
      <c r="Q860" s="183" t="n"/>
      <c r="R860" s="183" t="n"/>
      <c r="S860" s="183" t="n"/>
      <c r="T860" s="183" t="n"/>
      <c r="U860" s="183" t="n"/>
      <c r="V860" s="183" t="n"/>
      <c r="W860" s="183" t="n"/>
      <c r="X860" s="183" t="n"/>
      <c r="Y860" s="183" t="n"/>
      <c r="Z860" s="183" t="n"/>
      <c r="AA860" s="183" t="n"/>
    </row>
    <row r="861">
      <c r="A861" s="183" t="n"/>
      <c r="B861" s="183" t="n"/>
      <c r="C861" s="183" t="n"/>
      <c r="D861" s="183" t="n"/>
      <c r="E861" s="183" t="n"/>
      <c r="F861" s="183" t="n"/>
      <c r="G861" s="183" t="n"/>
      <c r="H861" s="183" t="n"/>
      <c r="I861" s="183" t="n"/>
      <c r="J861" s="183" t="n"/>
      <c r="K861" s="183" t="n"/>
      <c r="L861" s="183" t="n"/>
      <c r="M861" s="183" t="n"/>
      <c r="N861" s="183" t="n"/>
      <c r="O861" s="183" t="n"/>
      <c r="P861" s="183" t="n"/>
      <c r="Q861" s="183" t="n"/>
      <c r="R861" s="183" t="n"/>
      <c r="S861" s="183" t="n"/>
      <c r="T861" s="183" t="n"/>
      <c r="U861" s="183" t="n"/>
      <c r="V861" s="183" t="n"/>
      <c r="W861" s="183" t="n"/>
      <c r="X861" s="183" t="n"/>
      <c r="Y861" s="183" t="n"/>
      <c r="Z861" s="183" t="n"/>
      <c r="AA861" s="183" t="n"/>
    </row>
    <row r="862">
      <c r="A862" s="183" t="n"/>
      <c r="B862" s="183" t="n"/>
      <c r="C862" s="183" t="n"/>
      <c r="D862" s="183" t="n"/>
      <c r="E862" s="183" t="n"/>
      <c r="F862" s="183" t="n"/>
      <c r="G862" s="183" t="n"/>
      <c r="H862" s="183" t="n"/>
      <c r="I862" s="183" t="n"/>
      <c r="J862" s="183" t="n"/>
      <c r="K862" s="183" t="n"/>
      <c r="L862" s="183" t="n"/>
      <c r="M862" s="183" t="n"/>
      <c r="N862" s="183" t="n"/>
      <c r="O862" s="183" t="n"/>
      <c r="P862" s="183" t="n"/>
      <c r="Q862" s="183" t="n"/>
      <c r="R862" s="183" t="n"/>
      <c r="S862" s="183" t="n"/>
      <c r="T862" s="183" t="n"/>
      <c r="U862" s="183" t="n"/>
      <c r="V862" s="183" t="n"/>
      <c r="W862" s="183" t="n"/>
      <c r="X862" s="183" t="n"/>
      <c r="Y862" s="183" t="n"/>
      <c r="Z862" s="183" t="n"/>
      <c r="AA862" s="183" t="n"/>
    </row>
    <row r="863">
      <c r="A863" s="183" t="n"/>
      <c r="B863" s="183" t="n"/>
      <c r="C863" s="183" t="n"/>
      <c r="D863" s="183" t="n"/>
      <c r="E863" s="183" t="n"/>
      <c r="F863" s="183" t="n"/>
      <c r="G863" s="183" t="n"/>
      <c r="H863" s="183" t="n"/>
      <c r="I863" s="183" t="n"/>
      <c r="J863" s="183" t="n"/>
      <c r="K863" s="183" t="n"/>
      <c r="L863" s="183" t="n"/>
      <c r="M863" s="183" t="n"/>
      <c r="N863" s="183" t="n"/>
      <c r="O863" s="183" t="n"/>
      <c r="P863" s="183" t="n"/>
      <c r="Q863" s="183" t="n"/>
      <c r="R863" s="183" t="n"/>
      <c r="S863" s="183" t="n"/>
      <c r="T863" s="183" t="n"/>
      <c r="U863" s="183" t="n"/>
      <c r="V863" s="183" t="n"/>
      <c r="W863" s="183" t="n"/>
      <c r="X863" s="183" t="n"/>
      <c r="Y863" s="183" t="n"/>
      <c r="Z863" s="183" t="n"/>
      <c r="AA863" s="183" t="n"/>
    </row>
    <row r="864">
      <c r="A864" s="183" t="n"/>
      <c r="B864" s="183" t="n"/>
      <c r="C864" s="183" t="n"/>
      <c r="D864" s="183" t="n"/>
      <c r="E864" s="183" t="n"/>
      <c r="F864" s="183" t="n"/>
      <c r="G864" s="183" t="n"/>
      <c r="H864" s="183" t="n"/>
      <c r="I864" s="183" t="n"/>
      <c r="J864" s="183" t="n"/>
      <c r="K864" s="183" t="n"/>
      <c r="L864" s="183" t="n"/>
      <c r="M864" s="183" t="n"/>
      <c r="N864" s="183" t="n"/>
      <c r="O864" s="183" t="n"/>
      <c r="P864" s="183" t="n"/>
      <c r="Q864" s="183" t="n"/>
      <c r="R864" s="183" t="n"/>
      <c r="S864" s="183" t="n"/>
      <c r="T864" s="183" t="n"/>
      <c r="U864" s="183" t="n"/>
      <c r="V864" s="183" t="n"/>
      <c r="W864" s="183" t="n"/>
      <c r="X864" s="183" t="n"/>
      <c r="Y864" s="183" t="n"/>
      <c r="Z864" s="183" t="n"/>
      <c r="AA864" s="183" t="n"/>
    </row>
    <row r="865">
      <c r="A865" s="183" t="n"/>
      <c r="B865" s="183" t="n"/>
      <c r="C865" s="183" t="n"/>
      <c r="D865" s="183" t="n"/>
      <c r="E865" s="183" t="n"/>
      <c r="F865" s="183" t="n"/>
      <c r="G865" s="183" t="n"/>
      <c r="H865" s="183" t="n"/>
      <c r="I865" s="183" t="n"/>
      <c r="J865" s="183" t="n"/>
      <c r="K865" s="183" t="n"/>
      <c r="L865" s="183" t="n"/>
      <c r="M865" s="183" t="n"/>
      <c r="N865" s="183" t="n"/>
      <c r="O865" s="183" t="n"/>
      <c r="P865" s="183" t="n"/>
      <c r="Q865" s="183" t="n"/>
      <c r="R865" s="183" t="n"/>
      <c r="S865" s="183" t="n"/>
      <c r="T865" s="183" t="n"/>
      <c r="U865" s="183" t="n"/>
      <c r="V865" s="183" t="n"/>
      <c r="W865" s="183" t="n"/>
      <c r="X865" s="183" t="n"/>
      <c r="Y865" s="183" t="n"/>
      <c r="Z865" s="183" t="n"/>
      <c r="AA865" s="183" t="n"/>
    </row>
    <row r="866">
      <c r="A866" s="183" t="n"/>
      <c r="B866" s="183" t="n"/>
      <c r="C866" s="183" t="n"/>
      <c r="D866" s="183" t="n"/>
      <c r="E866" s="183" t="n"/>
      <c r="F866" s="183" t="n"/>
      <c r="G866" s="183" t="n"/>
      <c r="H866" s="183" t="n"/>
      <c r="I866" s="183" t="n"/>
      <c r="J866" s="183" t="n"/>
      <c r="K866" s="183" t="n"/>
      <c r="L866" s="183" t="n"/>
      <c r="M866" s="183" t="n"/>
      <c r="N866" s="183" t="n"/>
      <c r="O866" s="183" t="n"/>
      <c r="P866" s="183" t="n"/>
      <c r="Q866" s="183" t="n"/>
      <c r="R866" s="183" t="n"/>
      <c r="S866" s="183" t="n"/>
      <c r="T866" s="183" t="n"/>
      <c r="U866" s="183" t="n"/>
      <c r="V866" s="183" t="n"/>
      <c r="W866" s="183" t="n"/>
      <c r="X866" s="183" t="n"/>
      <c r="Y866" s="183" t="n"/>
      <c r="Z866" s="183" t="n"/>
      <c r="AA866" s="183" t="n"/>
    </row>
    <row r="867">
      <c r="A867" s="183" t="n"/>
      <c r="B867" s="183" t="n"/>
      <c r="C867" s="183" t="n"/>
      <c r="D867" s="183" t="n"/>
      <c r="E867" s="183" t="n"/>
      <c r="F867" s="183" t="n"/>
      <c r="G867" s="183" t="n"/>
      <c r="H867" s="183" t="n"/>
      <c r="I867" s="183" t="n"/>
      <c r="J867" s="183" t="n"/>
      <c r="K867" s="183" t="n"/>
      <c r="L867" s="183" t="n"/>
      <c r="M867" s="183" t="n"/>
      <c r="N867" s="183" t="n"/>
      <c r="O867" s="183" t="n"/>
      <c r="P867" s="183" t="n"/>
      <c r="Q867" s="183" t="n"/>
      <c r="R867" s="183" t="n"/>
      <c r="S867" s="183" t="n"/>
      <c r="T867" s="183" t="n"/>
      <c r="U867" s="183" t="n"/>
      <c r="V867" s="183" t="n"/>
      <c r="W867" s="183" t="n"/>
      <c r="X867" s="183" t="n"/>
      <c r="Y867" s="183" t="n"/>
      <c r="Z867" s="183" t="n"/>
      <c r="AA867" s="183" t="n"/>
    </row>
    <row r="868">
      <c r="A868" s="183" t="n"/>
      <c r="B868" s="183" t="n"/>
      <c r="C868" s="183" t="n"/>
      <c r="D868" s="183" t="n"/>
      <c r="E868" s="183" t="n"/>
      <c r="F868" s="183" t="n"/>
      <c r="G868" s="183" t="n"/>
      <c r="H868" s="183" t="n"/>
      <c r="I868" s="183" t="n"/>
      <c r="J868" s="183" t="n"/>
      <c r="K868" s="183" t="n"/>
      <c r="L868" s="183" t="n"/>
      <c r="M868" s="183" t="n"/>
      <c r="N868" s="183" t="n"/>
      <c r="O868" s="183" t="n"/>
      <c r="P868" s="183" t="n"/>
      <c r="Q868" s="183" t="n"/>
      <c r="R868" s="183" t="n"/>
      <c r="S868" s="183" t="n"/>
      <c r="T868" s="183" t="n"/>
      <c r="U868" s="183" t="n"/>
      <c r="V868" s="183" t="n"/>
      <c r="W868" s="183" t="n"/>
      <c r="X868" s="183" t="n"/>
      <c r="Y868" s="183" t="n"/>
      <c r="Z868" s="183" t="n"/>
      <c r="AA868" s="183" t="n"/>
    </row>
    <row r="869">
      <c r="A869" s="183" t="n"/>
      <c r="B869" s="183" t="n"/>
      <c r="C869" s="183" t="n"/>
      <c r="D869" s="183" t="n"/>
      <c r="E869" s="183" t="n"/>
      <c r="F869" s="183" t="n"/>
      <c r="G869" s="183" t="n"/>
      <c r="H869" s="183" t="n"/>
      <c r="I869" s="183" t="n"/>
      <c r="J869" s="183" t="n"/>
      <c r="K869" s="183" t="n"/>
      <c r="L869" s="183" t="n"/>
      <c r="M869" s="183" t="n"/>
      <c r="N869" s="183" t="n"/>
      <c r="O869" s="183" t="n"/>
      <c r="P869" s="183" t="n"/>
      <c r="Q869" s="183" t="n"/>
      <c r="R869" s="183" t="n"/>
      <c r="S869" s="183" t="n"/>
      <c r="T869" s="183" t="n"/>
      <c r="U869" s="183" t="n"/>
      <c r="V869" s="183" t="n"/>
      <c r="W869" s="183" t="n"/>
      <c r="X869" s="183" t="n"/>
      <c r="Y869" s="183" t="n"/>
      <c r="Z869" s="183" t="n"/>
      <c r="AA869" s="183" t="n"/>
    </row>
    <row r="870">
      <c r="A870" s="183" t="n"/>
      <c r="B870" s="183" t="n"/>
      <c r="C870" s="183" t="n"/>
      <c r="D870" s="183" t="n"/>
      <c r="E870" s="183" t="n"/>
      <c r="F870" s="183" t="n"/>
      <c r="G870" s="183" t="n"/>
      <c r="H870" s="183" t="n"/>
      <c r="I870" s="183" t="n"/>
      <c r="J870" s="183" t="n"/>
      <c r="K870" s="183" t="n"/>
      <c r="L870" s="183" t="n"/>
      <c r="M870" s="183" t="n"/>
      <c r="N870" s="183" t="n"/>
      <c r="O870" s="183" t="n"/>
      <c r="P870" s="183" t="n"/>
      <c r="Q870" s="183" t="n"/>
      <c r="R870" s="183" t="n"/>
      <c r="S870" s="183" t="n"/>
      <c r="T870" s="183" t="n"/>
      <c r="U870" s="183" t="n"/>
      <c r="V870" s="183" t="n"/>
      <c r="W870" s="183" t="n"/>
      <c r="X870" s="183" t="n"/>
      <c r="Y870" s="183" t="n"/>
      <c r="Z870" s="183" t="n"/>
      <c r="AA870" s="183" t="n"/>
    </row>
    <row r="871">
      <c r="A871" s="183" t="n"/>
      <c r="B871" s="183" t="n"/>
      <c r="C871" s="183" t="n"/>
      <c r="D871" s="183" t="n"/>
      <c r="E871" s="183" t="n"/>
      <c r="F871" s="183" t="n"/>
      <c r="G871" s="183" t="n"/>
      <c r="H871" s="183" t="n"/>
      <c r="I871" s="183" t="n"/>
      <c r="J871" s="183" t="n"/>
      <c r="K871" s="183" t="n"/>
      <c r="L871" s="183" t="n"/>
      <c r="M871" s="183" t="n"/>
      <c r="N871" s="183" t="n"/>
      <c r="O871" s="183" t="n"/>
      <c r="P871" s="183" t="n"/>
      <c r="Q871" s="183" t="n"/>
      <c r="R871" s="183" t="n"/>
      <c r="S871" s="183" t="n"/>
      <c r="T871" s="183" t="n"/>
      <c r="U871" s="183" t="n"/>
      <c r="V871" s="183" t="n"/>
      <c r="W871" s="183" t="n"/>
      <c r="X871" s="183" t="n"/>
      <c r="Y871" s="183" t="n"/>
      <c r="Z871" s="183" t="n"/>
      <c r="AA871" s="183" t="n"/>
    </row>
    <row r="872">
      <c r="A872" s="183" t="n"/>
      <c r="B872" s="183" t="n"/>
      <c r="C872" s="183" t="n"/>
      <c r="D872" s="183" t="n"/>
      <c r="E872" s="183" t="n"/>
      <c r="F872" s="183" t="n"/>
      <c r="G872" s="183" t="n"/>
      <c r="H872" s="183" t="n"/>
      <c r="I872" s="183" t="n"/>
      <c r="J872" s="183" t="n"/>
      <c r="K872" s="183" t="n"/>
      <c r="L872" s="183" t="n"/>
      <c r="M872" s="183" t="n"/>
      <c r="N872" s="183" t="n"/>
      <c r="O872" s="183" t="n"/>
      <c r="P872" s="183" t="n"/>
      <c r="Q872" s="183" t="n"/>
      <c r="R872" s="183" t="n"/>
      <c r="S872" s="183" t="n"/>
      <c r="T872" s="183" t="n"/>
      <c r="U872" s="183" t="n"/>
      <c r="V872" s="183" t="n"/>
      <c r="W872" s="183" t="n"/>
      <c r="X872" s="183" t="n"/>
      <c r="Y872" s="183" t="n"/>
      <c r="Z872" s="183" t="n"/>
      <c r="AA872" s="183" t="n"/>
    </row>
    <row r="873">
      <c r="A873" s="183" t="n"/>
      <c r="B873" s="183" t="n"/>
      <c r="C873" s="183" t="n"/>
      <c r="D873" s="183" t="n"/>
      <c r="E873" s="183" t="n"/>
      <c r="F873" s="183" t="n"/>
      <c r="G873" s="183" t="n"/>
      <c r="H873" s="183" t="n"/>
      <c r="I873" s="183" t="n"/>
      <c r="J873" s="183" t="n"/>
      <c r="K873" s="183" t="n"/>
      <c r="L873" s="183" t="n"/>
      <c r="M873" s="183" t="n"/>
      <c r="N873" s="183" t="n"/>
      <c r="O873" s="183" t="n"/>
      <c r="P873" s="183" t="n"/>
      <c r="Q873" s="183" t="n"/>
      <c r="R873" s="183" t="n"/>
      <c r="S873" s="183" t="n"/>
      <c r="T873" s="183" t="n"/>
      <c r="U873" s="183" t="n"/>
      <c r="V873" s="183" t="n"/>
      <c r="W873" s="183" t="n"/>
      <c r="X873" s="183" t="n"/>
      <c r="Y873" s="183" t="n"/>
      <c r="Z873" s="183" t="n"/>
      <c r="AA873" s="183" t="n"/>
    </row>
    <row r="874">
      <c r="A874" s="183" t="n"/>
      <c r="B874" s="183" t="n"/>
      <c r="C874" s="183" t="n"/>
      <c r="D874" s="183" t="n"/>
      <c r="E874" s="183" t="n"/>
      <c r="F874" s="183" t="n"/>
      <c r="G874" s="183" t="n"/>
      <c r="H874" s="183" t="n"/>
      <c r="I874" s="183" t="n"/>
      <c r="J874" s="183" t="n"/>
      <c r="K874" s="183" t="n"/>
      <c r="L874" s="183" t="n"/>
      <c r="M874" s="183" t="n"/>
      <c r="N874" s="183" t="n"/>
      <c r="O874" s="183" t="n"/>
      <c r="P874" s="183" t="n"/>
      <c r="Q874" s="183" t="n"/>
      <c r="R874" s="183" t="n"/>
      <c r="S874" s="183" t="n"/>
      <c r="T874" s="183" t="n"/>
      <c r="U874" s="183" t="n"/>
      <c r="V874" s="183" t="n"/>
      <c r="W874" s="183" t="n"/>
      <c r="X874" s="183" t="n"/>
      <c r="Y874" s="183" t="n"/>
      <c r="Z874" s="183" t="n"/>
      <c r="AA874" s="183" t="n"/>
    </row>
    <row r="875">
      <c r="A875" s="183" t="n"/>
      <c r="B875" s="183" t="n"/>
      <c r="C875" s="183" t="n"/>
      <c r="D875" s="183" t="n"/>
      <c r="E875" s="183" t="n"/>
      <c r="F875" s="183" t="n"/>
      <c r="G875" s="183" t="n"/>
      <c r="H875" s="183" t="n"/>
      <c r="I875" s="183" t="n"/>
      <c r="J875" s="183" t="n"/>
      <c r="K875" s="183" t="n"/>
      <c r="L875" s="183" t="n"/>
      <c r="M875" s="183" t="n"/>
      <c r="N875" s="183" t="n"/>
      <c r="O875" s="183" t="n"/>
      <c r="P875" s="183" t="n"/>
      <c r="Q875" s="183" t="n"/>
      <c r="R875" s="183" t="n"/>
      <c r="S875" s="183" t="n"/>
      <c r="T875" s="183" t="n"/>
      <c r="U875" s="183" t="n"/>
      <c r="V875" s="183" t="n"/>
      <c r="W875" s="183" t="n"/>
      <c r="X875" s="183" t="n"/>
      <c r="Y875" s="183" t="n"/>
      <c r="Z875" s="183" t="n"/>
      <c r="AA875" s="183" t="n"/>
    </row>
    <row r="876">
      <c r="A876" s="183" t="n"/>
      <c r="B876" s="183" t="n"/>
      <c r="C876" s="183" t="n"/>
      <c r="D876" s="183" t="n"/>
      <c r="E876" s="183" t="n"/>
      <c r="F876" s="183" t="n"/>
      <c r="G876" s="183" t="n"/>
      <c r="H876" s="183" t="n"/>
      <c r="I876" s="183" t="n"/>
      <c r="J876" s="183" t="n"/>
      <c r="K876" s="183" t="n"/>
      <c r="L876" s="183" t="n"/>
      <c r="M876" s="183" t="n"/>
      <c r="N876" s="183" t="n"/>
      <c r="O876" s="183" t="n"/>
      <c r="P876" s="183" t="n"/>
      <c r="Q876" s="183" t="n"/>
      <c r="R876" s="183" t="n"/>
      <c r="S876" s="183" t="n"/>
      <c r="T876" s="183" t="n"/>
      <c r="U876" s="183" t="n"/>
      <c r="V876" s="183" t="n"/>
      <c r="W876" s="183" t="n"/>
      <c r="X876" s="183" t="n"/>
      <c r="Y876" s="183" t="n"/>
      <c r="Z876" s="183" t="n"/>
      <c r="AA876" s="183" t="n"/>
    </row>
    <row r="877">
      <c r="A877" s="183" t="n"/>
      <c r="B877" s="183" t="n"/>
      <c r="C877" s="183" t="n"/>
      <c r="D877" s="183" t="n"/>
      <c r="E877" s="183" t="n"/>
      <c r="F877" s="183" t="n"/>
      <c r="G877" s="183" t="n"/>
      <c r="H877" s="183" t="n"/>
      <c r="I877" s="183" t="n"/>
      <c r="J877" s="183" t="n"/>
      <c r="K877" s="183" t="n"/>
      <c r="L877" s="183" t="n"/>
      <c r="M877" s="183" t="n"/>
      <c r="N877" s="183" t="n"/>
      <c r="O877" s="183" t="n"/>
      <c r="P877" s="183" t="n"/>
      <c r="Q877" s="183" t="n"/>
      <c r="R877" s="183" t="n"/>
      <c r="S877" s="183" t="n"/>
      <c r="T877" s="183" t="n"/>
      <c r="U877" s="183" t="n"/>
      <c r="V877" s="183" t="n"/>
      <c r="W877" s="183" t="n"/>
      <c r="X877" s="183" t="n"/>
      <c r="Y877" s="183" t="n"/>
      <c r="Z877" s="183" t="n"/>
      <c r="AA877" s="183" t="n"/>
    </row>
    <row r="878">
      <c r="A878" s="183" t="n"/>
      <c r="B878" s="183" t="n"/>
      <c r="C878" s="183" t="n"/>
      <c r="D878" s="183" t="n"/>
      <c r="E878" s="183" t="n"/>
      <c r="F878" s="183" t="n"/>
      <c r="G878" s="183" t="n"/>
      <c r="H878" s="183" t="n"/>
      <c r="I878" s="183" t="n"/>
      <c r="J878" s="183" t="n"/>
      <c r="K878" s="183" t="n"/>
      <c r="L878" s="183" t="n"/>
      <c r="M878" s="183" t="n"/>
      <c r="N878" s="183" t="n"/>
      <c r="O878" s="183" t="n"/>
      <c r="P878" s="183" t="n"/>
      <c r="Q878" s="183" t="n"/>
      <c r="R878" s="183" t="n"/>
      <c r="S878" s="183" t="n"/>
      <c r="T878" s="183" t="n"/>
      <c r="U878" s="183" t="n"/>
      <c r="V878" s="183" t="n"/>
      <c r="W878" s="183" t="n"/>
      <c r="X878" s="183" t="n"/>
      <c r="Y878" s="183" t="n"/>
      <c r="Z878" s="183" t="n"/>
      <c r="AA878" s="183" t="n"/>
    </row>
    <row r="879">
      <c r="A879" s="183" t="n"/>
      <c r="B879" s="183" t="n"/>
      <c r="C879" s="183" t="n"/>
      <c r="D879" s="183" t="n"/>
      <c r="E879" s="183" t="n"/>
      <c r="F879" s="183" t="n"/>
      <c r="G879" s="183" t="n"/>
      <c r="H879" s="183" t="n"/>
      <c r="I879" s="183" t="n"/>
      <c r="J879" s="183" t="n"/>
      <c r="K879" s="183" t="n"/>
      <c r="L879" s="183" t="n"/>
      <c r="M879" s="183" t="n"/>
      <c r="N879" s="183" t="n"/>
      <c r="O879" s="183" t="n"/>
      <c r="P879" s="183" t="n"/>
      <c r="Q879" s="183" t="n"/>
      <c r="R879" s="183" t="n"/>
      <c r="S879" s="183" t="n"/>
      <c r="T879" s="183" t="n"/>
      <c r="U879" s="183" t="n"/>
      <c r="V879" s="183" t="n"/>
      <c r="W879" s="183" t="n"/>
      <c r="X879" s="183" t="n"/>
      <c r="Y879" s="183" t="n"/>
      <c r="Z879" s="183" t="n"/>
      <c r="AA879" s="183" t="n"/>
    </row>
    <row r="880">
      <c r="A880" s="183" t="n"/>
      <c r="B880" s="183" t="n"/>
      <c r="C880" s="183" t="n"/>
      <c r="D880" s="183" t="n"/>
      <c r="E880" s="183" t="n"/>
      <c r="F880" s="183" t="n"/>
      <c r="G880" s="183" t="n"/>
      <c r="H880" s="183" t="n"/>
      <c r="I880" s="183" t="n"/>
      <c r="J880" s="183" t="n"/>
      <c r="K880" s="183" t="n"/>
      <c r="L880" s="183" t="n"/>
      <c r="M880" s="183" t="n"/>
      <c r="N880" s="183" t="n"/>
      <c r="O880" s="183" t="n"/>
      <c r="P880" s="183" t="n"/>
      <c r="Q880" s="183" t="n"/>
      <c r="R880" s="183" t="n"/>
      <c r="S880" s="183" t="n"/>
      <c r="T880" s="183" t="n"/>
      <c r="U880" s="183" t="n"/>
      <c r="V880" s="183" t="n"/>
      <c r="W880" s="183" t="n"/>
      <c r="X880" s="183" t="n"/>
      <c r="Y880" s="183" t="n"/>
      <c r="Z880" s="183" t="n"/>
      <c r="AA880" s="183" t="n"/>
    </row>
    <row r="881">
      <c r="A881" s="183" t="n"/>
      <c r="B881" s="183" t="n"/>
      <c r="C881" s="183" t="n"/>
      <c r="D881" s="183" t="n"/>
      <c r="E881" s="183" t="n"/>
      <c r="F881" s="183" t="n"/>
      <c r="G881" s="183" t="n"/>
      <c r="H881" s="183" t="n"/>
      <c r="I881" s="183" t="n"/>
      <c r="J881" s="183" t="n"/>
      <c r="K881" s="183" t="n"/>
      <c r="L881" s="183" t="n"/>
      <c r="M881" s="183" t="n"/>
      <c r="N881" s="183" t="n"/>
      <c r="O881" s="183" t="n"/>
      <c r="P881" s="183" t="n"/>
      <c r="Q881" s="183" t="n"/>
      <c r="R881" s="183" t="n"/>
      <c r="S881" s="183" t="n"/>
      <c r="T881" s="183" t="n"/>
      <c r="U881" s="183" t="n"/>
      <c r="V881" s="183" t="n"/>
      <c r="W881" s="183" t="n"/>
      <c r="X881" s="183" t="n"/>
      <c r="Y881" s="183" t="n"/>
      <c r="Z881" s="183" t="n"/>
      <c r="AA881" s="183" t="n"/>
    </row>
    <row r="882">
      <c r="A882" s="183" t="n"/>
      <c r="B882" s="183" t="n"/>
      <c r="C882" s="183" t="n"/>
      <c r="D882" s="183" t="n"/>
      <c r="E882" s="183" t="n"/>
      <c r="F882" s="183" t="n"/>
      <c r="G882" s="183" t="n"/>
      <c r="H882" s="183" t="n"/>
      <c r="I882" s="183" t="n"/>
      <c r="J882" s="183" t="n"/>
      <c r="K882" s="183" t="n"/>
      <c r="L882" s="183" t="n"/>
      <c r="M882" s="183" t="n"/>
      <c r="N882" s="183" t="n"/>
      <c r="O882" s="183" t="n"/>
      <c r="P882" s="183" t="n"/>
      <c r="Q882" s="183" t="n"/>
      <c r="R882" s="183" t="n"/>
      <c r="S882" s="183" t="n"/>
      <c r="T882" s="183" t="n"/>
      <c r="U882" s="183" t="n"/>
      <c r="V882" s="183" t="n"/>
      <c r="W882" s="183" t="n"/>
      <c r="X882" s="183" t="n"/>
      <c r="Y882" s="183" t="n"/>
      <c r="Z882" s="183" t="n"/>
      <c r="AA882" s="183" t="n"/>
    </row>
    <row r="883">
      <c r="A883" s="183" t="n"/>
      <c r="B883" s="183" t="n"/>
      <c r="C883" s="183" t="n"/>
      <c r="D883" s="183" t="n"/>
      <c r="E883" s="183" t="n"/>
      <c r="F883" s="183" t="n"/>
      <c r="G883" s="183" t="n"/>
      <c r="H883" s="183" t="n"/>
      <c r="I883" s="183" t="n"/>
      <c r="J883" s="183" t="n"/>
      <c r="K883" s="183" t="n"/>
      <c r="L883" s="183" t="n"/>
      <c r="M883" s="183" t="n"/>
      <c r="N883" s="183" t="n"/>
      <c r="O883" s="183" t="n"/>
      <c r="P883" s="183" t="n"/>
      <c r="Q883" s="183" t="n"/>
      <c r="R883" s="183" t="n"/>
      <c r="S883" s="183" t="n"/>
      <c r="T883" s="183" t="n"/>
      <c r="U883" s="183" t="n"/>
      <c r="V883" s="183" t="n"/>
      <c r="W883" s="183" t="n"/>
      <c r="X883" s="183" t="n"/>
      <c r="Y883" s="183" t="n"/>
      <c r="Z883" s="183" t="n"/>
      <c r="AA883" s="183" t="n"/>
    </row>
    <row r="884">
      <c r="A884" s="183" t="n"/>
      <c r="B884" s="183" t="n"/>
      <c r="C884" s="183" t="n"/>
      <c r="D884" s="183" t="n"/>
      <c r="E884" s="183" t="n"/>
      <c r="F884" s="183" t="n"/>
      <c r="G884" s="183" t="n"/>
      <c r="H884" s="183" t="n"/>
      <c r="I884" s="183" t="n"/>
      <c r="J884" s="183" t="n"/>
      <c r="K884" s="183" t="n"/>
      <c r="L884" s="183" t="n"/>
      <c r="M884" s="183" t="n"/>
      <c r="N884" s="183" t="n"/>
      <c r="O884" s="183" t="n"/>
      <c r="P884" s="183" t="n"/>
      <c r="Q884" s="183" t="n"/>
      <c r="R884" s="183" t="n"/>
      <c r="S884" s="183" t="n"/>
      <c r="T884" s="183" t="n"/>
      <c r="U884" s="183" t="n"/>
      <c r="V884" s="183" t="n"/>
      <c r="W884" s="183" t="n"/>
      <c r="X884" s="183" t="n"/>
      <c r="Y884" s="183" t="n"/>
      <c r="Z884" s="183" t="n"/>
      <c r="AA884" s="183" t="n"/>
    </row>
    <row r="885">
      <c r="A885" s="183" t="n"/>
      <c r="B885" s="183" t="n"/>
      <c r="C885" s="183" t="n"/>
      <c r="D885" s="183" t="n"/>
      <c r="E885" s="183" t="n"/>
      <c r="F885" s="183" t="n"/>
      <c r="G885" s="183" t="n"/>
      <c r="H885" s="183" t="n"/>
      <c r="I885" s="183" t="n"/>
      <c r="J885" s="183" t="n"/>
      <c r="K885" s="183" t="n"/>
      <c r="L885" s="183" t="n"/>
      <c r="M885" s="183" t="n"/>
      <c r="N885" s="183" t="n"/>
      <c r="O885" s="183" t="n"/>
      <c r="P885" s="183" t="n"/>
      <c r="Q885" s="183" t="n"/>
      <c r="R885" s="183" t="n"/>
      <c r="S885" s="183" t="n"/>
      <c r="T885" s="183" t="n"/>
      <c r="U885" s="183" t="n"/>
      <c r="V885" s="183" t="n"/>
      <c r="W885" s="183" t="n"/>
      <c r="X885" s="183" t="n"/>
      <c r="Y885" s="183" t="n"/>
      <c r="Z885" s="183" t="n"/>
      <c r="AA885" s="183" t="n"/>
    </row>
    <row r="886">
      <c r="A886" s="183" t="n"/>
      <c r="B886" s="183" t="n"/>
      <c r="C886" s="183" t="n"/>
      <c r="D886" s="183" t="n"/>
      <c r="E886" s="183" t="n"/>
      <c r="F886" s="183" t="n"/>
      <c r="G886" s="183" t="n"/>
      <c r="H886" s="183" t="n"/>
      <c r="I886" s="183" t="n"/>
      <c r="J886" s="183" t="n"/>
      <c r="K886" s="183" t="n"/>
      <c r="L886" s="183" t="n"/>
      <c r="M886" s="183" t="n"/>
      <c r="N886" s="183" t="n"/>
      <c r="O886" s="183" t="n"/>
      <c r="P886" s="183" t="n"/>
      <c r="Q886" s="183" t="n"/>
      <c r="R886" s="183" t="n"/>
      <c r="S886" s="183" t="n"/>
      <c r="T886" s="183" t="n"/>
      <c r="U886" s="183" t="n"/>
      <c r="V886" s="183" t="n"/>
      <c r="W886" s="183" t="n"/>
      <c r="X886" s="183" t="n"/>
      <c r="Y886" s="183" t="n"/>
      <c r="Z886" s="183" t="n"/>
      <c r="AA886" s="183" t="n"/>
    </row>
    <row r="887">
      <c r="A887" s="183" t="n"/>
      <c r="B887" s="183" t="n"/>
      <c r="C887" s="183" t="n"/>
      <c r="D887" s="183" t="n"/>
      <c r="E887" s="183" t="n"/>
      <c r="F887" s="183" t="n"/>
      <c r="G887" s="183" t="n"/>
      <c r="H887" s="183" t="n"/>
      <c r="I887" s="183" t="n"/>
      <c r="J887" s="183" t="n"/>
      <c r="K887" s="183" t="n"/>
      <c r="L887" s="183" t="n"/>
      <c r="M887" s="183" t="n"/>
      <c r="N887" s="183" t="n"/>
      <c r="O887" s="183" t="n"/>
      <c r="P887" s="183" t="n"/>
      <c r="Q887" s="183" t="n"/>
      <c r="R887" s="183" t="n"/>
      <c r="S887" s="183" t="n"/>
      <c r="T887" s="183" t="n"/>
      <c r="U887" s="183" t="n"/>
      <c r="V887" s="183" t="n"/>
      <c r="W887" s="183" t="n"/>
      <c r="X887" s="183" t="n"/>
      <c r="Y887" s="183" t="n"/>
      <c r="Z887" s="183" t="n"/>
      <c r="AA887" s="183" t="n"/>
    </row>
    <row r="888">
      <c r="A888" s="183" t="n"/>
      <c r="B888" s="183" t="n"/>
      <c r="C888" s="183" t="n"/>
      <c r="D888" s="183" t="n"/>
      <c r="E888" s="183" t="n"/>
      <c r="F888" s="183" t="n"/>
      <c r="G888" s="183" t="n"/>
      <c r="H888" s="183" t="n"/>
      <c r="I888" s="183" t="n"/>
      <c r="J888" s="183" t="n"/>
      <c r="K888" s="183" t="n"/>
      <c r="L888" s="183" t="n"/>
      <c r="M888" s="183" t="n"/>
      <c r="N888" s="183" t="n"/>
      <c r="O888" s="183" t="n"/>
      <c r="P888" s="183" t="n"/>
      <c r="Q888" s="183" t="n"/>
      <c r="R888" s="183" t="n"/>
      <c r="S888" s="183" t="n"/>
      <c r="T888" s="183" t="n"/>
      <c r="U888" s="183" t="n"/>
      <c r="V888" s="183" t="n"/>
      <c r="W888" s="183" t="n"/>
      <c r="X888" s="183" t="n"/>
      <c r="Y888" s="183" t="n"/>
      <c r="Z888" s="183" t="n"/>
      <c r="AA888" s="183" t="n"/>
    </row>
    <row r="889">
      <c r="A889" s="183" t="n"/>
      <c r="B889" s="183" t="n"/>
      <c r="C889" s="183" t="n"/>
      <c r="D889" s="183" t="n"/>
      <c r="E889" s="183" t="n"/>
      <c r="F889" s="183" t="n"/>
      <c r="G889" s="183" t="n"/>
      <c r="H889" s="183" t="n"/>
      <c r="I889" s="183" t="n"/>
      <c r="J889" s="183" t="n"/>
      <c r="K889" s="183" t="n"/>
      <c r="L889" s="183" t="n"/>
      <c r="M889" s="183" t="n"/>
      <c r="N889" s="183" t="n"/>
      <c r="O889" s="183" t="n"/>
      <c r="P889" s="183" t="n"/>
      <c r="Q889" s="183" t="n"/>
      <c r="R889" s="183" t="n"/>
      <c r="S889" s="183" t="n"/>
      <c r="T889" s="183" t="n"/>
      <c r="U889" s="183" t="n"/>
      <c r="V889" s="183" t="n"/>
      <c r="W889" s="183" t="n"/>
      <c r="X889" s="183" t="n"/>
      <c r="Y889" s="183" t="n"/>
      <c r="Z889" s="183" t="n"/>
      <c r="AA889" s="183" t="n"/>
    </row>
    <row r="890">
      <c r="A890" s="183" t="n"/>
      <c r="B890" s="183" t="n"/>
      <c r="C890" s="183" t="n"/>
      <c r="D890" s="183" t="n"/>
      <c r="E890" s="183" t="n"/>
      <c r="F890" s="183" t="n"/>
      <c r="G890" s="183" t="n"/>
      <c r="H890" s="183" t="n"/>
      <c r="I890" s="183" t="n"/>
      <c r="J890" s="183" t="n"/>
      <c r="K890" s="183" t="n"/>
      <c r="L890" s="183" t="n"/>
      <c r="M890" s="183" t="n"/>
      <c r="N890" s="183" t="n"/>
      <c r="O890" s="183" t="n"/>
      <c r="P890" s="183" t="n"/>
      <c r="Q890" s="183" t="n"/>
      <c r="R890" s="183" t="n"/>
      <c r="S890" s="183" t="n"/>
      <c r="T890" s="183" t="n"/>
      <c r="U890" s="183" t="n"/>
      <c r="V890" s="183" t="n"/>
      <c r="W890" s="183" t="n"/>
      <c r="X890" s="183" t="n"/>
      <c r="Y890" s="183" t="n"/>
      <c r="Z890" s="183" t="n"/>
      <c r="AA890" s="183" t="n"/>
    </row>
    <row r="891">
      <c r="A891" s="183" t="n"/>
      <c r="B891" s="183" t="n"/>
      <c r="C891" s="183" t="n"/>
      <c r="D891" s="183" t="n"/>
      <c r="E891" s="183" t="n"/>
      <c r="F891" s="183" t="n"/>
      <c r="G891" s="183" t="n"/>
      <c r="H891" s="183" t="n"/>
      <c r="I891" s="183" t="n"/>
      <c r="J891" s="183" t="n"/>
      <c r="K891" s="183" t="n"/>
      <c r="L891" s="183" t="n"/>
      <c r="M891" s="183" t="n"/>
      <c r="N891" s="183" t="n"/>
      <c r="O891" s="183" t="n"/>
      <c r="P891" s="183" t="n"/>
      <c r="Q891" s="183" t="n"/>
      <c r="R891" s="183" t="n"/>
      <c r="S891" s="183" t="n"/>
      <c r="T891" s="183" t="n"/>
      <c r="U891" s="183" t="n"/>
      <c r="V891" s="183" t="n"/>
      <c r="W891" s="183" t="n"/>
      <c r="X891" s="183" t="n"/>
      <c r="Y891" s="183" t="n"/>
      <c r="Z891" s="183" t="n"/>
      <c r="AA891" s="183" t="n"/>
    </row>
    <row r="892">
      <c r="A892" s="183" t="n"/>
      <c r="B892" s="183" t="n"/>
      <c r="C892" s="183" t="n"/>
      <c r="D892" s="183" t="n"/>
      <c r="E892" s="183" t="n"/>
      <c r="F892" s="183" t="n"/>
      <c r="G892" s="183" t="n"/>
      <c r="H892" s="183" t="n"/>
      <c r="I892" s="183" t="n"/>
      <c r="J892" s="183" t="n"/>
      <c r="K892" s="183" t="n"/>
      <c r="L892" s="183" t="n"/>
      <c r="M892" s="183" t="n"/>
      <c r="N892" s="183" t="n"/>
      <c r="O892" s="183" t="n"/>
      <c r="P892" s="183" t="n"/>
      <c r="Q892" s="183" t="n"/>
      <c r="R892" s="183" t="n"/>
      <c r="S892" s="183" t="n"/>
      <c r="T892" s="183" t="n"/>
      <c r="U892" s="183" t="n"/>
      <c r="V892" s="183" t="n"/>
      <c r="W892" s="183" t="n"/>
      <c r="X892" s="183" t="n"/>
      <c r="Y892" s="183" t="n"/>
      <c r="Z892" s="183" t="n"/>
      <c r="AA892" s="183" t="n"/>
    </row>
    <row r="893">
      <c r="A893" s="183" t="n"/>
      <c r="B893" s="183" t="n"/>
      <c r="C893" s="183" t="n"/>
      <c r="D893" s="183" t="n"/>
      <c r="E893" s="183" t="n"/>
      <c r="F893" s="183" t="n"/>
      <c r="G893" s="183" t="n"/>
      <c r="H893" s="183" t="n"/>
      <c r="I893" s="183" t="n"/>
      <c r="J893" s="183" t="n"/>
      <c r="K893" s="183" t="n"/>
      <c r="L893" s="183" t="n"/>
      <c r="M893" s="183" t="n"/>
      <c r="N893" s="183" t="n"/>
      <c r="O893" s="183" t="n"/>
      <c r="P893" s="183" t="n"/>
      <c r="Q893" s="183" t="n"/>
      <c r="R893" s="183" t="n"/>
      <c r="S893" s="183" t="n"/>
      <c r="T893" s="183" t="n"/>
      <c r="U893" s="183" t="n"/>
      <c r="V893" s="183" t="n"/>
      <c r="W893" s="183" t="n"/>
      <c r="X893" s="183" t="n"/>
      <c r="Y893" s="183" t="n"/>
      <c r="Z893" s="183" t="n"/>
      <c r="AA893" s="183" t="n"/>
    </row>
    <row r="894">
      <c r="A894" s="183" t="n"/>
      <c r="B894" s="183" t="n"/>
      <c r="C894" s="183" t="n"/>
      <c r="D894" s="183" t="n"/>
      <c r="E894" s="183" t="n"/>
      <c r="F894" s="183" t="n"/>
      <c r="G894" s="183" t="n"/>
      <c r="H894" s="183" t="n"/>
      <c r="I894" s="183" t="n"/>
      <c r="J894" s="183" t="n"/>
      <c r="K894" s="183" t="n"/>
      <c r="L894" s="183" t="n"/>
      <c r="M894" s="183" t="n"/>
      <c r="N894" s="183" t="n"/>
      <c r="O894" s="183" t="n"/>
      <c r="P894" s="183" t="n"/>
      <c r="Q894" s="183" t="n"/>
      <c r="R894" s="183" t="n"/>
      <c r="S894" s="183" t="n"/>
      <c r="T894" s="183" t="n"/>
      <c r="U894" s="183" t="n"/>
      <c r="V894" s="183" t="n"/>
      <c r="W894" s="183" t="n"/>
      <c r="X894" s="183" t="n"/>
      <c r="Y894" s="183" t="n"/>
      <c r="Z894" s="183" t="n"/>
      <c r="AA894" s="183" t="n"/>
    </row>
    <row r="895">
      <c r="A895" s="183" t="n"/>
      <c r="B895" s="183" t="n"/>
      <c r="C895" s="183" t="n"/>
      <c r="D895" s="183" t="n"/>
      <c r="E895" s="183" t="n"/>
      <c r="F895" s="183" t="n"/>
      <c r="G895" s="183" t="n"/>
      <c r="H895" s="183" t="n"/>
      <c r="I895" s="183" t="n"/>
      <c r="J895" s="183" t="n"/>
      <c r="K895" s="183" t="n"/>
      <c r="L895" s="183" t="n"/>
      <c r="M895" s="183" t="n"/>
      <c r="N895" s="183" t="n"/>
      <c r="O895" s="183" t="n"/>
      <c r="P895" s="183" t="n"/>
      <c r="Q895" s="183" t="n"/>
      <c r="R895" s="183" t="n"/>
      <c r="S895" s="183" t="n"/>
      <c r="T895" s="183" t="n"/>
      <c r="U895" s="183" t="n"/>
      <c r="V895" s="183" t="n"/>
      <c r="W895" s="183" t="n"/>
      <c r="X895" s="183" t="n"/>
      <c r="Y895" s="183" t="n"/>
      <c r="Z895" s="183" t="n"/>
      <c r="AA895" s="183" t="n"/>
    </row>
    <row r="896">
      <c r="A896" s="183" t="n"/>
      <c r="B896" s="183" t="n"/>
      <c r="C896" s="183" t="n"/>
      <c r="D896" s="183" t="n"/>
      <c r="E896" s="183" t="n"/>
      <c r="F896" s="183" t="n"/>
      <c r="G896" s="183" t="n"/>
      <c r="H896" s="183" t="n"/>
      <c r="I896" s="183" t="n"/>
      <c r="J896" s="183" t="n"/>
      <c r="K896" s="183" t="n"/>
      <c r="L896" s="183" t="n"/>
      <c r="M896" s="183" t="n"/>
      <c r="N896" s="183" t="n"/>
      <c r="O896" s="183" t="n"/>
      <c r="P896" s="183" t="n"/>
      <c r="Q896" s="183" t="n"/>
      <c r="R896" s="183" t="n"/>
      <c r="S896" s="183" t="n"/>
      <c r="T896" s="183" t="n"/>
      <c r="U896" s="183" t="n"/>
      <c r="V896" s="183" t="n"/>
      <c r="W896" s="183" t="n"/>
      <c r="X896" s="183" t="n"/>
      <c r="Y896" s="183" t="n"/>
      <c r="Z896" s="183" t="n"/>
      <c r="AA896" s="183" t="n"/>
    </row>
    <row r="897">
      <c r="A897" s="183" t="n"/>
      <c r="M897" s="183" t="n"/>
      <c r="N897" s="183" t="n"/>
      <c r="O897" s="183" t="n"/>
      <c r="P897" s="183" t="n"/>
      <c r="Q897" s="183" t="n"/>
      <c r="R897" s="183" t="n"/>
      <c r="S897" s="183" t="n"/>
      <c r="T897" s="183" t="n"/>
      <c r="U897" s="183" t="n"/>
      <c r="V897" s="183" t="n"/>
      <c r="W897" s="183" t="n"/>
      <c r="X897" s="183" t="n"/>
      <c r="Y897" s="183" t="n"/>
      <c r="Z897" s="183" t="n"/>
      <c r="AA897" s="183" t="n"/>
    </row>
    <row r="898">
      <c r="A898" s="183" t="n"/>
      <c r="M898" s="183" t="n"/>
      <c r="N898" s="183" t="n"/>
      <c r="O898" s="183" t="n"/>
      <c r="P898" s="183" t="n"/>
      <c r="Q898" s="183" t="n"/>
      <c r="R898" s="183" t="n"/>
      <c r="S898" s="183" t="n"/>
      <c r="T898" s="183" t="n"/>
      <c r="U898" s="183" t="n"/>
      <c r="V898" s="183" t="n"/>
      <c r="W898" s="183" t="n"/>
      <c r="X898" s="183" t="n"/>
      <c r="Y898" s="183" t="n"/>
      <c r="Z898" s="183" t="n"/>
      <c r="AA898" s="183" t="n"/>
    </row>
  </sheetData>
  <mergeCells count="88">
    <mergeCell ref="D20:E20"/>
    <mergeCell ref="G8:G9"/>
    <mergeCell ref="L12:L13"/>
    <mergeCell ref="B22:C22"/>
    <mergeCell ref="I16:I17"/>
    <mergeCell ref="D22:E22"/>
    <mergeCell ref="G10:G11"/>
    <mergeCell ref="F18:F19"/>
    <mergeCell ref="D6:E6"/>
    <mergeCell ref="L14:L15"/>
    <mergeCell ref="I18:I19"/>
    <mergeCell ref="J4:J5"/>
    <mergeCell ref="L4:L5"/>
    <mergeCell ref="G18:G19"/>
    <mergeCell ref="I20:I21"/>
    <mergeCell ref="D4:E4"/>
    <mergeCell ref="H8:H9"/>
    <mergeCell ref="J8:J9"/>
    <mergeCell ref="G12:G13"/>
    <mergeCell ref="I6:I7"/>
    <mergeCell ref="K6:K7"/>
    <mergeCell ref="L16:L17"/>
    <mergeCell ref="F16:F17"/>
    <mergeCell ref="H10:H11"/>
    <mergeCell ref="J10:J11"/>
    <mergeCell ref="D10:E10"/>
    <mergeCell ref="B3:C3"/>
    <mergeCell ref="A3:A24"/>
    <mergeCell ref="F20:F21"/>
    <mergeCell ref="L18:L19"/>
    <mergeCell ref="B20:C21"/>
    <mergeCell ref="J20:J21"/>
    <mergeCell ref="L20:L21"/>
    <mergeCell ref="D3:F3"/>
    <mergeCell ref="B4:C5"/>
    <mergeCell ref="H12:H13"/>
    <mergeCell ref="J12:J13"/>
    <mergeCell ref="L6:L7"/>
    <mergeCell ref="H14:H15"/>
    <mergeCell ref="J14:J15"/>
    <mergeCell ref="F4:F5"/>
    <mergeCell ref="H4:H5"/>
    <mergeCell ref="F10:F11"/>
    <mergeCell ref="K20:K21"/>
    <mergeCell ref="B10:C11"/>
    <mergeCell ref="F8:F9"/>
    <mergeCell ref="G6:G7"/>
    <mergeCell ref="I8:I9"/>
    <mergeCell ref="J18:J19"/>
    <mergeCell ref="H16:H17"/>
    <mergeCell ref="K8:K9"/>
    <mergeCell ref="K4:K5"/>
    <mergeCell ref="B2:E2"/>
    <mergeCell ref="G16:G17"/>
    <mergeCell ref="I10:I11"/>
    <mergeCell ref="H18:H19"/>
    <mergeCell ref="F14:F15"/>
    <mergeCell ref="K10:K11"/>
    <mergeCell ref="D12:E12"/>
    <mergeCell ref="B12:C13"/>
    <mergeCell ref="H20:H21"/>
    <mergeCell ref="K16:K17"/>
    <mergeCell ref="D14:E14"/>
    <mergeCell ref="B14:C15"/>
    <mergeCell ref="F6:F7"/>
    <mergeCell ref="K18:K19"/>
    <mergeCell ref="F12:F13"/>
    <mergeCell ref="H6:H7"/>
    <mergeCell ref="B6:C7"/>
    <mergeCell ref="J6:J7"/>
    <mergeCell ref="K22:K23"/>
    <mergeCell ref="L8:L9"/>
    <mergeCell ref="I12:I13"/>
    <mergeCell ref="K12:K13"/>
    <mergeCell ref="G20:G21"/>
    <mergeCell ref="J16:J17"/>
    <mergeCell ref="G14:G15"/>
    <mergeCell ref="L10:L11"/>
    <mergeCell ref="I14:I15"/>
    <mergeCell ref="D16:E16"/>
    <mergeCell ref="K14:K15"/>
    <mergeCell ref="B16:C17"/>
    <mergeCell ref="G4:G5"/>
    <mergeCell ref="I4:I5"/>
    <mergeCell ref="D18:E18"/>
    <mergeCell ref="B18:C19"/>
    <mergeCell ref="D8:E8"/>
    <mergeCell ref="B8:C9"/>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H4" r:id="rId3"/>
    <hyperlink xmlns:r="http://schemas.openxmlformats.org/officeDocument/2006/relationships" ref="G6" r:id="rId4"/>
    <hyperlink xmlns:r="http://schemas.openxmlformats.org/officeDocument/2006/relationships" ref="G8" r:id="rId5"/>
    <hyperlink xmlns:r="http://schemas.openxmlformats.org/officeDocument/2006/relationships" ref="H8" r:id="rId6"/>
    <hyperlink xmlns:r="http://schemas.openxmlformats.org/officeDocument/2006/relationships" ref="G10" r:id="rId7"/>
    <hyperlink xmlns:r="http://schemas.openxmlformats.org/officeDocument/2006/relationships" ref="H10" location="toc15" r:id="rId8"/>
    <hyperlink xmlns:r="http://schemas.openxmlformats.org/officeDocument/2006/relationships" ref="G12" r:id="rId9"/>
    <hyperlink xmlns:r="http://schemas.openxmlformats.org/officeDocument/2006/relationships" ref="H12" r:id="rId10"/>
    <hyperlink xmlns:r="http://schemas.openxmlformats.org/officeDocument/2006/relationships" ref="G14" r:id="rId11"/>
    <hyperlink xmlns:r="http://schemas.openxmlformats.org/officeDocument/2006/relationships" ref="H14" location="toc15" r:id="rId12"/>
    <hyperlink xmlns:r="http://schemas.openxmlformats.org/officeDocument/2006/relationships" ref="G16" r:id="rId13"/>
    <hyperlink xmlns:r="http://schemas.openxmlformats.org/officeDocument/2006/relationships" ref="H16" r:id="rId14"/>
    <hyperlink xmlns:r="http://schemas.openxmlformats.org/officeDocument/2006/relationships" ref="G18" r:id="rId15"/>
    <hyperlink xmlns:r="http://schemas.openxmlformats.org/officeDocument/2006/relationships" ref="H18" r:id="rId16"/>
    <hyperlink xmlns:r="http://schemas.openxmlformats.org/officeDocument/2006/relationships" ref="G20"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2026-03-18T00:58:22Z</dcterms:created>
  <dcterms:modified xmlns:dcterms="http://purl.org/dc/terms/" xmlns:xsi="http://www.w3.org/2001/XMLSchema-instance" xsi:type="dcterms:W3CDTF">2026-03-18T01:33:16Z</dcterms:modified>
</cp:coreProperties>
</file>